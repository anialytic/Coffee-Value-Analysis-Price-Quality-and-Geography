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ffee\visualization\"/>
    </mc:Choice>
  </mc:AlternateContent>
  <xr:revisionPtr revIDLastSave="0" documentId="13_ncr:1_{A4CA378B-ABF4-4EAC-936B-8F0018375EA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ffee_filled" sheetId="1" r:id="rId1"/>
    <sheet name="Sheet1" sheetId="2" r:id="rId2"/>
    <sheet name="Sheet2" sheetId="3" r:id="rId3"/>
    <sheet name="Sheet3" sheetId="4" r:id="rId4"/>
  </sheets>
  <definedNames>
    <definedName name="_xlnm._FilterDatabase" localSheetId="2" hidden="1">Sheet2!$H$2:$I$2195</definedName>
    <definedName name="_xlnm._FilterDatabase" localSheetId="3" hidden="1">Sheet3!$H$1:$H$2189</definedName>
  </definedNames>
  <calcPr calcId="191029"/>
  <pivotCaches>
    <pivotCache cacheId="0" r:id="rId5"/>
    <pivotCache cacheId="1" r:id="rId6"/>
    <pivotCache cacheId="2" r:id="rId7"/>
    <pivotCache cacheId="3" r:id="rId8"/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4" l="1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5" i="4"/>
  <c r="I6" i="4"/>
  <c r="I7" i="4"/>
  <c r="I8" i="4"/>
  <c r="I9" i="4"/>
  <c r="I10" i="4"/>
  <c r="I11" i="4"/>
  <c r="I3" i="4"/>
  <c r="I4" i="4"/>
  <c r="I2" i="4"/>
  <c r="M2" i="4" a="1"/>
  <c r="M2" i="4" s="1"/>
  <c r="L3" i="3" a="1"/>
  <c r="L3" i="3" s="1"/>
  <c r="K3" i="3" a="1"/>
  <c r="K3" i="3" s="1"/>
  <c r="G2195" i="3"/>
  <c r="F2195" i="3"/>
  <c r="E2195" i="3"/>
  <c r="C2195" i="3"/>
  <c r="G2194" i="3"/>
  <c r="F2194" i="3"/>
  <c r="E2194" i="3"/>
  <c r="C2194" i="3"/>
  <c r="E2193" i="3"/>
  <c r="F2193" i="3"/>
  <c r="G2193" i="3"/>
  <c r="E2192" i="3"/>
  <c r="F2192" i="3"/>
  <c r="G2192" i="3"/>
  <c r="C2193" i="3"/>
  <c r="C2192" i="3"/>
  <c r="G2191" i="3"/>
  <c r="F2191" i="3"/>
  <c r="E2191" i="3"/>
  <c r="C219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<sst xmlns="http://schemas.openxmlformats.org/spreadsheetml/2006/main" count="26606" uniqueCount="2074">
  <si>
    <t>Row Labels</t>
  </si>
  <si>
    <t>Average of price_per_100g</t>
  </si>
  <si>
    <t>Taiwan</t>
  </si>
  <si>
    <t>Brazil</t>
  </si>
  <si>
    <t>Ecuador</t>
  </si>
  <si>
    <t>Panama</t>
  </si>
  <si>
    <t>Peru</t>
  </si>
  <si>
    <t>Guatemala</t>
  </si>
  <si>
    <t>Yemen</t>
  </si>
  <si>
    <t>Ethiopia</t>
  </si>
  <si>
    <t>Mexico</t>
  </si>
  <si>
    <t>China</t>
  </si>
  <si>
    <t>Kenya</t>
  </si>
  <si>
    <t>Honduras</t>
  </si>
  <si>
    <t>Colombia</t>
  </si>
  <si>
    <t>Costa Rica</t>
  </si>
  <si>
    <t>Indonesia</t>
  </si>
  <si>
    <t>Rwanda</t>
  </si>
  <si>
    <t>USA</t>
  </si>
  <si>
    <t>Papua New Guinea</t>
  </si>
  <si>
    <t>Tanzania</t>
  </si>
  <si>
    <t>El Salvador</t>
  </si>
  <si>
    <t>Nicaragua</t>
  </si>
  <si>
    <t>Democratic Republic of the Congo</t>
  </si>
  <si>
    <t>Burundi</t>
  </si>
  <si>
    <t>Bolivia</t>
  </si>
  <si>
    <t>Grand Total</t>
  </si>
  <si>
    <t>Japan</t>
  </si>
  <si>
    <t>United Kingdom</t>
  </si>
  <si>
    <t>Australia</t>
  </si>
  <si>
    <t>South Korea</t>
  </si>
  <si>
    <t>Canada</t>
  </si>
  <si>
    <t>coffee_name</t>
  </si>
  <si>
    <t>total_score</t>
  </si>
  <si>
    <t>roast_level</t>
  </si>
  <si>
    <t>agtron_ground</t>
  </si>
  <si>
    <t>agtron_roast</t>
  </si>
  <si>
    <t>price_per_100g</t>
  </si>
  <si>
    <t>roaster_country</t>
  </si>
  <si>
    <t>origin_country</t>
  </si>
  <si>
    <t>Colombia Finca Campo Hermosa</t>
  </si>
  <si>
    <t>Light</t>
  </si>
  <si>
    <t>Colombia Finca La Sirena Mango Co-Ferment</t>
  </si>
  <si>
    <t>In Bloom</t>
  </si>
  <si>
    <t>Ethiopia Washed Kaffa Gimbo Lot Rich Espresso</t>
  </si>
  <si>
    <t>Medium Light</t>
  </si>
  <si>
    <t>Ethiopia Natural Gute Bona</t>
  </si>
  <si>
    <t>White Geisha Blend Espresso</t>
  </si>
  <si>
    <t>Yunlin Natural Geisha CPAG-1</t>
  </si>
  <si>
    <t>Colombia Natural Huila Eulises Guzman</t>
  </si>
  <si>
    <t>Peru Washed Cusco Buena Vista Soola SL09</t>
  </si>
  <si>
    <t>Yunlin Natural Geisha</t>
  </si>
  <si>
    <t>Hechi</t>
  </si>
  <si>
    <t>Las Margaritas Sudan Rume</t>
  </si>
  <si>
    <t>Wilton Benitez Geisha</t>
  </si>
  <si>
    <t>Itumpi Tanzania</t>
  </si>
  <si>
    <t>Ethiopia Yirgacheffe G1 Gotiti Angel Station Geisha Washed</t>
  </si>
  <si>
    <t>Ethiopia Guji Hambela Buku Abel Bastet Geisha Washed</t>
  </si>
  <si>
    <t>Finca Cruz Loma Ecuador Geisha</t>
  </si>
  <si>
    <t>Costa Rica Finca El CaГ±al</t>
  </si>
  <si>
    <t>Hambela Dabaye Ethiopia</t>
  </si>
  <si>
    <t>Brazil Vinhal Grape Starfruit</t>
  </si>
  <si>
    <t>Duwancho Natural Ethiopia</t>
  </si>
  <si>
    <t>Colombia Finca Santa Barbara Gesha Anaerobic Honey</t>
  </si>
  <si>
    <t>Colombia Faver Emir Ninco Pink Bourbon</t>
  </si>
  <si>
    <t>Ethiopia Yirgacheffe Earl Grey Peach</t>
  </si>
  <si>
    <t>Colombia Cauca Lusitania Geisha Washed</t>
  </si>
  <si>
    <t>Kenya Kirinyaga Karamundi Washed AB</t>
  </si>
  <si>
    <t>KaК»Е« Morning Glory</t>
  </si>
  <si>
    <t>KaК»Е« Yellow Bourbon</t>
  </si>
  <si>
    <t>Colombia San Adolfo Huila</t>
  </si>
  <si>
    <t>Rwanda Kungahara Carbonic Maceration</t>
  </si>
  <si>
    <t>Ecuador La Papaya Pacamara</t>
  </si>
  <si>
    <t>Peru Churupampa Pacamara</t>
  </si>
  <si>
    <t>Ethiopia Ayla Sidamo</t>
  </si>
  <si>
    <t>Ethiopia Mullugeta Muntasha</t>
  </si>
  <si>
    <t>KaвЂ™u Giant Maragogipe</t>
  </si>
  <si>
    <t>KaвЂ™u Red Bourbon</t>
  </si>
  <si>
    <t>Kona Bloom</t>
  </si>
  <si>
    <t>Guatemala Retiro del Quisaya Washed Process</t>
  </si>
  <si>
    <t>Ethiopian Single Origin</t>
  </si>
  <si>
    <t>Colombia Finca Al Paraiso YвЂ“05 Lychee</t>
  </si>
  <si>
    <t>Medium</t>
  </si>
  <si>
    <t>Colombia Las Perlitas Anaerobic Honey</t>
  </si>
  <si>
    <t>Panama Altieri Luci Geisha Natural Cold Dry Ferment</t>
  </si>
  <si>
    <t>Costa Rica La Minita</t>
  </si>
  <si>
    <t>Ethiopia Guji Grape GildVine Natural G1</t>
  </si>
  <si>
    <t>Kenya Baragwi Guama AA Washed</t>
  </si>
  <si>
    <t>Potosi Pink Bourbon Natural Colombia</t>
  </si>
  <si>
    <t>Wilton Benitez Sudan Rume Colombia</t>
  </si>
  <si>
    <t>Kangocho Kenya</t>
  </si>
  <si>
    <t>La Esperanza Mandela</t>
  </si>
  <si>
    <t>Mexico Alva Flores</t>
  </si>
  <si>
    <t>Ethiopia Natural Sidama Blue Donkey Lot 2</t>
  </si>
  <si>
    <t>Trust the Process Costa Rica Finca Carrizal SL28 Black Diamond Natural</t>
  </si>
  <si>
    <t>Guatemala Washed Finca El General Gesha</t>
  </si>
  <si>
    <t>Guatemala Finca El General Bourbon Honey Espresso</t>
  </si>
  <si>
    <t>True Love Espresso Blend</t>
  </si>
  <si>
    <t>Colombia Sebastian Ramirez Washed Pink Bourbon</t>
  </si>
  <si>
    <t>Colombia Manos Juntas Anaerobic Natural</t>
  </si>
  <si>
    <t>Ecuador La Papaya Geisha Natural</t>
  </si>
  <si>
    <t>Yemen Al Obrah</t>
  </si>
  <si>
    <t>Kenya Embu</t>
  </si>
  <si>
    <t>Yemen Ismaili</t>
  </si>
  <si>
    <t>Guatemala Acatenango Geisha</t>
  </si>
  <si>
    <t>Ethiopia Bench-Maji Lucy Geisha Anaerobic Natural</t>
  </si>
  <si>
    <t>Wilton Benitez Colombia Yellow Bourbon</t>
  </si>
  <si>
    <t>Kona Tropical Punch Washed</t>
  </si>
  <si>
    <t>Granate</t>
  </si>
  <si>
    <t>Kenya Kirinyaga</t>
  </si>
  <si>
    <t>Costa Rica San Diego</t>
  </si>
  <si>
    <t>Costa Rica La Candelilla Geisha</t>
  </si>
  <si>
    <t>Ethiopia Agaro Duromina</t>
  </si>
  <si>
    <t>Panama Renaissance Series Flora Geisha Washed</t>
  </si>
  <si>
    <t>Colombia San Martin Bourbon Aji Star Fruit Peach Honey</t>
  </si>
  <si>
    <t>Taiwan COE #3 Alishan Zhou Zhu Yuan Geisha Natural</t>
  </si>
  <si>
    <t>Las Margaritas Colombia Sudan Rume Natural</t>
  </si>
  <si>
    <t>Yabitu Koba Ethiopia</t>
  </si>
  <si>
    <t>Pantan Musara Sumatra</t>
  </si>
  <si>
    <t>Ethiopia Yirgacheffe Misty Valley Aricha Washed G1</t>
  </si>
  <si>
    <t>Guatemala El Soccoro Maracaturra Washed</t>
  </si>
  <si>
    <t>Ethiopia Sidama Bensa Alo Single Variety 74158 Natural</t>
  </si>
  <si>
    <t>El Salvador Loma La Gloria Unicorn Natural</t>
  </si>
  <si>
    <t>Costa Rica Las Lajas SL-28 Natural</t>
  </si>
  <si>
    <t>Ethiopia Faysel Abdosh</t>
  </si>
  <si>
    <t>Kenya Kii</t>
  </si>
  <si>
    <t>Ethiopia Guji Bishala G1 Red Honey</t>
  </si>
  <si>
    <t>Ethiopia Sidama Bensa Shantawene Gatta Kenean Dukamo Anaerobic Natural G1</t>
  </si>
  <si>
    <t>Kenya Nyeri Hill AB</t>
  </si>
  <si>
    <t>Ethiopia Sidama  Bombe Natural</t>
  </si>
  <si>
    <t>Ethiopia Kayon Mountain</t>
  </si>
  <si>
    <t>Colombia Red Sunset</t>
  </si>
  <si>
    <t>Ethiopia Gesha Village Lot 108</t>
  </si>
  <si>
    <t>Panama Geisha Vuelta DRD Natural Lot GN-01</t>
  </si>
  <si>
    <t>Panama Kaizen Lot GW-01</t>
  </si>
  <si>
    <t>Kona Geisha Champagne Natural</t>
  </si>
  <si>
    <t>Ethiopia Nano Genji Lot #8</t>
  </si>
  <si>
    <t>Colombia Hacienda La Pradera Mokka</t>
  </si>
  <si>
    <t>La Piragua Pink Bourbon Colombia</t>
  </si>
  <si>
    <t>Kenya Baragwi Guama</t>
  </si>
  <si>
    <t>Ethiopia Washed Uraga More Floral Kurume Espresso</t>
  </si>
  <si>
    <t>Ethiopia Natural Sidama ALO Village FL</t>
  </si>
  <si>
    <t>Ethiopia Washed Sidama Bura Karamo 74158</t>
  </si>
  <si>
    <t>Ethiopia Natural Guji Hambella Wamena Buku G1</t>
  </si>
  <si>
    <t>Guatemala Naranjas Nadando</t>
  </si>
  <si>
    <t>Songstress Geisha</t>
  </si>
  <si>
    <t>Ethiopia Gesha Village Surma 1931 Mossto Anaerobic Honey</t>
  </si>
  <si>
    <t>Panama Bambito Estate Geisha</t>
  </si>
  <si>
    <t>Colombia Efren Echeverry</t>
  </si>
  <si>
    <t>Pueo Blend</t>
  </si>
  <si>
    <t>Unknown</t>
  </si>
  <si>
    <t>Wai Meli Morning</t>
  </si>
  <si>
    <t>Ayla Bombe Natural</t>
  </si>
  <si>
    <t>Wilton Benitez Striped Bourbon Colombia</t>
  </si>
  <si>
    <t>Buena Vista Pink Bourbon Colombia</t>
  </si>
  <si>
    <t>Yunlin Washed Geisha</t>
  </si>
  <si>
    <t>Ethiopia Banko Washed</t>
  </si>
  <si>
    <t>Colombia Villa Betulia CM Sidra</t>
  </si>
  <si>
    <t>Ethiopia Anaerobic Worka Sakaro</t>
  </si>
  <si>
    <t>Costa Rica Hacienda Sonora Natural Milenio</t>
  </si>
  <si>
    <t>Costa Rica Alma Negra Natural</t>
  </si>
  <si>
    <t>El Salvador Finca Santa Sofia Natural Kenya</t>
  </si>
  <si>
    <t>Colombia Aponte Honey</t>
  </si>
  <si>
    <t>Finca Huixoc Geisha</t>
  </si>
  <si>
    <t>Costa Rica Rivense Finca El Mango Honey Process</t>
  </si>
  <si>
    <t>El Salvador Unicorn</t>
  </si>
  <si>
    <t>Kenya Kiamwangi Factory AA TOP</t>
  </si>
  <si>
    <t>Ethiopia Sidama Bensa Hamasho Washed TOH#2</t>
  </si>
  <si>
    <t>Costa Rica Red Java Honey Finca Los Pinitos</t>
  </si>
  <si>
    <t>Costa Rica Finca El CaГ±al Double Diamond</t>
  </si>
  <si>
    <t>Honduras Roger Dominguez</t>
  </si>
  <si>
    <t>Ngurueri Kenya</t>
  </si>
  <si>
    <t>Cruz Loma Ecuador</t>
  </si>
  <si>
    <t>Colombia Monteblanco Nectar Citrullus Secret Stash</t>
  </si>
  <si>
    <t>Costa Rica La Laguna Lot Secret Stash</t>
  </si>
  <si>
    <t>Ballista Espresso</t>
  </si>
  <si>
    <t>Ethiopia Natural Lion 88</t>
  </si>
  <si>
    <t>Panama Lamastus Family Elida Estate Loma Geisha Washed</t>
  </si>
  <si>
    <t>Colombia El Paraiso Geisha Anti-Maceration</t>
  </si>
  <si>
    <t>Ethiopia Alo Chilaka Natural</t>
  </si>
  <si>
    <t>Panama Bambito Gesha</t>
  </si>
  <si>
    <t>Panama Geisha Vuelta DRD Natural</t>
  </si>
  <si>
    <t>Kona S12 Kaffa Washed</t>
  </si>
  <si>
    <t>Kona Geisha RosГ© Washed</t>
  </si>
  <si>
    <t>Colombia Cafe La Granja Pink Bourbon</t>
  </si>
  <si>
    <t>Colombia Cafe La Granja Sudan Rume Natural</t>
  </si>
  <si>
    <t>Panama Tierra Blanca C-5 Geisha Washed BOP-GW-05</t>
  </si>
  <si>
    <t>Kenya AA Kangiri New Irati</t>
  </si>
  <si>
    <t>Costa Rica Central Valley Honey Geisha</t>
  </si>
  <si>
    <t>Ethiopia Sidama Bombe G1 Washed</t>
  </si>
  <si>
    <t>Kenya AA Aries Return Espresso</t>
  </si>
  <si>
    <t>Kenya AllвЂ™s Well Peaberry Espresso</t>
  </si>
  <si>
    <t>Espresso No. 6 Finca San JosГ© OcaГ±a</t>
  </si>
  <si>
    <t>Kahiko Orange</t>
  </si>
  <si>
    <t>Kenya Washed Kiambu Yara Estate PB TOP</t>
  </si>
  <si>
    <t>Kona Orange</t>
  </si>
  <si>
    <t>Colombia Wilton Benitez Sudan Rume</t>
  </si>
  <si>
    <t>Ethiopia Washed Gute 74110 Lot JH</t>
  </si>
  <si>
    <t>Ethiopia Natural Sidama Bura Karamo 74158</t>
  </si>
  <si>
    <t>Taiwan Honey Alishan Ming Yang Yuan Gesha</t>
  </si>
  <si>
    <t>Kenya Washed Kiambu AB TOP Lot Yerihar</t>
  </si>
  <si>
    <t>Kenya Ibonia Estate</t>
  </si>
  <si>
    <t>Ethiopia Worka Sakaro</t>
  </si>
  <si>
    <t>Guatemala Washed Huehuetenango Joya Verde</t>
  </si>
  <si>
    <t>Ethiopia Washed Guji Uraga Tebe Burka</t>
  </si>
  <si>
    <t>Ethiopia Natural Sidama ALO Village SKY Project FL</t>
  </si>
  <si>
    <t>Taiwan Natural Alishan Chi Tsai Liu Li Ecological Farm</t>
  </si>
  <si>
    <t>Wilton Benitez SL28</t>
  </si>
  <si>
    <t>Kolla Bolcha #6 Ethiopia</t>
  </si>
  <si>
    <t>Bener Meriah Sumatra</t>
  </si>
  <si>
    <t>Yemen Haraaz</t>
  </si>
  <si>
    <t>Ethiopia Yirgacheffe Hama Honey</t>
  </si>
  <si>
    <t>Colombia Finca Santuario Red Bourbon Natural</t>
  </si>
  <si>
    <t>Ethiopia Yirgacheffe Gutiti Gargari Natural</t>
  </si>
  <si>
    <t>130 Blend</t>
  </si>
  <si>
    <t>Ethiopia Bench Maji Gori Gesha ORO Yeast Natural G1</t>
  </si>
  <si>
    <t>Fruits Melody</t>
  </si>
  <si>
    <t>Kenya Melwa AA Washed</t>
  </si>
  <si>
    <t>Colombia Wilton Benitez Thermal Shock Red Bourbon</t>
  </si>
  <si>
    <t>Panama Elida Estate Geisha Natural ASD T3D Auction Lot EG6</t>
  </si>
  <si>
    <t>El Salvador La Providencia Maria Pacas Bernadina Honey</t>
  </si>
  <si>
    <t>Colombia El Vergel Martha Montenegro Rubi Marti Anaerobic</t>
  </si>
  <si>
    <t>Ethiopia West Arsi Washed G1</t>
  </si>
  <si>
    <t>Ethiopia Washed Yirgacheffe Chelbesa SNNPR Gedeo G1</t>
  </si>
  <si>
    <t>Colombia Lulo Wonka Wonka &amp; Sebastian Gomez</t>
  </si>
  <si>
    <t>Colombia Finca La Reserva</t>
  </si>
  <si>
    <t>Ethiopia Washed Ayla Bombe</t>
  </si>
  <si>
    <t>Ethiopia Mr. Ocholo Bedecho</t>
  </si>
  <si>
    <t>Colombia Pink Champagne El Mirador Blend</t>
  </si>
  <si>
    <t>Guatemala El Injerto Malawi Geisha Washed</t>
  </si>
  <si>
    <t>Guatemala El Injerto Legendary Geisha Natural Lot E1-06</t>
  </si>
  <si>
    <t>Guatemala Washed Finca La Hermosa Gesha Peaberry</t>
  </si>
  <si>
    <t>Qunqana Ethiopia</t>
  </si>
  <si>
    <t>Finca La Reserva Colombia Gesha Honey</t>
  </si>
  <si>
    <t>Ethiopia Ayla Bombe</t>
  </si>
  <si>
    <t>Ethiopia Arbegona Yaye Washed</t>
  </si>
  <si>
    <t>Sumatra Putra Gayo Natural</t>
  </si>
  <si>
    <t>El Salvador Finca Plan del Hoyo Microlot</t>
  </si>
  <si>
    <t>Kenya Kichwa Tembo</t>
  </si>
  <si>
    <t>Ethiopia Sidama Alice Orchard Natural G1</t>
  </si>
  <si>
    <t>Colombia Fruit Loops Gesha Washed</t>
  </si>
  <si>
    <t>Kenya Gachatha AA Top</t>
  </si>
  <si>
    <t>Ethiopia Bench-Maji Lucy Station Geisha Washed</t>
  </si>
  <si>
    <t>Ethiopia Yirgacheffe Lalisa Black Honey TOH#2</t>
  </si>
  <si>
    <t>Panama Hacienda La Esmeralda Nano GIGANTE 4FC-N Geisha Washed</t>
  </si>
  <si>
    <t>Kenya Washed Kiambu AA</t>
  </si>
  <si>
    <t>Kenya Washed Kiambu Maganjo AA TOP</t>
  </si>
  <si>
    <t>Ethiopia Washed Yirgacheffe Botabaa Lot</t>
  </si>
  <si>
    <t>Ecuador Galo Morales</t>
  </si>
  <si>
    <t>Orange Bourbon Natural</t>
  </si>
  <si>
    <t>Ethiopia Yirgacheffe Huke Premium Washed G1</t>
  </si>
  <si>
    <t>Ethiopia Yirgacheffe Huke Premium Natural G1</t>
  </si>
  <si>
    <t>Colombia El Vergel #1</t>
  </si>
  <si>
    <t>Ethiopia Sidama Bensa</t>
  </si>
  <si>
    <t>Ethiopia Guji Rosechee Washed G1</t>
  </si>
  <si>
    <t>Ethiopia Bench-Maji Lucy Geisha</t>
  </si>
  <si>
    <t>Ethiopia Oromi Guji Hamela Wamena Tirtira Goyo Natural G1</t>
  </si>
  <si>
    <t>Acacia Hills Geisha</t>
  </si>
  <si>
    <t>Nsoga Iweyza Tanzania</t>
  </si>
  <si>
    <t>Wilton Benitez Java</t>
  </si>
  <si>
    <t>Ethiopia Guji Narcissus Washed G1</t>
  </si>
  <si>
    <t>Asobombo Colombia</t>
  </si>
  <si>
    <t>Panama Hacienda La Esmeralda Special Nano Geisha Gigante Washed Euphora Lot</t>
  </si>
  <si>
    <t>Costa Rica Las Lajas Black Diamond Bourbon</t>
  </si>
  <si>
    <t>Colombia Wilton Benitez Red Bourbon</t>
  </si>
  <si>
    <t>Colombia Wilton Benitez Yellow Bourbon</t>
  </si>
  <si>
    <t>Colombia Wilton Benitez Gesha Thermal Shock Wine Yeast</t>
  </si>
  <si>
    <t>Colombia Wilton Benitez Striped Bourbon Thermal Shock</t>
  </si>
  <si>
    <t>Ethiopia Mulish</t>
  </si>
  <si>
    <t>Ethiopia Gesha Village Oma Gesha 1931 Natural</t>
  </si>
  <si>
    <t>Ethiopia Djimma Limu Gummay Baby Geisha Washed</t>
  </si>
  <si>
    <t>Ethiopia Yirgacheffe Kochere Halo Hartume Washed G1</t>
  </si>
  <si>
    <t>Ethiopia Guji Bule Hambela TOH#1</t>
  </si>
  <si>
    <t>Ethiopia Natural Sidama Bensa Blue Donkey 24/1</t>
  </si>
  <si>
    <t>Peru Washed Los Santos Farm Gesha</t>
  </si>
  <si>
    <t>Peru Black Honey Los Santos Farm Gesha</t>
  </si>
  <si>
    <t>Nyeri Hill Kenya</t>
  </si>
  <si>
    <t>Colombia Tabi La Roca</t>
  </si>
  <si>
    <t>Ethiopia Sidama West Arsi Nansebo Natural G1</t>
  </si>
  <si>
    <t>Ethiopia Moonlight Delight Wine Process Natural</t>
  </si>
  <si>
    <t>Colombia Caldas Twilight Geisha Natural</t>
  </si>
  <si>
    <t>Wilton Benitez Orange Bourbon</t>
  </si>
  <si>
    <t>Costa Rica TarrazГє Tirra</t>
  </si>
  <si>
    <t>Kona Maragogype</t>
  </si>
  <si>
    <t>Ethiopia Natural Sidama Bensa Bombe</t>
  </si>
  <si>
    <t>Ethiopia Washed Bench Maji Baby Lucy Gesha</t>
  </si>
  <si>
    <t>Taiwan Natural Meishan Ching-Ye Farm Lot 0116</t>
  </si>
  <si>
    <t>Gesha Spirits</t>
  </si>
  <si>
    <t>Colombia El Jardin Anaerobic Natural</t>
  </si>
  <si>
    <t>Colombia Los Nogales Yellow Bourbon</t>
  </si>
  <si>
    <t>Ethiopia Chelba Natural</t>
  </si>
  <si>
    <t>Tanzania Karatu Acacia Hills Geisha Washed AB Espresso</t>
  </si>
  <si>
    <t>Las Margaritas Geisha Honey</t>
  </si>
  <si>
    <t>Colombia Papayo</t>
  </si>
  <si>
    <t>Las Margaritas Sudan Rume Natural</t>
  </si>
  <si>
    <t>Colombia Green Apple Castillo</t>
  </si>
  <si>
    <t>Colombia La Palma Y TucГЎn Heroes Series Geisha</t>
  </si>
  <si>
    <t>Ethiopia Sidamo Bensa Anaerobic Washed</t>
  </si>
  <si>
    <t>Ethiopia Sidama Orange Blossom Washed G1</t>
  </si>
  <si>
    <t>Ethiopia Washed Sidama Bensa Single Variety 74158</t>
  </si>
  <si>
    <t>Guatemala Bella Carmona</t>
  </si>
  <si>
    <t>Wilton Benitez Sidra</t>
  </si>
  <si>
    <t>Putra Gayo Sumatra</t>
  </si>
  <si>
    <t>Colombia JosГ© JuliГЎn Giraldo Pink Bourbon Panela Sticky</t>
  </si>
  <si>
    <t>Kenya Gatirima AA</t>
  </si>
  <si>
    <t>Kenya Washed Kirinyaga Getuya AA Top</t>
  </si>
  <si>
    <t>Ethiopia Natural Sidama Espresso</t>
  </si>
  <si>
    <t>Guatemala Honey Finca El General Gesha</t>
  </si>
  <si>
    <t>Ethiopia Natural Sidama Bacha 74110</t>
  </si>
  <si>
    <t>Ethiopia Yirgacheffe Adame G1 Washed 95</t>
  </si>
  <si>
    <t>Colombia Linarco Rodriguez Ospina Pink Bourbon Washed 94</t>
  </si>
  <si>
    <t>Ethiopia Guji Uraga Haro Adama Washed G1</t>
  </si>
  <si>
    <t>Colombia Edwin Enrique NoreГ±a / Black Honey Watermelon &amp; Lulo Co-Ferment</t>
  </si>
  <si>
    <t>Colombia Edwin Enrique NoreГ±a / Black Honey Pink Bourbon Mosto &amp; Passionfruit Co-Ferment</t>
  </si>
  <si>
    <t>Colombia Edwin Enrique NoreГ±a Pink Bourbon</t>
  </si>
  <si>
    <t>Rwanda Humure Abishyizehamwe Low-Oxygen Natural</t>
  </si>
  <si>
    <t>Candy Crush</t>
  </si>
  <si>
    <t>Panama Clara Finca Auromar</t>
  </si>
  <si>
    <t>Kona Geisha Peaberry Yeast Fermentation Washed</t>
  </si>
  <si>
    <t>Colombia Finca La Secreta Lychee Caturra Anaerobic</t>
  </si>
  <si>
    <t>Colombia Lychee Co-Ferment</t>
  </si>
  <si>
    <t>Reserve Costa Rica Don Noel SL28</t>
  </si>
  <si>
    <t>Ethiopia Rumadamo Anaerobic Washed</t>
  </si>
  <si>
    <t>Ethiopia Djimma Limu Gummay Baby Geisha G1 Washed</t>
  </si>
  <si>
    <t>La Papaya Pacamara Natural Ecuador</t>
  </si>
  <si>
    <t>Palo de Rosa Pink Bourbon Colombia</t>
  </si>
  <si>
    <t>Java Argopuro Mountain Natural SOE</t>
  </si>
  <si>
    <t>Rwanda Rambagirakawa</t>
  </si>
  <si>
    <t>Colombia Rigoberto Herrera Granja La Esperanza Hybrid Washed Gesha</t>
  </si>
  <si>
    <t>Colombia El Diviso</t>
  </si>
  <si>
    <t>Colombia Limited Release 2024</t>
  </si>
  <si>
    <t>Colombia Wilton Benitez Orange Bourbon</t>
  </si>
  <si>
    <t>Colombia Luna Azul</t>
  </si>
  <si>
    <t>Colombia Cauca Castillo K-01</t>
  </si>
  <si>
    <t>Ethiopia Sidama G4 Wamena Natural Espresso</t>
  </si>
  <si>
    <t>Colombia El Paraiso Lychee Rose</t>
  </si>
  <si>
    <t>Colombia Cauca Finca EI Paraiso 92 Pink Bourbon</t>
  </si>
  <si>
    <t>Kona Geisha Washed</t>
  </si>
  <si>
    <t>Karen J Kona Red Bourbon Anaerobic</t>
  </si>
  <si>
    <t>Ethiopia Yirgacheffe Chelchele Washed G1</t>
  </si>
  <si>
    <t>Kenya Nyeri Hill</t>
  </si>
  <si>
    <t>Colombia Wilder Lasso Geisha Lot 2 Anaerobic Washed</t>
  </si>
  <si>
    <t>Dragon Strong Espresso</t>
  </si>
  <si>
    <t>Ethiopia Sidama Bombe Tadisa</t>
  </si>
  <si>
    <t>Riripa Ethiopia</t>
  </si>
  <si>
    <t>Ethiopia Washed Guji Uraga Haro Adama</t>
  </si>
  <si>
    <t>Ethiopia Washed Kaffa Lot Rich Espresso</t>
  </si>
  <si>
    <t>Ethiopia Washed Kaffa Lot Taco</t>
  </si>
  <si>
    <t>Ethiopia Natural Sidama Karamo Niguse Gemeda 74158</t>
  </si>
  <si>
    <t>Rainy Season in Fort Zeelandia Espresso Blend</t>
  </si>
  <si>
    <t>Kenya Nyeri Kianjogu AA TOP Washed</t>
  </si>
  <si>
    <t>Colombia La Esperanza Red Bourbon</t>
  </si>
  <si>
    <t>Guatemala Finca Al Bosque</t>
  </si>
  <si>
    <t>Marcela Gesha Espresso</t>
  </si>
  <si>
    <t>Colombia Paraiso 92 Double Anaerobic</t>
  </si>
  <si>
    <t>Colombia Sierra Morena Pink Bourbon</t>
  </si>
  <si>
    <t>Ethiopia Growers Reserve Gesha Village Gaylee Special Fermentation</t>
  </si>
  <si>
    <t>Ethiopia Anaerobic Washed G1 Wild Rose S.O. Sidamo</t>
  </si>
  <si>
    <t>Colombia Buenavista Ataraxia Geisha</t>
  </si>
  <si>
    <t>Kona Espresso Special Selection</t>
  </si>
  <si>
    <t>El Salvador Finca Loma La Gloria Natural Process вЂњUnicorn LotвЂќ</t>
  </si>
  <si>
    <t>Colombia El Diviso Nestor Lasso Sidra Anaerobic Washed</t>
  </si>
  <si>
    <t>Colombia Red Fruits Campo Hermosa Edwin NoreГ±a</t>
  </si>
  <si>
    <t>Juru Rwanda Rulindo Red Bourbon Honey</t>
  </si>
  <si>
    <t>Colombia Granja Paraiso-92 Castillo</t>
  </si>
  <si>
    <t>Ethiopia Dame Dabaye</t>
  </si>
  <si>
    <t>Colombia Red Honey Geisha Campo Hermoso</t>
  </si>
  <si>
    <t>Ethiopia Sidama Karamo Anaerobic Natural</t>
  </si>
  <si>
    <t>Colombia Chiroso Caturra Washed</t>
  </si>
  <si>
    <t>Kona SL 34 Anaerobic Washed Kona Rainforest</t>
  </si>
  <si>
    <t>Colombia Yellow Geisha Granja Paraiso 92</t>
  </si>
  <si>
    <t>Yaye Chericho Ethiopia Espresso</t>
  </si>
  <si>
    <t>Colombia ChachagГјГ­ Mild Roast</t>
  </si>
  <si>
    <t>Colombia Thermal Shock Double Anaerobic Granja Paraiso Orange Gesha</t>
  </si>
  <si>
    <t>Kenya Nyeri Hill Estate AA Top Espresso</t>
  </si>
  <si>
    <t>Colombia Granja Paraiso 92 Anaerobic Gesha</t>
  </si>
  <si>
    <t>Putra Gayo Sumatra Espresso</t>
  </si>
  <si>
    <t>Colombia Paraiso 92 Geisha Double Anaerobic</t>
  </si>
  <si>
    <t>Kenya Blackberry Honey</t>
  </si>
  <si>
    <t>Ethiopia Sidamo HeidenrГ¶slein Anaerobic Washed G1</t>
  </si>
  <si>
    <t>Kenya Gachika</t>
  </si>
  <si>
    <t>Hey Much Espresso Blend</t>
  </si>
  <si>
    <t>Ethiopia Black Honey Guji Wate Lot Tabby</t>
  </si>
  <si>
    <t>Finca Vista Hermosa EdwinвЂ™s Reserve Guatemala</t>
  </si>
  <si>
    <t>Costa Rica Las Lajas Perla Negra</t>
  </si>
  <si>
    <t>Kenya AA Top Gicherori Espresso</t>
  </si>
  <si>
    <t>Kagunyu Kenya</t>
  </si>
  <si>
    <t>Colombia Finca Milan Washed Nitro Caturra</t>
  </si>
  <si>
    <t>Ethiopia JemJem</t>
  </si>
  <si>
    <t>Guatemala La Esperanza Anaerobic</t>
  </si>
  <si>
    <t>Sumatra Pantan Musara</t>
  </si>
  <si>
    <t>Costa Rica Candelilla Gesha</t>
  </si>
  <si>
    <t>Kona Red Bourbon Anaerobic Washed Kona Rainforest</t>
  </si>
  <si>
    <t>Colombia Geisha Claudia Samboni</t>
  </si>
  <si>
    <t>Ethiopia Ethiopia Limu Baby Geisha Natural</t>
  </si>
  <si>
    <t>Panama Hacienda La Esmeralda Ethiopian Accessions</t>
  </si>
  <si>
    <t>Yellow</t>
  </si>
  <si>
    <t>Kona Noir</t>
  </si>
  <si>
    <t>LauraвЂ™s Reserve SL34</t>
  </si>
  <si>
    <t>Panama Mokkita Natural Mama Cata Estate</t>
  </si>
  <si>
    <t>KaвЂЕ« Cloud Maragogipe</t>
  </si>
  <si>
    <t>Geisha Champagne</t>
  </si>
  <si>
    <t>JN Farms Double Anaerobic Red Bourbon</t>
  </si>
  <si>
    <t>KaвЂЕ« Classic Peaberry</t>
  </si>
  <si>
    <t>100% Kona Typica</t>
  </si>
  <si>
    <t>Colombia 510 Elegante Natural Geisha</t>
  </si>
  <si>
    <t>Colombia Turron</t>
  </si>
  <si>
    <t>Black Geisha Blend Lab 18 Espresso</t>
  </si>
  <si>
    <t>Ethiopia Layo Teraga</t>
  </si>
  <si>
    <t>Ethiopia Reko Yirgacheffe</t>
  </si>
  <si>
    <t>Colombia Huila El Diviso Nestor Lasso Geisha Washed</t>
  </si>
  <si>
    <t>Ethiopia Bensa Bombe</t>
  </si>
  <si>
    <t>Colombia  NariГ±o Villa Maria La Chorrera Geisha Washed</t>
  </si>
  <si>
    <t>Kenya Kirinyaga County Gikirima Factory TOP PB</t>
  </si>
  <si>
    <t>Colombia Huila Finca Buena Vista Geisha Washed</t>
  </si>
  <si>
    <t>Ethiopia Natural Guji Blue Donkey 23/02</t>
  </si>
  <si>
    <t>Ethiopia Natural Sidama Arbegona Bochessa</t>
  </si>
  <si>
    <t>Peru Natural Villa Rica Espresso</t>
  </si>
  <si>
    <t>Costa Rica TIM Washed Don Eli Catuai</t>
  </si>
  <si>
    <t>Ethiopia Natural Sidama Twakok Pearl Selection</t>
  </si>
  <si>
    <t>Kenya Washed Uklili AA</t>
  </si>
  <si>
    <t>Peach-C Blend</t>
  </si>
  <si>
    <t>Colombia Jaime Lopez</t>
  </si>
  <si>
    <t>Cordillera de Fuego Costa Rica</t>
  </si>
  <si>
    <t>Ethiopia Guji 74110 Natural</t>
  </si>
  <si>
    <t>Good Tidings Sweet Holiday Blend</t>
  </si>
  <si>
    <t>Kona Mokka Champagne Natural</t>
  </si>
  <si>
    <t>Ethiopia Banko Gotiti</t>
  </si>
  <si>
    <t>O-Li-A Geisha Blend</t>
  </si>
  <si>
    <t>Colombia Huila El Triunfo Pink Bourbon Anaerobic Washed</t>
  </si>
  <si>
    <t>Costa Rica VolcГЎn Azul Gesha Anaerobic Natural</t>
  </si>
  <si>
    <t>Chang-E The Moon Goddess Espresso</t>
  </si>
  <si>
    <t>GW03 Princesa Carmen Geisha</t>
  </si>
  <si>
    <t>El Salvador Finca Loma La Gloria Yellow Honey</t>
  </si>
  <si>
    <t>Costa Rica La Laguna Lot вЂ” Reserve Series</t>
  </si>
  <si>
    <t>Rwanda Silverback Plus Espresso</t>
  </si>
  <si>
    <t>Colombia El Paraiso Geisha Luna Washed</t>
  </si>
  <si>
    <t>Kona PointuВ®</t>
  </si>
  <si>
    <t>Colombia Calderon Honey</t>
  </si>
  <si>
    <t>Karen J Kona Red Bourbon</t>
  </si>
  <si>
    <t>Wilton Benitez Colombia Sidra</t>
  </si>
  <si>
    <t>Peru Gilmer Cordova #13</t>
  </si>
  <si>
    <t>Kenya Gichathaini</t>
  </si>
  <si>
    <t>Colombia Honey Sweet Rose</t>
  </si>
  <si>
    <t>Colombia Santa Monica Castillo Honey Lulo</t>
  </si>
  <si>
    <t>Colombia Las Flores Red Bourbon Natural</t>
  </si>
  <si>
    <t>African Dance Espresso Blend</t>
  </si>
  <si>
    <t>Sweetheart Blend Espresso</t>
  </si>
  <si>
    <t>Kenya AA Kiri</t>
  </si>
  <si>
    <t>Guatemala Gesha</t>
  </si>
  <si>
    <t>Gesha Village Ethiopia Gori Gesha</t>
  </si>
  <si>
    <t>Kenya Machakos AA Top Washed</t>
  </si>
  <si>
    <t>Indonesia Sumatra Raja Harimau Lintong Mandheling Espresso</t>
  </si>
  <si>
    <t>Ethiopia Washed Guji Bishala 23/02</t>
  </si>
  <si>
    <t>Guatemala Washed Huehuetenango Joya Verde Espresso</t>
  </si>
  <si>
    <t>Ethiopia Red Honey Guji Uraga Tabe Haro Wachu</t>
  </si>
  <si>
    <t>Ethiopia Natural Sidama Bare Tamiru</t>
  </si>
  <si>
    <t>Colombia Wilton Benitez Thermal Shock Geisha</t>
  </si>
  <si>
    <t>Colombia Tolima Genius</t>
  </si>
  <si>
    <t>Colombia Wilton Benitez Thermal Shock Caturra</t>
  </si>
  <si>
    <t>Ethiopia Natural Yirgacheffe Koke Shalaye Abraham Mengiste</t>
  </si>
  <si>
    <t>Kenya AA TOP Gicherori</t>
  </si>
  <si>
    <t>Panama Carmen Geisha Washed Light Roast</t>
  </si>
  <si>
    <t>Mexico Los Aguacates</t>
  </si>
  <si>
    <t>Ethiopia Arbegona Natural 74158</t>
  </si>
  <si>
    <t>Guatemala Nueva Granda Washed Laurina</t>
  </si>
  <si>
    <t>Ethiopia Shantawene Washed</t>
  </si>
  <si>
    <t>Kona MoccaВ®</t>
  </si>
  <si>
    <t>Ethiopia Worka Sakaro Anaerobic Natural</t>
  </si>
  <si>
    <t>Colombia Finca Chambaku</t>
  </si>
  <si>
    <t>Colombia La Siria Gesha</t>
  </si>
  <si>
    <t>KaвЂЕ« Yellow Caturra Peaberry</t>
  </si>
  <si>
    <t>Ethiopia Guji Hambela Tirtira Goyo Natural</t>
  </si>
  <si>
    <t>Ethiopia Guji Euphora Special Honey Lot</t>
  </si>
  <si>
    <t>Ichamama Kenya</t>
  </si>
  <si>
    <t>La Candelilla Geisha Natural Costa Rica</t>
  </si>
  <si>
    <t>El Lechero Peru</t>
  </si>
  <si>
    <t>Colombia El Roble Natural Carbonic Java</t>
  </si>
  <si>
    <t>Colombia Nestor Lasso Sidra</t>
  </si>
  <si>
    <t>Colombia Yeast Anaerobic Washed Las Flores Bourbon Sidra</t>
  </si>
  <si>
    <t>Ecuador Cruz Loma Sidra Anaerobic Euphora Special Lot</t>
  </si>
  <si>
    <t>Colombia El Roble Chiroso Washed</t>
  </si>
  <si>
    <t>Guatemala El Injerto SL28</t>
  </si>
  <si>
    <t>HWC Holy Melody Espresso Blend</t>
  </si>
  <si>
    <t>Panama Bambito Estate Geisha Anaerobic Natural</t>
  </si>
  <si>
    <t>Ethiopia Natural Sidama 74158</t>
  </si>
  <si>
    <t>Mr. DoddвЂ™s TeaTime Blend</t>
  </si>
  <si>
    <t>Colombia Double Anaerobic Washed Los Nogales Yellow Bourbon</t>
  </si>
  <si>
    <t>Colombia El Chaferote Pink Bourbon</t>
  </si>
  <si>
    <t>Guatemala El Injerto Ethiopia Landrace Natural</t>
  </si>
  <si>
    <t>Holiday Coffee</t>
  </si>
  <si>
    <t>Kenya Muthua-Ini AB</t>
  </si>
  <si>
    <t>Kenya Gichuka AA</t>
  </si>
  <si>
    <t>Colombia Chili Bourbon</t>
  </si>
  <si>
    <t>Chelbessa Ethiopia</t>
  </si>
  <si>
    <t>Ethiopia Yirgacheffe Gedeb Chelbesa Natural</t>
  </si>
  <si>
    <t>Tirra Natural Costa Rica</t>
  </si>
  <si>
    <t>Colombia Huila Espiritu Blanc Geisha Semi-Washed Anaerobic</t>
  </si>
  <si>
    <t>Costa Rica San Ramon Yeast Washed</t>
  </si>
  <si>
    <t>HawaiвЂ™i Island Blend Espresso</t>
  </si>
  <si>
    <t>Kenya Washed Kiambu Windrush AA</t>
  </si>
  <si>
    <t>Guatemala El Amate Maragogype</t>
  </si>
  <si>
    <t>Ethiopia Natural Guji Blue Donkey 23</t>
  </si>
  <si>
    <t>Ethiopia Natural Yirgacheffe Worka Nenke Abraham Mengiste</t>
  </si>
  <si>
    <t>Ethiopia Koke</t>
  </si>
  <si>
    <t>Panama Florsa 100 Geisha FW 1600+</t>
  </si>
  <si>
    <t>Ethiopia Bench Maji Gesha Winey Natural G1</t>
  </si>
  <si>
    <t>Panama Hacienda La Esmeralda Geisha Natural</t>
  </si>
  <si>
    <t>Panama Hacienda La Esmeralda Geisha Washed</t>
  </si>
  <si>
    <t>Grand Champion Red Bourbon Natural</t>
  </si>
  <si>
    <t>Sumatra Lintong Kardon</t>
  </si>
  <si>
    <t>Panama Finca Don Julian Geisha Washed</t>
  </si>
  <si>
    <t>Colombia Finca La Roca</t>
  </si>
  <si>
    <t>Ethiopia YirgZ</t>
  </si>
  <si>
    <t>Colombia Patio Bonita</t>
  </si>
  <si>
    <t>Ethiopia Yirgacheffe Farmgate</t>
  </si>
  <si>
    <t>Promise of Spring</t>
  </si>
  <si>
    <t>Ethiopia Gesha Rebecca Natural</t>
  </si>
  <si>
    <t>Colombia Finca El ParaГ­so Geisha Sake</t>
  </si>
  <si>
    <t>Tanzania Nyasi Furaha</t>
  </si>
  <si>
    <t>Kenya Nyeri Gatuya Factory AA Top</t>
  </si>
  <si>
    <t>Costa Rica Tarrazu Double Anaerobic Washed</t>
  </si>
  <si>
    <t>Wilton Benitez Pink Bourbon Colombia</t>
  </si>
  <si>
    <t>Costa Rica Las Lajas SL28 Natural</t>
  </si>
  <si>
    <t>Nano Genji #12 Ethiopia</t>
  </si>
  <si>
    <t>Panama HWC Coffee Estate Washed</t>
  </si>
  <si>
    <t>Colombia Fruit Maceration Series Lulo Bear</t>
  </si>
  <si>
    <t>Colombia Huila Charlotte Geisha Washed</t>
  </si>
  <si>
    <t>Colombia Wilton Benitez Double Anaerobic Thermal Shock Yellow Gesha</t>
  </si>
  <si>
    <t>More Floral</t>
  </si>
  <si>
    <t>Yemen Al Kawlah Special Reserve Natural</t>
  </si>
  <si>
    <t>Kona K7</t>
  </si>
  <si>
    <t>Ecuador La Josefina Estate</t>
  </si>
  <si>
    <t>Ethiopia Kafa Natural</t>
  </si>
  <si>
    <t>El Salvador Bourbon Semi-Washed</t>
  </si>
  <si>
    <t>Bale Mountain Natural Ethiopia</t>
  </si>
  <si>
    <t>Ethiopia Sidama Arbegona 74158 Washed</t>
  </si>
  <si>
    <t>La Papaya Ecuador Geisha Natural</t>
  </si>
  <si>
    <t>Colombia Tolima Finca El Vergel Rebel Geisha</t>
  </si>
  <si>
    <t>Colombia Buenos Aires Honey Process-Yellow Velvet Peach</t>
  </si>
  <si>
    <t>Encounter of Summer</t>
  </si>
  <si>
    <t>Medium Dark</t>
  </si>
  <si>
    <t>SL34 Dark Roast</t>
  </si>
  <si>
    <t>Ethiopia Bench Maji Geisha Lucy Station Dark Roast</t>
  </si>
  <si>
    <t>Kenya AB Athena Plus</t>
  </si>
  <si>
    <t>Dark</t>
  </si>
  <si>
    <t>Kenya Muranga</t>
  </si>
  <si>
    <t>Costa Rica Turrialba Volcano Honey Process</t>
  </si>
  <si>
    <t>Colombia Huila Finca El Triunfo Martha ZuГ±iga Pink Bourbon</t>
  </si>
  <si>
    <t>Kenya Kanwangi AA</t>
  </si>
  <si>
    <t>Ethiopia Bench Maji Geisha Lucy Station</t>
  </si>
  <si>
    <t>Ecuador PeГ±aherrera AAA</t>
  </si>
  <si>
    <t>HWC Geisha Plus Geisha Black Espresso</t>
  </si>
  <si>
    <t>Ethiopia Yirgacheffe Jade Lotus</t>
  </si>
  <si>
    <t>Blue Sunda Estate Java</t>
  </si>
  <si>
    <t>La Papaya Natural Ecuador</t>
  </si>
  <si>
    <t>Wilton Benitez Tabi VIP Colombia</t>
  </si>
  <si>
    <t>El Mango Peru</t>
  </si>
  <si>
    <t>Banko Gotiti Ethiopia</t>
  </si>
  <si>
    <t>El Morito Guatemala</t>
  </si>
  <si>
    <t>Giakanja Kenya</t>
  </si>
  <si>
    <t>Ethiopia Basha Bekele</t>
  </si>
  <si>
    <t>Colombia Luz Helena Salazar Wine Yeast Grape Honey</t>
  </si>
  <si>
    <t>KaвЂЕ« Malolactic Natural</t>
  </si>
  <si>
    <t>Jade Rabbit Espresso Blend</t>
  </si>
  <si>
    <t>Colombia Finca Paraiso Gesha Wilton Benitez</t>
  </si>
  <si>
    <t>Colombia Finca La EspaГ±a Gesha</t>
  </si>
  <si>
    <t>Colombia Huila La Esperanza Pink Bourbon Honey</t>
  </si>
  <si>
    <t>Ethiopia Halo Beriti Single-Origin Espresso</t>
  </si>
  <si>
    <t>Ethiopia Gora Kone</t>
  </si>
  <si>
    <t>Ecuador Finca Lugmapata</t>
  </si>
  <si>
    <t>Costa Rica Raisin Honey</t>
  </si>
  <si>
    <t>Quindio Gold Honey Colombia</t>
  </si>
  <si>
    <t>Organic Peru San Fernando Tres Fincas Gesha</t>
  </si>
  <si>
    <t>Kenya Washed Kiambu Gititu AB Top</t>
  </si>
  <si>
    <t>Ethiopia Natural Guji Dasaya</t>
  </si>
  <si>
    <t>Kona Classic</t>
  </si>
  <si>
    <t>HawaiвЂ™i KaвЂЕ« Champagne Natural</t>
  </si>
  <si>
    <t>Ethiopia Sidamo Rumudamo Premium</t>
  </si>
  <si>
    <t>Yemen Natural Hamoud Abdullah AL-Khisheni</t>
  </si>
  <si>
    <t>Guatemala Acatenango Gesha</t>
  </si>
  <si>
    <t>Kenya Gatomboya</t>
  </si>
  <si>
    <t>Ethiopia Guji</t>
  </si>
  <si>
    <t>Burundi Nemba Washed Process</t>
  </si>
  <si>
    <t>Worka Sakaro Ethiopia</t>
  </si>
  <si>
    <t>Teremuka Peaberry Kenya</t>
  </si>
  <si>
    <t>Teremuka Kenya</t>
  </si>
  <si>
    <t>El Salvador La Muela Pacamara</t>
  </si>
  <si>
    <t>Colombia Finca Juan Martin Aced Sidra</t>
  </si>
  <si>
    <t>Guatemala Natural Santa Felisa Gesha SF-04 95</t>
  </si>
  <si>
    <t>Colombia Red Bomb</t>
  </si>
  <si>
    <t>Ethiopia 2022 COE #3 Washed Temam 74110</t>
  </si>
  <si>
    <t>Espresso Giusto</t>
  </si>
  <si>
    <t>Golden Parrot Blend Espresso</t>
  </si>
  <si>
    <t>Galaxy Gesha Quindio Colombia Edwin NoreГ±a</t>
  </si>
  <si>
    <t>KaвЂЕ« JN Farms Malolactic Honey</t>
  </si>
  <si>
    <t>Colombia Finca El Paraiso Rose Tea</t>
  </si>
  <si>
    <t>Colombia Monteblanco Rodrigo Sanchez Carbonic Maceration</t>
  </si>
  <si>
    <t>Colombia Cauca Granja Paraiso 92 вЂ“ Pink Bourbon</t>
  </si>
  <si>
    <t>Ethiopia Gatta Anaerobic</t>
  </si>
  <si>
    <t>Colombia Osmanthus Bouquet Granja Paraiso 92</t>
  </si>
  <si>
    <t>Colombia Granja ParaГ­so-92- Papayo KЕЌji</t>
  </si>
  <si>
    <t>Ethiopia Dinkalem Ademe Wush Wush</t>
  </si>
  <si>
    <t>Colombia Pink Bourbon</t>
  </si>
  <si>
    <t>Kenya Kiambu Mandela Estate AA Washed Process</t>
  </si>
  <si>
    <t>Costa Rica VolcГЎn Azul Geisha Yeast-Washed</t>
  </si>
  <si>
    <t>Ethiopia Yirgacheffe Adame G1 Natural</t>
  </si>
  <si>
    <t>Guatemala Retiro del Quisaya Natural Process</t>
  </si>
  <si>
    <t>Colombia Geiner Montano</t>
  </si>
  <si>
    <t>Kabiufa Papua New Guinea</t>
  </si>
  <si>
    <t>KaвЂu Red Catuai Peaberry</t>
  </si>
  <si>
    <t>Panama Finca Las Nubes Geisha Microlot</t>
  </si>
  <si>
    <t>Guatemala El Milagro Bourbon Especial</t>
  </si>
  <si>
    <t>Costa Rica William Mora</t>
  </si>
  <si>
    <t>Ethiopia Duromina Agaro Gera</t>
  </si>
  <si>
    <t>Winter 2022 Allocation Colombia</t>
  </si>
  <si>
    <t>El Salvador 2022 COE#17 El Mirador Washed Gesha</t>
  </si>
  <si>
    <t>Panama ABU Washed Gesha Lot GW57</t>
  </si>
  <si>
    <t>Guatemala Natural El General Bistro Lot Espresso</t>
  </si>
  <si>
    <t>Ethiopia 2022 COE#25 Natural Tadesse 74112</t>
  </si>
  <si>
    <t>Ethiopia Washed Sidama Rumudamo</t>
  </si>
  <si>
    <t>Lemon Sugar Wash</t>
  </si>
  <si>
    <t>Kenya Kiambu AA</t>
  </si>
  <si>
    <t>Colombia Geisha Allium</t>
  </si>
  <si>
    <t>Kayon Mountain Ethiopia</t>
  </si>
  <si>
    <t>Ethiopia Kochere Arefasa Washed G1</t>
  </si>
  <si>
    <t>Colombia Granja ParaГ­so Java P14</t>
  </si>
  <si>
    <t>El Salvador Finca El Retiro Sudan Rume Natural</t>
  </si>
  <si>
    <t>Ethiopia Hayissa Olocho Lot 6</t>
  </si>
  <si>
    <t>Ethiopia COE #8 Sidama Arbegona Muluneh Tute Galcho 74158 Natural</t>
  </si>
  <si>
    <t>KaвЂ™u Tropical Punch</t>
  </si>
  <si>
    <t>Ethiopia Gesha Village Illubabor Forest Lot 22/043 (Single-Terroir) Natural Process</t>
  </si>
  <si>
    <t>Ethiopia Gera Genji Challa</t>
  </si>
  <si>
    <t>Kenya Gotomboya Peaberry</t>
  </si>
  <si>
    <t>Panama Hartmann Estate Chicho Gallo Amaro Gayo Natural BOP#1</t>
  </si>
  <si>
    <t>Kenya Ichamama</t>
  </si>
  <si>
    <t>Ethiopia Uchoro Nansebo Washed</t>
  </si>
  <si>
    <t>Nekisse Phantom Roasting</t>
  </si>
  <si>
    <t>Colombia Finca Samboni Gesha Anaerobic Natural</t>
  </si>
  <si>
    <t>Kambera Inari Roasting</t>
  </si>
  <si>
    <t>Colombia Don Correa Gesha</t>
  </si>
  <si>
    <t>Ethiopia BergWu Maker Series Yirgacheffe Wuri G1 Lot MW21/02</t>
  </si>
  <si>
    <t>Mexico Finca Santa Cruz COE#1b</t>
  </si>
  <si>
    <t>Colombia Cerro Azul Geisha</t>
  </si>
  <si>
    <t>Yirgacheffe Mengesha Natural</t>
  </si>
  <si>
    <t>Panama Geisha Finca Debra Symbiosis</t>
  </si>
  <si>
    <t>Panama Geisha Finca Debra Echo</t>
  </si>
  <si>
    <t>Ethiopia Hamasho Washed</t>
  </si>
  <si>
    <t>Ethiopia Idido Anaerobic Natural</t>
  </si>
  <si>
    <t>Mexico Cup of Excellence #7</t>
  </si>
  <si>
    <t>Double-Anaerobic Fermentation Tamiru Tadesse</t>
  </si>
  <si>
    <t>Ethiopia Chelbesa Danche Yirgacheffe</t>
  </si>
  <si>
    <t>Ethiopia Honey Process Tamiru Tadesse</t>
  </si>
  <si>
    <t>Ethiopia Halo Beriti</t>
  </si>
  <si>
    <t>Narsha Gesha</t>
  </si>
  <si>
    <t>Ethiopia Washed Guji Uraga Welichu</t>
  </si>
  <si>
    <t>Don Roger &amp; IsabelвЂ™s Natural Fruit Symphony</t>
  </si>
  <si>
    <t>Kenya Gitare AA TOP</t>
  </si>
  <si>
    <t>Yemen Natural SanaвЂ™a Manakhah JaвЂ™adi</t>
  </si>
  <si>
    <t>Ethiopia Bench Maji Gesha Special Natural Lot 03</t>
  </si>
  <si>
    <t>Ethiopia Yirgacheffe Kochere Debo Premium Lot Washed Process</t>
  </si>
  <si>
    <t>Ethiopia Natural Yirgacheffe Burtukaana Danche</t>
  </si>
  <si>
    <t>Ethiopia Hateso Guji Washed</t>
  </si>
  <si>
    <t>Guatemala El Injerto Pacamara</t>
  </si>
  <si>
    <t>Colombia Tres Dragones</t>
  </si>
  <si>
    <t>Rwanda Cyesha Natural</t>
  </si>
  <si>
    <t>Espresso No. 3</t>
  </si>
  <si>
    <t>Finca Santa Isabel</t>
  </si>
  <si>
    <t>Colombia Castillo Fruit Maceration Series (Passionfruit)</t>
  </si>
  <si>
    <t>Colombia Castillo Fruit Maceration Series (Strawberry)</t>
  </si>
  <si>
    <t>Colombia Castillo Fruit Maceration Series (Peach)</t>
  </si>
  <si>
    <t>Full Moon Espresso</t>
  </si>
  <si>
    <t>Ethiopia Sidama Tamiru Tadesse Anaerobic Natural Special Auction Lot</t>
  </si>
  <si>
    <t>Colombia La Esperanza 100% Geisha Hanashaku</t>
  </si>
  <si>
    <t>Kona Extra Fancy</t>
  </si>
  <si>
    <t>Ecuador COE 1st place Arashi Typica Mejorado Washed</t>
  </si>
  <si>
    <t>Ethiopia Getu Kurume Natural</t>
  </si>
  <si>
    <t>Fruit of the Goddess Espresso Blend</t>
  </si>
  <si>
    <t>Papua New Guinea Wahgi Valley Sigri Estate Peaberry</t>
  </si>
  <si>
    <t>Kenya Nyeri Asali Peaberry</t>
  </si>
  <si>
    <t>Memories of Autumn</t>
  </si>
  <si>
    <t>Ethiopia Gera Estate Anaerobic Natural</t>
  </si>
  <si>
    <t>Colombia Cauca Finca El Paraiso Double-Anaerobic Flor Lychee</t>
  </si>
  <si>
    <t>Costa Rica Cerro Dragon Geisha Honey</t>
  </si>
  <si>
    <t>Guatemala Washed El Injerto EI05 Mocca</t>
  </si>
  <si>
    <t>Taiwan Natural Alishan Zhuo-Wu Geisha</t>
  </si>
  <si>
    <t>Ethiopia Natural Guji Uraga Tome 74110 Lot K06</t>
  </si>
  <si>
    <t>Kenya Gathaithi AA</t>
  </si>
  <si>
    <t>Ethiopia Guji Uraga Tobutu Tuta G1 Experimental LOT 181NA2021</t>
  </si>
  <si>
    <t>Colombia Jardines del Eden Pink Bourbon Wine Yeast Honey</t>
  </si>
  <si>
    <t>Colombia Cerro Azul Enano</t>
  </si>
  <si>
    <t>Peru Incahuasi</t>
  </si>
  <si>
    <t>Reina de la Asuncion Ecuador</t>
  </si>
  <si>
    <t>Ethiopia Guji Uraga More Floral Kudume Washed</t>
  </si>
  <si>
    <t>Ethiopia Guji Uraga More Floral Kudume Natural</t>
  </si>
  <si>
    <t>Kenya AA TOP Nairobi Rose</t>
  </si>
  <si>
    <t>Kahiko</t>
  </si>
  <si>
    <t>Kenya Ndumberi Peaberry</t>
  </si>
  <si>
    <t>Taiwan Alishan Espresso Pacamara Natural</t>
  </si>
  <si>
    <t>Ethiopia Gera Reserve Anaerobic Natural</t>
  </si>
  <si>
    <t>Kenya Ngaita Peaberry</t>
  </si>
  <si>
    <t>Kenya AB</t>
  </si>
  <si>
    <t>Kona Red Bourbon</t>
  </si>
  <si>
    <t>Kenya Washed Nyeri Hill Farm AA Top</t>
  </si>
  <si>
    <t>Ethiopia Nano Genji</t>
  </si>
  <si>
    <t>Ethiopia Natural Sidama Abebe 74110</t>
  </si>
  <si>
    <t>Ethiopia Natural Guji TAMIRU 74158 Kakalove Lot</t>
  </si>
  <si>
    <t>Rwanda Sholi Natural Single-Origin Espresso</t>
  </si>
  <si>
    <t>Guatemala Washed Finca El General Lot SummerEnd Espresso</t>
  </si>
  <si>
    <t>Guatemala Washed Acatenango Finca El General Pacamara Espresso</t>
  </si>
  <si>
    <t>Finca Cerro Azul Aces Lot</t>
  </si>
  <si>
    <t>Gachatha Kenya</t>
  </si>
  <si>
    <t>Geisha Spirit</t>
  </si>
  <si>
    <t>Colombia Sudan Rume</t>
  </si>
  <si>
    <t>El Duende Peru</t>
  </si>
  <si>
    <t>Ethiopia Yirgacheffe G1 Idido Natural</t>
  </si>
  <si>
    <t>Colombia Pink Bourbon Filadelfia</t>
  </si>
  <si>
    <t>Colombia Geisha</t>
  </si>
  <si>
    <t>Colombia Don Ruiz Anaerobic</t>
  </si>
  <si>
    <t>Colombia FUDAM NariГ±o</t>
  </si>
  <si>
    <t>Ethiopia Durato Bombe</t>
  </si>
  <si>
    <t>Sumatra Takengon Gayo Natural</t>
  </si>
  <si>
    <t>Nano Genji #7</t>
  </si>
  <si>
    <t>Panama Auromar Camilina Geisha Natural</t>
  </si>
  <si>
    <t>Tio Conejo Colombia</t>
  </si>
  <si>
    <t>Panama Auromar Ironman Geisha Washed Process</t>
  </si>
  <si>
    <t>Cruz Loma</t>
  </si>
  <si>
    <t>Panama Elida Washed Gesha</t>
  </si>
  <si>
    <t>El Salvador Finca La Esperanza</t>
  </si>
  <si>
    <t>Panama Hacienda La Esmeralda Super Mario Geisha Yeast Washed</t>
  </si>
  <si>
    <t>Quartet Kaffe Blend No.10</t>
  </si>
  <si>
    <t>Ethiopia Anasora Extended Natural Special Lot</t>
  </si>
  <si>
    <t>Ethiopia Honey Yirgacheffe Idido G1</t>
  </si>
  <si>
    <t>Taiwan Natural Alishan Ching-Ye Farm</t>
  </si>
  <si>
    <t>Hawaii KaвЂЕ« Bourbon Anaerobic Natural</t>
  </si>
  <si>
    <t>Chelchele Ethiopia</t>
  </si>
  <si>
    <t>Colombia Antioquia Magico</t>
  </si>
  <si>
    <t>Costa Rica Hacienda La Minita</t>
  </si>
  <si>
    <t>El Salvador Aida Batlle La Florida Natural</t>
  </si>
  <si>
    <t>Colombia Geisha Cordillera</t>
  </si>
  <si>
    <t>Ethiopia Raro Boda</t>
  </si>
  <si>
    <t>Costa Rica Bounty Gesha</t>
  </si>
  <si>
    <t>Panama Static Gesha Natural</t>
  </si>
  <si>
    <t>Panama La Mula Geisha Washed</t>
  </si>
  <si>
    <t>Costa Rica San Gabriel SL28 Anaerobic Natural</t>
  </si>
  <si>
    <t>Burundi Kibingo Intenso</t>
  </si>
  <si>
    <t>Panama Hacienda La Esmeralda Porton 5N49 Gesha Natural</t>
  </si>
  <si>
    <t>Kona SL34 Champagne Natural Uluwehi Farm</t>
  </si>
  <si>
    <t>Ethiopia Yirgacheffe Adado</t>
  </si>
  <si>
    <t>Tanzania Mbeya Mimba</t>
  </si>
  <si>
    <t>Costa Rica La Chumeca</t>
  </si>
  <si>
    <t>Kenya Nyeri Hill Farm AA TOP</t>
  </si>
  <si>
    <t>Costa Rica Las MontaГ±as Honey</t>
  </si>
  <si>
    <t>Colombia Finca La Guaca AjГ­</t>
  </si>
  <si>
    <t>Kenya Washed Kiambu Uklili AB Espresso</t>
  </si>
  <si>
    <t>Karatina Kenya</t>
  </si>
  <si>
    <t>Karamo Ethiopia</t>
  </si>
  <si>
    <t>Ethiopia Natural Shakisso Mormora 74112</t>
  </si>
  <si>
    <t>Ethiopia Washed Shakisso Mormora 74112</t>
  </si>
  <si>
    <t>Tang Bohu Espresso Blend</t>
  </si>
  <si>
    <t>Colombia Quindio Anaerobic Natural</t>
  </si>
  <si>
    <t>Colombia Tres Dragones Natural</t>
  </si>
  <si>
    <t>Colombia Finca Jardines del Eden Ice Fermentation Natural</t>
  </si>
  <si>
    <t>Honduras Natural San Vicente Belarmino Contreras Pacas</t>
  </si>
  <si>
    <t>Chasing Horizon Natural Espresso</t>
  </si>
  <si>
    <t>Supernatural</t>
  </si>
  <si>
    <t>Ethiopia Alemaza Natural SOE</t>
  </si>
  <si>
    <t>Kona Natural Espresso</t>
  </si>
  <si>
    <t>Peru Gesha</t>
  </si>
  <si>
    <t>Ecuador Loja Hacienda La Papaya Bourbon Sidra 168hr Anaerobic Natural</t>
  </si>
  <si>
    <t>Panama Finca Deborah Afterglow Geisha Natural</t>
  </si>
  <si>
    <t>Colombia ExГіtico De Altura</t>
  </si>
  <si>
    <t>Ethiopia Dawencho 74110 Natural Espresso</t>
  </si>
  <si>
    <t>Kenya Nyeri Yerihar AA Top Lot 21/01</t>
  </si>
  <si>
    <t>Colombia Wush Wush Dynamic Natural</t>
  </si>
  <si>
    <t>Rwanda Gatare</t>
  </si>
  <si>
    <t>Costa Rica Naranjo Danilo Salazar Arias</t>
  </si>
  <si>
    <t>Ethiopia Guji Shakiso G1 Honey</t>
  </si>
  <si>
    <t>Yemen Haraaz Red Mahal Aqeeq ul Station Natural</t>
  </si>
  <si>
    <t>Brazil Fazenda Samambaia Natural Fermentation Arara</t>
  </si>
  <si>
    <t>Costa Rica Canet Musician Series Bach Raisin Honey</t>
  </si>
  <si>
    <t>Peru Amazonas Los Santos Geisha Natural</t>
  </si>
  <si>
    <t>Ethiopia Odola Washed</t>
  </si>
  <si>
    <t>Minanga Village Sulawesi</t>
  </si>
  <si>
    <t>KaвЂЕ« Tropical Punch Washed</t>
  </si>
  <si>
    <t>Kenya Peaberry Top Hill Farm Espresso</t>
  </si>
  <si>
    <t>Ethiopia Belayneh Bariso Natural</t>
  </si>
  <si>
    <t>Yemen Al Mashtal Al Burhani</t>
  </si>
  <si>
    <t>KaвЂЕ« Lactic Natural</t>
  </si>
  <si>
    <t>Colombia Finca El Paraiso Castillo Red Plum</t>
  </si>
  <si>
    <t>Ethiopia Guji Uraga Tebe Burku Natural</t>
  </si>
  <si>
    <t>British Style Espresso Blend</t>
  </si>
  <si>
    <t>Costa Rica Brunca Rivense Las Moras Black Honey</t>
  </si>
  <si>
    <t>Ethiopia Yirgacheffe Hama Washed</t>
  </si>
  <si>
    <t>Peru Washed Santa Monica Gesha</t>
  </si>
  <si>
    <t>Taiwan Washed Alishan Ching-Ye Farm SL34</t>
  </si>
  <si>
    <t>Ethiopia Guji Odo Shakiso</t>
  </si>
  <si>
    <t>Ethiopia Sidamo Karamo</t>
  </si>
  <si>
    <t>Gigesa Ethiopia</t>
  </si>
  <si>
    <t>Oahu Triple-Bourbon вЂњSparklingвЂќ Yeast Ferment</t>
  </si>
  <si>
    <t>Colombia Ibague Tolima</t>
  </si>
  <si>
    <t>Kenya Karatu</t>
  </si>
  <si>
    <t>Ecuador Taza Dorada Finca Cruz Loma</t>
  </si>
  <si>
    <t>Kona Bourbon Champagne Natural Uluwehi Farm</t>
  </si>
  <si>
    <t>Peru Garden of Eden Farcent Geisha Anaerobic Washed</t>
  </si>
  <si>
    <t>Pointu Laurina</t>
  </si>
  <si>
    <t>Ecuador Finca Cruz Loma</t>
  </si>
  <si>
    <t>Aged Sumatra Semiga</t>
  </si>
  <si>
    <t>Indonesia Sumatra Kerinci Valley</t>
  </si>
  <si>
    <t>KaвЂ™u Classic Dark</t>
  </si>
  <si>
    <t>Sumatra Boru Batak</t>
  </si>
  <si>
    <t>Barokah Honey Sumatra</t>
  </si>
  <si>
    <t>Colombia Finca La Primavera Sidra</t>
  </si>
  <si>
    <t>Ethiopia Natural Guji Dasaya SP</t>
  </si>
  <si>
    <t>Ethiopia Anaerobic Shantawene</t>
  </si>
  <si>
    <t>Ethiopia Bensa Asefa Qonqana</t>
  </si>
  <si>
    <t>Ethiopia Washed Shantawene</t>
  </si>
  <si>
    <t>Indonesia Sumatra Natural Aceh Musara SC19</t>
  </si>
  <si>
    <t>Kenya Washed Kabingara AA</t>
  </si>
  <si>
    <t>Kenya Nyeri Jungle Estate Red Cherry SLD Anaerobic Natural</t>
  </si>
  <si>
    <t>Lugmapata Ecuador</t>
  </si>
  <si>
    <t>Red Sunset by Andres Cardona</t>
  </si>
  <si>
    <t>Macarena Colombia</t>
  </si>
  <si>
    <t>Haraaz Red Yemen</t>
  </si>
  <si>
    <t>El Salvador Anarquia Pacamara</t>
  </si>
  <si>
    <t>Colombia Sidra Natural Signature Selection</t>
  </si>
  <si>
    <t>Colombia Finca El Paraiso Geisha Letty</t>
  </si>
  <si>
    <t>Monarch Estate Pacamara</t>
  </si>
  <si>
    <t>Uluwehi Farm Kona SL34 Yeast-Fermentation Washed Peaberry</t>
  </si>
  <si>
    <t>KaвЂ™u IPA Natural</t>
  </si>
  <si>
    <t>Ecuador Finca Lugmapata Mejorado</t>
  </si>
  <si>
    <t>Shakiso Natural</t>
  </si>
  <si>
    <t>Cerro Azul Geisha Honey Process</t>
  </si>
  <si>
    <t>La Esmeralda Diamond Mountain Washed Coffee</t>
  </si>
  <si>
    <t>Karen J Kona Red Bourbon Natural Anaerobic</t>
  </si>
  <si>
    <t>El Salvador Finca Mileydi Pacamara</t>
  </si>
  <si>
    <t>El Salvador Las Veraneras Red Bourbon</t>
  </si>
  <si>
    <t>Costa Rica Brunca Rivense La Guaca Passion Honey</t>
  </si>
  <si>
    <t>Hunkute by Nordic Approach</t>
  </si>
  <si>
    <t>SchweikвЂ™s Blend</t>
  </si>
  <si>
    <t>Whiskey Dreams Moka Java</t>
  </si>
  <si>
    <t>Black Level Blend</t>
  </si>
  <si>
    <t>Karindundu Kenya</t>
  </si>
  <si>
    <t>Colombia Geisha Natural</t>
  </si>
  <si>
    <t>Pacas Estate El Salvador Natural</t>
  </si>
  <si>
    <t>Hunapu Natural Guatemala</t>
  </si>
  <si>
    <t>Ethiopia Natural Sidama TAMIRU 74158</t>
  </si>
  <si>
    <t>Bedhatu Jibicho Natural</t>
  </si>
  <si>
    <t>Ethiopia Natural Guji DoReMi</t>
  </si>
  <si>
    <t>Sabana Redonda SL28 Costa Rica</t>
  </si>
  <si>
    <t>Ethiopia Bench Maji Gesha Village Dimma Illubabor Forest A6 Natural</t>
  </si>
  <si>
    <t>Sumatra Siamang Forest</t>
  </si>
  <si>
    <t>Yemen Jabal Nabi Special Reserve</t>
  </si>
  <si>
    <t>Kenya Gakuyuini AA</t>
  </si>
  <si>
    <t>Hacienda Esmeralda Ethiopian Accessions</t>
  </si>
  <si>
    <t>Gelena Geisha</t>
  </si>
  <si>
    <t>Ethiopia Anaerobic Natural</t>
  </si>
  <si>
    <t>Rainy Day Espresso Blend</t>
  </si>
  <si>
    <t>Ethiopia Tamiru Tadesse Tesema Anaerobic Natural</t>
  </si>
  <si>
    <t>Ethiopia Aphrodite Washed Espresso</t>
  </si>
  <si>
    <t>KaвЂ™u Bourbon Champagne Natural</t>
  </si>
  <si>
    <t>Cerro Azul Geisha</t>
  </si>
  <si>
    <t>Panama Mama Cata Geisha Champagne Natural</t>
  </si>
  <si>
    <t>Ethiopia Yirgacheffe Worka Sakaro</t>
  </si>
  <si>
    <t>El Socorro Maracaturra</t>
  </si>
  <si>
    <t>Hacienda La Esmeralda MontaГ±as 71AS</t>
  </si>
  <si>
    <t>Kenya Nyeri Gatomboya</t>
  </si>
  <si>
    <t>Ethiopia Bench Maji Natural Gesha</t>
  </si>
  <si>
    <t>Panama Hacienda La Esmeralda Gesha</t>
  </si>
  <si>
    <t>Natural KaвЂ™u Maragogipe</t>
  </si>
  <si>
    <t>Costa Rica Volcan Azul San Isidro Red Honey</t>
  </si>
  <si>
    <t>Ethiopia Demeka Becha</t>
  </si>
  <si>
    <t>Sweet Holiday Blend</t>
  </si>
  <si>
    <t>Ethiopia Washed Sidama Bensa Bombe</t>
  </si>
  <si>
    <t>Panama Abu Geisha Lot 6</t>
  </si>
  <si>
    <t>Panama Finca Mi Finquita Geisha Afrodita Natural</t>
  </si>
  <si>
    <t>Panama El Burro Estate Natural Gesha</t>
  </si>
  <si>
    <t>Panama La Viuda Natural Geisha 4 Hermanos</t>
  </si>
  <si>
    <t>Colombia Huila Finca Monteblanco Rodrigo Sanchez</t>
  </si>
  <si>
    <t>Ninety Plus Panama Gesha Estate MS Joseph Brodsky 2307</t>
  </si>
  <si>
    <t>Espresso</t>
  </si>
  <si>
    <t>Kenya Kainamui AB</t>
  </si>
  <si>
    <t>Ethiopia Olonso Qeka</t>
  </si>
  <si>
    <t>Ethiopia Wate Mini Natural Espresso</t>
  </si>
  <si>
    <t>Ethiopia Sidama Bensa Farmer Tamiru 74158 Natural</t>
  </si>
  <si>
    <t>BNT Espresso Blend</t>
  </si>
  <si>
    <t>Mama Cata Mokkita</t>
  </si>
  <si>
    <t>Ethiopia Tamiru Tadesse Anaerobic</t>
  </si>
  <si>
    <t>Ethiopia Tamiru Tadesse Natural</t>
  </si>
  <si>
    <t>Puna Arakawa Estate Lactic Natural</t>
  </si>
  <si>
    <t>100% Kona Bourbon Pointu Laurina</t>
  </si>
  <si>
    <t>Colombia Java El Eden</t>
  </si>
  <si>
    <t>Ethiopia Shantawene Natural</t>
  </si>
  <si>
    <t>Ethiopia Buno Dambi Uddo</t>
  </si>
  <si>
    <t>Ethiopia Durato Bombe Natural</t>
  </si>
  <si>
    <t>SГ–T Coffee Roaster Colombia Wush Wush Dynamic Natural</t>
  </si>
  <si>
    <t>Colombia Trujillo Experimental Process</t>
  </si>
  <si>
    <t>Colombia La Siria Geisha</t>
  </si>
  <si>
    <t>Guatemala Santa Felisa Wild Yeast Natural Gesha</t>
  </si>
  <si>
    <t>Colombia Granja La Esperanza Las Margaritas Gesha Honey</t>
  </si>
  <si>
    <t>Tanzania Acacia Hills Gesha Peaberry</t>
  </si>
  <si>
    <t>Colombia La Palma Y El TucГЎn Gesha Natural</t>
  </si>
  <si>
    <t>Peru Yanesha Geisha Washed Anaerobic</t>
  </si>
  <si>
    <t>Guatemala Geisha</t>
  </si>
  <si>
    <t>Costa Rica La Rejolla Washed Geisha</t>
  </si>
  <si>
    <t>Bekele Heto Natural Ethiopia</t>
  </si>
  <si>
    <t>El Salvador El Matazano Pacamara</t>
  </si>
  <si>
    <t>Ethiopia Guji Mormora Organic Natural</t>
  </si>
  <si>
    <t>Chelbesa Ethiopia</t>
  </si>
  <si>
    <t>Colombia La Riviera Sudan Rume</t>
  </si>
  <si>
    <t>Alaka Ethiopia</t>
  </si>
  <si>
    <t>Ethiopia Guji Uraga Tebe Burka Natural G1</t>
  </si>
  <si>
    <t>Sweet Kenya J36 Espresso</t>
  </si>
  <si>
    <t>Acatenango Santa Felisa Wild Yeast Natural Sudan Rume Full Moon Lot 4</t>
  </si>
  <si>
    <t>Guatemala Finca El General Slow Dry 6</t>
  </si>
  <si>
    <t>Ethiopia Yirgacheffe Washed Banko Gotiti 3</t>
  </si>
  <si>
    <t>Ethiopia Natural Yirgacheffe Adado Feysa Dira</t>
  </si>
  <si>
    <t>Guatemala Finca El General SummerEnd Espresso</t>
  </si>
  <si>
    <t>Guatemala El Injerto Natural Legendary Gesha 7</t>
  </si>
  <si>
    <t>Kenya Gachatha Nyeri AA</t>
  </si>
  <si>
    <t>Ethiopia Super Wush</t>
  </si>
  <si>
    <t>Kenya Athena AB Espresso</t>
  </si>
  <si>
    <t>Colombia La Esperanza Anaerobic</t>
  </si>
  <si>
    <t>Ethiopia Gogogu Bekaka #1</t>
  </si>
  <si>
    <t>Ethiopia Kochere Hama Jet Washing Station</t>
  </si>
  <si>
    <t>Elida Estate Dragonfly Catuai Lot 13</t>
  </si>
  <si>
    <t>Elida Estate ASD Natural Catuai 15</t>
  </si>
  <si>
    <t>Yemen Sheba Auction Lot 1: Wadi Al Mahjr</t>
  </si>
  <si>
    <t>Yemen Port of Mokha Al-Jabal</t>
  </si>
  <si>
    <t>Colombia La Esperanza PotosГ­ Anaerobic Process</t>
  </si>
  <si>
    <t>Panama Hacienda La Esmeralda Ethiopia Accessions</t>
  </si>
  <si>
    <t>Guji Hamasho Washed</t>
  </si>
  <si>
    <t>Kona Red Wine Process</t>
  </si>
  <si>
    <t>Candelilla Geisha Natural</t>
  </si>
  <si>
    <t>Kiamugumo Kenya</t>
  </si>
  <si>
    <t>Ethiopia Sidama Ardi</t>
  </si>
  <si>
    <t>Colombia Gesha</t>
  </si>
  <si>
    <t>Ethiopia Kayon Mountain Washed</t>
  </si>
  <si>
    <t>Ethiopia Gedeb Worka Wuri</t>
  </si>
  <si>
    <t>Kenya Karatina</t>
  </si>
  <si>
    <t>La Reforma El Salvador Natural</t>
  </si>
  <si>
    <t>Panama Geisha</t>
  </si>
  <si>
    <t>Guatemala COE-NW#2 Sierra Roja Geisha Washed</t>
  </si>
  <si>
    <t>Guatemala La Voz</t>
  </si>
  <si>
    <t>Cafe Granja La Esperanza Sudan Rume</t>
  </si>
  <si>
    <t>Ethiopia Guji Laayoo Natural</t>
  </si>
  <si>
    <t>Colombia Cafe Granja La Esperanza Sidra Natural</t>
  </si>
  <si>
    <t>Nicaragua La Bendicion Yellow Maracaturra Natural</t>
  </si>
  <si>
    <t>Kona Lactic Washed</t>
  </si>
  <si>
    <t>Kenya Kamwangi</t>
  </si>
  <si>
    <t>Ethiopia Bench Maji Gesha Village Oma Geisha 1931 Lot 55 Natural</t>
  </si>
  <si>
    <t>Ethiopia Guji Natural Euphora Special Lot</t>
  </si>
  <si>
    <t>Sudan Rume</t>
  </si>
  <si>
    <t>Testi Ayla Double Ethiopia</t>
  </si>
  <si>
    <t>Primavera Colombia Espresso</t>
  </si>
  <si>
    <t>Espresso Blend</t>
  </si>
  <si>
    <t>Classic MK Blend</t>
  </si>
  <si>
    <t>Chocolate LoverвЂ™s Espresso</t>
  </si>
  <si>
    <t>Golden Parrot Blend</t>
  </si>
  <si>
    <t>Bull Demon King</t>
  </si>
  <si>
    <t>Tanzania Gesha Peaberry</t>
  </si>
  <si>
    <t>Ethiopia Natural Guji D Minor 21/01</t>
  </si>
  <si>
    <t>Ethiopia Hambela Yellow Honey James Selection</t>
  </si>
  <si>
    <t>Costa Rica Black Honey</t>
  </si>
  <si>
    <t>Ethiopia Guji Hambela Kudume Yellow Honey</t>
  </si>
  <si>
    <t>Ethiopia Sidamo Bensa Mirado Natural</t>
  </si>
  <si>
    <t>Costa Rica La Florida Red Honey Espresso</t>
  </si>
  <si>
    <t>Ethiopia Yirgacheffe Botabaa Washed G1 21/01</t>
  </si>
  <si>
    <t>Yemen Mocca Matari</t>
  </si>
  <si>
    <t>Mojave Vault Series Geisha Natural</t>
  </si>
  <si>
    <t>Ethiopia Buku Abela</t>
  </si>
  <si>
    <t>Colombia Finca Santa Maria</t>
  </si>
  <si>
    <t>Yemen Mocha Haimi</t>
  </si>
  <si>
    <t>Costa Rica Hacienda Tobosi Villalobos Anaerobic Natural</t>
  </si>
  <si>
    <t>Colombia Wush Wush</t>
  </si>
  <si>
    <t>Brazil Gauriroba Natural</t>
  </si>
  <si>
    <t>Rwanda вЂњSilverback ReturnsвЂќ</t>
  </si>
  <si>
    <t>Gigesa Natural</t>
  </si>
  <si>
    <t>El Jocote Natural</t>
  </si>
  <si>
    <t>Panama Finca Santa Teresa Summer Gesha</t>
  </si>
  <si>
    <t>Baby Dragons</t>
  </si>
  <si>
    <t>Kona Maragogype Peaberry Natural</t>
  </si>
  <si>
    <t>Ecuador San JosГ© de Minas Double-Anaerobic</t>
  </si>
  <si>
    <t>La Perla Chiquita Ecuador</t>
  </si>
  <si>
    <t>Las Flores Colombia</t>
  </si>
  <si>
    <t>Nicaragua Yellow Pacamara Natural</t>
  </si>
  <si>
    <t>Ethiopia West Arsi Nensebo Natural G1</t>
  </si>
  <si>
    <t>Ethiopia Sidama Bona Sweet Natural</t>
  </si>
  <si>
    <t>Congo Square</t>
  </si>
  <si>
    <t>Rwanda Rulindo Tumba</t>
  </si>
  <si>
    <t>Tanzania Sambewe</t>
  </si>
  <si>
    <t>Rwanda Kinini Village Natural</t>
  </si>
  <si>
    <t>Tanzania Peaberry</t>
  </si>
  <si>
    <t>Tanzania Ngila Estate SL28</t>
  </si>
  <si>
    <t>Ethiopia Washed Sidama Nafasha 74158 21/01</t>
  </si>
  <si>
    <t>Ethiopia Tibe Haro Uraga</t>
  </si>
  <si>
    <t>Taiwan Natural Alishan TFUвЂ™YA Kakalove Lot</t>
  </si>
  <si>
    <t>Ethiopia Natural Guji Blue Donkey 21/01</t>
  </si>
  <si>
    <t>Kenya Nyeri Gachatha Washed AB</t>
  </si>
  <si>
    <t>Ethiopia Yirgacheffe G1 Mulugeta Tsige</t>
  </si>
  <si>
    <t>Kenya AA Top Gathambi Station</t>
  </si>
  <si>
    <t>Ethiopia Guji Gerba Station G1 Natural Espresso</t>
  </si>
  <si>
    <t>Ethiopia Keramo Village</t>
  </si>
  <si>
    <t>Ethiopia Uraga Washed G1</t>
  </si>
  <si>
    <t>Kenya Karindudu AA</t>
  </si>
  <si>
    <t>Colombia Cardona Natural</t>
  </si>
  <si>
    <t>Ethiopia Guji Anaerobic</t>
  </si>
  <si>
    <t>Maypop</t>
  </si>
  <si>
    <t>La Soledad Colombia</t>
  </si>
  <si>
    <t>Colombia Huila Acevedo El Paraiso</t>
  </si>
  <si>
    <t>Love of Desolate</t>
  </si>
  <si>
    <t>Blend No.7 Berrichee</t>
  </si>
  <si>
    <t>Ethiopia Niguse Gemeda Mude Natural</t>
  </si>
  <si>
    <t>La Estrella Carbonic Geisha Reserve</t>
  </si>
  <si>
    <t>Ethiopia Guji Wush Wush Anaerobic Natural</t>
  </si>
  <si>
    <t>Ethiopia Guji Wush Wush</t>
  </si>
  <si>
    <t>Tres Dragones Colombia</t>
  </si>
  <si>
    <t>Panama Elida Estate CatuaГ­ Natural ASD</t>
  </si>
  <si>
    <t>Ethiopia Yirgacheffe Israel Degfa Natural Gr.1</t>
  </si>
  <si>
    <t>Panama Elida Estate Washed</t>
  </si>
  <si>
    <t>Kona Maragogype Natural</t>
  </si>
  <si>
    <t>Kenya Washed Nakuru Gachombe Factory AB</t>
  </si>
  <si>
    <t>Ethiopia Natural Guji Hambella Wate Peaberry</t>
  </si>
  <si>
    <t>Ethiopia Guji Shakiso Dambi Udo Natural Anaerobic</t>
  </si>
  <si>
    <t>Ethiopia Natural Guji</t>
  </si>
  <si>
    <t>Costa Rica Yellow Honey Kinka Bear Lot 20-02</t>
  </si>
  <si>
    <t>Ethiopia Guji Shakiso Dambi Udo Honey</t>
  </si>
  <si>
    <t>Kenya Washed Nyeri Gichathaini Factory AB</t>
  </si>
  <si>
    <t>Colombia Pink Bourbon Honey</t>
  </si>
  <si>
    <t>Kona SL34 Sweet Spot</t>
  </si>
  <si>
    <t>Haraaz Red</t>
  </si>
  <si>
    <t>Panama Elida Green-Tip Geisha La Torre ASD</t>
  </si>
  <si>
    <t>Kona Peaberry</t>
  </si>
  <si>
    <t>Panama Finca Los Lajones Natural</t>
  </si>
  <si>
    <t>SL28</t>
  </si>
  <si>
    <t>Bourbon Pointu Natural</t>
  </si>
  <si>
    <t>Ethiopia Guji Hambela Buku Abel Slow Dry Natural 2400m</t>
  </si>
  <si>
    <t>Flight Seasonal Espresso</t>
  </si>
  <si>
    <t>Panama Boquete Flor De Mariposa Geisha Espresso</t>
  </si>
  <si>
    <t>Guji Ethiopia Washed</t>
  </si>
  <si>
    <t>Colombia Monteblanco Geisha</t>
  </si>
  <si>
    <t>Ethiopia Gedeo Kochere Reko Natural</t>
  </si>
  <si>
    <t>Costa Rica Aris Red Honey Lot 2002 Espresso</t>
  </si>
  <si>
    <t>Twisted V.6 Espresso</t>
  </si>
  <si>
    <t>Aged Sumatra Ulos Batak 2015</t>
  </si>
  <si>
    <t>Kona Uluwehi SL34</t>
  </si>
  <si>
    <t>Colombia Pink Bourbon Finca El Chaparote</t>
  </si>
  <si>
    <t>Ethiopia Neja Fadil</t>
  </si>
  <si>
    <t>Peru Buena Vista Valerio Almanza Ccahua</t>
  </si>
  <si>
    <t>Panama Finca Santa Teresa Lot 9</t>
  </si>
  <si>
    <t>Guatemala CobГЎn Chicoj Cooperative Red Honey Fair Trade</t>
  </si>
  <si>
    <t>Ethiopia Halo Hartume Daniel Mijane</t>
  </si>
  <si>
    <t>Colombia Cauca El Paraiso</t>
  </si>
  <si>
    <t>Taiwan Songyue Geisha</t>
  </si>
  <si>
    <t>Kenya Nyeri</t>
  </si>
  <si>
    <t>Kenya Kirinyaga Baragwi Karumandi AA</t>
  </si>
  <si>
    <t>Harimau Tiger Sumatra</t>
  </si>
  <si>
    <t>Ethiopia Sidamo Washed</t>
  </si>
  <si>
    <t>Ethiopia Guji Uraga Washed</t>
  </si>
  <si>
    <t>Indonesia Golden Sumatra TP Espresso</t>
  </si>
  <si>
    <t>Kenya Gachatha</t>
  </si>
  <si>
    <t>Ethiopia Suke Quto Single-Origin Espresso</t>
  </si>
  <si>
    <t>Ethiopia Gera Limu</t>
  </si>
  <si>
    <t>Panama Pacamara Natural</t>
  </si>
  <si>
    <t>KaвЂ™u Pink Honey</t>
  </si>
  <si>
    <t>Kona Maragogype Pink Honey</t>
  </si>
  <si>
    <t>RD1 Espresso Blend</t>
  </si>
  <si>
    <t>Bull Espresso Blend</t>
  </si>
  <si>
    <t>Ethiopia Yirgacheffe Gotiti Natural</t>
  </si>
  <si>
    <t>Trust the Process вЂ” Full Natural</t>
  </si>
  <si>
    <t>Colombia Finca El Caucho Pink Bourbon</t>
  </si>
  <si>
    <t>Colombia Antioquia Natural Carbonic Maceration Caturra</t>
  </si>
  <si>
    <t>Colombia La Gallera Estate</t>
  </si>
  <si>
    <t>Colombia Diofanor Ruiz</t>
  </si>
  <si>
    <t>Colombia Java El EdГ©n Limited Edition</t>
  </si>
  <si>
    <t>Finca La Maria Geisha Natural</t>
  </si>
  <si>
    <t>Angamaza</t>
  </si>
  <si>
    <t>Ethiopia Rhapsody Espresso</t>
  </si>
  <si>
    <t>Dafis Abafita Natural Ethiopia</t>
  </si>
  <si>
    <t>Berg Wu Championship Sidamo Washed G1 Lot 20-02</t>
  </si>
  <si>
    <t>KaвЂ™u Yellow Bourbon</t>
  </si>
  <si>
    <t>Ethiopia Natural Hambela Wate</t>
  </si>
  <si>
    <t>Kinini Village Rwanda</t>
  </si>
  <si>
    <t>Ethiopia Natural Guji Uraga G1 Lot 20-05</t>
  </si>
  <si>
    <t>Kenya Nyeri Muchoki Estate AA</t>
  </si>
  <si>
    <t>Fruity Espresso Blend</t>
  </si>
  <si>
    <t>Ethiopia Yirgacheffe Cleopatra Natural</t>
  </si>
  <si>
    <t>Ethiopia Yirgacheffe Dumerso G1 Natural</t>
  </si>
  <si>
    <t>Guatemala Santa Felisa Solar Eclipse Gesha Natural</t>
  </si>
  <si>
    <t>Coral</t>
  </si>
  <si>
    <t>Ethiopia Guji Goro Muda Washed G1</t>
  </si>
  <si>
    <t>Ethiopian Guji Ana Sora Alcoholic Natural G1</t>
  </si>
  <si>
    <t>Ethiopia Cup of Excellence Guji Natural</t>
  </si>
  <si>
    <t>Ethiopia Sidama Telamo FTO Natural</t>
  </si>
  <si>
    <t>Ethiopia Guji Laayyoo Natural</t>
  </si>
  <si>
    <t>Magic Cat Kenya Civet AFCA TOH NO.2 Gatuya Factory New Murarandia AA</t>
  </si>
  <si>
    <t>Ethiopia Grade 1 Chelchele</t>
  </si>
  <si>
    <t>Ethiopia Natural Yirgacheffe Gr.1 Cleopatra</t>
  </si>
  <si>
    <t>Taiwan Alishan Zhou-Zhu-Yuan Farm Estate Reserve Washed</t>
  </si>
  <si>
    <t>Ethiopia Keramo Zero Oxygen Natural</t>
  </si>
  <si>
    <t>Panama Elida ASD Natural</t>
  </si>
  <si>
    <t>Peru Yanesha Geisha</t>
  </si>
  <si>
    <t>Ethiopia Guji Chembi</t>
  </si>
  <si>
    <t>Kona Red Bourbon Anaerobic Washed Uluwehi Farm</t>
  </si>
  <si>
    <t>Wush Wush</t>
  </si>
  <si>
    <t>Honey Typica Anaerobic</t>
  </si>
  <si>
    <t>Geisha</t>
  </si>
  <si>
    <t>Panama Abu Natural ASD Geisha BOP GN11</t>
  </si>
  <si>
    <t>Ethiopia Kochere Boji</t>
  </si>
  <si>
    <t>Panama Finca Minerva-Mirage Pacamara BOP PAC04</t>
  </si>
  <si>
    <t>Tanzania Shimiligwanda</t>
  </si>
  <si>
    <t>Ethiopia Natural Guji Blue-Donkey 2020</t>
  </si>
  <si>
    <t>Kenya Washed Peaberry Rnyeusi</t>
  </si>
  <si>
    <t>Ethiopia COE 2nd place Washed Sidamo Rumudamo</t>
  </si>
  <si>
    <t>Ethiopia Yirgacheffe Natural Haru Suke G1</t>
  </si>
  <si>
    <t>Finca Sophia Gesha Washed</t>
  </si>
  <si>
    <t>Colombia Granja La Esperanza Java Anaerobic</t>
  </si>
  <si>
    <t>Shantawene Ethiopia Daya Bensa Natural</t>
  </si>
  <si>
    <t>Kenya AA FAQ</t>
  </si>
  <si>
    <t>Ardent Ethiopia Natural</t>
  </si>
  <si>
    <t>Ethiopia Dur Feres Natural</t>
  </si>
  <si>
    <t>Kenya AA Ares Phoenix Special</t>
  </si>
  <si>
    <t>GW01 Finca Sophia Olympus Geisha</t>
  </si>
  <si>
    <t>La Esperanza Colombian Natural X.O.</t>
  </si>
  <si>
    <t>Taiwan Geisha Honey</t>
  </si>
  <si>
    <t>Camilina Geisha</t>
  </si>
  <si>
    <t>Hacienda La Esmeralda Buenos Aires Geisha Natural</t>
  </si>
  <si>
    <t>Ethiopia Sidama Bona Washed G1</t>
  </si>
  <si>
    <t>Sidama Extreme Papilio Washed</t>
  </si>
  <si>
    <t>Finca San Carlos</t>
  </si>
  <si>
    <t>Ethiopia Natural Guji D Minor Special Lot</t>
  </si>
  <si>
    <t>2020 Savage Auction Deborah Carbonic-Macerated Natural Geisha</t>
  </si>
  <si>
    <t>Costa Rica Cordillera del Fuego</t>
  </si>
  <si>
    <t>Ethiopia Bombe Mountains</t>
  </si>
  <si>
    <t>Ethiopia Yirgacheffe G1 Natural Asfaw Maru</t>
  </si>
  <si>
    <t>Coffea Diversa Rume Sudan Winey</t>
  </si>
  <si>
    <t>HawaiвЂ™i Puna Anaerobic Washed</t>
  </si>
  <si>
    <t>Colombia Hacienda Casablanca</t>
  </si>
  <si>
    <t>Ethiopia Natural Guji Kercha Lot Riverside</t>
  </si>
  <si>
    <t>Costa Rica Yellow Honey Lot Kinka Bear</t>
  </si>
  <si>
    <t>San Diego Natural</t>
  </si>
  <si>
    <t>Buna Boka #1</t>
  </si>
  <si>
    <t>El Jardin</t>
  </si>
  <si>
    <t>Kenya Wachuri</t>
  </si>
  <si>
    <t>Kenya Baragwi Guama AB</t>
  </si>
  <si>
    <t>Kenya ARES</t>
  </si>
  <si>
    <t>Empress Kenya</t>
  </si>
  <si>
    <t>Kenya Kiambu AB Top Lot</t>
  </si>
  <si>
    <t>Kenya Kiambu Maua Lot AB</t>
  </si>
  <si>
    <t>Kenya Thunguri AA</t>
  </si>
  <si>
    <t>Kenya Kirinyaga Kabare Karani AA</t>
  </si>
  <si>
    <t>Kenya Kirinyaga Kii</t>
  </si>
  <si>
    <t>Kenya Rungeto</t>
  </si>
  <si>
    <t>Kenya AA Top Gatomboya</t>
  </si>
  <si>
    <t>Heart &amp; Soul Espresso Blend</t>
  </si>
  <si>
    <t>Ethiopia Yabitu Koba</t>
  </si>
  <si>
    <t>Rhapsody of Dreams</t>
  </si>
  <si>
    <t>Colombia Asobombo Inza</t>
  </si>
  <si>
    <t>Ethiopia Sidamo Natural Twakok G1</t>
  </si>
  <si>
    <t>Panama Boquete Torre Lot #1 Geisha Honey</t>
  </si>
  <si>
    <t>Yellow Caturra (special lot)</t>
  </si>
  <si>
    <t>HawaiвЂ™i Kilauea Volcano Yeast Fermentation Washed</t>
  </si>
  <si>
    <t>Kona Pink Honey Black Rock Farm</t>
  </si>
  <si>
    <t>Benti Nenqa #209 Ethiopia</t>
  </si>
  <si>
    <t>El Salvador Santa Elena Pacamara</t>
  </si>
  <si>
    <t>Ethiopia Sheka Kawo Kamina Natural</t>
  </si>
  <si>
    <t>Black Swan Blend</t>
  </si>
  <si>
    <t>Indonesia Lintong Mandheling</t>
  </si>
  <si>
    <t>Ethiopia Yirgacheffe Natural Farm Direct</t>
  </si>
  <si>
    <t>Kenya Karatina AA 2020</t>
  </si>
  <si>
    <t>Colombia San LuГ­s Gesha</t>
  </si>
  <si>
    <t>Karani Kenya</t>
  </si>
  <si>
    <t>Miraflores Colombia</t>
  </si>
  <si>
    <t>Kenya Gatuya</t>
  </si>
  <si>
    <t>Kenya Gicherori</t>
  </si>
  <si>
    <t>Ethiopia Kayon Mountain (Natural)</t>
  </si>
  <si>
    <t>Ethiopia Kayon Mountain (Washed)</t>
  </si>
  <si>
    <t>Kenya Nyeri AB Nyeshun</t>
  </si>
  <si>
    <t>Ethiopia Guji Bishala</t>
  </si>
  <si>
    <t>Ethiopia Wegida Natural</t>
  </si>
  <si>
    <t>KaвЂ™u Red Caturra Peaberry</t>
  </si>
  <si>
    <t>Wush Wush Ginbo Keffa Ethiopia</t>
  </si>
  <si>
    <t>Burundi Karehe</t>
  </si>
  <si>
    <t>Ethiopia Guji Natural</t>
  </si>
  <si>
    <t>Ethiopia Gera Estate Natural</t>
  </si>
  <si>
    <t>EstelГ­ Nicaragua</t>
  </si>
  <si>
    <t>Limu Ethiopia Natural</t>
  </si>
  <si>
    <t>Colombia Finca El Roblar</t>
  </si>
  <si>
    <t>Ethiopia Yirgacheffe Kochere Debo</t>
  </si>
  <si>
    <t>Kilauea Volcano Champagne Natural</t>
  </si>
  <si>
    <t>Nicaragua La Benedicion SL28 Natural</t>
  </si>
  <si>
    <t>Colombia Tolima Geisha</t>
  </si>
  <si>
    <t>Ethiopia Haro Guta Natural</t>
  </si>
  <si>
    <t>Kenya AA Kirinyaga Kii</t>
  </si>
  <si>
    <t>Colombia Antioquia La Papaya Bourbon Chiroso</t>
  </si>
  <si>
    <t>Karimiuki Espresso</t>
  </si>
  <si>
    <t>Karimiuki Kenya</t>
  </si>
  <si>
    <t>Colombia San Pedro</t>
  </si>
  <si>
    <t>DR Congo, Gera Village, SOPACDI</t>
  </si>
  <si>
    <t>El Floral Colombia</t>
  </si>
  <si>
    <t>El Salvador Geisha Natural</t>
  </si>
  <si>
    <t>Ethiopia Natural Guji Lot D Minor</t>
  </si>
  <si>
    <t>Taiwan Natural Alishan Zhuo-Wu Farm Geisha</t>
  </si>
  <si>
    <t>All Rise</t>
  </si>
  <si>
    <t>Costa Rica Hacienda Tobosi Copey Villa Sarchi Black Honey</t>
  </si>
  <si>
    <t>Ethiopia Sidama Keramo Village</t>
  </si>
  <si>
    <t>Red Bourbon Natural Exclusive Reserve</t>
  </si>
  <si>
    <t>Nano Genji Agaro Gera</t>
  </si>
  <si>
    <t>Kona Classic Black Rock Farm</t>
  </si>
  <si>
    <t>Ethiopian Yirgacheffe Natural</t>
  </si>
  <si>
    <t>Colombia Cauca AtвЂ™e</t>
  </si>
  <si>
    <t>Sumatra Gayo G1 Triple-Picked Lot 005</t>
  </si>
  <si>
    <t>Nano Genji #4 Espresso</t>
  </si>
  <si>
    <t>Ignacio Quintero Colombia</t>
  </si>
  <si>
    <t>Organic Ethiopia Agaro-Nano Challa</t>
  </si>
  <si>
    <t>Kerinci Palompek Sumatra</t>
  </si>
  <si>
    <t>Kenya Embu Gicherori Factory AA Top</t>
  </si>
  <si>
    <t>Colombia Finca Lord Baltimore Papayo</t>
  </si>
  <si>
    <t>Mocha Java</t>
  </si>
  <si>
    <t>Organic Suke Quto Ethiopia</t>
  </si>
  <si>
    <t>Kenya Tuikit Factory AA</t>
  </si>
  <si>
    <t>Abu Natural Panama Geisha</t>
  </si>
  <si>
    <t>Colombia Finca Las Margaritas Natural Sudan Rume</t>
  </si>
  <si>
    <t>Ecuador Finca Carolina Sidra</t>
  </si>
  <si>
    <t>Gesha Village Single-Variety Gesha Special Selection</t>
  </si>
  <si>
    <t>Indestec El Paraiso</t>
  </si>
  <si>
    <t>Monteblanco Cold Fermentation Geisha</t>
  </si>
  <si>
    <t>Funky Chicken</t>
  </si>
  <si>
    <t>Yemen Al-Obbarat</t>
  </si>
  <si>
    <t>Ecuador Quilanga Typica Yeast Fermentation</t>
  </si>
  <si>
    <t>Ethiopia Natural Guji PB JackyLai Lot</t>
  </si>
  <si>
    <t>Ethiopia Wush Wush</t>
  </si>
  <si>
    <t>Ethiopia Hassen Ware Akrabi</t>
  </si>
  <si>
    <t>Costa Rica Luis Campos Anaerobic</t>
  </si>
  <si>
    <t>Colombia Granja La Esperanza Tres Dragones</t>
  </si>
  <si>
    <t>Colombia Finca La Loma Microlot</t>
  </si>
  <si>
    <t>Kenya Kiambu AB Uklili 1905 Lot</t>
  </si>
  <si>
    <t>Elida Natural Dragonfly Lot</t>
  </si>
  <si>
    <t>Kona Laurina Pointu</t>
  </si>
  <si>
    <t>Dadaocheng Garden Blend Espresso</t>
  </si>
  <si>
    <t>Ethiopia Dimtu</t>
  </si>
  <si>
    <t>Ethiopia Sidama Anaerobic</t>
  </si>
  <si>
    <t>Kenya Kiri Peaberry</t>
  </si>
  <si>
    <t>Ethiopia Violent Andromeda Natural</t>
  </si>
  <si>
    <t>Kenya Nyeri Yerihar AA Lot 1901 Espresso</t>
  </si>
  <si>
    <t>Costa Rica Aris Red Honey Lot 1901 Espresso</t>
  </si>
  <si>
    <t>Panama Hacienda La Esmeralda Geisha Natural Special Auction ES-N-2</t>
  </si>
  <si>
    <t>El Salvador Finca El Cerro Natural</t>
  </si>
  <si>
    <t>Halo Hartume Espresso</t>
  </si>
  <si>
    <t>Giusto Organic Espresso Blend</t>
  </si>
  <si>
    <t>Berg Wu Championship Selection Yirgacheffe G1 Natural Lot 19/01</t>
  </si>
  <si>
    <t>Ethiopia Mulegeta Sintayehu Washed</t>
  </si>
  <si>
    <t>Ecuador Eugenioides Natural Finca Perla Negra</t>
  </si>
  <si>
    <t>Panama Esmeralda Geisha Natural</t>
  </si>
  <si>
    <t>Ethiopia Suke Quto Honey</t>
  </si>
  <si>
    <t>Kenya FSC AB</t>
  </si>
  <si>
    <t>Ceri Ceri Meriah Coffee</t>
  </si>
  <si>
    <t>Alamendah Patuha Coffee</t>
  </si>
  <si>
    <t>Holiday Blend</t>
  </si>
  <si>
    <t>2019 Celebration</t>
  </si>
  <si>
    <t>Kenya Kiandu Peaberry</t>
  </si>
  <si>
    <t>Sumatra Raja Harimau Lintong Espresso</t>
  </si>
  <si>
    <t>Panama Esmeralda Geisha PortГіn Oro Yeast</t>
  </si>
  <si>
    <t>Kenya Kiambu Peaberry Uklili 1904 Lot</t>
  </si>
  <si>
    <t>Kenya Kiambu AB Uklili 1903 Lot</t>
  </si>
  <si>
    <t>Ethiopia Natural Yirgacheffe Blue Donkey Lot #2</t>
  </si>
  <si>
    <t>Ethiopia Nansebo Worka</t>
  </si>
  <si>
    <t>Panama Elida Geisha Natural 1029</t>
  </si>
  <si>
    <t>Port of Mokha Yemen JSP</t>
  </si>
  <si>
    <t>Panama Elida Natural Catuai</t>
  </si>
  <si>
    <t>Cate Natural G5</t>
  </si>
  <si>
    <t>Gachami Kenya</t>
  </si>
  <si>
    <t>Ethiopia Natural вЂњPhoenixвЂќ</t>
  </si>
  <si>
    <t>Costa Rica SL-28 Yellow Honey Espresso</t>
  </si>
  <si>
    <t>Washed Geisha Hacienda La Esmeralda Jaramillo Special</t>
  </si>
  <si>
    <t>Panama Perci Geisha Natural</t>
  </si>
  <si>
    <t>Elida Estate Geisha Green-Tip Natural</t>
  </si>
  <si>
    <t>Washed Kenya</t>
  </si>
  <si>
    <t>Panama Hacienda La Esmeralda Super Mario Geisha</t>
  </si>
  <si>
    <t>Kenya Gakundu FCS Kamviu Wet Mill</t>
  </si>
  <si>
    <t>Rukira Kenya</t>
  </si>
  <si>
    <t>Gesha Village Lot #85 Natural</t>
  </si>
  <si>
    <t>Ethiopia Natural Yirgacheffe Banko Gotiti</t>
  </si>
  <si>
    <t>Indonesia Sumatra Gayo Espresso</t>
  </si>
  <si>
    <t>Ethiopia Limu Nano Challa Lot #10</t>
  </si>
  <si>
    <t>Best of Panama GNEP-01 Elida Geisha Green Tip Natural</t>
  </si>
  <si>
    <t>Geisha XO</t>
  </si>
  <si>
    <t>Colombia Finca La Maria Geisha Natural</t>
  </si>
  <si>
    <t>Panama Finca Kalithea Natural Geisha</t>
  </si>
  <si>
    <t>Panama Hacienda La Esmeralda Super Mario 6 Geisha</t>
  </si>
  <si>
    <t>Panama Geisha Alto Jaramillo</t>
  </si>
  <si>
    <t>Colombia Laderas del Tapias Estate Natural Geisha</t>
  </si>
  <si>
    <t>Gesha Village Natural Lot #19</t>
  </si>
  <si>
    <t>Gesha Village 1931 Lot 27</t>
  </si>
  <si>
    <t>Ethiopia Sidamo Gora Kone</t>
  </si>
  <si>
    <t>Kebele Village Espresso</t>
  </si>
  <si>
    <t>Panama Finca San Sebastian</t>
  </si>
  <si>
    <t>Yirgacheffe Gedeb G1 Natural</t>
  </si>
  <si>
    <t>Kenya Kiambu Uklili AA</t>
  </si>
  <si>
    <t>Ethiopia Guji Shakisso Natural Lot 24</t>
  </si>
  <si>
    <t>Ethiopia Washed Yirgacheffe Nafasha Lot</t>
  </si>
  <si>
    <t>Ethiopia Kayon Mountain Natural</t>
  </si>
  <si>
    <t>Ethiopia Natural Yirgacheffe Blue Donkey Lot</t>
  </si>
  <si>
    <t>Geisha Village Auction Lot #11</t>
  </si>
  <si>
    <t>Ethiopia Yirgacheffe Chelelektu Natural</t>
  </si>
  <si>
    <t>Kenya Kimaruri</t>
  </si>
  <si>
    <t>Kenya Handege</t>
  </si>
  <si>
    <t>Colombia Valle del Cauca Cerro Azul Geisha</t>
  </si>
  <si>
    <t>Green-Tip Geisha</t>
  </si>
  <si>
    <t>Barichu Double</t>
  </si>
  <si>
    <t>Rukera Kenya</t>
  </si>
  <si>
    <t>Rukera Espresso</t>
  </si>
  <si>
    <t>The Core Espresso</t>
  </si>
  <si>
    <t>Espresso Mandarina</t>
  </si>
  <si>
    <t>SOB Espresso</t>
  </si>
  <si>
    <t>Ethiopia Gedeb Worka Sakaro</t>
  </si>
  <si>
    <t>La Belleza Colombia</t>
  </si>
  <si>
    <t>Crystalina</t>
  </si>
  <si>
    <t>Kenya Kiambu Gititu AA</t>
  </si>
  <si>
    <t>Ninety Plus Gesha Estates JBC Custom Lot #252</t>
  </si>
  <si>
    <t>La Palma Y El Tucan Hero Series Colombia Sidra Lot #190</t>
  </si>
  <si>
    <t>KaвЂ™u Champagne Natural</t>
  </si>
  <si>
    <t>Monarch Gesha</t>
  </si>
  <si>
    <t>Australian Blend Espresso</t>
  </si>
  <si>
    <t>Colombia Tolima Monteverde Estate Natural Wush Wush</t>
  </si>
  <si>
    <t>Ethiopia Oromia Guji Washed</t>
  </si>
  <si>
    <t>Kenya MurangвЂ™a Githiga AA</t>
  </si>
  <si>
    <t>Ethiopia Sidama Shantewene</t>
  </si>
  <si>
    <t>Gesha Rebecca Natural</t>
  </si>
  <si>
    <t>CafГ© Granja La Esperanza Sudan Rume Natural</t>
  </si>
  <si>
    <t>Boru Batak Sumatra</t>
  </si>
  <si>
    <t>Sumatra Tano Batak</t>
  </si>
  <si>
    <t>Sumatra Lintong</t>
  </si>
  <si>
    <t>Ethiopia Natural Guji Hambela G1 Bishan Fugu</t>
  </si>
  <si>
    <t>Tanzania Tarime AB</t>
  </si>
  <si>
    <t>El Salvador Cerro Las Ranas Honey Espresso</t>
  </si>
  <si>
    <t>Panama Baru Geisha Black</t>
  </si>
  <si>
    <t>Eaagads Estate Kenya</t>
  </si>
  <si>
    <t>Ethiopia Yirgacheffe G1</t>
  </si>
  <si>
    <t>Kenya Karindundu AA Small Lot Reserve</t>
  </si>
  <si>
    <t>Rwanda Kanzu</t>
  </si>
  <si>
    <t>Ethiopia Kochere Natural</t>
  </si>
  <si>
    <t>Kenya Thirikwa Single-Origin Espresso</t>
  </si>
  <si>
    <t>Rwanda Mushonyi Natural</t>
  </si>
  <si>
    <t>Ethiopia Hambela Natural Organic</t>
  </si>
  <si>
    <t>Tanzania Ngorongoro Ridge Peaberry</t>
  </si>
  <si>
    <t>Ethiopia Haro Wachu</t>
  </si>
  <si>
    <t>Banco Gotete Ethiopia</t>
  </si>
  <si>
    <t>Kenya Ruthaka Peaberry</t>
  </si>
  <si>
    <t>Honduras Las Flores Parainema</t>
  </si>
  <si>
    <t>Kivu DR Congo</t>
  </si>
  <si>
    <t>Panama Ninety Plus Perci Lot 50</t>
  </si>
  <si>
    <t>Colombia Sidra</t>
  </si>
  <si>
    <t>Kenya Murunga New Gatanga FCS Mukurwe Factory AB</t>
  </si>
  <si>
    <t>Ethiopia WORKA</t>
  </si>
  <si>
    <t>Ethiopia Banko Dhadhato Washed</t>
  </si>
  <si>
    <t>Kenya Karuthi AA</t>
  </si>
  <si>
    <t>Kenya Nyeri Nudurutu Factory AB</t>
  </si>
  <si>
    <t>Ethiopia Kochere Washed Saona Lot</t>
  </si>
  <si>
    <t>Ethiopia Guji Natural Dasaya</t>
  </si>
  <si>
    <t>Holiday Sweet Blend</t>
  </si>
  <si>
    <t>Colombia El Obraje Gesha</t>
  </si>
  <si>
    <t>Flowery Nekisse</t>
  </si>
  <si>
    <t>Baru Gesha</t>
  </si>
  <si>
    <t>Mama Cata Geisha Washed</t>
  </si>
  <si>
    <t>Wei Rong Blend</t>
  </si>
  <si>
    <t>Kiunyu Peaberry</t>
  </si>
  <si>
    <t>Kibugu Kenya</t>
  </si>
  <si>
    <t>Poseidon Blend Espresso</t>
  </si>
  <si>
    <t>Kenya Gikirima Kibugu</t>
  </si>
  <si>
    <t>Elida Estate Geisha Natural Dragonfly Reserve</t>
  </si>
  <si>
    <t>Costa Rica Geisha Honey COE 2018 2nd Place</t>
  </si>
  <si>
    <t>Guatemala Pacamara Natural</t>
  </si>
  <si>
    <t>La Providencia Guatemala Maragogype</t>
  </si>
  <si>
    <t>Kenya Kabingara</t>
  </si>
  <si>
    <t>Kenya Konyu</t>
  </si>
  <si>
    <t>Hacienda La Esmeralda Cabana Geisha Natural</t>
  </si>
  <si>
    <t>Finca La Aurora Camilina Geisha</t>
  </si>
  <si>
    <t>Twenty Five</t>
  </si>
  <si>
    <t>Karimikui Kenya</t>
  </si>
  <si>
    <t>Kenya Baragwi Thimu Peaberry</t>
  </si>
  <si>
    <t>Kariru Kenya</t>
  </si>
  <si>
    <t>Esmeralda Estate Porton Geisha Natural</t>
  </si>
  <si>
    <t>Kenya Kiambu</t>
  </si>
  <si>
    <t>Ethiopia Washed Phoenix Special вЂњMuseвЂќ</t>
  </si>
  <si>
    <t>Kenya AB Phoenix Special вЂњGloryвЂќ</t>
  </si>
  <si>
    <t>Kenya Ritho FCS Handege Factory AB</t>
  </si>
  <si>
    <t>Ethiopia Yirgacheffe Botabaa Washed</t>
  </si>
  <si>
    <t>Ethiopia Hambela Natural</t>
  </si>
  <si>
    <t>Ethiopia Gera Limmu Oromia</t>
  </si>
  <si>
    <t>Kenya Kabare Konyu</t>
  </si>
  <si>
    <t>Alemu Bukato Espresso</t>
  </si>
  <si>
    <t>Tarime Tanzania</t>
  </si>
  <si>
    <t>Berlina Geisha</t>
  </si>
  <si>
    <t>Gatugi Triple</t>
  </si>
  <si>
    <t>Ethiopia Yirgacheffe Natural Espresso</t>
  </si>
  <si>
    <t>Ethiopia Yirgacheffe Natural</t>
  </si>
  <si>
    <t>Guatemala Finca El General Lot ALT8 Espresso</t>
  </si>
  <si>
    <t>Green Dolphin Blend Espresso</t>
  </si>
  <si>
    <t>Finca El Socorro Maracaturra</t>
  </si>
  <si>
    <t>Ethiopia Kochere Debo Washed Gellana</t>
  </si>
  <si>
    <t>Ethiopia Gotiti Natural</t>
  </si>
  <si>
    <t>Cream Tabby Espresso Blend</t>
  </si>
  <si>
    <t>Ethiopia Girma Eshetu</t>
  </si>
  <si>
    <t>Karimikui Espresso</t>
  </si>
  <si>
    <t>Ethiospro Blend</t>
  </si>
  <si>
    <t>Costa Rica Cumbres Del Poas вЂњPerla NegraвЂќ Natural</t>
  </si>
  <si>
    <t>Natural Sidamo Twakok G1</t>
  </si>
  <si>
    <t>YCFCU Banko Gotiti Coop G1</t>
  </si>
  <si>
    <t>Gesha Village Lot #25</t>
  </si>
  <si>
    <t>Costa Rica Perla Negra</t>
  </si>
  <si>
    <t>Espresso 1849 Blend</t>
  </si>
  <si>
    <t>Tano Batak Sumatra</t>
  </si>
  <si>
    <t>No. 7 Espresso Blend</t>
  </si>
  <si>
    <t>Kenya Embu Uteuzi Jimbo</t>
  </si>
  <si>
    <t>DR Congo FTO Bourbon SOPACDI</t>
  </si>
  <si>
    <t>Kiniyota Espresso</t>
  </si>
  <si>
    <t>El Obraje Geisha</t>
  </si>
  <si>
    <t>Mandheling Onan Ganjang</t>
  </si>
  <si>
    <t>Ethiopia Banko Gotiti Natural</t>
  </si>
  <si>
    <t>Yemen Microlot</t>
  </si>
  <si>
    <t>Lycello by Ninety Plus</t>
  </si>
  <si>
    <t>Lotus by Ninety Plus</t>
  </si>
  <si>
    <t>Karen J Red Bourbon</t>
  </si>
  <si>
    <t>Kenya Nyeri Gatugi Peaberry</t>
  </si>
  <si>
    <t>Kenya Gura AA</t>
  </si>
  <si>
    <t>Yemen Port of Mokha Al-Durrar</t>
  </si>
  <si>
    <t>Ethiopia Guji Gigessa</t>
  </si>
  <si>
    <t>Granja La Esperanza Sudan Rume Natural</t>
  </si>
  <si>
    <t>Gedeb Espresso</t>
  </si>
  <si>
    <t>Panama Baru Geisha Honey by Joseph</t>
  </si>
  <si>
    <t>Panama Baru Geisha Natural by Joseph</t>
  </si>
  <si>
    <t>Burundi Buhorwa</t>
  </si>
  <si>
    <t>Dodora Double</t>
  </si>
  <si>
    <t>Summer Night Blend Espresso</t>
  </si>
  <si>
    <t>Sumatra Mutu Batak</t>
  </si>
  <si>
    <t>Three Queens Blend</t>
  </si>
  <si>
    <t>Kiniyota Burundi</t>
  </si>
  <si>
    <t>Ethiopia Biftu Gundina Coop Espresso</t>
  </si>
  <si>
    <t>Canoe Blend</t>
  </si>
  <si>
    <t>Guatemala Retiro Natural Process</t>
  </si>
  <si>
    <t>Kenya Gatugi AB</t>
  </si>
  <si>
    <t>Gedeb Ethiopia</t>
  </si>
  <si>
    <t>Ethiopia Dry-Processed Guji Mt. Kayon</t>
  </si>
  <si>
    <t>Panama Auromar Estate Geisha Peaberry</t>
  </si>
  <si>
    <t>Panama Finca Hartmann Geisha Natural</t>
  </si>
  <si>
    <t>Mini-Me Washed Kaffa Forest</t>
  </si>
  <si>
    <t>Jade Espresso</t>
  </si>
  <si>
    <t>Ulos Batak Sumatra</t>
  </si>
  <si>
    <t>Blue Label La Esmeralda Porton Pascua Gesha</t>
  </si>
  <si>
    <t>David Mburu Kenya</t>
  </si>
  <si>
    <t>El PeГ±on Nicaragua</t>
  </si>
  <si>
    <t>Kenya Chorongi Peaberry</t>
  </si>
  <si>
    <t>Kenya Riakiberu AB</t>
  </si>
  <si>
    <t>Yule Blend 2018</t>
  </si>
  <si>
    <t>Kenya Thaitu</t>
  </si>
  <si>
    <t>Ethiopia Banko Gotiti Natural G1</t>
  </si>
  <si>
    <t>Panama Auromar Geisha Natural</t>
  </si>
  <si>
    <t>El Salvador Finca Kilimanjaro</t>
  </si>
  <si>
    <t>Panama Elida Green Tip Gesha Natural</t>
  </si>
  <si>
    <t>Gikanda Kenya</t>
  </si>
  <si>
    <t>Panama Don Julian Pacamara</t>
  </si>
  <si>
    <t>Kenya AB Muchoki</t>
  </si>
  <si>
    <t>Geisha Panama Santamaria Natural</t>
  </si>
  <si>
    <t>100% Kona SL-28</t>
  </si>
  <si>
    <t>Kenya Kirinyaga Mukangu AB</t>
  </si>
  <si>
    <t>Ethiopia Washed Yirgacheffe Adado</t>
  </si>
  <si>
    <t>Ace Espresso</t>
  </si>
  <si>
    <t>Kenya Mutungati</t>
  </si>
  <si>
    <t>Ethiopia Gedeb Halo Beriti</t>
  </si>
  <si>
    <t>Ethiopia Sidama</t>
  </si>
  <si>
    <t>Thiriku AA Kenya</t>
  </si>
  <si>
    <t>Flora Blend Espresso</t>
  </si>
  <si>
    <t>вЂњSweetyвЂќ Espresso Blend</t>
  </si>
  <si>
    <t>вЂњFruityвЂќ Espresso Blend</t>
  </si>
  <si>
    <t>El Aquila Pacamara Espresso</t>
  </si>
  <si>
    <t>Guatemala Finca El Injerto Gesha</t>
  </si>
  <si>
    <t>Kenya Gatomboya AA</t>
  </si>
  <si>
    <t>A.G.E. Duetto Espresso</t>
  </si>
  <si>
    <t>Kenya Nyeri Hill Farm</t>
  </si>
  <si>
    <t>Jinotega Geisha</t>
  </si>
  <si>
    <t>Nicaragua Un Regalo de Dios Bourbon</t>
  </si>
  <si>
    <t>Gedeb Lot 83 Ethiopia Natural</t>
  </si>
  <si>
    <t>Halo Beriti Ethiopia</t>
  </si>
  <si>
    <t>Ethiopia Konga Sede</t>
  </si>
  <si>
    <t>Static Amaro Gayo Natural Ethiopia</t>
  </si>
  <si>
    <t>Static Cali Classic Espresso</t>
  </si>
  <si>
    <t>Shine Day El Salvador</t>
  </si>
  <si>
    <t>Kenya Kirinyaga Baragwi Guama AB</t>
  </si>
  <si>
    <t>Guatemala Finca El General Espresso</t>
  </si>
  <si>
    <t>Ethiopia Guji Zone Natural</t>
  </si>
  <si>
    <t>Kenya Boma AA</t>
  </si>
  <si>
    <t>Colombia Finca Campoalegre</t>
  </si>
  <si>
    <t>Kenya Boma Peaberry</t>
  </si>
  <si>
    <t>Esmeralda Special Auction Washed Geisha</t>
  </si>
  <si>
    <t>Gesha Village 1931, Lot 86</t>
  </si>
  <si>
    <t>Gesha Village Natural Oma Block Lot 72</t>
  </si>
  <si>
    <t>Gesha Village Lot 76 Nasha Block</t>
  </si>
  <si>
    <t>Gesha Village Auction Lot 26 Gori Gesha Natural</t>
  </si>
  <si>
    <t>Carmen Geisha El Palomar Best of Panama #4 Carlos Aguilera</t>
  </si>
  <si>
    <t>Karuthi Espresso</t>
  </si>
  <si>
    <t>Chelelektu Espresso</t>
  </si>
  <si>
    <t>Karuthi Kenya</t>
  </si>
  <si>
    <t>Finca El Obraje Colombia Gesha</t>
  </si>
  <si>
    <t>Kenya AA Top Nyeri Tekangu Tegu Microlot</t>
  </si>
  <si>
    <t>Washed Ethiopia Yirgacheffe Banko Gotiti</t>
  </si>
  <si>
    <t>Sumatra Danau Toba</t>
  </si>
  <si>
    <t>Kapsakiso Kenya</t>
  </si>
  <si>
    <t>Ethiopia Washed Kayon Mountain</t>
  </si>
  <si>
    <t>Ninety Plus Gesha Estates Limited Batch #227</t>
  </si>
  <si>
    <t>Makwa Kenya AB</t>
  </si>
  <si>
    <t>Finca El Guamo Colombia</t>
  </si>
  <si>
    <t>Kenya Ndaroini AA</t>
  </si>
  <si>
    <t>El Salvador Finca Kilimanjaro Natural</t>
  </si>
  <si>
    <t>Kamagogo Kenya</t>
  </si>
  <si>
    <t>Twisted 4.0 Espresso</t>
  </si>
  <si>
    <t>El Salvador Finca Kilimanjaro Cascara Fermentation Aida Batlle</t>
  </si>
  <si>
    <t>Puna Natural</t>
  </si>
  <si>
    <t>Colombia La Palma Y El Tucan Gesha</t>
  </si>
  <si>
    <t>Bourbon Peaberry</t>
  </si>
  <si>
    <t>Gesha Village Estate Bench Maji Gesha G1</t>
  </si>
  <si>
    <t>Bourbon-Barrel-Aged Kenya Baragu</t>
  </si>
  <si>
    <t>Aged Sumatra Ulos Batak Peaberry</t>
  </si>
  <si>
    <t>Colombia La Palma and El Tucan Espresso</t>
  </si>
  <si>
    <t>Kenya Kabare AA</t>
  </si>
  <si>
    <t>Gesha, Gesha Village 1931</t>
  </si>
  <si>
    <t>Aricha Yirgacheffe Ethiopia</t>
  </si>
  <si>
    <t>Guatemala Finca Cappuccino вЂњEcho-LotвЂќ Espresso</t>
  </si>
  <si>
    <t>Ethiopia Guji Shakiso Danbi Uddo</t>
  </si>
  <si>
    <t>Kenya AA Gura Auction Lot</t>
  </si>
  <si>
    <t>Yirgacheffe G1 Idido</t>
  </si>
  <si>
    <t>Yemen Port of Mokha Hayma Microlot</t>
  </si>
  <si>
    <t>Edgar Motta Colombia Pink Bourbon</t>
  </si>
  <si>
    <t>Papua New Guinea PB Kimel Estate</t>
  </si>
  <si>
    <t>Panama La Esmeralda Noria Enero Geisha</t>
  </si>
  <si>
    <t>Rwanda Bufcafe</t>
  </si>
  <si>
    <t>Ethiopia Queen Sheba Natural Yirgacheffe Phoenix Special</t>
  </si>
  <si>
    <t>Ulos Batak Sumatra Peaberry</t>
  </si>
  <si>
    <t>Bernachon High-Level Espresso</t>
  </si>
  <si>
    <t>Mora Negra Geisha Hartmann Farm</t>
  </si>
  <si>
    <t>Gori Gesha Forest</t>
  </si>
  <si>
    <t>Ethiopia Natural Hambela Buku</t>
  </si>
  <si>
    <t>Panama Camilina Natural Geisha</t>
  </si>
  <si>
    <t>Kenya Nyeri Thageini Peaberry</t>
  </si>
  <si>
    <t>Hawaii Kilauea Volcano Nano-Lot</t>
  </si>
  <si>
    <t>Ethiopia Charbanta Natural</t>
  </si>
  <si>
    <t>Esmeralda Noria Natural</t>
  </si>
  <si>
    <t>Miami Winter Holiday Blend</t>
  </si>
  <si>
    <t>Duncan Estate Panamanian Gesha</t>
  </si>
  <si>
    <t>The Jungle</t>
  </si>
  <si>
    <t>Ethiopia Yirgacheffe</t>
  </si>
  <si>
    <t>Ethiopia Washed Yirgacheffe вЂњParadiseвЂќ Espresso</t>
  </si>
  <si>
    <t>Kenya Lenana</t>
  </si>
  <si>
    <t>вЂњMini-MeвЂќ Washed Yirgacheffe</t>
  </si>
  <si>
    <t>Kenya Guama Peaberry</t>
  </si>
  <si>
    <t>Los Congos Pacamara Natural</t>
  </si>
  <si>
    <t>Granja La Esperanza Colombia</t>
  </si>
  <si>
    <t>Mokka</t>
  </si>
  <si>
    <t>Kenya Gathugu</t>
  </si>
  <si>
    <t>Pacamara Finca Los Planes El Salvador</t>
  </si>
  <si>
    <t>Kenya Karindundu</t>
  </si>
  <si>
    <t>Panama Finca Las Brujas Geisha Natural</t>
  </si>
  <si>
    <t>P.r.o. Coffee Ethiopia Yirgacheffe</t>
  </si>
  <si>
    <t>Gichichi Peaberry Kenya</t>
  </si>
  <si>
    <t>Blade Runner Blend</t>
  </si>
  <si>
    <t>LauraвЂ™s Reserve SL-28</t>
  </si>
  <si>
    <t>Panama Finca Mama Cata Microlot Tona</t>
  </si>
  <si>
    <t>Mr. David Mburu Kenya</t>
  </si>
  <si>
    <t>Meaza Ethiopia</t>
  </si>
  <si>
    <t>Costa Rica Finca Chispirta</t>
  </si>
  <si>
    <t>Las Lajas Perla Negra Natural</t>
  </si>
  <si>
    <t>Ninety Plus Silvia Solkiln N2</t>
  </si>
  <si>
    <t>P.R.O. Special Blended Coffee</t>
  </si>
  <si>
    <t>Ethiopia Natural Yirgacheffe Gedeb G1 Lot 118</t>
  </si>
  <si>
    <t>Ethiopia Gedeb Natural</t>
  </si>
  <si>
    <t>Kenya Gathiruini</t>
  </si>
  <si>
    <t>Kenya Thageini</t>
  </si>
  <si>
    <t>Kenya Gatomboya Peaberry</t>
  </si>
  <si>
    <t>Worka Ethiopia</t>
  </si>
  <si>
    <t>Indonesia Sumatra Tano Batak</t>
  </si>
  <si>
    <t>Ethiopia Hambela Washed</t>
  </si>
  <si>
    <t>Kenya Muranga Gondo AA</t>
  </si>
  <si>
    <t>Kenya Small-Lot Reserve Karatina AA</t>
  </si>
  <si>
    <t>Washed Yirgacheffe Aramo Alemayehu Berhanu</t>
  </si>
  <si>
    <t>Kenya Nyeri Gathugu</t>
  </si>
  <si>
    <t>Ethiopia Yirgacheffe Chelelektu</t>
  </si>
  <si>
    <t>Passport Collection Kenya Ichamara</t>
  </si>
  <si>
    <t>Ethiopia Limu Natural No. 701</t>
  </si>
  <si>
    <t>Ethiopia Yirgacheffe YCFCU Idido</t>
  </si>
  <si>
    <t>Sumatra Black Panther</t>
  </si>
  <si>
    <t>Sumatra Lintong Mutu Batak</t>
  </si>
  <si>
    <t>Amaro Gayo Natural Ethiopia</t>
  </si>
  <si>
    <t>Ardi Ethiopia Natural</t>
  </si>
  <si>
    <t>Deri Kochoha Espresso</t>
  </si>
  <si>
    <t>Camilina Geisha Auromar Natural</t>
  </si>
  <si>
    <t>ManLao River Ethiopia Yirgacheffe Dry Process Gedeb Asasa</t>
  </si>
  <si>
    <t>Deri Kochoha Ethiopia</t>
  </si>
  <si>
    <t>Cachajinas Guatemala Huehuetenango</t>
  </si>
  <si>
    <t>Ethiopia Yirgacheffe Goro</t>
  </si>
  <si>
    <t>Ethiopia Yirgacheffe Reko</t>
  </si>
  <si>
    <t>Costa Rica Alberto Guardia Bourbon Natural</t>
  </si>
  <si>
    <t>Colombia San Adolfo</t>
  </si>
  <si>
    <t>Brazil Estancia Telese</t>
  </si>
  <si>
    <t>Brazil Fazenda Passeio Natural</t>
  </si>
  <si>
    <t>Kenya Nyeri Gatugi AA</t>
  </si>
  <si>
    <t>Panama La Esmeralda Bosque Geisha</t>
  </si>
  <si>
    <t>Ethiopia Yirgacheffe Kebele Kochore</t>
  </si>
  <si>
    <t>El Sitio Ecuador</t>
  </si>
  <si>
    <t>Harfusa Espresso</t>
  </si>
  <si>
    <t>SOPACDI Congo</t>
  </si>
  <si>
    <t>Reserve Panama Geisha Hacienda La Esmeralda</t>
  </si>
  <si>
    <t>Competition Blend</t>
  </si>
  <si>
    <t>Bean Brain Reserve Suke Quto Ethiopia Sidamo Espresso</t>
  </si>
  <si>
    <t>Hambela Ethiopia</t>
  </si>
  <si>
    <t>Drima Zede Ethiopia</t>
  </si>
  <si>
    <t>Ecuador Juan PeГ±a</t>
  </si>
  <si>
    <t>Kenya Othaya Peaberry</t>
  </si>
  <si>
    <t>Organic Ethiopia Aramo Natural</t>
  </si>
  <si>
    <t>Love Shack (Kenya)</t>
  </si>
  <si>
    <t>Costa Rica Alberto Guardia Venecia Natural</t>
  </si>
  <si>
    <t>Adame Gorbota Espresso</t>
  </si>
  <si>
    <t>El Aguila Pacamara Espresso</t>
  </si>
  <si>
    <t>Ethiopia Natural Yirgacheffe Banko Gutiti Coop</t>
  </si>
  <si>
    <t>Ethiopia Natural Sidamo Guji Shakisso</t>
  </si>
  <si>
    <t>Colombia Granja La Esperanza Las Margaritas Sudan Rume</t>
  </si>
  <si>
    <t>Adame Gorbota Ethiopia</t>
  </si>
  <si>
    <t>Panama Ratibor Hartmann Natural</t>
  </si>
  <si>
    <t>Kenya AA Nyeri Tambaya</t>
  </si>
  <si>
    <t>Costa Rica Las Lajas Red Honey</t>
  </si>
  <si>
    <t>Bernachon Panama Geisha</t>
  </si>
  <si>
    <t>Panama La Esmeralda Geisha Bosque Natural</t>
  </si>
  <si>
    <t>Harfusa Ethiopia Yirgacheffe Fair Trade Organic</t>
  </si>
  <si>
    <t>ASOPCAFA Colombia</t>
  </si>
  <si>
    <t>Guatemala San Sebastian Natural</t>
  </si>
  <si>
    <t>Ethiopia Hachira Natural Espresso</t>
  </si>
  <si>
    <t>Ethiopia Kochere Espresso Profile</t>
  </si>
  <si>
    <t>Kenya Nyeri Kiama FCS Ichuga Factory Peaberry</t>
  </si>
  <si>
    <t>Kenya Nyeri Thageini</t>
  </si>
  <si>
    <t>Kenya AA Lot-125 вЂњQueen FloraвЂќ</t>
  </si>
  <si>
    <t>Ethiopia Natural Yirgacheffe Phoenix Special вЂњKing SolomonвЂќ</t>
  </si>
  <si>
    <t>Fully Washed Ethiopia Phoenix Special вЂњDr. EvilвЂќ</t>
  </si>
  <si>
    <t>Sulawesi вЂњTanah KebangkitanвЂќ Phoenix Special Espresso</t>
  </si>
  <si>
    <t>Kenya AA Lot-122 вЂњExcaliburвЂќ Espresso</t>
  </si>
  <si>
    <t>Panama Elida Natural Lot #13</t>
  </si>
  <si>
    <t>EmmaвЂ™s Jo: The Leam Hammer Competition Espresso</t>
  </si>
  <si>
    <t>Costa Rica Sumava Natural Lot</t>
  </si>
  <si>
    <t>Panama Auromar Geisha Natural Peaberry</t>
  </si>
  <si>
    <t>El Burro Geisha Tachi Natural</t>
  </si>
  <si>
    <t>Nicaragua Pacamara Los Congos Lot #8</t>
  </si>
  <si>
    <t>Panama Boquete Kotowa Gesha Natural</t>
  </si>
  <si>
    <t>Panama Finca Auromar Camilina Natural</t>
  </si>
  <si>
    <t>El Aguila SL-28 El Salvador</t>
  </si>
  <si>
    <t>Ethiopia Sidama Special Lot Natural</t>
  </si>
  <si>
    <t>Panama Finca Deborah Caturra Natural</t>
  </si>
  <si>
    <t>Nekisse Red N2 Level 39</t>
  </si>
  <si>
    <t>Panama La Esmeralda Bosque Lot 1 Gesha</t>
  </si>
  <si>
    <t>Finca La Mula Panama Geisha Natural</t>
  </si>
  <si>
    <t>La Lagunita El Salvador</t>
  </si>
  <si>
    <t>Kenya Kinuyu AA</t>
  </si>
  <si>
    <t>Costa Rica Alberto Guardia Venecia Honey</t>
  </si>
  <si>
    <t>Nicaragua Cafe Vidita Los Congos Pacamara Natural</t>
  </si>
  <si>
    <t>Kenya Kigutha AA</t>
  </si>
  <si>
    <t>Panama Altieri Natural Geisha</t>
  </si>
  <si>
    <t>Organic Espresso</t>
  </si>
  <si>
    <t>Kemgin Ninety Plus</t>
  </si>
  <si>
    <t>Ethiopia Nigusse Lemma</t>
  </si>
  <si>
    <t>Panama Don Pepe Estate Geisha Single-Origin Espresso</t>
  </si>
  <si>
    <t>Las Flores Espresso</t>
  </si>
  <si>
    <t>El Salvador Finca Medrano Pacamara Nohemi Ventura</t>
  </si>
  <si>
    <t>Ethiopia Jimma Agaro</t>
  </si>
  <si>
    <t>Rwanda Silverback Espresso</t>
  </si>
  <si>
    <t>Ecuador вЂњMama KilyaвЂќ Espresso</t>
  </si>
  <si>
    <t>Ethiopia Hambela</t>
  </si>
  <si>
    <t>Kenya Nyeri Peaberry</t>
  </si>
  <si>
    <t>Panama Lino Esmeralda Geisha Natural</t>
  </si>
  <si>
    <t>Ethiopia Sidama Akrabi</t>
  </si>
  <si>
    <t>Kenya AA Gakuyuri</t>
  </si>
  <si>
    <t>Kenya Embu Gakui Peaberry</t>
  </si>
  <si>
    <t>Kenya AA Kigwandi Estate</t>
  </si>
  <si>
    <t>Ethiopia Yirgacheffe Buna Ababa</t>
  </si>
  <si>
    <t>Panama Don Pepe Fully Washed Geisha</t>
  </si>
  <si>
    <t>Golden Mean Espresso Blend</t>
  </si>
  <si>
    <t>Finca La Mula Panama Geisha</t>
  </si>
  <si>
    <t>S.O. Espresso Brazil Fazenda Santa Ines</t>
  </si>
  <si>
    <t>Black House</t>
  </si>
  <si>
    <t>Kenya Gachatha AA</t>
  </si>
  <si>
    <t>Burundi Kayanza Province Mpanga Washing Station</t>
  </si>
  <si>
    <t>Ethiopia Yirgacheffe Dabub Matebya</t>
  </si>
  <si>
    <t>Yemen Haraaz Red A+</t>
  </si>
  <si>
    <t>El Salvador Finca Loma La Gloria</t>
  </si>
  <si>
    <t>Ethiopia Washed Limu Gera</t>
  </si>
  <si>
    <t>Ethiopia Aricha</t>
  </si>
  <si>
    <t>Colombia Special Process Microlot 511 вЂњMemory OrchardвЂќ Espresso</t>
  </si>
  <si>
    <t>Costa Rica Sonora Bourbon Natural</t>
  </si>
  <si>
    <t>The Secret Coffee</t>
  </si>
  <si>
    <t>Panama Finca Hartmann</t>
  </si>
  <si>
    <t>Sumatra Ulos Batak</t>
  </si>
  <si>
    <t>Sillvia Solkiln N2 Level 95</t>
  </si>
  <si>
    <t>Sweet MariaвЂ™s Acatenango Gesha</t>
  </si>
  <si>
    <t>Keremara AA Kenya</t>
  </si>
  <si>
    <t>Tchembe Gedeo Ethiopia</t>
  </si>
  <si>
    <t>Ethiopia Yirgacheffe Gedeo</t>
  </si>
  <si>
    <t>Sumatra Lake Toba Peaberry</t>
  </si>
  <si>
    <t>Ethiopian Washed Kochere G1 SO Espresso</t>
  </si>
  <si>
    <t>Colombia Granja La Esperanza Grand Cru Mokka</t>
  </si>
  <si>
    <t>Panama Esmeralda Geisha</t>
  </si>
  <si>
    <t>Rum-Barrel Conditioned Ethiopia Gelena Abaya</t>
  </si>
  <si>
    <t>Milepost Kenya Nyeri Ruarai</t>
  </si>
  <si>
    <t>Kenya Thiriku</t>
  </si>
  <si>
    <t>Ari-Ari Seuri-Seuri</t>
  </si>
  <si>
    <t>Jazz Apricot (Espresso)</t>
  </si>
  <si>
    <t>Ethiopia Biloya Organic</t>
  </si>
  <si>
    <t>Organic Ethiopian Worka Special Prep</t>
  </si>
  <si>
    <t>Ethiopia Washed Yirgacheffe Alemu Station</t>
  </si>
  <si>
    <t>Kenya Kianjuri AB</t>
  </si>
  <si>
    <t>Kenya Nyeri Tambaya Peaberry</t>
  </si>
  <si>
    <t>Ethiopian Yirgacheffe Idido Natural</t>
  </si>
  <si>
    <t>Kenya AA</t>
  </si>
  <si>
    <t>Ethiopia Suke Quto Organic</t>
  </si>
  <si>
    <t>Espresso Blend Spring 15</t>
  </si>
  <si>
    <t>Esmeralda Leon Natural Geisha</t>
  </si>
  <si>
    <t>Shilcho Ethiopia, Red Cherry Initiative</t>
  </si>
  <si>
    <t>Lomi Tasha Worka, Ethiopia</t>
  </si>
  <si>
    <t>Semeon Abay Ethiopia</t>
  </si>
  <si>
    <t>Kenya Nyeri Rukira AB</t>
  </si>
  <si>
    <t>Auromar Camilina Geisha</t>
  </si>
  <si>
    <t>Ethiopia Wenago Natural</t>
  </si>
  <si>
    <t>Panama Geisha Holiday Blend</t>
  </si>
  <si>
    <t>Panama Esmeralda Especial Geisha Bosque 2</t>
  </si>
  <si>
    <t>Gratitude Special Blend</t>
  </si>
  <si>
    <t>Nicaragua Pacamara Reserve Los Congos</t>
  </si>
  <si>
    <t>Kenya Muthonjo AA</t>
  </si>
  <si>
    <t>Ethiopia Ninety Plus Hachira N2</t>
  </si>
  <si>
    <t>Perci Red Panama Gesha</t>
  </si>
  <si>
    <t>Kenya Karagoto</t>
  </si>
  <si>
    <t>Nekisse Natural Process Ethiopia</t>
  </si>
  <si>
    <t>Ethiopia Yirgacheffe Gutiti</t>
  </si>
  <si>
    <t>Ethiopia Konga</t>
  </si>
  <si>
    <t>Kenya AA Top 405A Espresso</t>
  </si>
  <si>
    <t>Seasonal Mini-Me Yirgacheffe Washed</t>
  </si>
  <si>
    <t>Panama Mama Cata Natural</t>
  </si>
  <si>
    <t>High Mountain Red Bourbon</t>
  </si>
  <si>
    <t>Panama Duncan Natural Gesha</t>
  </si>
  <si>
    <t>Kenya Kigwandi AA</t>
  </si>
  <si>
    <t>Ethiopia Homacho Waeno</t>
  </si>
  <si>
    <t>Colombia Granja Esperanza Gesha AAA</t>
  </si>
  <si>
    <t>Kenya Mathew Mugo</t>
  </si>
  <si>
    <t>Organic Ethiopian Banko Natural</t>
  </si>
  <si>
    <t>Konga Natural Ethiopia</t>
  </si>
  <si>
    <t>Kenya AA Giakanja</t>
  </si>
  <si>
    <t>Ethiopia CheleвЂ™ Lektu</t>
  </si>
  <si>
    <t>Ethiopia Boke Natural Grade 1 Espresso</t>
  </si>
  <si>
    <t>Kochoha Espresso</t>
  </si>
  <si>
    <t>Kenya Nyeri Giakanja</t>
  </si>
  <si>
    <t>Perci N2 L39</t>
  </si>
  <si>
    <t>Yirgacheffe Aricha Natural G1</t>
  </si>
  <si>
    <t>Panama Ironman Camilina Geisha</t>
  </si>
  <si>
    <t>Panama Estate Reserve: Elida Estate Natural</t>
  </si>
  <si>
    <t>ByronвЂ™s Maracaturra Natural Nicaragua</t>
  </si>
  <si>
    <t>Panama Chiriqui Finca Santa Teresa Geisha</t>
  </si>
  <si>
    <t>Costa Rica Cerro San Luis Natural</t>
  </si>
  <si>
    <t>Panama La Berlina Typica Natural</t>
  </si>
  <si>
    <t>Costa Rica Flor de Santos Bourbon Natural</t>
  </si>
  <si>
    <t>Panama NPGE Perci N2</t>
  </si>
  <si>
    <t>El Salvador Cerro Las Ranas Espresso</t>
  </si>
  <si>
    <t>Kii Kenya</t>
  </si>
  <si>
    <t>Ethiopia Boke Washed Grade 1</t>
  </si>
  <si>
    <t>Ethiopia Semeon Abay N3</t>
  </si>
  <si>
    <t>Kenya Kahiriga</t>
  </si>
  <si>
    <t>Elida Estate Panama</t>
  </si>
  <si>
    <t>Kenya Baragwi Kagongo Peaberry</t>
  </si>
  <si>
    <t>Washed Yirgacheffe</t>
  </si>
  <si>
    <t>Kenya Kikai</t>
  </si>
  <si>
    <t>Ethiopia Yirgacheffe Kore Kochore</t>
  </si>
  <si>
    <t>SO Espresso Brazil Fazenda Rainha Natural</t>
  </si>
  <si>
    <t>Papua New Guinea Kunjin</t>
  </si>
  <si>
    <t>Celinga Ethiopia Espresso</t>
  </si>
  <si>
    <t>Celinga Ethiopia</t>
  </si>
  <si>
    <t>Ethiopia Danch Meng</t>
  </si>
  <si>
    <t>Ethiopia Moplaco Yirgacheffe</t>
  </si>
  <si>
    <t>Ethiopia Yirga Natural Bedhatu</t>
  </si>
  <si>
    <t>Kenya Nyeri Tambaya AA</t>
  </si>
  <si>
    <t>Guji Zone Ethiopia</t>
  </si>
  <si>
    <t>Colombia Finca Monte Verde, Gildardo Gutierrez</t>
  </si>
  <si>
    <t>Twisted 3.0 Espresso</t>
  </si>
  <si>
    <t>Ethiopia Amaro Gayo Dry Process</t>
  </si>
  <si>
    <t>Ethiopia Gedeo Yirgacheffe</t>
  </si>
  <si>
    <t>Rwanda Karongi Gitesi</t>
  </si>
  <si>
    <t>Gelgelu Adame Ethiopia Yirgacheffe Organic Natural Process</t>
  </si>
  <si>
    <t>Ethiopia FTO Worka</t>
  </si>
  <si>
    <t>Kenya Makwa AB</t>
  </si>
  <si>
    <t>Kenya Kabare AB</t>
  </si>
  <si>
    <t>El Salvador Santa Elena Honey Pacamara</t>
  </si>
  <si>
    <t>Ethiopia Yirgacheffe ECX Auction Lot</t>
  </si>
  <si>
    <t>Ethiopia Ninety Plus Pheribo N2</t>
  </si>
  <si>
    <t>Ethiopia Washed Sidama Shilcho Coop G1</t>
  </si>
  <si>
    <t>Ethiopia Washed Yirgacheffe вЂњMini-MeвЂќ 2014</t>
  </si>
  <si>
    <t>Panama Los Lajones Bambu Geisha</t>
  </si>
  <si>
    <t>Kikai Kenya</t>
  </si>
  <si>
    <t>Panama Gesha Perci Red</t>
  </si>
  <si>
    <t>Organic Ethiopian Yirgacheffe Idido</t>
  </si>
  <si>
    <t>Panama Finca La Mula Geisha Natural</t>
  </si>
  <si>
    <t>Ethiopia Washed Yirgacheffe Mini-Me</t>
  </si>
  <si>
    <t>Ethiopia Kelenso Mokanisa</t>
  </si>
  <si>
    <t>Ganesha Espresso</t>
  </si>
  <si>
    <t>Lennette Kenya</t>
  </si>
  <si>
    <t>Ethiopia Ninety Plus Nekisse Red</t>
  </si>
  <si>
    <t>Ethiopia Yirgacheffe Kochere Aricha</t>
  </si>
  <si>
    <t>Ethiopia Banko Natural</t>
  </si>
  <si>
    <t>Makwa Kenya Nyeri</t>
  </si>
  <si>
    <t>Panama Los Lajones Bambu Geisha Natural</t>
  </si>
  <si>
    <t>Juliette Red Ninety Plus Gesha Estate Panama</t>
  </si>
  <si>
    <t>100% Kona High Mountain Io Extra Fancy</t>
  </si>
  <si>
    <t>Sumatra Blue Batak Peaberry</t>
  </si>
  <si>
    <t>Panama Gesha Ninety Plus Perci Red</t>
  </si>
  <si>
    <t>El Agulia Pacamara El Salvador</t>
  </si>
  <si>
    <t>Mexico Finca Kassandra Pacamara</t>
  </si>
  <si>
    <t>Panama Finca Santa Teresa Honey Geisha</t>
  </si>
  <si>
    <t>Batista Natural Geisha</t>
  </si>
  <si>
    <t>Perci N2 Ninety Plus Gesha Estates Panama</t>
  </si>
  <si>
    <t>Ethiopia Sidama Deri Kochoha</t>
  </si>
  <si>
    <t>Kenya Kirinyaga Karimikui Peaberry</t>
  </si>
  <si>
    <t>Panama Auromar Estate вЂњIronmanвЂќ Geisha</t>
  </si>
  <si>
    <t>Kenya Ruira Mchana Estate</t>
  </si>
  <si>
    <t>Honeyed Yellow Caturra</t>
  </si>
  <si>
    <t>Hawaii KaвЂ™u Isla</t>
  </si>
  <si>
    <t>Ethiopia Yirgacheffe Kochere Grade 1</t>
  </si>
  <si>
    <t>Colombia Valle del Cauca Cerro Azul Geisha AAA</t>
  </si>
  <si>
    <t>Nyala Kenya Peaberry</t>
  </si>
  <si>
    <t>Ethiopia Kercha Naturally Processed Sidama</t>
  </si>
  <si>
    <t>Kenya AA Top Lot A114</t>
  </si>
  <si>
    <t>Mchana Kenya Peaberry</t>
  </si>
  <si>
    <t>Deri Kochoha Ethiopian Sidamo</t>
  </si>
  <si>
    <t>Kemgin Ethiopia</t>
  </si>
  <si>
    <t>Lintong Sumatra Dolok Sangul</t>
  </si>
  <si>
    <t>Momma Bear Espresso</t>
  </si>
  <si>
    <t>Ethiopia Yirgacheffe Kochere G1</t>
  </si>
  <si>
    <t>Maragogype Honey Process</t>
  </si>
  <si>
    <t>Ninety Plus Kemgin W2 Ethiopia</t>
  </si>
  <si>
    <t>Ethiopia Dry Process Saris Abaya</t>
  </si>
  <si>
    <t>Kenya AB Top Lot Single-Origin Espresso</t>
  </si>
  <si>
    <t>Geisha S94</t>
  </si>
  <si>
    <t>Sumatra Mandheling Wahana</t>
  </si>
  <si>
    <t>Geisha P.E.B. (RFA)</t>
  </si>
  <si>
    <t>Ethiopia Dry Process Grade 1 Aricha Yirgacheffe</t>
  </si>
  <si>
    <t>Ethiopia Yirgacheffe ECX</t>
  </si>
  <si>
    <t>Tchembe Single Origin Espresso</t>
  </si>
  <si>
    <t>Ethiopia Ninety Plus Kemgin</t>
  </si>
  <si>
    <t>El Salvador Santa Marta Honey</t>
  </si>
  <si>
    <t>Rwanda Nyamasheke</t>
  </si>
  <si>
    <t>Kenya Riakiberu Peaberry</t>
  </si>
  <si>
    <t>Belekatu Ethiopia Yirgacheffe</t>
  </si>
  <si>
    <t>Yukro Ethiopia</t>
  </si>
  <si>
    <t>Kenya Nyeri Gaturiri Peaberry</t>
  </si>
  <si>
    <t>Rutana Burundi Espresso</t>
  </si>
  <si>
    <t>La Esmeralda Mario Carnaval 2012 Panama</t>
  </si>
  <si>
    <t>Sumatra Wahana Natural</t>
  </si>
  <si>
    <t>Kenya Mukurweini Kamuchuni AA</t>
  </si>
  <si>
    <t>Sweet Breeze</t>
  </si>
  <si>
    <t>Ninety Plus Sillvia SK L95</t>
  </si>
  <si>
    <t>Mexico Santa Teresa BCS 02: Cabernet Franc Barrel</t>
  </si>
  <si>
    <t>Yirgacheffe Blue Nile</t>
  </si>
  <si>
    <t>Yirgacheffe Belekatu</t>
  </si>
  <si>
    <t>Ethiopia Yirgacheffe Kochere</t>
  </si>
  <si>
    <t>Mario San Jose Geisha</t>
  </si>
  <si>
    <t>Panama Don Pachi Natural Geisha</t>
  </si>
  <si>
    <t>Kenya Kamviu</t>
  </si>
  <si>
    <t>Panama La Esmeralda Especial</t>
  </si>
  <si>
    <t>Jingle Bell Natural Yirgacheffe</t>
  </si>
  <si>
    <t>Rwanda Abakundakawa</t>
  </si>
  <si>
    <t>Ethiopia Nekisse</t>
  </si>
  <si>
    <t>Finca El Injerto Patagonia, Guatemala</t>
  </si>
  <si>
    <t>Colombia La Esperanza Cerro Azul Geisha</t>
  </si>
  <si>
    <t>Ethiopia Washed Yirgacheffe Aroma Roast</t>
  </si>
  <si>
    <t>Bourbon Duets</t>
  </si>
  <si>
    <t>Lycello Panama Gesha</t>
  </si>
  <si>
    <t>Karatu Kenya AA</t>
  </si>
  <si>
    <t>Kenya Mamuto</t>
  </si>
  <si>
    <t>Kenya Thunguri вЂ“ Top Auction Lot</t>
  </si>
  <si>
    <t>Kenya Nyeri AA Tegu</t>
  </si>
  <si>
    <t>Panama Gesha Estates: Perci Estate 29 Natural</t>
  </si>
  <si>
    <t>Ethiopia Hachira</t>
  </si>
  <si>
    <t>Goldilocks Espresso</t>
  </si>
  <si>
    <t>RoastmasterвЂ™s Reserve Esmeralda</t>
  </si>
  <si>
    <t>Ethiopia Nanno Challa Cooperative</t>
  </si>
  <si>
    <t>Esmeralda Leon, Panama Geisha Auction Lot</t>
  </si>
  <si>
    <t>Gelena Abaya Natural Processed Ethiopia</t>
  </si>
  <si>
    <t>Maui Mokka Peaberry</t>
  </si>
  <si>
    <t>Kona Maragogipe Honey S.O. Espresso</t>
  </si>
  <si>
    <t>Panama Lerida Estate</t>
  </si>
  <si>
    <t>Colombian La Esperanza</t>
  </si>
  <si>
    <t>Colombia Finca Villa Loyola</t>
  </si>
  <si>
    <t>El Vergel Guatemala</t>
  </si>
  <si>
    <t>Kenya Nyeri AA Gaturiri</t>
  </si>
  <si>
    <t>Colombia Huila Monserrate Yaneth Gil Microlot</t>
  </si>
  <si>
    <t>Colombia El Roble Single Origin Espresso</t>
  </si>
  <si>
    <t>Kenya AA Top Single Origin Espresso</t>
  </si>
  <si>
    <t>El Salvador Santa Rita</t>
  </si>
  <si>
    <t>Kenya Meru Kinjo Peaberry</t>
  </si>
  <si>
    <t>Ethiopia Yirgacheffe Gedeo Worka Fair Trade Organic Certified</t>
  </si>
  <si>
    <t>RustyвЂ™s Hawaiian Red Caturra Natural</t>
  </si>
  <si>
    <t>Guatemala El Diamante</t>
  </si>
  <si>
    <t>Honey Pot Espresso</t>
  </si>
  <si>
    <t>Guatemala Pandora Pacamara Medium-Light Roast</t>
  </si>
  <si>
    <t>Panama Geisha Aroma Roast</t>
  </si>
  <si>
    <t>Starlight Blend</t>
  </si>
  <si>
    <t>Kenya Nyeri AB Gichatha-ini Signature Series</t>
  </si>
  <si>
    <t>Colombia Tolimas</t>
  </si>
  <si>
    <t>Ethiopia Harrar</t>
  </si>
  <si>
    <t>El Salvador Nombre de Dios</t>
  </si>
  <si>
    <t>Panama Elida Estate</t>
  </si>
  <si>
    <t>Panama Elida Estate Natural Process</t>
  </si>
  <si>
    <t>Ethiopia Sidamo Guji</t>
  </si>
  <si>
    <t>Kenya Karinga</t>
  </si>
  <si>
    <t>Kenya Karatu AA</t>
  </si>
  <si>
    <t>Kenya Giakanja</t>
  </si>
  <si>
    <t>Kenya AA Kiaora Estate Full City Roast</t>
  </si>
  <si>
    <t>Kenya Kiandu</t>
  </si>
  <si>
    <t>Kenya Kirinyaga Kii Peaberry Espresso</t>
  </si>
  <si>
    <t>Sumatra Lake Tawar</t>
  </si>
  <si>
    <t>Espresso Nuevo</t>
  </si>
  <si>
    <t>Nicaragua SHG</t>
  </si>
  <si>
    <t>Costa Rica Micro Lot вЂњPepeвЂќ Honey Processed</t>
  </si>
  <si>
    <t>Panama Gesha 2011</t>
  </si>
  <si>
    <t>Guatemala Xeucalvitz</t>
  </si>
  <si>
    <t>Kenya Gethembwini</t>
  </si>
  <si>
    <t>Ibonia Kenya Peaberry</t>
  </si>
  <si>
    <t>Colombia Finca Cerro Azul</t>
  </si>
  <si>
    <t>El Patron Nicaragua Espresso</t>
  </si>
  <si>
    <t>Ethiopia Yirgacheffe Addis Ketema North Italian Espresso Roast</t>
  </si>
  <si>
    <t>Bolivia Caranavi Cenaproc Co-op</t>
  </si>
  <si>
    <t>Kenya Ndiara</t>
  </si>
  <si>
    <t>Guatemala La Conception</t>
  </si>
  <si>
    <t>Colombia La Escuelita</t>
  </si>
  <si>
    <t>Kenya Thiriku Top Auction Lot</t>
  </si>
  <si>
    <t>Extra Fancy Kona Coffee Medium Roast</t>
  </si>
  <si>
    <t>El Salvador La Montana Pacamara</t>
  </si>
  <si>
    <t>Stars of Formosa Blend</t>
  </si>
  <si>
    <t>Kenya Kagongo Peaberry</t>
  </si>
  <si>
    <t>Kenya Peaberry Muthunzunni Estate</t>
  </si>
  <si>
    <t>Kenya Kangunu</t>
  </si>
  <si>
    <t>Ethiopia Konga Co-op Yirgacheffe</t>
  </si>
  <si>
    <t>Honduras David Mancia</t>
  </si>
  <si>
    <t>Hawaii Isla Kona Mauka</t>
  </si>
  <si>
    <t>Ethiopia Nekisse Espresso</t>
  </si>
  <si>
    <t>Panama Mama Cata Geisha</t>
  </si>
  <si>
    <t>El Salvador Pacamara Finca Los Alpes The Bank</t>
  </si>
  <si>
    <t>Honduras Fernandez Farm</t>
  </si>
  <si>
    <t>Resiprocate Verita Espresso</t>
  </si>
  <si>
    <t>KaвЂ™u Coffee Natural Dried</t>
  </si>
  <si>
    <t>Stars of Italy Espresso</t>
  </si>
  <si>
    <t>Guatemala Hunapu Antigua Bourbon</t>
  </si>
  <si>
    <t>Kenya Bourbon French Mission</t>
  </si>
  <si>
    <t>Kenya Peaberry Kirinyaga Kii</t>
  </si>
  <si>
    <t>El Salvador Pacamara Finca Los Alpes Tierra Fertil</t>
  </si>
  <si>
    <t>Panama Esmeralda Mario Carnival</t>
  </si>
  <si>
    <t>Panama La Esmeralda Especial Mario San Jose</t>
  </si>
  <si>
    <t>Mocha Java Espresso</t>
  </si>
  <si>
    <t>Sumatra Aceh Pondok</t>
  </si>
  <si>
    <t>Ethiopian Sidamo Fair Trade/Organic</t>
  </si>
  <si>
    <t>PeopleвЂ™s Daily Espresso</t>
  </si>
  <si>
    <t>Tanzanian Songea Peaberry</t>
  </si>
  <si>
    <t>La Esperanza Colombia Huila</t>
  </si>
  <si>
    <t>Ethiopia Yirga Cheffe Koke Espresso</t>
  </si>
  <si>
    <t>Ethiopia Sidama ARDI</t>
  </si>
  <si>
    <t>Sulawesi Toraja</t>
  </si>
  <si>
    <t>Indonesia Blue Batak Peaberry</t>
  </si>
  <si>
    <t>Romance by Paradise</t>
  </si>
  <si>
    <t>Ethiopia Washed Yirgacheffe, Koke Grade 1</t>
  </si>
  <si>
    <t>Kenya AA Top</t>
  </si>
  <si>
    <t>Costa Rica Finca Cerro Palado</t>
  </si>
  <si>
    <t>Ethiopia Yirgacheffe Koke</t>
  </si>
  <si>
    <t>La Esmeralda</t>
  </si>
  <si>
    <t>Kenya Githiru</t>
  </si>
  <si>
    <t>Panama Elida Estate Natural</t>
  </si>
  <si>
    <t>Fair Trade Organic Ethiopia Yirgacheffe</t>
  </si>
  <si>
    <t>Hacienda La Esmeralda Special Mario Carnaval</t>
  </si>
  <si>
    <t>Panama El Burro Estate</t>
  </si>
  <si>
    <t>KaвЂ™u Bourbon</t>
  </si>
  <si>
    <t>Kenya Peaberry Thika Gethumbwini</t>
  </si>
  <si>
    <t>Burundi Kinyovu</t>
  </si>
  <si>
    <t>Bonsai Blend Espresso</t>
  </si>
  <si>
    <t>Ethiopia Yirgacheffe Beloya Selection 8</t>
  </si>
  <si>
    <t>Kenya AA Gachatha</t>
  </si>
  <si>
    <t>вЂњKona SweetвЂќ 100% Kona</t>
  </si>
  <si>
    <t>Kenya Ndiara Full Flavor Roast</t>
  </si>
  <si>
    <t>Kenya Ndaroini Microlot</t>
  </si>
  <si>
    <t>Panama Elida Natural</t>
  </si>
  <si>
    <t>Ethiopia Sidamo Special Prep</t>
  </si>
  <si>
    <t>El Salvador Finca Siberia Pacamara</t>
  </si>
  <si>
    <t>Panama Esmeralda Especial</t>
  </si>
  <si>
    <t>La Esmeralda Panama</t>
  </si>
  <si>
    <t>Panama Esmeralda Lot 9</t>
  </si>
  <si>
    <t>Ethiopia Awassa Special</t>
  </si>
  <si>
    <t>Kenya Peaberry Nyeri-Tatu</t>
  </si>
  <si>
    <t>El Salvador Pacamara Tierra Fertil Los Alpes Reserva</t>
  </si>
  <si>
    <t>Ruvuma Tanzanian Peaberry</t>
  </si>
  <si>
    <t>Ethiopia Sidamo Natural Korate</t>
  </si>
  <si>
    <t>Kenya AA Nyeri Tatu</t>
  </si>
  <si>
    <t>Kenya Peaberry Ruera Estate</t>
  </si>
  <si>
    <t>Brazil Fazenda Boa Vista</t>
  </si>
  <si>
    <t>Ethiopia Yirgacheffe Aricha Selection #7</t>
  </si>
  <si>
    <t>Guatemala El Injerto</t>
  </si>
  <si>
    <t>Organic Colombia</t>
  </si>
  <si>
    <t>Colombia Tolima Jairo Guiterrez Micro-Lot 07</t>
  </si>
  <si>
    <t>Tres Santos Micro-Lot La Dorada Cauca</t>
  </si>
  <si>
    <t>Nectar</t>
  </si>
  <si>
    <t>La Minita Costa Rica</t>
  </si>
  <si>
    <t>Kenya Kigutha</t>
  </si>
  <si>
    <t>Hacienda La Esmeralda</t>
  </si>
  <si>
    <t>Kenya AA Mathareini</t>
  </si>
  <si>
    <t>Kenyan Highland Cooperatives</t>
  </si>
  <si>
    <t>Esmeralda Especial Best of Panama</t>
  </si>
  <si>
    <t>Esmeralda Especial Panama</t>
  </si>
  <si>
    <t>Rwanda Karaba Fair Trade</t>
  </si>
  <si>
    <t>Kenya Karogoto</t>
  </si>
  <si>
    <t>Kenya AA Wagamuga Auction Lot</t>
  </si>
  <si>
    <t>Aricha Selection Seven Ethiopia Yirgacheffe</t>
  </si>
  <si>
    <t>Kenya Peaberry Deep River Estate</t>
  </si>
  <si>
    <t>Ethiopia Biloya Special</t>
  </si>
  <si>
    <t>Huila El Palacio Colombia</t>
  </si>
  <si>
    <t>El Salvador Los Planes Cup of Excellence 2006</t>
  </si>
  <si>
    <t>Natural Decaf Espresso</t>
  </si>
  <si>
    <t>Decaf Organic Caffe Volcan</t>
  </si>
  <si>
    <t>Colombia Cauca, Special Micro-Lot Selection Juvenal Penna</t>
  </si>
  <si>
    <t>Colombia El Castillo Micro-Lot Nelson Melo</t>
  </si>
  <si>
    <t>Colombia Hato Viejo Cup of Excellence</t>
  </si>
  <si>
    <t>Colombia Tolima Reynel Perez Micro-Lot</t>
  </si>
  <si>
    <t>Colombia Huila Supremo</t>
  </si>
  <si>
    <t>Kenyan AA</t>
  </si>
  <si>
    <t>El Salvador Los Planes Pacamara</t>
  </si>
  <si>
    <t>El Salvador Pacamara Los Planes</t>
  </si>
  <si>
    <t>Nicaragua El Progresso COE Lot #1</t>
  </si>
  <si>
    <t>Kenya Mamuto Kirinyaga</t>
  </si>
  <si>
    <t>Belle Espresso</t>
  </si>
  <si>
    <t>Colombia Pitalito Estate</t>
  </si>
  <si>
    <t>Hamma Cooperative Yirgacheffe, Fair-Trade Organic</t>
  </si>
  <si>
    <t>Sumatra Golden Mandheling</t>
  </si>
  <si>
    <t>Guatemala Antigua вЂ“ Finca La Tacita</t>
  </si>
  <si>
    <t>Kenya AA Nyeri Fine Cup</t>
  </si>
  <si>
    <t>El Salvador Montecarlos Tablon Crater</t>
  </si>
  <si>
    <t>El Salvador Montecarlos Peaberry</t>
  </si>
  <si>
    <t>Nicaragua Maragogipe Organic</t>
  </si>
  <si>
    <t>Kenya AA, 2003 Crop</t>
  </si>
  <si>
    <t>Fair Trade Organic Guatemala</t>
  </si>
  <si>
    <t>Very Dark</t>
  </si>
  <si>
    <t>Nicaraguan Maracaturra Light Roast</t>
  </si>
  <si>
    <t>Elm City House Blend</t>
  </si>
  <si>
    <t>Vienna Roast</t>
  </si>
  <si>
    <t>Count of coffee_name</t>
  </si>
  <si>
    <t>Average of agtron_roast</t>
  </si>
  <si>
    <t>Average of agtron_ground</t>
  </si>
  <si>
    <t>Average of total_score</t>
  </si>
  <si>
    <t>Column Labels</t>
  </si>
  <si>
    <t>AVERAGE</t>
  </si>
  <si>
    <t>MIN</t>
  </si>
  <si>
    <t>MAX</t>
  </si>
  <si>
    <t>COUNTIF &gt; AVG</t>
  </si>
  <si>
    <t>COUNTIF &lt; AVG</t>
  </si>
  <si>
    <t>price_segmentation</t>
  </si>
  <si>
    <t>total_quality</t>
  </si>
  <si>
    <t>Average of total_quality</t>
  </si>
  <si>
    <t>budget</t>
  </si>
  <si>
    <t>middle</t>
  </si>
  <si>
    <t>premium</t>
  </si>
  <si>
    <t>Count of total_quality</t>
  </si>
  <si>
    <t>Max of total_quality</t>
  </si>
  <si>
    <t>Min of total_quality</t>
  </si>
  <si>
    <t>countries</t>
  </si>
  <si>
    <t>region</t>
  </si>
  <si>
    <t>America</t>
  </si>
  <si>
    <t>Africa</t>
  </si>
  <si>
    <t>Asia-Pacific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</si>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</sst>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bgColor rgb="FF99CCFF"/>
        </patternFill>
      </fill>
    </dxf>
    <dxf>
      <fill>
        <patternFill patternType="solid">
          <bgColor rgb="FF99CCFF"/>
        </patternFill>
      </fill>
    </dxf>
  </dxfs>
  <tableStyles count="0" defaultTableStyle="TableStyleMedium2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Coffee amount by origin_country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Sheet1!$A$3:$A$18</c:f>
              <c:strCache>
                <c:ptCount val="15"/>
                <c:pt idx="0">
                  <c:v>Ethiopia</c:v>
                </c:pt>
                <c:pt idx="1">
                  <c:v>Kenya</c:v>
                </c:pt>
                <c:pt idx="2">
                  <c:v>Colombia</c:v>
                </c:pt>
                <c:pt idx="3">
                  <c:v>Panama</c:v>
                </c:pt>
                <c:pt idx="4">
                  <c:v>USA</c:v>
                </c:pt>
                <c:pt idx="5">
                  <c:v>Guatemala</c:v>
                </c:pt>
                <c:pt idx="6">
                  <c:v>Indonesia</c:v>
                </c:pt>
                <c:pt idx="7">
                  <c:v>Costa Rica</c:v>
                </c:pt>
                <c:pt idx="8">
                  <c:v>El Salvador</c:v>
                </c:pt>
                <c:pt idx="9">
                  <c:v>Ecuador</c:v>
                </c:pt>
                <c:pt idx="10">
                  <c:v>Yemen</c:v>
                </c:pt>
                <c:pt idx="11">
                  <c:v>Peru</c:v>
                </c:pt>
                <c:pt idx="12">
                  <c:v>Rwanda</c:v>
                </c:pt>
                <c:pt idx="13">
                  <c:v>Nicaragua</c:v>
                </c:pt>
                <c:pt idx="14">
                  <c:v>Tanzania</c:v>
                </c:pt>
              </c:strCache>
            </c:strRef>
          </c:cat>
          <c:val>
            <c:numRef>
              <c:f>Sheet1!$B$3:$B$18</c:f>
              <c:numCache>
                <c:formatCode>General</c:formatCode>
                <c:ptCount val="15"/>
                <c:pt idx="0">
                  <c:v>640</c:v>
                </c:pt>
                <c:pt idx="1">
                  <c:v>324</c:v>
                </c:pt>
                <c:pt idx="2">
                  <c:v>322</c:v>
                </c:pt>
                <c:pt idx="3">
                  <c:v>205</c:v>
                </c:pt>
                <c:pt idx="4">
                  <c:v>107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54</c:v>
                </c:pt>
                <c:pt idx="9">
                  <c:v>30</c:v>
                </c:pt>
                <c:pt idx="10">
                  <c:v>23</c:v>
                </c:pt>
                <c:pt idx="11">
                  <c:v>20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D-4083-A234-56DEE3BB9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2509568"/>
        <c:axId val="792510816"/>
      </c:barChart>
      <c:catAx>
        <c:axId val="79250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10816"/>
        <c:crosses val="autoZero"/>
        <c:auto val="1"/>
        <c:lblAlgn val="ctr"/>
        <c:lblOffset val="100"/>
        <c:noMultiLvlLbl val="0"/>
      </c:catAx>
      <c:valAx>
        <c:axId val="7925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0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price per 100 g (in USD)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Sheet1!$A$24:$A$44</c:f>
              <c:strCache>
                <c:ptCount val="20"/>
                <c:pt idx="0">
                  <c:v>Taiwan</c:v>
                </c:pt>
                <c:pt idx="1">
                  <c:v>Brazil</c:v>
                </c:pt>
                <c:pt idx="2">
                  <c:v>Ecuador</c:v>
                </c:pt>
                <c:pt idx="3">
                  <c:v>Panama</c:v>
                </c:pt>
                <c:pt idx="4">
                  <c:v>Peru</c:v>
                </c:pt>
                <c:pt idx="5">
                  <c:v>Guatemala</c:v>
                </c:pt>
                <c:pt idx="6">
                  <c:v>Yemen</c:v>
                </c:pt>
                <c:pt idx="7">
                  <c:v>Ethiopia</c:v>
                </c:pt>
                <c:pt idx="8">
                  <c:v>Mexico</c:v>
                </c:pt>
                <c:pt idx="9">
                  <c:v>China</c:v>
                </c:pt>
                <c:pt idx="10">
                  <c:v>Kenya</c:v>
                </c:pt>
                <c:pt idx="11">
                  <c:v>Honduras</c:v>
                </c:pt>
                <c:pt idx="12">
                  <c:v>Colombia</c:v>
                </c:pt>
                <c:pt idx="13">
                  <c:v>Costa Rica</c:v>
                </c:pt>
                <c:pt idx="14">
                  <c:v>Indonesia</c:v>
                </c:pt>
                <c:pt idx="15">
                  <c:v>Rwanda</c:v>
                </c:pt>
                <c:pt idx="16">
                  <c:v>USA</c:v>
                </c:pt>
                <c:pt idx="17">
                  <c:v>Papua New Guinea</c:v>
                </c:pt>
                <c:pt idx="18">
                  <c:v>Tanzania</c:v>
                </c:pt>
                <c:pt idx="19">
                  <c:v>El Salvador</c:v>
                </c:pt>
              </c:strCache>
            </c:strRef>
          </c:cat>
          <c:val>
            <c:numRef>
              <c:f>Sheet1!$B$24:$B$44</c:f>
              <c:numCache>
                <c:formatCode>General</c:formatCode>
                <c:ptCount val="20"/>
                <c:pt idx="0">
                  <c:v>403.74500000000006</c:v>
                </c:pt>
                <c:pt idx="1">
                  <c:v>369.36699999999996</c:v>
                </c:pt>
                <c:pt idx="2">
                  <c:v>275.13033333333334</c:v>
                </c:pt>
                <c:pt idx="3">
                  <c:v>204.31239024390234</c:v>
                </c:pt>
                <c:pt idx="4">
                  <c:v>168.38200000000001</c:v>
                </c:pt>
                <c:pt idx="5">
                  <c:v>132.0111764705882</c:v>
                </c:pt>
                <c:pt idx="6">
                  <c:v>129.99173913043478</c:v>
                </c:pt>
                <c:pt idx="7">
                  <c:v>99.54454687500008</c:v>
                </c:pt>
                <c:pt idx="8">
                  <c:v>91.215454545454548</c:v>
                </c:pt>
                <c:pt idx="9">
                  <c:v>88.11</c:v>
                </c:pt>
                <c:pt idx="10">
                  <c:v>78.54959876543198</c:v>
                </c:pt>
                <c:pt idx="11">
                  <c:v>69.665000000000006</c:v>
                </c:pt>
                <c:pt idx="12">
                  <c:v>68.52080745341614</c:v>
                </c:pt>
                <c:pt idx="13">
                  <c:v>66.60783132530122</c:v>
                </c:pt>
                <c:pt idx="14">
                  <c:v>57.692619047619061</c:v>
                </c:pt>
                <c:pt idx="15">
                  <c:v>52.733499999999992</c:v>
                </c:pt>
                <c:pt idx="16">
                  <c:v>52.26065420560748</c:v>
                </c:pt>
                <c:pt idx="17">
                  <c:v>44.478333333333332</c:v>
                </c:pt>
                <c:pt idx="18">
                  <c:v>43.778333333333336</c:v>
                </c:pt>
                <c:pt idx="19">
                  <c:v>31.607592592592592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4-4980-9059-898F32DB6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324320"/>
        <c:axId val="778317248"/>
      </c:barChart>
      <c:catAx>
        <c:axId val="77832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17248"/>
        <c:crosses val="autoZero"/>
        <c:auto val="1"/>
        <c:lblAlgn val="ctr"/>
        <c:lblOffset val="100"/>
        <c:noMultiLvlLbl val="0"/>
      </c:catAx>
      <c:valAx>
        <c:axId val="7783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2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price per different roast level (in USD)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Sheet1!$B$48:$B$53</c:f>
              <c:strCache>
                <c:ptCount val="5"/>
                <c:pt idx="0">
                  <c:v>97</c:v>
                </c:pt>
                <c:pt idx="1">
                  <c:v>96</c:v>
                </c:pt>
                <c:pt idx="2">
                  <c:v>98</c:v>
                </c:pt>
                <c:pt idx="3">
                  <c:v>95</c:v>
                </c:pt>
                <c:pt idx="4">
                  <c:v>94</c:v>
                </c:pt>
              </c:strCache>
            </c:strRef>
          </c:cat>
          <c:val>
            <c:numRef>
              <c:f>Sheet1!$C$48:$C$53</c:f>
              <c:numCache>
                <c:formatCode>General</c:formatCode>
                <c:ptCount val="5"/>
                <c:pt idx="0">
                  <c:v>302.1028260869565</c:v>
                </c:pt>
                <c:pt idx="1">
                  <c:v>153.76897297297279</c:v>
                </c:pt>
                <c:pt idx="2">
                  <c:v>101.36166666666668</c:v>
                </c:pt>
                <c:pt idx="3">
                  <c:v>98.405879629629553</c:v>
                </c:pt>
                <c:pt idx="4">
                  <c:v>84.285617805065073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5-4693-9554-1E91BFF8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494592"/>
        <c:axId val="2042487520"/>
      </c:barChart>
      <c:catAx>
        <c:axId val="204249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87520"/>
        <c:crosses val="autoZero"/>
        <c:auto val="1"/>
        <c:lblAlgn val="ctr"/>
        <c:lblOffset val="100"/>
        <c:noMultiLvlLbl val="0"/>
      </c:catAx>
      <c:valAx>
        <c:axId val="20424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9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roaster</a:t>
            </a:r>
            <a:r>
              <a:rPr lang="en-US" baseline="0"/>
              <a:t>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Sheet1!$B$61:$B$76</c:f>
              <c:strCache>
                <c:ptCount val="15"/>
                <c:pt idx="0">
                  <c:v>Japan</c:v>
                </c:pt>
                <c:pt idx="1">
                  <c:v>El Salvador</c:v>
                </c:pt>
                <c:pt idx="2">
                  <c:v>Australia</c:v>
                </c:pt>
                <c:pt idx="3">
                  <c:v>Peru</c:v>
                </c:pt>
                <c:pt idx="4">
                  <c:v>Mexico</c:v>
                </c:pt>
                <c:pt idx="5">
                  <c:v>Taiwan</c:v>
                </c:pt>
                <c:pt idx="6">
                  <c:v>United Kingdom</c:v>
                </c:pt>
                <c:pt idx="7">
                  <c:v>China</c:v>
                </c:pt>
                <c:pt idx="8">
                  <c:v>USA</c:v>
                </c:pt>
                <c:pt idx="9">
                  <c:v>Kenya</c:v>
                </c:pt>
                <c:pt idx="10">
                  <c:v>South Korea</c:v>
                </c:pt>
                <c:pt idx="11">
                  <c:v>Guatemala</c:v>
                </c:pt>
                <c:pt idx="12">
                  <c:v>Colombia</c:v>
                </c:pt>
                <c:pt idx="13">
                  <c:v>Canada</c:v>
                </c:pt>
                <c:pt idx="14">
                  <c:v>Indonesia</c:v>
                </c:pt>
              </c:strCache>
            </c:strRef>
          </c:cat>
          <c:val>
            <c:numRef>
              <c:f>Sheet1!$C$61:$C$76</c:f>
              <c:numCache>
                <c:formatCode>General</c:formatCode>
                <c:ptCount val="15"/>
                <c:pt idx="0">
                  <c:v>93.444444444444443</c:v>
                </c:pt>
                <c:pt idx="1">
                  <c:v>80</c:v>
                </c:pt>
                <c:pt idx="2">
                  <c:v>78.5</c:v>
                </c:pt>
                <c:pt idx="3">
                  <c:v>78.5</c:v>
                </c:pt>
                <c:pt idx="4">
                  <c:v>78</c:v>
                </c:pt>
                <c:pt idx="5">
                  <c:v>77.933884297520663</c:v>
                </c:pt>
                <c:pt idx="6">
                  <c:v>77</c:v>
                </c:pt>
                <c:pt idx="7">
                  <c:v>76.965517241379317</c:v>
                </c:pt>
                <c:pt idx="8">
                  <c:v>76.773244147157186</c:v>
                </c:pt>
                <c:pt idx="9">
                  <c:v>76</c:v>
                </c:pt>
                <c:pt idx="10">
                  <c:v>75.583333333333329</c:v>
                </c:pt>
                <c:pt idx="11">
                  <c:v>74.166666666666671</c:v>
                </c:pt>
                <c:pt idx="12">
                  <c:v>72</c:v>
                </c:pt>
                <c:pt idx="13">
                  <c:v>71.368421052631575</c:v>
                </c:pt>
                <c:pt idx="1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3-4FC6-B468-92AE6EBF9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598512"/>
        <c:axId val="1894612240"/>
      </c:barChart>
      <c:catAx>
        <c:axId val="189459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12240"/>
        <c:crosses val="autoZero"/>
        <c:auto val="1"/>
        <c:lblAlgn val="ctr"/>
        <c:lblOffset val="100"/>
        <c:noMultiLvlLbl val="0"/>
      </c:catAx>
      <c:valAx>
        <c:axId val="189461224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59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coffe bean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Sheet1!$B$80:$B$105</c:f>
              <c:strCache>
                <c:ptCount val="25"/>
                <c:pt idx="0">
                  <c:v>Colombia</c:v>
                </c:pt>
                <c:pt idx="1">
                  <c:v>Peru</c:v>
                </c:pt>
                <c:pt idx="2">
                  <c:v>Taiwan</c:v>
                </c:pt>
                <c:pt idx="3">
                  <c:v>Papua New Guinea</c:v>
                </c:pt>
                <c:pt idx="4">
                  <c:v>Ecuador</c:v>
                </c:pt>
                <c:pt idx="5">
                  <c:v>Nicaragua</c:v>
                </c:pt>
                <c:pt idx="6">
                  <c:v>Brazil</c:v>
                </c:pt>
                <c:pt idx="7">
                  <c:v>Ethiopia</c:v>
                </c:pt>
                <c:pt idx="8">
                  <c:v>Costa Rica</c:v>
                </c:pt>
                <c:pt idx="9">
                  <c:v>Honduras</c:v>
                </c:pt>
                <c:pt idx="10">
                  <c:v>El Salvador</c:v>
                </c:pt>
                <c:pt idx="11">
                  <c:v>Panama</c:v>
                </c:pt>
                <c:pt idx="12">
                  <c:v>USA</c:v>
                </c:pt>
                <c:pt idx="13">
                  <c:v>Guatemala</c:v>
                </c:pt>
                <c:pt idx="14">
                  <c:v>Tanzania</c:v>
                </c:pt>
                <c:pt idx="15">
                  <c:v>Mexico</c:v>
                </c:pt>
                <c:pt idx="16">
                  <c:v>Yemen</c:v>
                </c:pt>
                <c:pt idx="17">
                  <c:v>Kenya</c:v>
                </c:pt>
                <c:pt idx="18">
                  <c:v>Democratic Republic of the Congo</c:v>
                </c:pt>
                <c:pt idx="19">
                  <c:v>Burundi</c:v>
                </c:pt>
                <c:pt idx="20">
                  <c:v>Rwanda</c:v>
                </c:pt>
                <c:pt idx="21">
                  <c:v>China</c:v>
                </c:pt>
                <c:pt idx="22">
                  <c:v>Unknown</c:v>
                </c:pt>
                <c:pt idx="23">
                  <c:v>Indonesia</c:v>
                </c:pt>
                <c:pt idx="24">
                  <c:v>Bolivia</c:v>
                </c:pt>
              </c:strCache>
            </c:strRef>
          </c:cat>
          <c:val>
            <c:numRef>
              <c:f>Sheet1!$C$80:$C$105</c:f>
              <c:numCache>
                <c:formatCode>General</c:formatCode>
                <c:ptCount val="25"/>
                <c:pt idx="0">
                  <c:v>60.018633540372669</c:v>
                </c:pt>
                <c:pt idx="1">
                  <c:v>59.75</c:v>
                </c:pt>
                <c:pt idx="2">
                  <c:v>59.5625</c:v>
                </c:pt>
                <c:pt idx="3">
                  <c:v>59.166666666666664</c:v>
                </c:pt>
                <c:pt idx="4">
                  <c:v>58.9</c:v>
                </c:pt>
                <c:pt idx="5">
                  <c:v>58.842105263157897</c:v>
                </c:pt>
                <c:pt idx="6">
                  <c:v>58.8</c:v>
                </c:pt>
                <c:pt idx="7">
                  <c:v>58.720312499999999</c:v>
                </c:pt>
                <c:pt idx="8">
                  <c:v>57.867469879518069</c:v>
                </c:pt>
                <c:pt idx="9">
                  <c:v>57.833333333333336</c:v>
                </c:pt>
                <c:pt idx="10">
                  <c:v>57.666666666666664</c:v>
                </c:pt>
                <c:pt idx="11">
                  <c:v>57.487804878048777</c:v>
                </c:pt>
                <c:pt idx="12">
                  <c:v>57.308411214953274</c:v>
                </c:pt>
                <c:pt idx="13">
                  <c:v>56.988235294117644</c:v>
                </c:pt>
                <c:pt idx="14">
                  <c:v>56.944444444444443</c:v>
                </c:pt>
                <c:pt idx="15">
                  <c:v>56.909090909090907</c:v>
                </c:pt>
                <c:pt idx="16">
                  <c:v>56.739130434782609</c:v>
                </c:pt>
                <c:pt idx="17">
                  <c:v>54.75</c:v>
                </c:pt>
                <c:pt idx="18">
                  <c:v>54.666666666666664</c:v>
                </c:pt>
                <c:pt idx="19">
                  <c:v>54.5</c:v>
                </c:pt>
                <c:pt idx="20">
                  <c:v>54.45</c:v>
                </c:pt>
                <c:pt idx="21">
                  <c:v>54</c:v>
                </c:pt>
                <c:pt idx="22">
                  <c:v>53.898876404494381</c:v>
                </c:pt>
                <c:pt idx="23">
                  <c:v>53.476190476190474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E-4A68-B305-A41F56F8A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717760"/>
        <c:axId val="1841716512"/>
      </c:barChart>
      <c:catAx>
        <c:axId val="18417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16512"/>
        <c:crosses val="autoZero"/>
        <c:auto val="1"/>
        <c:lblAlgn val="ctr"/>
        <c:lblOffset val="100"/>
        <c:noMultiLvlLbl val="0"/>
      </c:catAx>
      <c:valAx>
        <c:axId val="1841716512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1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Roast</a:t>
            </a:r>
            <a:r>
              <a:rPr lang="en-US" baseline="0"/>
              <a:t> level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99CC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Sheet1!$C$108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D7-457F-8CF0-B2FF526DDE02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D7-457F-8CF0-B2FF526DDE02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6D7-457F-8CF0-B2FF526DDE0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D7-457F-8CF0-B2FF526DDE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3D-40BF-A0EC-D20DCCCC938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3D-40BF-A0EC-D20DCCCC9386}"/>
              </c:ext>
            </c:extLst>
          </c:dPt>
          <c:cat>
            <c:strRef>
              <c:f>Sheet1!$B$109:$B$115</c:f>
              <c:strCache>
                <c:ptCount val="6"/>
                <c:pt idx="0">
                  <c:v>Medium Light</c:v>
                </c:pt>
                <c:pt idx="1">
                  <c:v>Light</c:v>
                </c:pt>
                <c:pt idx="2">
                  <c:v>Medium</c:v>
                </c:pt>
                <c:pt idx="3">
                  <c:v>Medium Dark</c:v>
                </c:pt>
                <c:pt idx="4">
                  <c:v>Dark</c:v>
                </c:pt>
                <c:pt idx="5">
                  <c:v>Very Dark</c:v>
                </c:pt>
              </c:strCache>
            </c:strRef>
          </c:cat>
          <c:val>
            <c:numRef>
              <c:f>Sheet1!$C$109:$C$115</c:f>
              <c:numCache>
                <c:formatCode>General</c:formatCode>
                <c:ptCount val="6"/>
                <c:pt idx="0">
                  <c:v>1263</c:v>
                </c:pt>
                <c:pt idx="1">
                  <c:v>627</c:v>
                </c:pt>
                <c:pt idx="2">
                  <c:v>243</c:v>
                </c:pt>
                <c:pt idx="3">
                  <c:v>49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7-457F-8CF0-B2FF526DD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 per 100g for different total score</a:t>
            </a:r>
            <a:r>
              <a:rPr lang="en-US" baseline="0"/>
              <a:t> (in USD)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Sheet1!$B$122:$B$127</c:f>
              <c:strCache>
                <c:ptCount val="5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</c:strCache>
            </c:strRef>
          </c:cat>
          <c:val>
            <c:numRef>
              <c:f>Sheet1!$C$122:$C$127</c:f>
              <c:numCache>
                <c:formatCode>General</c:formatCode>
                <c:ptCount val="5"/>
                <c:pt idx="0">
                  <c:v>84.285617805065073</c:v>
                </c:pt>
                <c:pt idx="1">
                  <c:v>98.405879629629553</c:v>
                </c:pt>
                <c:pt idx="2">
                  <c:v>153.76897297297279</c:v>
                </c:pt>
                <c:pt idx="3">
                  <c:v>302.1028260869565</c:v>
                </c:pt>
                <c:pt idx="4">
                  <c:v>101.36166666666668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A-4A79-AD7F-D5809C3C3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198288"/>
        <c:axId val="1604199952"/>
      </c:barChart>
      <c:catAx>
        <c:axId val="160419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99952"/>
        <c:crosses val="autoZero"/>
        <c:auto val="1"/>
        <c:lblAlgn val="ctr"/>
        <c:lblOffset val="100"/>
        <c:noMultiLvlLbl val="0"/>
      </c:catAx>
      <c:valAx>
        <c:axId val="16041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9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Avegare total_score by country</a:t>
            </a:r>
            <a:r>
              <a:rPr lang="en-US" baseline="0"/>
              <a:t> origin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Sheet1!$B$140:$B$164</c:f>
              <c:strCache>
                <c:ptCount val="24"/>
                <c:pt idx="0">
                  <c:v>Panama</c:v>
                </c:pt>
                <c:pt idx="1">
                  <c:v>China</c:v>
                </c:pt>
                <c:pt idx="2">
                  <c:v>Yemen</c:v>
                </c:pt>
                <c:pt idx="3">
                  <c:v>USA</c:v>
                </c:pt>
                <c:pt idx="4">
                  <c:v>Ecuador</c:v>
                </c:pt>
                <c:pt idx="5">
                  <c:v>Kenya</c:v>
                </c:pt>
                <c:pt idx="6">
                  <c:v>Tanzania</c:v>
                </c:pt>
                <c:pt idx="7">
                  <c:v>Colombia</c:v>
                </c:pt>
                <c:pt idx="8">
                  <c:v>Ethiopia</c:v>
                </c:pt>
                <c:pt idx="9">
                  <c:v>Guatemala</c:v>
                </c:pt>
                <c:pt idx="10">
                  <c:v>Taiwan</c:v>
                </c:pt>
                <c:pt idx="11">
                  <c:v>Burundi</c:v>
                </c:pt>
                <c:pt idx="12">
                  <c:v>Indonesia</c:v>
                </c:pt>
                <c:pt idx="13">
                  <c:v>Rwanda</c:v>
                </c:pt>
                <c:pt idx="14">
                  <c:v>Costa Rica</c:v>
                </c:pt>
                <c:pt idx="15">
                  <c:v>Peru</c:v>
                </c:pt>
                <c:pt idx="16">
                  <c:v>Mexico</c:v>
                </c:pt>
                <c:pt idx="17">
                  <c:v>El Salvador</c:v>
                </c:pt>
                <c:pt idx="18">
                  <c:v>Brazil</c:v>
                </c:pt>
                <c:pt idx="19">
                  <c:v>Papua New Guinea</c:v>
                </c:pt>
                <c:pt idx="20">
                  <c:v>Nicaragua</c:v>
                </c:pt>
                <c:pt idx="21">
                  <c:v>Democratic Republic of the Congo</c:v>
                </c:pt>
                <c:pt idx="22">
                  <c:v>Bolivia</c:v>
                </c:pt>
                <c:pt idx="23">
                  <c:v>Honduras</c:v>
                </c:pt>
              </c:strCache>
            </c:strRef>
          </c:cat>
          <c:val>
            <c:numRef>
              <c:f>Sheet1!$C$140:$C$164</c:f>
              <c:numCache>
                <c:formatCode>General</c:formatCode>
                <c:ptCount val="24"/>
                <c:pt idx="0">
                  <c:v>95.034146341463412</c:v>
                </c:pt>
                <c:pt idx="1">
                  <c:v>95</c:v>
                </c:pt>
                <c:pt idx="2">
                  <c:v>94.869565217391298</c:v>
                </c:pt>
                <c:pt idx="3">
                  <c:v>94.691588785046733</c:v>
                </c:pt>
                <c:pt idx="4">
                  <c:v>94.666666666666671</c:v>
                </c:pt>
                <c:pt idx="5">
                  <c:v>94.632716049382722</c:v>
                </c:pt>
                <c:pt idx="6">
                  <c:v>94.611111111111114</c:v>
                </c:pt>
                <c:pt idx="7">
                  <c:v>94.509316770186331</c:v>
                </c:pt>
                <c:pt idx="8">
                  <c:v>94.451562499999994</c:v>
                </c:pt>
                <c:pt idx="9">
                  <c:v>94.423529411764704</c:v>
                </c:pt>
                <c:pt idx="10">
                  <c:v>94.375</c:v>
                </c:pt>
                <c:pt idx="11">
                  <c:v>94.375</c:v>
                </c:pt>
                <c:pt idx="12">
                  <c:v>94.357142857142861</c:v>
                </c:pt>
                <c:pt idx="13">
                  <c:v>94.35</c:v>
                </c:pt>
                <c:pt idx="14">
                  <c:v>94.301204819277103</c:v>
                </c:pt>
                <c:pt idx="15">
                  <c:v>94.3</c:v>
                </c:pt>
                <c:pt idx="16">
                  <c:v>94.272727272727266</c:v>
                </c:pt>
                <c:pt idx="17">
                  <c:v>94.259259259259252</c:v>
                </c:pt>
                <c:pt idx="18">
                  <c:v>94.2</c:v>
                </c:pt>
                <c:pt idx="19">
                  <c:v>94.166666666666671</c:v>
                </c:pt>
                <c:pt idx="20">
                  <c:v>94.15789473684211</c:v>
                </c:pt>
                <c:pt idx="21">
                  <c:v>94</c:v>
                </c:pt>
                <c:pt idx="22">
                  <c:v>94</c:v>
                </c:pt>
                <c:pt idx="2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5-40CC-83A5-3B82872CE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090944"/>
        <c:axId val="939010048"/>
      </c:barChart>
      <c:catAx>
        <c:axId val="74309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10048"/>
        <c:crosses val="autoZero"/>
        <c:auto val="1"/>
        <c:lblAlgn val="ctr"/>
        <c:lblOffset val="100"/>
        <c:noMultiLvlLbl val="0"/>
      </c:catAx>
      <c:valAx>
        <c:axId val="93901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9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roaster</a:t>
            </a:r>
            <a:r>
              <a:rPr lang="en-US" baseline="0"/>
              <a:t> score by countries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Sheet1!$B$168:$B$183</c:f>
              <c:strCache>
                <c:ptCount val="15"/>
                <c:pt idx="0">
                  <c:v>Australia</c:v>
                </c:pt>
                <c:pt idx="1">
                  <c:v>Canada</c:v>
                </c:pt>
                <c:pt idx="2">
                  <c:v>China</c:v>
                </c:pt>
                <c:pt idx="3">
                  <c:v>Colombia</c:v>
                </c:pt>
                <c:pt idx="4">
                  <c:v>El Salvador</c:v>
                </c:pt>
                <c:pt idx="5">
                  <c:v>Guatemala</c:v>
                </c:pt>
                <c:pt idx="6">
                  <c:v>Indonesia</c:v>
                </c:pt>
                <c:pt idx="7">
                  <c:v>Japan</c:v>
                </c:pt>
                <c:pt idx="8">
                  <c:v>Kenya</c:v>
                </c:pt>
                <c:pt idx="9">
                  <c:v>Mexico</c:v>
                </c:pt>
                <c:pt idx="10">
                  <c:v>Peru</c:v>
                </c:pt>
                <c:pt idx="11">
                  <c:v>South Korea</c:v>
                </c:pt>
                <c:pt idx="12">
                  <c:v>Taiwan</c:v>
                </c:pt>
                <c:pt idx="13">
                  <c:v>United Kingdom</c:v>
                </c:pt>
                <c:pt idx="14">
                  <c:v>USA</c:v>
                </c:pt>
              </c:strCache>
            </c:strRef>
          </c:cat>
          <c:val>
            <c:numRef>
              <c:f>Sheet1!$C$168:$C$183</c:f>
              <c:numCache>
                <c:formatCode>General</c:formatCode>
                <c:ptCount val="15"/>
                <c:pt idx="0">
                  <c:v>78.5</c:v>
                </c:pt>
                <c:pt idx="1">
                  <c:v>71.368421052631575</c:v>
                </c:pt>
                <c:pt idx="2">
                  <c:v>76.965517241379317</c:v>
                </c:pt>
                <c:pt idx="3">
                  <c:v>72</c:v>
                </c:pt>
                <c:pt idx="4">
                  <c:v>80</c:v>
                </c:pt>
                <c:pt idx="5">
                  <c:v>74.166666666666671</c:v>
                </c:pt>
                <c:pt idx="6">
                  <c:v>69</c:v>
                </c:pt>
                <c:pt idx="7">
                  <c:v>93.444444444444443</c:v>
                </c:pt>
                <c:pt idx="8">
                  <c:v>76</c:v>
                </c:pt>
                <c:pt idx="9">
                  <c:v>78</c:v>
                </c:pt>
                <c:pt idx="10">
                  <c:v>78.5</c:v>
                </c:pt>
                <c:pt idx="11">
                  <c:v>75.583333333333329</c:v>
                </c:pt>
                <c:pt idx="12">
                  <c:v>77.933884297520663</c:v>
                </c:pt>
                <c:pt idx="13">
                  <c:v>77</c:v>
                </c:pt>
                <c:pt idx="14">
                  <c:v>76.773244147157186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A-45E2-8A2E-D46419BB0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0867583"/>
        <c:axId val="1430850527"/>
      </c:barChart>
      <c:catAx>
        <c:axId val="143086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850527"/>
        <c:crosses val="autoZero"/>
        <c:auto val="1"/>
        <c:lblAlgn val="ctr"/>
        <c:lblOffset val="100"/>
        <c:noMultiLvlLbl val="0"/>
      </c:catAx>
      <c:valAx>
        <c:axId val="14308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86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Coffee Quantity and Quality: An Overview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Sheet1!$B$188:$B$193</c:f>
              <c:strCache>
                <c:ptCount val="5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</c:strCache>
            </c:strRef>
          </c:cat>
          <c:val>
            <c:numRef>
              <c:f>Sheet1!$C$188:$C$193</c:f>
              <c:numCache>
                <c:formatCode>General</c:formatCode>
                <c:ptCount val="5"/>
                <c:pt idx="0">
                  <c:v>1303</c:v>
                </c:pt>
                <c:pt idx="1">
                  <c:v>648</c:v>
                </c:pt>
                <c:pt idx="2">
                  <c:v>185</c:v>
                </c:pt>
                <c:pt idx="3">
                  <c:v>46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6-43FE-8803-B16E982BF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1264"/>
        <c:axId val="20668768"/>
      </c:barChart>
      <c:catAx>
        <c:axId val="2067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768"/>
        <c:crosses val="autoZero"/>
        <c:auto val="1"/>
        <c:lblAlgn val="ctr"/>
        <c:lblOffset val="100"/>
        <c:noMultiLvlLbl val="0"/>
      </c:catAx>
      <c:valAx>
        <c:axId val="206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Amount of Coffee Roasted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Sheet1!$B$201:$B$205</c:f>
              <c:strCache>
                <c:ptCount val="4"/>
                <c:pt idx="0">
                  <c:v>USA</c:v>
                </c:pt>
                <c:pt idx="1">
                  <c:v>Taiwan</c:v>
                </c:pt>
                <c:pt idx="2">
                  <c:v>China</c:v>
                </c:pt>
                <c:pt idx="3">
                  <c:v>Canada</c:v>
                </c:pt>
              </c:strCache>
            </c:strRef>
          </c:cat>
          <c:val>
            <c:numRef>
              <c:f>Sheet1!$C$201:$C$205</c:f>
              <c:numCache>
                <c:formatCode>General</c:formatCode>
                <c:ptCount val="4"/>
                <c:pt idx="0">
                  <c:v>1495</c:v>
                </c:pt>
                <c:pt idx="1">
                  <c:v>605</c:v>
                </c:pt>
                <c:pt idx="2">
                  <c:v>29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0-477B-9E27-80FD357E1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801423"/>
        <c:axId val="1607814319"/>
      </c:barChart>
      <c:catAx>
        <c:axId val="160780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814319"/>
        <c:crosses val="autoZero"/>
        <c:auto val="1"/>
        <c:lblAlgn val="ctr"/>
        <c:lblOffset val="100"/>
        <c:noMultiLvlLbl val="0"/>
      </c:catAx>
      <c:valAx>
        <c:axId val="16078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80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[coffee_filled.xlsx]Sheet1!PivotTable12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roast score by roast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Sheet1!$B$218:$B$224</c:f>
              <c:strCache>
                <c:ptCount val="6"/>
                <c:pt idx="0">
                  <c:v>Light</c:v>
                </c:pt>
                <c:pt idx="1">
                  <c:v>Medium Light</c:v>
                </c:pt>
                <c:pt idx="2">
                  <c:v>Very Dark</c:v>
                </c:pt>
                <c:pt idx="3">
                  <c:v>Medium</c:v>
                </c:pt>
                <c:pt idx="4">
                  <c:v>Medium Dark</c:v>
                </c:pt>
                <c:pt idx="5">
                  <c:v>Dark</c:v>
                </c:pt>
              </c:strCache>
            </c:strRef>
          </c:cat>
          <c:val>
            <c:numRef>
              <c:f>Sheet1!$C$218:$C$224</c:f>
              <c:numCache>
                <c:formatCode>General</c:formatCode>
                <c:ptCount val="6"/>
                <c:pt idx="0">
                  <c:v>85.523125996810208</c:v>
                </c:pt>
                <c:pt idx="1">
                  <c:v>76.471892319873319</c:v>
                </c:pt>
                <c:pt idx="2">
                  <c:v>66</c:v>
                </c:pt>
                <c:pt idx="3">
                  <c:v>64.485596707818928</c:v>
                </c:pt>
                <c:pt idx="4">
                  <c:v>51.795918367346935</c:v>
                </c:pt>
                <c:pt idx="5">
                  <c:v>43.6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8-40E6-8C9C-776DAD7B0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658128"/>
        <c:axId val="664661872"/>
      </c:barChart>
      <c:catAx>
        <c:axId val="6646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61872"/>
        <c:crosses val="autoZero"/>
        <c:auto val="1"/>
        <c:lblAlgn val="ctr"/>
        <c:lblOffset val="100"/>
        <c:noMultiLvlLbl val="0"/>
      </c:catAx>
      <c:valAx>
        <c:axId val="66466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quality of</a:t>
            </a:r>
            <a:r>
              <a:rPr lang="en-US" baseline="0"/>
              <a:t> price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Sheet2!$N$4:$N$7</c:f>
              <c:strCache>
                <c:ptCount val="3"/>
                <c:pt idx="0">
                  <c:v>middle</c:v>
                </c:pt>
                <c:pt idx="1">
                  <c:v>premium</c:v>
                </c:pt>
                <c:pt idx="2">
                  <c:v>budget</c:v>
                </c:pt>
              </c:strCache>
            </c:strRef>
          </c:cat>
          <c:val>
            <c:numRef>
              <c:f>Sheet2!$O$4:$O$7</c:f>
              <c:numCache>
                <c:formatCode>General</c:formatCode>
                <c:ptCount val="3"/>
                <c:pt idx="0">
                  <c:v>67.610849056603769</c:v>
                </c:pt>
                <c:pt idx="1">
                  <c:v>67.285593220338981</c:v>
                </c:pt>
                <c:pt idx="2">
                  <c:v>67.271645021645028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6-48C4-A35B-45BCDE95A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243584"/>
        <c:axId val="1080246496"/>
      </c:barChart>
      <c:catAx>
        <c:axId val="108024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46496"/>
        <c:crosses val="autoZero"/>
        <c:auto val="1"/>
        <c:lblAlgn val="ctr"/>
        <c:lblOffset val="100"/>
        <c:noMultiLvlLbl val="0"/>
      </c:catAx>
      <c:valAx>
        <c:axId val="10802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4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</a:t>
            </a:r>
            <a:r>
              <a:rPr lang="en-US" baseline="0"/>
              <a:t> per 100g of coffee (in USD) distributed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Sheet3!$L$29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Sheet3!$K$30:$K$33</c:f>
              <c:strCache>
                <c:ptCount val="3"/>
                <c:pt idx="0">
                  <c:v>America</c:v>
                </c:pt>
                <c:pt idx="1">
                  <c:v>Asia-Pacific</c:v>
                </c:pt>
                <c:pt idx="2">
                  <c:v>Africa</c:v>
                </c:pt>
              </c:strCache>
            </c:strRef>
          </c:cat>
          <c:val>
            <c:numRef>
              <c:f>Sheet3!$L$30:$L$33</c:f>
              <c:numCache>
                <c:formatCode>General</c:formatCode>
                <c:ptCount val="3"/>
                <c:pt idx="0">
                  <c:v>110.41752360965383</c:v>
                </c:pt>
                <c:pt idx="1">
                  <c:v>108.9820560747664</c:v>
                </c:pt>
                <c:pt idx="2">
                  <c:v>90.537767083734266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F-496C-9A9D-F7825A15F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9804063"/>
        <c:axId val="1969817791"/>
      </c:barChart>
      <c:catAx>
        <c:axId val="196980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817791"/>
        <c:crosses val="autoZero"/>
        <c:auto val="1"/>
        <c:lblAlgn val="ctr"/>
        <c:lblOffset val="100"/>
        <c:noMultiLvlLbl val="0"/>
      </c:catAx>
      <c:valAx>
        <c:axId val="19698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80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[coffee_filled.xlsx]Sheet3!PivotTable2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quality of coffee beans</a:t>
            </a:r>
            <a:r>
              <a:rPr lang="en-US" baseline="0"/>
              <a:t> distributed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Sheet3!$L$52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Sheet3!$K$53:$K$56</c:f>
              <c:strCache>
                <c:ptCount val="3"/>
                <c:pt idx="0">
                  <c:v>America</c:v>
                </c:pt>
                <c:pt idx="1">
                  <c:v>Africa</c:v>
                </c:pt>
                <c:pt idx="2">
                  <c:v>Asia-Pacific</c:v>
                </c:pt>
              </c:strCache>
            </c:strRef>
          </c:cat>
          <c:val>
            <c:numRef>
              <c:f>Sheet3!$L$53:$L$56</c:f>
              <c:numCache>
                <c:formatCode>General</c:formatCode>
                <c:ptCount val="3"/>
                <c:pt idx="0">
                  <c:v>58.434417628541446</c:v>
                </c:pt>
                <c:pt idx="1">
                  <c:v>57.269489894128974</c:v>
                </c:pt>
                <c:pt idx="2">
                  <c:v>54.710280373831779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3-461E-A591-2EF7CC04E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401920"/>
        <c:axId val="650399840"/>
      </c:barChart>
      <c:catAx>
        <c:axId val="6504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9840"/>
        <c:crosses val="autoZero"/>
        <c:auto val="1"/>
        <c:lblAlgn val="ctr"/>
        <c:lblOffset val="100"/>
        <c:noMultiLvlLbl val="0"/>
      </c:catAx>
      <c:valAx>
        <c:axId val="6503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0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179070</xdr:rowOff>
    </xdr:from>
    <xdr:to>
      <xdr:col>5</xdr:col>
      <xdr:colOff>72390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6589A-6C10-47E7-8611-5A28C23F9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194310</xdr:colOff>
      <xdr:row>22</xdr:row>
      <xdr:rowOff>3810</xdr:rowOff>
    </xdr:from>
    <xdr:to>
      <xdr:col>5</xdr:col>
      <xdr:colOff>133350</xdr:colOff>
      <xdr:row>39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C29AC-0E7F-4C19-B3B7-D8ABEE5DC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388620</xdr:colOff>
      <xdr:row>40</xdr:row>
      <xdr:rowOff>163830</xdr:rowOff>
    </xdr:from>
    <xdr:to>
      <xdr:col>7</xdr:col>
      <xdr:colOff>1120140</xdr:colOff>
      <xdr:row>55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03100F-E42B-48C5-87DE-2F048952F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419100</xdr:colOff>
      <xdr:row>58</xdr:row>
      <xdr:rowOff>171450</xdr:rowOff>
    </xdr:from>
    <xdr:to>
      <xdr:col>7</xdr:col>
      <xdr:colOff>1150620</xdr:colOff>
      <xdr:row>73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68023A-EA57-442F-8E6B-EEA208F15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556260</xdr:colOff>
      <xdr:row>77</xdr:row>
      <xdr:rowOff>163830</xdr:rowOff>
    </xdr:from>
    <xdr:to>
      <xdr:col>7</xdr:col>
      <xdr:colOff>1287780</xdr:colOff>
      <xdr:row>92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D2CB56-E31F-4FBA-AB47-F1A2209BC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510540</xdr:colOff>
      <xdr:row>102</xdr:row>
      <xdr:rowOff>156210</xdr:rowOff>
    </xdr:from>
    <xdr:to>
      <xdr:col>7</xdr:col>
      <xdr:colOff>1242060</xdr:colOff>
      <xdr:row>117</xdr:row>
      <xdr:rowOff>156210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92E9A5-DA0C-48F4-B603-67853CF2C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518160</xdr:colOff>
      <xdr:row>119</xdr:row>
      <xdr:rowOff>3810</xdr:rowOff>
    </xdr:from>
    <xdr:to>
      <xdr:col>7</xdr:col>
      <xdr:colOff>1249680</xdr:colOff>
      <xdr:row>134</xdr:row>
      <xdr:rowOff>3810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090CA8-94CB-4EE0-A762-5201C4942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476250</xdr:colOff>
      <xdr:row>138</xdr:row>
      <xdr:rowOff>125730</xdr:rowOff>
    </xdr:from>
    <xdr:to>
      <xdr:col>7</xdr:col>
      <xdr:colOff>1207770</xdr:colOff>
      <xdr:row>153</xdr:row>
      <xdr:rowOff>125730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1C4BE2-F335-437F-8C6E-4EF85CD09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457200</xdr:colOff>
      <xdr:row>166</xdr:row>
      <xdr:rowOff>19050</xdr:rowOff>
    </xdr:from>
    <xdr:to>
      <xdr:col>7</xdr:col>
      <xdr:colOff>1188720</xdr:colOff>
      <xdr:row>181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1AC778-8D12-4246-89DD-56EE3E768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413133</xdr:colOff>
      <xdr:row>181</xdr:row>
      <xdr:rowOff>175352</xdr:rowOff>
    </xdr:from>
    <xdr:to>
      <xdr:col>7</xdr:col>
      <xdr:colOff>1138410</xdr:colOff>
      <xdr:row>196</xdr:row>
      <xdr:rowOff>164335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6363464-62C4-4F54-BDB6-7E485B1CF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385591</xdr:colOff>
      <xdr:row>198</xdr:row>
      <xdr:rowOff>120268</xdr:rowOff>
    </xdr:from>
    <xdr:to>
      <xdr:col>7</xdr:col>
      <xdr:colOff>1110868</xdr:colOff>
      <xdr:row>213</xdr:row>
      <xdr:rowOff>109251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033420-577C-4952-9DF5-B4B50E996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394771</xdr:colOff>
      <xdr:row>214</xdr:row>
      <xdr:rowOff>138630</xdr:rowOff>
    </xdr:from>
    <xdr:to>
      <xdr:col>7</xdr:col>
      <xdr:colOff>1120048</xdr:colOff>
      <xdr:row>229</xdr:row>
      <xdr:rowOff>127613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D695D5F-E950-4E9F-9A7B-D889C0675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-1</xdr:colOff>
      <xdr:row>2</xdr:row>
      <xdr:rowOff>79332</xdr:rowOff>
    </xdr:from>
    <xdr:to>
      <xdr:col>23</xdr:col>
      <xdr:colOff>334027</xdr:colOff>
      <xdr:row>17</xdr:row>
      <xdr:rowOff>4176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B715E-B859-4A0D-A983-69ABF4CCF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1022287</xdr:colOff>
      <xdr:row>33</xdr:row>
      <xdr:rowOff>167488</xdr:rowOff>
    </xdr:from>
    <xdr:to>
      <xdr:col>13</xdr:col>
      <xdr:colOff>441356</xdr:colOff>
      <xdr:row>49</xdr:row>
      <xdr:rowOff>13579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11474-6C21-404F-967D-F74B9378C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1044920</xdr:colOff>
      <xdr:row>58</xdr:row>
      <xdr:rowOff>24143</xdr:rowOff>
    </xdr:from>
    <xdr:to>
      <xdr:col>13</xdr:col>
      <xdr:colOff>516801</xdr:colOff>
      <xdr:row>73</xdr:row>
      <xdr:rowOff>51304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A468BD-690F-4F05-B9B7-375141D47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00.674169791666" createdVersion="7" refreshedVersion="7" minRefreshableVersion="3" recordCount="2188" xr:uid="{00000000-000A-0000-FFFF-FFFF04000000}">
  <cacheSource type="worksheet">
    <worksheetSource ref="A1:H2189" sheet="coffee_filled"/>
  </cacheSource>
  <cacheFields count="9">
    <cacheField name="coffee_name" numFmtId="0">
      <sharedItems count="2003">
        <s v="Colombia Finca Campo Hermosa"/>
        <s v="Colombia Finca La Sirena Mango Co-Ferment"/>
        <s v="In Bloom"/>
        <s v="Ethiopia Washed Kaffa Gimbo Lot Rich Espresso"/>
        <s v="Ethiopia Natural Gute Bona"/>
        <s v="White Geisha Blend Espresso"/>
        <s v="Yunlin Natural Geisha CPAG-1"/>
        <s v="Colombia Natural Huila Eulises Guzman"/>
        <s v="Peru Washed Cusco Buena Vista Soola SL09"/>
        <s v="Yunlin Natural Geisha"/>
        <s v="Hechi"/>
        <s v="Las Margaritas Sudan Rume"/>
        <s v="Wilton Benitez Geisha"/>
        <s v="Itumpi Tanzania"/>
        <s v="Ethiopia Yirgacheffe G1 Gotiti Angel Station Geisha Washed"/>
        <s v="Ethiopia Guji Hambela Buku Abel Bastet Geisha Washed"/>
        <s v="Finca Cruz Loma Ecuador Geisha"/>
        <s v="Costa Rica Finca El CaГ±al"/>
        <s v="Hambela Dabaye Ethiopia"/>
        <s v="Brazil Vinhal Grape Starfruit"/>
        <s v="Duwancho Natural Ethiopia"/>
        <s v="Colombia Finca Santa Barbara Gesha Anaerobic Honey"/>
        <s v="Colombia Faver Emir Ninco Pink Bourbon"/>
        <s v="Ethiopia Yirgacheffe Earl Grey Peach"/>
        <s v="Colombia Cauca Lusitania Geisha Washed"/>
        <s v="Kenya Kirinyaga Karamundi Washed AB"/>
        <s v="KaК»Е« Morning Glory"/>
        <s v="KaК»Е« Yellow Bourbon"/>
        <s v="Colombia San Adolfo Huila"/>
        <s v="Rwanda Kungahara Carbonic Maceration"/>
        <s v="Ecuador La Papaya Pacamara"/>
        <s v="Peru Churupampa Pacamara"/>
        <s v="Ethiopia Ayla Sidamo"/>
        <s v="Ethiopia Mullugeta Muntasha"/>
        <s v="KaвЂ™u Giant Maragogipe"/>
        <s v="KaвЂ™u Red Bourbon"/>
        <s v="Kona Bloom"/>
        <s v="Guatemala Retiro del Quisaya Washed Process"/>
        <s v="Ethiopian Single Origin"/>
        <s v="Colombia Finca Al Paraiso YвЂ“05 Lychee"/>
        <s v="Colombia Las Perlitas Anaerobic Honey"/>
        <s v="Panama Altieri Luci Geisha Natural Cold Dry Ferment"/>
        <s v="Costa Rica La Minita"/>
        <s v="Ethiopia Guji Grape GildVine Natural G1"/>
        <s v="Kenya Baragwi Guama AA Washed"/>
        <s v="Potosi Pink Bourbon Natural Colombia"/>
        <s v="Wilton Benitez Sudan Rume Colombia"/>
        <s v="Kangocho Kenya"/>
        <s v="La Esperanza Mandela"/>
        <s v="Mexico Alva Flores"/>
        <s v="Ethiopia Natural Sidama Blue Donkey Lot 2"/>
        <s v="Trust the Process Costa Rica Finca Carrizal SL28 Black Diamond Natural"/>
        <s v="Guatemala Washed Finca El General Gesha"/>
        <s v="Guatemala Finca El General Bourbon Honey Espresso"/>
        <s v="True Love Espresso Blend"/>
        <s v="Colombia Sebastian Ramirez Washed Pink Bourbon"/>
        <s v="Colombia Manos Juntas Anaerobic Natural"/>
        <s v="Ecuador La Papaya Geisha Natural"/>
        <s v="Yemen Al Obrah"/>
        <s v="Kenya Embu"/>
        <s v="Yemen Ismaili"/>
        <s v="Guatemala Acatenango Geisha"/>
        <s v="Ethiopia Bench-Maji Lucy Geisha Anaerobic Natural"/>
        <s v="Wilton Benitez Colombia Yellow Bourbon"/>
        <s v="Kona Tropical Punch Washed"/>
        <s v="Granate"/>
        <s v="Kenya Kirinyaga"/>
        <s v="Costa Rica San Diego"/>
        <s v="Costa Rica La Candelilla Geisha"/>
        <s v="Ethiopia Agaro Duromina"/>
        <s v="Panama Renaissance Series Flora Geisha Washed"/>
        <s v="Colombia San Martin Bourbon Aji Star Fruit Peach Honey"/>
        <s v="Taiwan COE #3 Alishan Zhou Zhu Yuan Geisha Natural"/>
        <s v="Las Margaritas Colombia Sudan Rume Natural"/>
        <s v="Yabitu Koba Ethiopia"/>
        <s v="Pantan Musara Sumatra"/>
        <s v="Ethiopia Yirgacheffe Misty Valley Aricha Washed G1"/>
        <s v="Guatemala El Soccoro Maracaturra Washed"/>
        <s v="Ethiopia Sidama Bensa Alo Single Variety 74158 Natural"/>
        <s v="El Salvador Loma La Gloria Unicorn Natural"/>
        <s v="Costa Rica Las Lajas SL-28 Natural"/>
        <s v="Ethiopia Faysel Abdosh"/>
        <s v="Kenya Kii"/>
        <s v="Ethiopia Guji Bishala G1 Red Honey"/>
        <s v="Ethiopia Sidama Bensa Shantawene Gatta Kenean Dukamo Anaerobic Natural G1"/>
        <s v="Kenya Nyeri Hill AB"/>
        <s v="Ethiopia Sidama  Bombe Natural"/>
        <s v="Ethiopia Kayon Mountain"/>
        <s v="Colombia Red Sunset"/>
        <s v="Ethiopia Gesha Village Lot 108"/>
        <s v="Panama Geisha Vuelta DRD Natural Lot GN-01"/>
        <s v="Panama Kaizen Lot GW-01"/>
        <s v="Kona Geisha Champagne Natural"/>
        <s v="Ethiopia Nano Genji Lot #8"/>
        <s v="Colombia Hacienda La Pradera Mokka"/>
        <s v="La Piragua Pink Bourbon Colombia"/>
        <s v="Kenya Baragwi Guama"/>
        <s v="Ethiopia Washed Uraga More Floral Kurume Espresso"/>
        <s v="Ethiopia Natural Sidama ALO Village FL"/>
        <s v="Ethiopia Washed Sidama Bura Karamo 74158"/>
        <s v="Ethiopia Natural Guji Hambella Wamena Buku G1"/>
        <s v="Guatemala Naranjas Nadando"/>
        <s v="Songstress Geisha"/>
        <s v="Ethiopia Gesha Village Surma 1931 Mossto Anaerobic Honey"/>
        <s v="Panama Bambito Estate Geisha"/>
        <s v="Colombia Efren Echeverry"/>
        <s v="Pueo Blend"/>
        <s v="Wai Meli Morning"/>
        <s v="Ayla Bombe Natural"/>
        <s v="Wilton Benitez Striped Bourbon Colombia"/>
        <s v="Buena Vista Pink Bourbon Colombia"/>
        <s v="Yunlin Washed Geisha"/>
        <s v="Ethiopia Banko Washed"/>
        <s v="Colombia Villa Betulia CM Sidra"/>
        <s v="Ethiopia Anaerobic Worka Sakaro"/>
        <s v="Costa Rica Hacienda Sonora Natural Milenio"/>
        <s v="Costa Rica Alma Negra Natural"/>
        <s v="El Salvador Finca Santa Sofia Natural Kenya"/>
        <s v="Colombia Aponte Honey"/>
        <s v="Finca Huixoc Geisha"/>
        <s v="Costa Rica Rivense Finca El Mango Honey Process"/>
        <s v="El Salvador Unicorn"/>
        <s v="Kenya Kiamwangi Factory AA TOP"/>
        <s v="Ethiopia Sidama Bensa Hamasho Washed TOH#2"/>
        <s v="Costa Rica Red Java Honey Finca Los Pinitos"/>
        <s v="Costa Rica Finca El CaГ±al Double Diamond"/>
        <s v="Honduras Roger Dominguez"/>
        <s v="Ngurueri Kenya"/>
        <s v="Cruz Loma Ecuador"/>
        <s v="Colombia Monteblanco Nectar Citrullus Secret Stash"/>
        <s v="Costa Rica La Laguna Lot Secret Stash"/>
        <s v="Ballista Espresso"/>
        <s v="Ethiopia Natural Lion 88"/>
        <s v="Panama Lamastus Family Elida Estate Loma Geisha Washed"/>
        <s v="Colombia El Paraiso Geisha Anti-Maceration"/>
        <s v="Ethiopia Alo Chilaka Natural"/>
        <s v="Panama Bambito Gesha"/>
        <s v="Panama Geisha Vuelta DRD Natural"/>
        <s v="Kona S12 Kaffa Washed"/>
        <s v="Kona Geisha RosГ© Washed"/>
        <s v="Colombia Cafe La Granja Pink Bourbon"/>
        <s v="Colombia Cafe La Granja Sudan Rume Natural"/>
        <s v="Panama Tierra Blanca C-5 Geisha Washed BOP-GW-05"/>
        <s v="Kenya AA Kangiri New Irati"/>
        <s v="Costa Rica Central Valley Honey Geisha"/>
        <s v="Ethiopia Sidama Bombe G1 Washed"/>
        <s v="Kenya AA Aries Return Espresso"/>
        <s v="Kenya AllвЂ™s Well Peaberry Espresso"/>
        <s v="Espresso No. 6 Finca San JosГ© OcaГ±a"/>
        <s v="Kahiko Orange"/>
        <s v="Kenya Washed Kiambu Yara Estate PB TOP"/>
        <s v="Kona Orange"/>
        <s v="Colombia Wilton Benitez Sudan Rume"/>
        <s v="Ethiopia Washed Gute 74110 Lot JH"/>
        <s v="Ethiopia Natural Sidama Bura Karamo 74158"/>
        <s v="Taiwan Honey Alishan Ming Yang Yuan Gesha"/>
        <s v="Kenya Washed Kiambu AB TOP Lot Yerihar"/>
        <s v="Kenya Ibonia Estate"/>
        <s v="Ethiopia Worka Sakaro"/>
        <s v="Guatemala Washed Huehuetenango Joya Verde"/>
        <s v="Ethiopia Washed Guji Uraga Tebe Burka"/>
        <s v="Ethiopia Natural Sidama ALO Village SKY Project FL"/>
        <s v="Taiwan Natural Alishan Chi Tsai Liu Li Ecological Farm"/>
        <s v="Wilton Benitez SL28"/>
        <s v="Kolla Bolcha #6 Ethiopia"/>
        <s v="Bener Meriah Sumatra"/>
        <s v="Yemen Haraaz"/>
        <s v="Ethiopia Yirgacheffe Hama Honey"/>
        <s v="Colombia Finca Santuario Red Bourbon Natural"/>
        <s v="Ethiopia Yirgacheffe Gutiti Gargari Natural"/>
        <s v="130 Blend"/>
        <s v="Ethiopia Bench Maji Gori Gesha ORO Yeast Natural G1"/>
        <s v="Fruits Melody"/>
        <s v="Kenya Melwa AA Washed"/>
        <s v="Colombia Wilton Benitez Thermal Shock Red Bourbon"/>
        <s v="Panama Elida Estate Geisha Natural ASD T3D Auction Lot EG6"/>
        <s v="El Salvador La Providencia Maria Pacas Bernadina Honey"/>
        <s v="Colombia El Vergel Martha Montenegro Rubi Marti Anaerobic"/>
        <s v="Ethiopia West Arsi Washed G1"/>
        <s v="Ethiopia Washed Yirgacheffe Chelbesa SNNPR Gedeo G1"/>
        <s v="Colombia Lulo Wonka Wonka &amp; Sebastian Gomez"/>
        <s v="Colombia Finca La Reserva"/>
        <s v="Ethiopia Washed Ayla Bombe"/>
        <s v="Ethiopia Mr. Ocholo Bedecho"/>
        <s v="Colombia Pink Champagne El Mirador Blend"/>
        <s v="Guatemala El Injerto Malawi Geisha Washed"/>
        <s v="Guatemala El Injerto Legendary Geisha Natural Lot E1-06"/>
        <s v="Guatemala Washed Finca La Hermosa Gesha Peaberry"/>
        <s v="Qunqana Ethiopia"/>
        <s v="Finca La Reserva Colombia Gesha Honey"/>
        <s v="Ethiopia Ayla Bombe"/>
        <s v="Ethiopia Arbegona Yaye Washed"/>
        <s v="Sumatra Putra Gayo Natural"/>
        <s v="El Salvador Finca Plan del Hoyo Microlot"/>
        <s v="Kenya Kichwa Tembo"/>
        <s v="Ethiopia Sidama Alice Orchard Natural G1"/>
        <s v="Colombia Fruit Loops Gesha Washed"/>
        <s v="Kenya Gachatha AA Top"/>
        <s v="Ethiopia Bench-Maji Lucy Station Geisha Washed"/>
        <s v="Ethiopia Yirgacheffe Lalisa Black Honey TOH#2"/>
        <s v="Panama Hacienda La Esmeralda Nano GIGANTE 4FC-N Geisha Washed"/>
        <s v="Kenya Washed Kiambu AA"/>
        <s v="Kenya Washed Kiambu Maganjo AA TOP"/>
        <s v="Ethiopia Washed Yirgacheffe Botabaa Lot"/>
        <s v="Ecuador Galo Morales"/>
        <s v="Orange Bourbon Natural"/>
        <s v="Ethiopia Yirgacheffe Huke Premium Washed G1"/>
        <s v="Ethiopia Yirgacheffe Huke Premium Natural G1"/>
        <s v="Colombia El Vergel #1"/>
        <s v="Ethiopia Sidama Bensa"/>
        <s v="Ethiopia Guji Rosechee Washed G1"/>
        <s v="Ethiopia Bench-Maji Lucy Geisha"/>
        <s v="Ethiopia Oromi Guji Hamela Wamena Tirtira Goyo Natural G1"/>
        <s v="Acacia Hills Geisha"/>
        <s v="Nsoga Iweyza Tanzania"/>
        <s v="Wilton Benitez Java"/>
        <s v="Ethiopia Guji Narcissus Washed G1"/>
        <s v="Asobombo Colombia"/>
        <s v="Panama Hacienda La Esmeralda Special Nano Geisha Gigante Washed Euphora Lot"/>
        <s v="Costa Rica Las Lajas Black Diamond Bourbon"/>
        <s v="Colombia Wilton Benitez Red Bourbon"/>
        <s v="Colombia Wilton Benitez Yellow Bourbon"/>
        <s v="Colombia Wilton Benitez Gesha Thermal Shock Wine Yeast"/>
        <s v="Colombia Wilton Benitez Striped Bourbon Thermal Shock"/>
        <s v="Ethiopia Mulish"/>
        <s v="Ethiopia Gesha Village Oma Gesha 1931 Natural"/>
        <s v="Ethiopia Djimma Limu Gummay Baby Geisha Washed"/>
        <s v="Ethiopia Yirgacheffe Kochere Halo Hartume Washed G1"/>
        <s v="Ethiopia Guji Bule Hambela TOH#1"/>
        <s v="Ethiopia Natural Sidama Bensa Blue Donkey 24/1"/>
        <s v="Peru Washed Los Santos Farm Gesha"/>
        <s v="Peru Black Honey Los Santos Farm Gesha"/>
        <s v="Nyeri Hill Kenya"/>
        <s v="Colombia Tabi La Roca"/>
        <s v="Ethiopia Sidama West Arsi Nansebo Natural G1"/>
        <s v="Ethiopia Moonlight Delight Wine Process Natural"/>
        <s v="Colombia Caldas Twilight Geisha Natural"/>
        <s v="Wilton Benitez Orange Bourbon"/>
        <s v="Costa Rica TarrazГє Tirra"/>
        <s v="Kona Maragogype"/>
        <s v="Ethiopia Natural Sidama Bensa Bombe"/>
        <s v="Ethiopia Washed Bench Maji Baby Lucy Gesha"/>
        <s v="Taiwan Natural Meishan Ching-Ye Farm Lot 0116"/>
        <s v="Gesha Spirits"/>
        <s v="Colombia El Jardin Anaerobic Natural"/>
        <s v="Colombia Los Nogales Yellow Bourbon"/>
        <s v="Ethiopia Chelba Natural"/>
        <s v="Tanzania Karatu Acacia Hills Geisha Washed AB Espresso"/>
        <s v="Las Margaritas Geisha Honey"/>
        <s v="Colombia Papayo"/>
        <s v="Las Margaritas Sudan Rume Natural"/>
        <s v="Colombia Green Apple Castillo"/>
        <s v="Colombia La Palma Y TucГЎn Heroes Series Geisha"/>
        <s v="Ethiopia Sidamo Bensa Anaerobic Washed"/>
        <s v="Ethiopia Sidama Orange Blossom Washed G1"/>
        <s v="Ethiopia Washed Sidama Bensa Single Variety 74158"/>
        <s v="Guatemala Bella Carmona"/>
        <s v="Wilton Benitez Sidra"/>
        <s v="Putra Gayo Sumatra"/>
        <s v="Colombia JosГ© JuliГЎn Giraldo Pink Bourbon Panela Sticky"/>
        <s v="Kenya Gatirima AA"/>
        <s v="Kenya Washed Kirinyaga Getuya AA Top"/>
        <s v="Ethiopia Natural Sidama Espresso"/>
        <s v="Guatemala Honey Finca El General Gesha"/>
        <s v="Ethiopia Natural Sidama Bacha 74110"/>
        <s v="Ethiopia Yirgacheffe Adame G1 Washed 95"/>
        <s v="Colombia Linarco Rodriguez Ospina Pink Bourbon Washed 94"/>
        <s v="Ethiopia Guji Uraga Haro Adama Washed G1"/>
        <s v="Colombia Edwin Enrique NoreГ±a / Black Honey Watermelon &amp; Lulo Co-Ferment"/>
        <s v="Colombia Edwin Enrique NoreГ±a / Black Honey Pink Bourbon Mosto &amp; Passionfruit Co-Ferment"/>
        <s v="Colombia Edwin Enrique NoreГ±a Pink Bourbon"/>
        <s v="Rwanda Humure Abishyizehamwe Low-Oxygen Natural"/>
        <s v="Candy Crush"/>
        <s v="Panama Clara Finca Auromar"/>
        <s v="Kona Geisha Peaberry Yeast Fermentation Washed"/>
        <s v="Colombia Finca La Secreta Lychee Caturra Anaerobic"/>
        <s v="Colombia Lychee Co-Ferment"/>
        <s v="Reserve Costa Rica Don Noel SL28"/>
        <s v="Ethiopia Rumadamo Anaerobic Washed"/>
        <s v="Ethiopia Djimma Limu Gummay Baby Geisha G1 Washed"/>
        <s v="La Papaya Pacamara Natural Ecuador"/>
        <s v="Palo de Rosa Pink Bourbon Colombia"/>
        <s v="Java Argopuro Mountain Natural SOE"/>
        <s v="Rwanda Rambagirakawa"/>
        <s v="Colombia Rigoberto Herrera Granja La Esperanza Hybrid Washed Gesha"/>
        <s v="Colombia El Diviso"/>
        <s v="Colombia Limited Release 2024"/>
        <s v="Colombia Wilton Benitez Orange Bourbon"/>
        <s v="Colombia Luna Azul"/>
        <s v="Colombia Cauca Castillo K-01"/>
        <s v="Ethiopia Sidama G4 Wamena Natural Espresso"/>
        <s v="Colombia El Paraiso Lychee Rose"/>
        <s v="Colombia Cauca Finca EI Paraiso 92 Pink Bourbon"/>
        <s v="Kona Geisha Washed"/>
        <s v="Karen J Kona Red Bourbon Anaerobic"/>
        <s v="Ethiopia Yirgacheffe Chelchele Washed G1"/>
        <s v="Kenya Nyeri Hill"/>
        <s v="Colombia Wilder Lasso Geisha Lot 2 Anaerobic Washed"/>
        <s v="Dragon Strong Espresso"/>
        <s v="Ethiopia Sidama Bombe Tadisa"/>
        <s v="Riripa Ethiopia"/>
        <s v="Ethiopia Washed Guji Uraga Haro Adama"/>
        <s v="Ethiopia Washed Kaffa Lot Rich Espresso"/>
        <s v="Ethiopia Washed Kaffa Lot Taco"/>
        <s v="Ethiopia Natural Sidama Karamo Niguse Gemeda 74158"/>
        <s v="Rainy Season in Fort Zeelandia Espresso Blend"/>
        <s v="Kenya Nyeri Kianjogu AA TOP Washed"/>
        <s v="Colombia La Esperanza Red Bourbon"/>
        <s v="Guatemala Finca Al Bosque"/>
        <s v="Marcela Gesha Espresso"/>
        <s v="Colombia Paraiso 92 Double Anaerobic"/>
        <s v="Colombia Sierra Morena Pink Bourbon"/>
        <s v="Ethiopia Growers Reserve Gesha Village Gaylee Special Fermentation"/>
        <s v="Ethiopia Anaerobic Washed G1 Wild Rose S.O. Sidamo"/>
        <s v="Colombia Buenavista Ataraxia Geisha"/>
        <s v="Kona Espresso Special Selection"/>
        <s v="El Salvador Finca Loma La Gloria Natural Process вЂњUnicorn LotвЂќ"/>
        <s v="Colombia El Diviso Nestor Lasso Sidra Anaerobic Washed"/>
        <s v="Colombia Red Fruits Campo Hermosa Edwin NoreГ±a"/>
        <s v="Juru Rwanda Rulindo Red Bourbon Honey"/>
        <s v="Colombia Granja Paraiso-92 Castillo"/>
        <s v="Ethiopia Dame Dabaye"/>
        <s v="Colombia Red Honey Geisha Campo Hermoso"/>
        <s v="Ethiopia Sidama Karamo Anaerobic Natural"/>
        <s v="Colombia Chiroso Caturra Washed"/>
        <s v="Kona SL 34 Anaerobic Washed Kona Rainforest"/>
        <s v="Colombia Yellow Geisha Granja Paraiso 92"/>
        <s v="Yaye Chericho Ethiopia Espresso"/>
        <s v="Colombia ChachagГјГ­ Mild Roast"/>
        <s v="Colombia Thermal Shock Double Anaerobic Granja Paraiso Orange Gesha"/>
        <s v="Kenya Nyeri Hill Estate AA Top Espresso"/>
        <s v="Colombia Granja Paraiso 92 Anaerobic Gesha"/>
        <s v="Putra Gayo Sumatra Espresso"/>
        <s v="Colombia Paraiso 92 Geisha Double Anaerobic"/>
        <s v="Kenya Blackberry Honey"/>
        <s v="Ethiopia Sidamo HeidenrГ¶slein Anaerobic Washed G1"/>
        <s v="Kenya Gachika"/>
        <s v="Hey Much Espresso Blend"/>
        <s v="Ethiopia Black Honey Guji Wate Lot Tabby"/>
        <s v="Finca Vista Hermosa EdwinвЂ™s Reserve Guatemala"/>
        <s v="Costa Rica Las Lajas Perla Negra"/>
        <s v="Kenya AA Top Gicherori Espresso"/>
        <s v="Kagunyu Kenya"/>
        <s v="Colombia Finca Milan Washed Nitro Caturra"/>
        <s v="Ethiopia JemJem"/>
        <s v="Guatemala La Esperanza Anaerobic"/>
        <s v="Sumatra Pantan Musara"/>
        <s v="Costa Rica Candelilla Gesha"/>
        <s v="Kona Red Bourbon Anaerobic Washed Kona Rainforest"/>
        <s v="Colombia Geisha Claudia Samboni"/>
        <s v="Ethiopia Ethiopia Limu Baby Geisha Natural"/>
        <s v="Panama Hacienda La Esmeralda Ethiopian Accessions"/>
        <s v="Yellow"/>
        <s v="Kona Noir"/>
        <s v="LauraвЂ™s Reserve SL34"/>
        <s v="Panama Mokkita Natural Mama Cata Estate"/>
        <s v="KaвЂЕ« Cloud Maragogipe"/>
        <s v="Geisha Champagne"/>
        <s v="JN Farms Double Anaerobic Red Bourbon"/>
        <s v="KaвЂЕ« Classic Peaberry"/>
        <s v="100% Kona Typica"/>
        <s v="Colombia 510 Elegante Natural Geisha"/>
        <s v="Colombia Turron"/>
        <s v="Black Geisha Blend Lab 18 Espresso"/>
        <s v="Ethiopia Layo Teraga"/>
        <s v="Ethiopia Reko Yirgacheffe"/>
        <s v="Colombia Huila El Diviso Nestor Lasso Geisha Washed"/>
        <s v="Ethiopia Bensa Bombe"/>
        <s v="Colombia  NariГ±o Villa Maria La Chorrera Geisha Washed"/>
        <s v="Kenya Kirinyaga County Gikirima Factory TOP PB"/>
        <s v="Colombia Huila Finca Buena Vista Geisha Washed"/>
        <s v="Ethiopia Natural Guji Blue Donkey 23/02"/>
        <s v="Ethiopia Natural Sidama Arbegona Bochessa"/>
        <s v="Peru Natural Villa Rica Espresso"/>
        <s v="Costa Rica TIM Washed Don Eli Catuai"/>
        <s v="Ethiopia Natural Sidama Twakok Pearl Selection"/>
        <s v="Kenya Washed Uklili AA"/>
        <s v="Peach-C Blend"/>
        <s v="Colombia Jaime Lopez"/>
        <s v="Cordillera de Fuego Costa Rica"/>
        <s v="Ethiopia Guji 74110 Natural"/>
        <s v="Good Tidings Sweet Holiday Blend"/>
        <s v="Kona Mokka Champagne Natural"/>
        <s v="Ethiopia Banko Gotiti"/>
        <s v="O-Li-A Geisha Blend"/>
        <s v="Colombia Huila El Triunfo Pink Bourbon Anaerobic Washed"/>
        <s v="Costa Rica VolcГЎn Azul Gesha Anaerobic Natural"/>
        <s v="Chang-E The Moon Goddess Espresso"/>
        <s v="GW03 Princesa Carmen Geisha"/>
        <s v="El Salvador Finca Loma La Gloria Yellow Honey"/>
        <s v="Costa Rica La Laguna Lot вЂ” Reserve Series"/>
        <s v="Rwanda Silverback Plus Espresso"/>
        <s v="Colombia El Paraiso Geisha Luna Washed"/>
        <s v="Kona PointuВ®"/>
        <s v="Colombia Calderon Honey"/>
        <s v="Karen J Kona Red Bourbon"/>
        <s v="Wilton Benitez Colombia Sidra"/>
        <s v="Peru Gilmer Cordova #13"/>
        <s v="Kenya Gichathaini"/>
        <s v="Colombia Honey Sweet Rose"/>
        <s v="Colombia Santa Monica Castillo Honey Lulo"/>
        <s v="Colombia Las Flores Red Bourbon Natural"/>
        <s v="African Dance Espresso Blend"/>
        <s v="Sweetheart Blend Espresso"/>
        <s v="Kenya AA Kiri"/>
        <s v="Guatemala Gesha"/>
        <s v="Gesha Village Ethiopia Gori Gesha"/>
        <s v="Kenya Machakos AA Top Washed"/>
        <s v="Indonesia Sumatra Raja Harimau Lintong Mandheling Espresso"/>
        <s v="Ethiopia Washed Guji Bishala 23/02"/>
        <s v="Guatemala Washed Huehuetenango Joya Verde Espresso"/>
        <s v="Ethiopia Red Honey Guji Uraga Tabe Haro Wachu"/>
        <s v="Ethiopia Natural Sidama Bare Tamiru"/>
        <s v="Colombia Wilton Benitez Thermal Shock Geisha"/>
        <s v="Colombia Tolima Genius"/>
        <s v="Colombia Wilton Benitez Thermal Shock Caturra"/>
        <s v="Ethiopia Natural Yirgacheffe Koke Shalaye Abraham Mengiste"/>
        <s v="Kenya AA TOP Gicherori"/>
        <s v="Panama Carmen Geisha Washed Light Roast"/>
        <s v="Mexico Los Aguacates"/>
        <s v="Ethiopia Arbegona Natural 74158"/>
        <s v="Guatemala Nueva Granda Washed Laurina"/>
        <s v="Ethiopia Shantawene Washed"/>
        <s v="Kona MoccaВ®"/>
        <s v="Ethiopia Worka Sakaro Anaerobic Natural"/>
        <s v="Colombia Finca Chambaku"/>
        <s v="Colombia La Siria Gesha"/>
        <s v="KaвЂЕ« Yellow Caturra Peaberry"/>
        <s v="Ethiopia Guji Hambela Tirtira Goyo Natural"/>
        <s v="Ethiopia Guji Euphora Special Honey Lot"/>
        <s v="Ichamama Kenya"/>
        <s v="La Candelilla Geisha Natural Costa Rica"/>
        <s v="El Lechero Peru"/>
        <s v="Colombia El Roble Natural Carbonic Java"/>
        <s v="Colombia Nestor Lasso Sidra"/>
        <s v="Colombia Yeast Anaerobic Washed Las Flores Bourbon Sidra"/>
        <s v="Ecuador Cruz Loma Sidra Anaerobic Euphora Special Lot"/>
        <s v="Colombia El Roble Chiroso Washed"/>
        <s v="Guatemala El Injerto SL28"/>
        <s v="HWC Holy Melody Espresso Blend"/>
        <s v="Panama Bambito Estate Geisha Anaerobic Natural"/>
        <s v="Ethiopia Natural Sidama 74158"/>
        <s v="Mr. DoddвЂ™s TeaTime Blend"/>
        <s v="Colombia Double Anaerobic Washed Los Nogales Yellow Bourbon"/>
        <s v="Colombia El Chaferote Pink Bourbon"/>
        <s v="Guatemala El Injerto Ethiopia Landrace Natural"/>
        <s v="Holiday Coffee"/>
        <s v="Kenya Muthua-Ini AB"/>
        <s v="Kenya Gichuka AA"/>
        <s v="Colombia Chili Bourbon"/>
        <s v="Chelbessa Ethiopia"/>
        <s v="Ethiopia Yirgacheffe Gedeb Chelbesa Natural"/>
        <s v="Tirra Natural Costa Rica"/>
        <s v="Colombia Huila Espiritu Blanc Geisha Semi-Washed Anaerobic"/>
        <s v="Costa Rica San Ramon Yeast Washed"/>
        <s v="HawaiвЂ™i Island Blend Espresso"/>
        <s v="Kenya Washed Kiambu Windrush AA"/>
        <s v="Guatemala El Amate Maragogype"/>
        <s v="Ethiopia Natural Guji Blue Donkey 23"/>
        <s v="Ethiopia Natural Yirgacheffe Worka Nenke Abraham Mengiste"/>
        <s v="Ethiopia Koke"/>
        <s v="Panama Florsa 100 Geisha FW 1600+"/>
        <s v="Ethiopia Bench Maji Gesha Winey Natural G1"/>
        <s v="Panama Hacienda La Esmeralda Geisha Natural"/>
        <s v="Panama Hacienda La Esmeralda Geisha Washed"/>
        <s v="Grand Champion Red Bourbon Natural"/>
        <s v="Sumatra Lintong Kardon"/>
        <s v="Panama Finca Don Julian Geisha Washed"/>
        <s v="Colombia Finca La Roca"/>
        <s v="Ethiopia YirgZ"/>
        <s v="Colombia Patio Bonita"/>
        <s v="Ethiopia Yirgacheffe Farmgate"/>
        <s v="Promise of Spring"/>
        <s v="Ethiopia Gesha Rebecca Natural"/>
        <s v="Colombia Finca El ParaГ­so Geisha Sake"/>
        <s v="Tanzania Nyasi Furaha"/>
        <s v="Kenya Nyeri Gatuya Factory AA Top"/>
        <s v="Costa Rica Tarrazu Double Anaerobic Washed"/>
        <s v="Wilton Benitez Pink Bourbon Colombia"/>
        <s v="Costa Rica Las Lajas SL28 Natural"/>
        <s v="Nano Genji #12 Ethiopia"/>
        <s v="Panama HWC Coffee Estate Washed"/>
        <s v="Colombia Fruit Maceration Series Lulo Bear"/>
        <s v="Colombia Huila Charlotte Geisha Washed"/>
        <s v="Colombia Wilton Benitez Double Anaerobic Thermal Shock Yellow Gesha"/>
        <s v="More Floral"/>
        <s v="Yemen Al Kawlah Special Reserve Natural"/>
        <s v="Kona K7"/>
        <s v="Ecuador La Josefina Estate"/>
        <s v="Ethiopia Kafa Natural"/>
        <s v="El Salvador Bourbon Semi-Washed"/>
        <s v="Bale Mountain Natural Ethiopia"/>
        <s v="Ethiopia Sidama Arbegona 74158 Washed"/>
        <s v="La Papaya Ecuador Geisha Natural"/>
        <s v="Colombia Tolima Finca El Vergel Rebel Geisha"/>
        <s v="Colombia Buenos Aires Honey Process-Yellow Velvet Peach"/>
        <s v="Encounter of Summer"/>
        <s v="Kenya"/>
        <s v="SL34 Dark Roast"/>
        <s v="Ethiopia Bench Maji Geisha Lucy Station Dark Roast"/>
        <s v="Kenya AB Athena Plus"/>
        <s v="Kenya Muranga"/>
        <s v="Costa Rica Turrialba Volcano Honey Process"/>
        <s v="Colombia Huila Finca El Triunfo Martha ZuГ±iga Pink Bourbon"/>
        <s v="Kenya Kanwangi AA"/>
        <s v="Ethiopia Bench Maji Geisha Lucy Station"/>
        <s v="Ecuador PeГ±aherrera AAA"/>
        <s v="HWC Geisha Plus Geisha Black Espresso"/>
        <s v="Ethiopia Yirgacheffe Jade Lotus"/>
        <s v="Blue Sunda Estate Java"/>
        <s v="La Papaya Natural Ecuador"/>
        <s v="Wilton Benitez Tabi VIP Colombia"/>
        <s v="El Mango Peru"/>
        <s v="Banko Gotiti Ethiopia"/>
        <s v="El Morito Guatemala"/>
        <s v="Giakanja Kenya"/>
        <s v="Ethiopia Basha Bekele"/>
        <s v="Colombia Luz Helena Salazar Wine Yeast Grape Honey"/>
        <s v="KaвЂЕ« Malolactic Natural"/>
        <s v="Jade Rabbit Espresso Blend"/>
        <s v="Colombia Finca Paraiso Gesha Wilton Benitez"/>
        <s v="Colombia Finca La EspaГ±a Gesha"/>
        <s v="Colombia Huila La Esperanza Pink Bourbon Honey"/>
        <s v="Ethiopia Halo Beriti Single-Origin Espresso"/>
        <s v="Ethiopia Gora Kone"/>
        <s v="Ecuador Finca Lugmapata"/>
        <s v="Costa Rica Raisin Honey"/>
        <s v="Quindio Gold Honey Colombia"/>
        <s v="Organic Peru San Fernando Tres Fincas Gesha"/>
        <s v="Kenya Washed Kiambu Gititu AB Top"/>
        <s v="Ethiopia Natural Guji Dasaya"/>
        <s v="Kona Classic"/>
        <s v="HawaiвЂ™i KaвЂЕ« Champagne Natural"/>
        <s v="Ethiopia Sidamo Rumudamo Premium"/>
        <s v="Yemen Natural Hamoud Abdullah AL-Khisheni"/>
        <s v="Guatemala Acatenango Gesha"/>
        <s v="Kenya Gatomboya"/>
        <s v="Ethiopia Guji"/>
        <s v="Burundi Nemba Washed Process"/>
        <s v="Worka Sakaro Ethiopia"/>
        <s v="Teremuka Peaberry Kenya"/>
        <s v="Teremuka Kenya"/>
        <s v="El Salvador La Muela Pacamara"/>
        <s v="Colombia Finca Juan Martin Aced Sidra"/>
        <s v="Guatemala Natural Santa Felisa Gesha SF-04 95"/>
        <s v="Colombia Red Bomb"/>
        <s v="Ethiopia 2022 COE #3 Washed Temam 74110"/>
        <s v="Espresso Giusto"/>
        <s v="Golden Parrot Blend Espresso"/>
        <s v="Galaxy Gesha Quindio Colombia Edwin NoreГ±a"/>
        <s v="KaвЂЕ« JN Farms Malolactic Honey"/>
        <s v="Colombia Finca El Paraiso Rose Tea"/>
        <s v="Colombia Monteblanco Rodrigo Sanchez Carbonic Maceration"/>
        <s v="Colombia Cauca Granja Paraiso 92 вЂ“ Pink Bourbon"/>
        <s v="Ethiopia Gatta Anaerobic"/>
        <s v="Colombia Osmanthus Bouquet Granja Paraiso 92"/>
        <s v="Colombia Granja ParaГ­so-92- Papayo KЕЌji"/>
        <s v="Ethiopia Dinkalem Ademe Wush Wush"/>
        <s v="Colombia Pink Bourbon"/>
        <s v="Kenya Kiambu Mandela Estate AA Washed Process"/>
        <s v="Costa Rica VolcГЎn Azul Geisha Yeast-Washed"/>
        <s v="Ethiopia Yirgacheffe Adame G1 Natural"/>
        <s v="Guatemala Retiro del Quisaya Natural Process"/>
        <s v="Colombia Geiner Montano"/>
        <s v="Kabiufa Papua New Guinea"/>
        <s v="KaвЂu Red Catuai Peaberry"/>
        <s v="Panama Finca Las Nubes Geisha Microlot"/>
        <s v="Guatemala El Milagro Bourbon Especial"/>
        <s v="Costa Rica William Mora"/>
        <s v="Ethiopia Duromina Agaro Gera"/>
        <s v="Winter 2022 Allocation Colombia"/>
        <s v="El Salvador 2022 COE#17 El Mirador Washed Gesha"/>
        <s v="Panama ABU Washed Gesha Lot GW57"/>
        <s v="Guatemala Natural El General Bistro Lot Espresso"/>
        <s v="Ethiopia 2022 COE#25 Natural Tadesse 74112"/>
        <s v="Ethiopia Washed Sidama Rumudamo"/>
        <s v="Lemon Sugar Wash"/>
        <s v="Kenya Kiambu AA"/>
        <s v="Colombia Geisha Allium"/>
        <s v="Kayon Mountain Ethiopia"/>
        <s v="Ethiopia Kochere Arefasa Washed G1"/>
        <s v="Colombia Granja ParaГ­so Java P14"/>
        <s v="El Salvador Finca El Retiro Sudan Rume Natural"/>
        <s v="Ethiopia Hayissa Olocho Lot 6"/>
        <s v="Ethiopia COE #8 Sidama Arbegona Muluneh Tute Galcho 74158 Natural"/>
        <s v="KaвЂ™u Tropical Punch"/>
        <s v="Ethiopia Gesha Village Illubabor Forest Lot 22/043 (Single-Terroir) Natural Process"/>
        <s v="Ethiopia Gera Genji Challa"/>
        <s v="Kenya Gotomboya Peaberry"/>
        <s v="Panama Hartmann Estate Chicho Gallo Amaro Gayo Natural BOP#1"/>
        <s v="Kenya Ichamama"/>
        <s v="Ethiopia Uchoro Nansebo Washed"/>
        <s v="Nekisse Phantom Roasting"/>
        <s v="Colombia Finca Samboni Gesha Anaerobic Natural"/>
        <s v="Kambera Inari Roasting"/>
        <s v="Colombia Don Correa Gesha"/>
        <s v="Ethiopia BergWu Maker Series Yirgacheffe Wuri G1 Lot MW21/02"/>
        <s v="Mexico Finca Santa Cruz COE#1b"/>
        <s v="Colombia Cerro Azul Geisha"/>
        <s v="Yirgacheffe Mengesha Natural"/>
        <s v="Panama Geisha Finca Debra Symbiosis"/>
        <s v="Panama Geisha Finca Debra Echo"/>
        <s v="Ethiopia Hamasho Washed"/>
        <s v="Ethiopia Idido Anaerobic Natural"/>
        <s v="Mexico Cup of Excellence #7"/>
        <s v="Double-Anaerobic Fermentation Tamiru Tadesse"/>
        <s v="Ethiopia Chelbesa Danche Yirgacheffe"/>
        <s v="Ethiopia Honey Process Tamiru Tadesse"/>
        <s v="Ethiopia Halo Beriti"/>
        <s v="Narsha Gesha"/>
        <s v="Ethiopia Washed Guji Uraga Welichu"/>
        <s v="Don Roger &amp; IsabelвЂ™s Natural Fruit Symphony"/>
        <s v="Kenya Gitare AA TOP"/>
        <s v="Yemen Natural SanaвЂ™a Manakhah JaвЂ™adi"/>
        <s v="Ethiopia Bench Maji Gesha Special Natural Lot 03"/>
        <s v="Ethiopia Yirgacheffe Kochere Debo Premium Lot Washed Process"/>
        <s v="Ethiopia Natural Yirgacheffe Burtukaana Danche"/>
        <s v="Ethiopia Hateso Guji Washed"/>
        <s v="Guatemala El Injerto Pacamara"/>
        <s v="Colombia Tres Dragones"/>
        <s v="Rwanda Cyesha Natural"/>
        <s v="Espresso No. 3"/>
        <s v="Finca Santa Isabel"/>
        <s v="Colombia Castillo Fruit Maceration Series (Passionfruit)"/>
        <s v="Colombia Castillo Fruit Maceration Series (Strawberry)"/>
        <s v="Colombia Castillo Fruit Maceration Series (Peach)"/>
        <s v="Full Moon Espresso"/>
        <s v="Ethiopia Sidama Tamiru Tadesse Anaerobic Natural Special Auction Lot"/>
        <s v="Colombia La Esperanza 100% Geisha Hanashaku"/>
        <s v="Kona Extra Fancy"/>
        <s v="Ecuador COE 1st place Arashi Typica Mejorado Washed"/>
        <s v="Ethiopia Getu Kurume Natural"/>
        <s v="Fruit of the Goddess Espresso Blend"/>
        <s v="Papua New Guinea Wahgi Valley Sigri Estate Peaberry"/>
        <s v="Kenya Nyeri Asali Peaberry"/>
        <s v="Memories of Autumn"/>
        <s v="Ethiopia Gera Estate Anaerobic Natural"/>
        <s v="Colombia Cauca Finca El Paraiso Double-Anaerobic Flor Lychee"/>
        <s v="Costa Rica Cerro Dragon Geisha Honey"/>
        <s v="Guatemala Washed El Injerto EI05 Mocca"/>
        <s v="Taiwan Natural Alishan Zhuo-Wu Geisha"/>
        <s v="Ethiopia Natural Guji Uraga Tome 74110 Lot K06"/>
        <s v="Kenya Gathaithi AA"/>
        <s v="Ethiopia Guji Uraga Tobutu Tuta G1 Experimental LOT 181NA2021"/>
        <s v="Colombia Jardines del Eden Pink Bourbon Wine Yeast Honey"/>
        <s v="Colombia Cerro Azul Enano"/>
        <s v="Peru Incahuasi"/>
        <s v="Reina de la Asuncion Ecuador"/>
        <s v="Ethiopia Guji Uraga More Floral Kudume Washed"/>
        <s v="Ethiopia Guji Uraga More Floral Kudume Natural"/>
        <s v="Kenya AA TOP Nairobi Rose"/>
        <s v="Kahiko"/>
        <s v="Kenya Ndumberi Peaberry"/>
        <s v="Taiwan Alishan Espresso Pacamara Natural"/>
        <s v="Ethiopia Gera Reserve Anaerobic Natural"/>
        <s v="Kenya Ngaita Peaberry"/>
        <s v="Kenya AB"/>
        <s v="Kona Red Bourbon"/>
        <s v="Kenya Washed Nyeri Hill Farm AA Top"/>
        <s v="Ethiopia Nano Genji"/>
        <s v="Ethiopia Natural Sidama Abebe 74110"/>
        <s v="Ethiopia Natural Guji TAMIRU 74158 Kakalove Lot"/>
        <s v="Rwanda Sholi Natural Single-Origin Espresso"/>
        <s v="Guatemala Washed Finca El General Lot SummerEnd Espresso"/>
        <s v="Guatemala Washed Acatenango Finca El General Pacamara Espresso"/>
        <s v="Finca Cerro Azul Aces Lot"/>
        <s v="Gachatha Kenya"/>
        <s v="Geisha Spirit"/>
        <s v="Colombia Sudan Rume"/>
        <s v="El Duende Peru"/>
        <s v="Ethiopia Yirgacheffe G1 Idido Natural"/>
        <s v="Colombia Pink Bourbon Filadelfia"/>
        <s v="Colombia Geisha"/>
        <s v="Colombia Don Ruiz Anaerobic"/>
        <s v="Colombia FUDAM NariГ±o"/>
        <s v="Ethiopia Durato Bombe"/>
        <s v="Sumatra Takengon Gayo Natural"/>
        <s v="Nano Genji #7"/>
        <s v="Panama Auromar Camilina Geisha Natural"/>
        <s v="Tio Conejo Colombia"/>
        <s v="Panama Auromar Ironman Geisha Washed Process"/>
        <s v="Cruz Loma"/>
        <s v="Panama Elida Washed Gesha"/>
        <s v="El Salvador Finca La Esperanza"/>
        <s v="Panama Hacienda La Esmeralda Super Mario Geisha Yeast Washed"/>
        <s v="Quartet Kaffe Blend No.10"/>
        <s v="Ethiopia Anasora Extended Natural Special Lot"/>
        <s v="Ethiopia Honey Yirgacheffe Idido G1"/>
        <s v="Taiwan Natural Alishan Ching-Ye Farm"/>
        <s v="Hawaii KaвЂЕ« Bourbon Anaerobic Natural"/>
        <s v="Chelchele Ethiopia"/>
        <s v="Colombia Antioquia Magico"/>
        <s v="Costa Rica Hacienda La Minita"/>
        <s v="El Salvador Aida Batlle La Florida Natural"/>
        <s v="Colombia Geisha Cordillera"/>
        <s v="Ethiopia Raro Boda"/>
        <s v="Costa Rica Bounty Gesha"/>
        <s v="Panama Static Gesha Natural"/>
        <s v="Panama La Mula Geisha Washed"/>
        <s v="Costa Rica San Gabriel SL28 Anaerobic Natural"/>
        <s v="Burundi Kibingo Intenso"/>
        <s v="Panama Hacienda La Esmeralda Porton 5N49 Gesha Natural"/>
        <s v="Kona SL34 Champagne Natural Uluwehi Farm"/>
        <s v="Ethiopia Yirgacheffe Adado"/>
        <s v="Tanzania Mbeya Mimba"/>
        <s v="Costa Rica La Chumeca"/>
        <s v="Kenya Nyeri Hill Farm AA TOP"/>
        <s v="Costa Rica Las MontaГ±as Honey"/>
        <s v="Colombia Finca La Guaca AjГ­"/>
        <s v="Kenya Washed Kiambu Uklili AB Espresso"/>
        <s v="Karatina Kenya"/>
        <s v="Karamo Ethiopia"/>
        <s v="Ethiopia Natural Shakisso Mormora 74112"/>
        <s v="Ethiopia Washed Shakisso Mormora 74112"/>
        <s v="Tang Bohu Espresso Blend"/>
        <s v="Colombia Quindio Anaerobic Natural"/>
        <s v="Colombia Tres Dragones Natural"/>
        <s v="Colombia Finca Jardines del Eden Ice Fermentation Natural"/>
        <s v="Honduras Natural San Vicente Belarmino Contreras Pacas"/>
        <s v="Chasing Horizon Natural Espresso"/>
        <s v="Supernatural"/>
        <s v="Ethiopia Alemaza Natural SOE"/>
        <s v="Kona Natural Espresso"/>
        <s v="Peru Gesha"/>
        <s v="Ecuador Loja Hacienda La Papaya Bourbon Sidra 168hr Anaerobic Natural"/>
        <s v="Panama Finca Deborah Afterglow Geisha Natural"/>
        <s v="Colombia ExГіtico De Altura"/>
        <s v="Ethiopia Dawencho 74110 Natural Espresso"/>
        <s v="Kenya Nyeri Yerihar AA Top Lot 21/01"/>
        <s v="Colombia Wush Wush Dynamic Natural"/>
        <s v="Rwanda Gatare"/>
        <s v="Costa Rica Naranjo Danilo Salazar Arias"/>
        <s v="Ethiopia Guji Shakiso G1 Honey"/>
        <s v="Yemen Haraaz Red Mahal Aqeeq ul Station Natural"/>
        <s v="Brazil Fazenda Samambaia Natural Fermentation Arara"/>
        <s v="Costa Rica Canet Musician Series Bach Raisin Honey"/>
        <s v="Peru Amazonas Los Santos Geisha Natural"/>
        <s v="Ethiopia Odola Washed"/>
        <s v="Minanga Village Sulawesi"/>
        <s v="KaвЂЕ« Tropical Punch Washed"/>
        <s v="Kenya Peaberry Top Hill Farm Espresso"/>
        <s v="Ethiopia Belayneh Bariso Natural"/>
        <s v="Yemen Al Mashtal Al Burhani"/>
        <s v="KaвЂЕ« Lactic Natural"/>
        <s v="Colombia Finca El Paraiso Castillo Red Plum"/>
        <s v="Ethiopia Guji Uraga Tebe Burku Natural"/>
        <s v="British Style Espresso Blend"/>
        <s v="Costa Rica Brunca Rivense Las Moras Black Honey"/>
        <s v="Ethiopia Yirgacheffe Hama Washed"/>
        <s v="Peru Washed Santa Monica Gesha"/>
        <s v="Taiwan Washed Alishan Ching-Ye Farm SL34"/>
        <s v="Ethiopia Guji Odo Shakiso"/>
        <s v="Ethiopia Sidamo Karamo"/>
        <s v="Gigesa Ethiopia"/>
        <s v="Oahu Triple-Bourbon вЂњSparklingвЂќ Yeast Ferment"/>
        <s v="Colombia Ibague Tolima"/>
        <s v="Kenya Karatu"/>
        <s v="Ecuador Taza Dorada Finca Cruz Loma"/>
        <s v="Kona Bourbon Champagne Natural Uluwehi Farm"/>
        <s v="Peru Garden of Eden Farcent Geisha Anaerobic Washed"/>
        <s v="Pointu Laurina"/>
        <s v="Ecuador Finca Cruz Loma"/>
        <s v="Aged Sumatra Semiga"/>
        <s v="Indonesia Sumatra Kerinci Valley"/>
        <s v="KaвЂ™u Classic Dark"/>
        <s v="Sumatra Boru Batak"/>
        <s v="Barokah Honey Sumatra"/>
        <s v="Colombia Finca La Primavera Sidra"/>
        <s v="Ethiopia Natural Guji Dasaya SP"/>
        <s v="Ethiopia Anaerobic Shantawene"/>
        <s v="Ethiopia Bensa Asefa Qonqana"/>
        <s v="Ethiopia Washed Shantawene"/>
        <s v="Indonesia Sumatra Natural Aceh Musara SC19"/>
        <s v="Kenya Washed Kabingara AA"/>
        <s v="Kenya Nyeri Jungle Estate Red Cherry SLD Anaerobic Natural"/>
        <s v="Lugmapata Ecuador"/>
        <s v="Red Sunset by Andres Cardona"/>
        <s v="Macarena Colombia"/>
        <s v="Haraaz Red Yemen"/>
        <s v="El Salvador Anarquia Pacamara"/>
        <s v="Colombia Sidra Natural Signature Selection"/>
        <s v="Colombia Finca El Paraiso Geisha Letty"/>
        <s v="Monarch Estate Pacamara"/>
        <s v="Uluwehi Farm Kona SL34 Yeast-Fermentation Washed Peaberry"/>
        <s v="KaвЂ™u IPA Natural"/>
        <s v="Ecuador Finca Lugmapata Mejorado"/>
        <s v="Shakiso Natural"/>
        <s v="Cerro Azul Geisha Honey Process"/>
        <s v="La Esmeralda Diamond Mountain Washed Coffee"/>
        <s v="Karen J Kona Red Bourbon Natural Anaerobic"/>
        <s v="El Salvador Finca Mileydi Pacamara"/>
        <s v="El Salvador Las Veraneras Red Bourbon"/>
        <s v="Costa Rica Brunca Rivense La Guaca Passion Honey"/>
        <s v="Hunkute by Nordic Approach"/>
        <s v="SchweikвЂ™s Blend"/>
        <s v="Whiskey Dreams Moka Java"/>
        <s v="Black Level Blend"/>
        <s v="Karindundu Kenya"/>
        <s v="Colombia Geisha Natural"/>
        <s v="Pacas Estate El Salvador Natural"/>
        <s v="Hunapu Natural Guatemala"/>
        <s v="Ethiopia Natural Sidama TAMIRU 74158"/>
        <s v="Bedhatu Jibicho Natural"/>
        <s v="Ethiopia Natural Guji DoReMi"/>
        <s v="Sabana Redonda SL28 Costa Rica"/>
        <s v="Ethiopia Bench Maji Gesha Village Dimma Illubabor Forest A6 Natural"/>
        <s v="Sumatra Siamang Forest"/>
        <s v="Yemen Jabal Nabi Special Reserve"/>
        <s v="Kenya Gakuyuini AA"/>
        <s v="Hacienda Esmeralda Ethiopian Accessions"/>
        <s v="Gelena Geisha"/>
        <s v="Ethiopia Anaerobic Natural"/>
        <s v="Rainy Day Espresso Blend"/>
        <s v="Ethiopia Tamiru Tadesse Tesema Anaerobic Natural"/>
        <s v="Ethiopia Aphrodite Washed Espresso"/>
        <s v="KaвЂ™u Bourbon Champagne Natural"/>
        <s v="Cerro Azul Geisha"/>
        <s v="Panama Mama Cata Geisha Champagne Natural"/>
        <s v="Ethiopia Yirgacheffe Worka Sakaro"/>
        <s v="El Socorro Maracaturra"/>
        <s v="Hacienda La Esmeralda MontaГ±as 71AS"/>
        <s v="Kenya Nyeri Gatomboya"/>
        <s v="Ethiopia Bench Maji Natural Gesha"/>
        <s v="Panama Hacienda La Esmeralda Gesha"/>
        <s v="Natural KaвЂ™u Maragogipe"/>
        <s v="Costa Rica Volcan Azul San Isidro Red Honey"/>
        <s v="Ethiopia Demeka Becha"/>
        <s v="Sweet Holiday Blend"/>
        <s v="Ethiopia Washed Sidama Bensa Bombe"/>
        <s v="Panama Abu Geisha Lot 6"/>
        <s v="Panama Finca Mi Finquita Geisha Afrodita Natural"/>
        <s v="Panama El Burro Estate Natural Gesha"/>
        <s v="Panama La Viuda Natural Geisha 4 Hermanos"/>
        <s v="Colombia Huila Finca Monteblanco Rodrigo Sanchez"/>
        <s v="Ninety Plus Panama Gesha Estate MS Joseph Brodsky 2307"/>
        <s v="Espresso"/>
        <s v="Kenya Kainamui AB"/>
        <s v="Ethiopia Olonso Qeka"/>
        <s v="Ethiopia Wate Mini Natural Espresso"/>
        <s v="Ethiopia Sidama Bensa Farmer Tamiru 74158 Natural"/>
        <s v="BNT Espresso Blend"/>
        <s v="Mama Cata Mokkita"/>
        <s v="Ethiopia Tamiru Tadesse Anaerobic"/>
        <s v="Ethiopia Tamiru Tadesse Natural"/>
        <s v="Puna Arakawa Estate Lactic Natural"/>
        <s v="100% Kona Bourbon Pointu Laurina"/>
        <s v="Colombia Java El Eden"/>
        <s v="Ethiopia Shantawene Natural"/>
        <s v="Ethiopia Buno Dambi Uddo"/>
        <s v="Ethiopia Durato Bombe Natural"/>
        <s v="SГ–T Coffee Roaster Colombia Wush Wush Dynamic Natural"/>
        <s v="Colombia Trujillo Experimental Process"/>
        <s v="Colombia La Siria Geisha"/>
        <s v="Guatemala Santa Felisa Wild Yeast Natural Gesha"/>
        <s v="Colombia Granja La Esperanza Las Margaritas Gesha Honey"/>
        <s v="Tanzania Acacia Hills Gesha Peaberry"/>
        <s v="Colombia La Palma Y El TucГЎn Gesha Natural"/>
        <s v="Peru Yanesha Geisha Washed Anaerobic"/>
        <s v="Guatemala Geisha"/>
        <s v="Costa Rica La Rejolla Washed Geisha"/>
        <s v="Bekele Heto Natural Ethiopia"/>
        <s v="El Salvador El Matazano Pacamara"/>
        <s v="Ethiopia Guji Mormora Organic Natural"/>
        <s v="Chelbesa Ethiopia"/>
        <s v="Colombia La Riviera Sudan Rume"/>
        <s v="Alaka Ethiopia"/>
        <s v="Ethiopia Guji Uraga Tebe Burka Natural G1"/>
        <s v="Sweet Kenya J36 Espresso"/>
        <s v="Acatenango Santa Felisa Wild Yeast Natural Sudan Rume Full Moon Lot 4"/>
        <s v="Guatemala Finca El General Slow Dry 6"/>
        <s v="Ethiopia Yirgacheffe Washed Banko Gotiti 3"/>
        <s v="Ethiopia Natural Yirgacheffe Adado Feysa Dira"/>
        <s v="Guatemala Finca El General SummerEnd Espresso"/>
        <s v="Guatemala El Injerto Natural Legendary Gesha 7"/>
        <s v="Kenya Gachatha Nyeri AA"/>
        <s v="Ethiopia Super Wush"/>
        <s v="Kenya Athena AB Espresso"/>
        <s v="Colombia La Esperanza Anaerobic"/>
        <s v="Ethiopia Gogogu Bekaka #1"/>
        <s v="Ethiopia Kochere Hama Jet Washing Station"/>
        <s v="Elida Estate Dragonfly Catuai Lot 13"/>
        <s v="Elida Estate ASD Natural Catuai 15"/>
        <s v="Yemen Sheba Auction Lot 1: Wadi Al Mahjr"/>
        <s v="Yemen Port of Mokha Al-Jabal"/>
        <s v="Colombia La Esperanza PotosГ­ Anaerobic Process"/>
        <s v="Panama Hacienda La Esmeralda Ethiopia Accessions"/>
        <s v="Guji Hamasho Washed"/>
        <s v="Kona Red Wine Process"/>
        <s v="Candelilla Geisha Natural"/>
        <s v="Kiamugumo Kenya"/>
        <s v="Ethiopia Sidama Ardi"/>
        <s v="Colombia Gesha"/>
        <s v="Ethiopia Kayon Mountain Washed"/>
        <s v="Ethiopia Gedeb Worka Wuri"/>
        <s v="Kenya Karatina"/>
        <s v="La Reforma El Salvador Natural"/>
        <s v="Panama Geisha"/>
        <s v="Guatemala COE-NW#2 Sierra Roja Geisha Washed"/>
        <s v="Guatemala La Voz"/>
        <s v="Cafe Granja La Esperanza Sudan Rume"/>
        <s v="Ethiopia Guji Laayoo Natural"/>
        <s v="Colombia Cafe Granja La Esperanza Sidra Natural"/>
        <s v="Nicaragua La Bendicion Yellow Maracaturra Natural"/>
        <s v="Kona Lactic Washed"/>
        <s v="Kenya Kamwangi"/>
        <s v="Ethiopia Bench Maji Gesha Village Oma Geisha 1931 Lot 55 Natural"/>
        <s v="Ethiopia Guji Natural Euphora Special Lot"/>
        <s v="Sudan Rume"/>
        <s v="Testi Ayla Double Ethiopia"/>
        <s v="Primavera Colombia Espresso"/>
        <s v="Espresso Blend"/>
        <s v="Classic MK Blend"/>
        <s v="Chocolate LoverвЂ™s Espresso"/>
        <s v="Golden Parrot Blend"/>
        <s v="Bull Demon King"/>
        <s v="Tanzania Gesha Peaberry"/>
        <s v="Ethiopia Natural Guji D Minor 21/01"/>
        <s v="Ethiopia Hambela Yellow Honey James Selection"/>
        <s v="Costa Rica Black Honey"/>
        <s v="Ethiopia Guji Hambela Kudume Yellow Honey"/>
        <s v="Ethiopia Sidamo Bensa Mirado Natural"/>
        <s v="Costa Rica La Florida Red Honey Espresso"/>
        <s v="Ethiopia Yirgacheffe Botabaa Washed G1 21/01"/>
        <s v="Yemen Mocca Matari"/>
        <s v="Mojave Vault Series Geisha Natural"/>
        <s v="Ethiopia Buku Abela"/>
        <s v="Colombia Finca Santa Maria"/>
        <s v="Yemen Mocha Haimi"/>
        <s v="Costa Rica Hacienda Tobosi Villalobos Anaerobic Natural"/>
        <s v="Colombia Wush Wush"/>
        <s v="Brazil Gauriroba Natural"/>
        <s v="Rwanda вЂњSilverback ReturnsвЂќ"/>
        <s v="Gigesa Natural"/>
        <s v="El Jocote Natural"/>
        <s v="Panama Finca Santa Teresa Summer Gesha"/>
        <s v="Baby Dragons"/>
        <s v="Kona Maragogype Peaberry Natural"/>
        <s v="Ecuador San JosГ© de Minas Double-Anaerobic"/>
        <s v="La Perla Chiquita Ecuador"/>
        <s v="Las Flores Colombia"/>
        <s v="Nicaragua Yellow Pacamara Natural"/>
        <s v="Ethiopia West Arsi Nensebo Natural G1"/>
        <s v="Ethiopia Sidama Bona Sweet Natural"/>
        <s v="Congo Square"/>
        <s v="Rwanda Rulindo Tumba"/>
        <s v="Tanzania Sambewe"/>
        <s v="Rwanda Kinini Village Natural"/>
        <s v="Tanzania Peaberry"/>
        <s v="Tanzania Ngila Estate SL28"/>
        <s v="Ethiopia Washed Sidama Nafasha 74158 21/01"/>
        <s v="Ethiopia Tibe Haro Uraga"/>
        <s v="Taiwan Natural Alishan TFUвЂ™YA Kakalove Lot"/>
        <s v="Ethiopia Natural Guji Blue Donkey 21/01"/>
        <s v="Kenya Nyeri Gachatha Washed AB"/>
        <s v="Ethiopia Yirgacheffe G1 Mulugeta Tsige"/>
        <s v="Kenya AA Top Gathambi Station"/>
        <s v="Ethiopia Guji Gerba Station G1 Natural Espresso"/>
        <s v="Ethiopia Keramo Village"/>
        <s v="Ethiopia Uraga Washed G1"/>
        <s v="Kenya Karindudu AA"/>
        <s v="Colombia Cardona Natural"/>
        <s v="Ethiopia Guji Anaerobic"/>
        <s v="Maypop"/>
        <s v="La Soledad Colombia"/>
        <s v="Colombia Huila Acevedo El Paraiso"/>
        <s v="Love of Desolate"/>
        <s v="Blend No.7 Berrichee"/>
        <s v="Ethiopia Niguse Gemeda Mude Natural"/>
        <s v="La Estrella Carbonic Geisha Reserve"/>
        <s v="Ethiopia Guji Wush Wush Anaerobic Natural"/>
        <s v="Ethiopia Guji Wush Wush"/>
        <s v="Tres Dragones Colombia"/>
        <s v="Panama Elida Estate CatuaГ­ Natural ASD"/>
        <s v="Ethiopia Yirgacheffe Israel Degfa Natural Gr.1"/>
        <s v="Panama Elida Estate Washed"/>
        <s v="Kona Maragogype Natural"/>
        <s v="Kenya Washed Nakuru Gachombe Factory AB"/>
        <s v="Ethiopia Natural Guji Hambella Wate Peaberry"/>
        <s v="Ethiopia Guji Shakiso Dambi Udo Natural Anaerobic"/>
        <s v="Ethiopia Natural Guji"/>
        <s v="Costa Rica Yellow Honey Kinka Bear Lot 20-02"/>
        <s v="Ethiopia Guji Shakiso Dambi Udo Honey"/>
        <s v="Kenya Washed Nyeri Gichathaini Factory AB"/>
        <s v="Colombia Pink Bourbon Honey"/>
        <s v="Kona SL34 Sweet Spot"/>
        <s v="Haraaz Red"/>
        <s v="Panama Elida Green-Tip Geisha La Torre ASD"/>
        <s v="Kona Peaberry"/>
        <s v="Panama Finca Los Lajones Natural"/>
        <s v="SL28"/>
        <s v="Bourbon Pointu Natural"/>
        <s v="Ethiopia Guji Hambela Buku Abel Slow Dry Natural 2400m"/>
        <s v="Flight Seasonal Espresso"/>
        <s v="Panama Boquete Flor De Mariposa Geisha Espresso"/>
        <s v="Guji Ethiopia Washed"/>
        <s v="Colombia Monteblanco Geisha"/>
        <s v="Ethiopia Gedeo Kochere Reko Natural"/>
        <s v="Costa Rica Aris Red Honey Lot 2002 Espresso"/>
        <s v="Twisted V.6 Espresso"/>
        <s v="Aged Sumatra Ulos Batak 2015"/>
        <s v="Kona Uluwehi SL34"/>
        <s v="Colombia Pink Bourbon Finca El Chaparote"/>
        <s v="Ethiopia Neja Fadil"/>
        <s v="Peru Buena Vista Valerio Almanza Ccahua"/>
        <s v="Panama Finca Santa Teresa Lot 9"/>
        <s v="Guatemala CobГЎn Chicoj Cooperative Red Honey Fair Trade"/>
        <s v="Ethiopia Halo Hartume Daniel Mijane"/>
        <s v="Colombia Cauca El Paraiso"/>
        <s v="Taiwan Songyue Geisha"/>
        <s v="Kenya Nyeri"/>
        <s v="Kenya Kirinyaga Baragwi Karumandi AA"/>
        <s v="Harimau Tiger Sumatra"/>
        <s v="Ethiopia Sidamo Washed"/>
        <s v="Ethiopia Guji Uraga Washed"/>
        <s v="Indonesia Golden Sumatra TP Espresso"/>
        <s v="Kenya Gachatha"/>
        <s v="Ethiopia Suke Quto Single-Origin Espresso"/>
        <s v="Ethiopia Gera Limu"/>
        <s v="Panama Pacamara Natural"/>
        <s v="KaвЂ™u Pink Honey"/>
        <s v="Kona Maragogype Pink Honey"/>
        <s v="RD1 Espresso Blend"/>
        <s v="Bull Espresso Blend"/>
        <s v="Ethiopia Yirgacheffe Gotiti Natural"/>
        <s v="Trust the Process вЂ” Full Natural"/>
        <s v="Colombia Finca El Caucho Pink Bourbon"/>
        <s v="Colombia Antioquia Natural Carbonic Maceration Caturra"/>
        <s v="Colombia La Gallera Estate"/>
        <s v="Colombia Diofanor Ruiz"/>
        <s v="Colombia Java El EdГ©n Limited Edition"/>
        <s v="Finca La Maria Geisha Natural"/>
        <s v="Angamaza"/>
        <s v="Ethiopia Rhapsody Espresso"/>
        <s v="Dafis Abafita Natural Ethiopia"/>
        <s v="Berg Wu Championship Sidamo Washed G1 Lot 20-02"/>
        <s v="KaвЂ™u Yellow Bourbon"/>
        <s v="Ethiopia Natural Hambela Wate"/>
        <s v="Kinini Village Rwanda"/>
        <s v="Ethiopia Natural Guji Uraga G1 Lot 20-05"/>
        <s v="Kenya Nyeri Muchoki Estate AA"/>
        <s v="Fruity Espresso Blend"/>
        <s v="Ethiopia Yirgacheffe Cleopatra Natural"/>
        <s v="Ethiopia Yirgacheffe Dumerso G1 Natural"/>
        <s v="Guatemala Santa Felisa Solar Eclipse Gesha Natural"/>
        <s v="Coral"/>
        <s v="Ethiopia Guji Goro Muda Washed G1"/>
        <s v="Ethiopian Guji Ana Sora Alcoholic Natural G1"/>
        <s v="Ethiopia Cup of Excellence Guji Natural"/>
        <s v="Ethiopia Sidama Telamo FTO Natural"/>
        <s v="Ethiopia Guji Laayyoo Natural"/>
        <s v="Magic Cat Kenya Civet AFCA TOH NO.2 Gatuya Factory New Murarandia AA"/>
        <s v="Ethiopia Grade 1 Chelchele"/>
        <s v="Ethiopia Natural Yirgacheffe Gr.1 Cleopatra"/>
        <s v="Taiwan Alishan Zhou-Zhu-Yuan Farm Estate Reserve Washed"/>
        <s v="Ethiopia Keramo Zero Oxygen Natural"/>
        <s v="Panama Elida ASD Natural"/>
        <s v="Peru Yanesha Geisha"/>
        <s v="Ethiopia Guji Chembi"/>
        <s v="Kona Red Bourbon Anaerobic Washed Uluwehi Farm"/>
        <s v="Wush Wush"/>
        <s v="Honey Typica Anaerobic"/>
        <s v="Geisha"/>
        <s v="Panama Abu Natural ASD Geisha BOP GN11"/>
        <s v="Ethiopia Kochere Boji"/>
        <s v="Panama Finca Minerva-Mirage Pacamara BOP PAC04"/>
        <s v="Tanzania Shimiligwanda"/>
        <s v="Ethiopia Natural Guji Blue-Donkey 2020"/>
        <s v="Kenya Washed Peaberry Rnyeusi"/>
        <s v="Ethiopia COE 2nd place Washed Sidamo Rumudamo"/>
        <s v="Ethiopia Yirgacheffe Natural Haru Suke G1"/>
        <s v="Finca Sophia Gesha Washed"/>
        <s v="Colombia Granja La Esperanza Java Anaerobic"/>
        <s v="Shantawene Ethiopia Daya Bensa Natural"/>
        <s v="Kenya AA FAQ"/>
        <s v="Ardent Ethiopia Natural"/>
        <s v="Ethiopia Dur Feres Natural"/>
        <s v="Kenya AA Ares Phoenix Special"/>
        <s v="GW01 Finca Sophia Olympus Geisha"/>
        <s v="La Esperanza Colombian Natural X.O."/>
        <s v="Taiwan Geisha Honey"/>
        <s v="Camilina Geisha"/>
        <s v="Hacienda La Esmeralda Buenos Aires Geisha Natural"/>
        <s v="Ethiopia Sidama Bona Washed G1"/>
        <s v="Sidama Extreme Papilio Washed"/>
        <s v="Finca San Carlos"/>
        <s v="Ethiopia Natural Guji D Minor Special Lot"/>
        <s v="2020 Savage Auction Deborah Carbonic-Macerated Natural Geisha"/>
        <s v="Costa Rica Cordillera del Fuego"/>
        <s v="Ethiopia Bombe Mountains"/>
        <s v="Ethiopia Yirgacheffe G1 Natural Asfaw Maru"/>
        <s v="Coffea Diversa Rume Sudan Winey"/>
        <s v="HawaiвЂ™i Puna Anaerobic Washed"/>
        <s v="Colombia Hacienda Casablanca"/>
        <s v="Ethiopia Natural Guji Kercha Lot Riverside"/>
        <s v="Costa Rica Yellow Honey Lot Kinka Bear"/>
        <s v="San Diego Natural"/>
        <s v="Buna Boka #1"/>
        <s v="El Jardin"/>
        <s v="Kenya Wachuri"/>
        <s v="Kenya Baragwi Guama AB"/>
        <s v="Kenya ARES"/>
        <s v="Empress Kenya"/>
        <s v="Kenya Kiambu AB Top Lot"/>
        <s v="Kenya Kiambu Maua Lot AB"/>
        <s v="Kenya Thunguri AA"/>
        <s v="Kenya Kirinyaga Kabare Karani AA"/>
        <s v="Kenya Kirinyaga Kii"/>
        <s v="Kenya Rungeto"/>
        <s v="Kenya AA Top Gatomboya"/>
        <s v="Heart &amp; Soul Espresso Blend"/>
        <s v="Ethiopia Yabitu Koba"/>
        <s v="Rhapsody of Dreams"/>
        <s v="Colombia Asobombo Inza"/>
        <s v="Ethiopia Sidamo Natural Twakok G1"/>
        <s v="Panama Boquete Torre Lot #1 Geisha Honey"/>
        <s v="Yellow Caturra (special lot)"/>
        <s v="HawaiвЂ™i Kilauea Volcano Yeast Fermentation Washed"/>
        <s v="Kona Pink Honey Black Rock Farm"/>
        <s v="Benti Nenqa #209 Ethiopia"/>
        <s v="El Salvador Santa Elena Pacamara"/>
        <s v="Ethiopia Sheka Kawo Kamina Natural"/>
        <s v="Black Swan Blend"/>
        <s v="Indonesia Lintong Mandheling"/>
        <s v="Ethiopia Yirgacheffe Natural Farm Direct"/>
        <s v="Kenya Karatina AA 2020"/>
        <s v="Colombia San LuГ­s Gesha"/>
        <s v="Karani Kenya"/>
        <s v="Miraflores Colombia"/>
        <s v="Kenya Gatuya"/>
        <s v="Kenya Gicherori"/>
        <s v="Ethiopia Kayon Mountain (Natural)"/>
        <s v="Ethiopia Kayon Mountain (Washed)"/>
        <s v="Kenya Nyeri AB Nyeshun"/>
        <s v="Ethiopia Guji Bishala"/>
        <s v="Ethiopia Wegida Natural"/>
        <s v="KaвЂ™u Red Caturra Peaberry"/>
        <s v="Wush Wush Ginbo Keffa Ethiopia"/>
        <s v="Burundi Karehe"/>
        <s v="Ethiopia Guji Natural"/>
        <s v="Ethiopia Gera Estate Natural"/>
        <s v="EstelГ­ Nicaragua"/>
        <s v="Limu Ethiopia Natural"/>
        <s v="Colombia Finca El Roblar"/>
        <s v="Ethiopia Yirgacheffe Kochere Debo"/>
        <s v="Kilauea Volcano Champagne Natural"/>
        <s v="Nicaragua La Benedicion SL28 Natural"/>
        <s v="Colombia Tolima Geisha"/>
        <s v="Ethiopia Haro Guta Natural"/>
        <s v="Kenya AA Kirinyaga Kii"/>
        <s v="Colombia Antioquia La Papaya Bourbon Chiroso"/>
        <s v="Karimiuki Espresso"/>
        <s v="Karimiuki Kenya"/>
        <s v="Colombia San Pedro"/>
        <s v="DR Congo, Gera Village, SOPACDI"/>
        <s v="El Floral Colombia"/>
        <s v="El Salvador Geisha Natural"/>
        <s v="Ethiopia Natural Guji Lot D Minor"/>
        <s v="Taiwan Natural Alishan Zhuo-Wu Farm Geisha"/>
        <s v="All Rise"/>
        <s v="Costa Rica Hacienda Tobosi Copey Villa Sarchi Black Honey"/>
        <s v="Ethiopia Sidama Keramo Village"/>
        <s v="Red Bourbon Natural Exclusive Reserve"/>
        <s v="Nano Genji Agaro Gera"/>
        <s v="Kona Classic Black Rock Farm"/>
        <s v="Ethiopian Yirgacheffe Natural"/>
        <s v="Colombia Cauca AtвЂ™e"/>
        <s v="Sumatra Gayo G1 Triple-Picked Lot 005"/>
        <s v="Nano Genji #4 Espresso"/>
        <s v="Ignacio Quintero Colombia"/>
        <s v="Organic Ethiopia Agaro-Nano Challa"/>
        <s v="Kerinci Palompek Sumatra"/>
        <s v="Kenya Embu Gicherori Factory AA Top"/>
        <s v="Colombia Finca Lord Baltimore Papayo"/>
        <s v="Mocha Java"/>
        <s v="Organic Suke Quto Ethiopia"/>
        <s v="Kenya Tuikit Factory AA"/>
        <s v="Abu Natural Panama Geisha"/>
        <s v="Colombia Finca Las Margaritas Natural Sudan Rume"/>
        <s v="Ecuador Finca Carolina Sidra"/>
        <s v="Gesha Village Single-Variety Gesha Special Selection"/>
        <s v="Indestec El Paraiso"/>
        <s v="Monteblanco Cold Fermentation Geisha"/>
        <s v="Funky Chicken"/>
        <s v="Yemen Al-Obbarat"/>
        <s v="Ecuador Quilanga Typica Yeast Fermentation"/>
        <s v="Ethiopia Natural Guji PB JackyLai Lot"/>
        <s v="Ethiopia Wush Wush"/>
        <s v="Ethiopia Hassen Ware Akrabi"/>
        <s v="Costa Rica Luis Campos Anaerobic"/>
        <s v="Colombia Granja La Esperanza Tres Dragones"/>
        <s v="Colombia Finca La Loma Microlot"/>
        <s v="Kenya Kiambu AB Uklili 1905 Lot"/>
        <s v="Elida Natural Dragonfly Lot"/>
        <s v="Kona Laurina Pointu"/>
        <s v="Dadaocheng Garden Blend Espresso"/>
        <s v="Ethiopia Dimtu"/>
        <s v="Ethiopia Sidama Anaerobic"/>
        <s v="Kenya Kiri Peaberry"/>
        <s v="Ethiopia Violent Andromeda Natural"/>
        <s v="Kenya Nyeri Yerihar AA Lot 1901 Espresso"/>
        <s v="Costa Rica Aris Red Honey Lot 1901 Espresso"/>
        <s v="Panama Hacienda La Esmeralda Geisha Natural Special Auction ES-N-2"/>
        <s v="El Salvador Finca El Cerro Natural"/>
        <s v="Halo Hartume Espresso"/>
        <s v="Giusto Organic Espresso Blend"/>
        <s v="Berg Wu Championship Selection Yirgacheffe G1 Natural Lot 19/01"/>
        <s v="Ethiopia Mulegeta Sintayehu Washed"/>
        <s v="Ecuador Eugenioides Natural Finca Perla Negra"/>
        <s v="Panama Esmeralda Geisha Natural"/>
        <s v="Ethiopia Suke Quto Honey"/>
        <s v="Kenya FSC AB"/>
        <s v="Ceri Ceri Meriah Coffee"/>
        <s v="Alamendah Patuha Coffee"/>
        <s v="Holiday Blend"/>
        <s v="2019 Celebration"/>
        <s v="Kenya Kiandu Peaberry"/>
        <s v="Sumatra Raja Harimau Lintong Espresso"/>
        <s v="Panama Esmeralda Geisha PortГіn Oro Yeast"/>
        <s v="Kenya Kiambu Peaberry Uklili 1904 Lot"/>
        <s v="Kenya Kiambu AB Uklili 1903 Lot"/>
        <s v="Ethiopia Natural Yirgacheffe Blue Donkey Lot #2"/>
        <s v="Ethiopia Nansebo Worka"/>
        <s v="Panama Elida Geisha Natural 1029"/>
        <s v="Port of Mokha Yemen JSP"/>
        <s v="Panama Elida Natural Catuai"/>
        <s v="Cate Natural G5"/>
        <s v="Gachami Kenya"/>
        <s v="Ethiopia Natural вЂњPhoenixвЂќ"/>
        <s v="Costa Rica SL-28 Yellow Honey Espresso"/>
        <s v="Washed Geisha Hacienda La Esmeralda Jaramillo Special"/>
        <s v="Panama Perci Geisha Natural"/>
        <s v="Elida Estate Geisha Green-Tip Natural"/>
        <s v="Washed Kenya"/>
        <s v="Panama Hacienda La Esmeralda Super Mario Geisha"/>
        <s v="Kenya Gakundu FCS Kamviu Wet Mill"/>
        <s v="Rukira Kenya"/>
        <s v="Gesha Village Lot #85 Natural"/>
        <s v="Ethiopia Natural Yirgacheffe Banko Gotiti"/>
        <s v="Indonesia Sumatra Gayo Espresso"/>
        <s v="Ethiopia Limu Nano Challa Lot #10"/>
        <s v="Best of Panama GNEP-01 Elida Geisha Green Tip Natural"/>
        <s v="Geisha XO"/>
        <s v="Colombia Finca La Maria Geisha Natural"/>
        <s v="Panama Finca Kalithea Natural Geisha"/>
        <s v="Panama Hacienda La Esmeralda Super Mario 6 Geisha"/>
        <s v="Panama Geisha Alto Jaramillo"/>
        <s v="Colombia Laderas del Tapias Estate Natural Geisha"/>
        <s v="Gesha Village Natural Lot #19"/>
        <s v="Gesha Village 1931 Lot 27"/>
        <s v="Ethiopia Sidamo Gora Kone"/>
        <s v="Kebele Village Espresso"/>
        <s v="Panama Finca San Sebastian"/>
        <s v="Yirgacheffe Gedeb G1 Natural"/>
        <s v="Kenya Kiambu Uklili AA"/>
        <s v="Ethiopia Guji Shakisso Natural Lot 24"/>
        <s v="Ethiopia Washed Yirgacheffe Nafasha Lot"/>
        <s v="El Salvador"/>
        <s v="Ethiopia Kayon Mountain Natural"/>
        <s v="Ethiopia Natural Yirgacheffe Blue Donkey Lot"/>
        <s v="Geisha Village Auction Lot #11"/>
        <s v="Ethiopia Yirgacheffe Chelelektu Natural"/>
        <s v="Kenya Kimaruri"/>
        <s v="Kenya Handege"/>
        <s v="Colombia Valle del Cauca Cerro Azul Geisha"/>
        <s v="Green-Tip Geisha"/>
        <s v="Barichu Double"/>
        <s v="Rukera Kenya"/>
        <s v="Rukera Espresso"/>
        <s v="The Core Espresso"/>
        <s v="Espresso Mandarina"/>
        <s v="SOB Espresso"/>
        <s v="Ethiopia Gedeb Worka Sakaro"/>
        <s v="La Belleza Colombia"/>
        <s v="Crystalina"/>
        <s v="Kenya Kiambu Gititu AA"/>
        <s v="Ninety Plus Gesha Estates JBC Custom Lot #252"/>
        <s v="La Palma Y El Tucan Hero Series Colombia Sidra Lot #190"/>
        <s v="KaвЂ™u Champagne Natural"/>
        <s v="Monarch Gesha"/>
        <s v="Australian Blend Espresso"/>
        <s v="Colombia Tolima Monteverde Estate Natural Wush Wush"/>
        <s v="Ethiopia Oromia Guji Washed"/>
        <s v="Kenya MurangвЂ™a Githiga AA"/>
        <s v="Ethiopia Sidama Shantewene"/>
        <s v="Gesha Rebecca Natural"/>
        <s v="CafГ© Granja La Esperanza Sudan Rume Natural"/>
        <s v="Boru Batak Sumatra"/>
        <s v="Sumatra Tano Batak"/>
        <s v="Sumatra Lintong"/>
        <s v="Ethiopia Natural Guji Hambela G1 Bishan Fugu"/>
        <s v="Tanzania Tarime AB"/>
        <s v="El Salvador Cerro Las Ranas Honey Espresso"/>
        <s v="Panama Baru Geisha Black"/>
        <s v="Eaagads Estate Kenya"/>
        <s v="Ethiopia Yirgacheffe G1"/>
        <s v="Kenya Karindundu AA Small Lot Reserve"/>
        <s v="Rwanda Kanzu"/>
        <s v="Ethiopia Kochere Natural"/>
        <s v="Kenya Thirikwa Single-Origin Espresso"/>
        <s v="Rwanda Mushonyi Natural"/>
        <s v="Ethiopia Hambela Natural Organic"/>
        <s v="Tanzania Ngorongoro Ridge Peaberry"/>
        <s v="Ethiopia Haro Wachu"/>
        <s v="Banco Gotete Ethiopia"/>
        <s v="Kenya Ruthaka Peaberry"/>
        <s v="Honduras Las Flores Parainema"/>
        <s v="Kivu DR Congo"/>
        <s v="Panama Ninety Plus Perci Lot 50"/>
        <s v="Colombia Sidra"/>
        <s v="Kenya Murunga New Gatanga FCS Mukurwe Factory AB"/>
        <s v="Ethiopia WORKA"/>
        <s v="Ethiopia Banko Dhadhato Washed"/>
        <s v="Kenya Karuthi AA"/>
        <s v="Kenya Nyeri Nudurutu Factory AB"/>
        <s v="Ethiopia Kochere Washed Saona Lot"/>
        <s v="Ethiopia Guji Natural Dasaya"/>
        <s v="Holiday Sweet Blend"/>
        <s v="Colombia El Obraje Gesha"/>
        <s v="Flowery Nekisse"/>
        <s v="Baru Gesha"/>
        <s v="Mama Cata Geisha Washed"/>
        <s v="Wei Rong Blend"/>
        <s v="Kiunyu Peaberry"/>
        <s v="Kibugu Kenya"/>
        <s v="Poseidon Blend Espresso"/>
        <s v="Kenya Gikirima Kibugu"/>
        <s v="Elida Estate Geisha Natural Dragonfly Reserve"/>
        <s v="Costa Rica Geisha Honey COE 2018 2nd Place"/>
        <s v="Guatemala Pacamara Natural"/>
        <s v="La Providencia Guatemala Maragogype"/>
        <s v="Kenya Kabingara"/>
        <s v="Kenya Konyu"/>
        <s v="Hacienda La Esmeralda Cabana Geisha Natural"/>
        <s v="Finca La Aurora Camilina Geisha"/>
        <s v="Twenty Five"/>
        <s v="Karimikui Kenya"/>
        <s v="Kenya Baragwi Thimu Peaberry"/>
        <s v="Kariru Kenya"/>
        <s v="Esmeralda Estate Porton Geisha Natural"/>
        <s v="Kenya Kiambu"/>
        <s v="Ethiopia Washed Phoenix Special вЂњMuseвЂќ"/>
        <s v="Kenya AB Phoenix Special вЂњGloryвЂќ"/>
        <s v="Kenya Ritho FCS Handege Factory AB"/>
        <s v="Ethiopia Yirgacheffe Botabaa Washed"/>
        <s v="Ethiopia Hambela Natural"/>
        <s v="Ethiopia Gera Limmu Oromia"/>
        <s v="Kenya Kabare Konyu"/>
        <s v="Alemu Bukato Espresso"/>
        <s v="Tarime Tanzania"/>
        <s v="Berlina Geisha"/>
        <s v="Gatugi Triple"/>
        <s v="Ethiopia Yirgacheffe Natural Espresso"/>
        <s v="Ethiopia Yirgacheffe Natural"/>
        <s v="Guatemala Finca El General Lot ALT8 Espresso"/>
        <s v="Green Dolphin Blend Espresso"/>
        <s v="Finca El Socorro Maracaturra"/>
        <s v="Ethiopia Kochere Debo Washed Gellana"/>
        <s v="Ethiopia Gotiti Natural"/>
        <s v="Cream Tabby Espresso Blend"/>
        <s v="Ethiopia Girma Eshetu"/>
        <s v="Karimikui Espresso"/>
        <s v="Ethiospro Blend"/>
        <s v="Costa Rica Cumbres Del Poas вЂњPerla NegraвЂќ Natural"/>
        <s v="Natural Sidamo Twakok G1"/>
        <s v="YCFCU Banko Gotiti Coop G1"/>
        <s v="Gesha Village Lot #25"/>
        <s v="Costa Rica Perla Negra"/>
        <s v="Espresso 1849 Blend"/>
        <s v="Tano Batak Sumatra"/>
        <s v="No. 7 Espresso Blend"/>
        <s v="Kenya Embu Uteuzi Jimbo"/>
        <s v="DR Congo FTO Bourbon SOPACDI"/>
        <s v="Kiniyota Espresso"/>
        <s v="El Obraje Geisha"/>
        <s v="Mandheling Onan Ganjang"/>
        <s v="Ethiopia Banko Gotiti Natural"/>
        <s v="Yemen Microlot"/>
        <s v="Lycello by Ninety Plus"/>
        <s v="Lotus by Ninety Plus"/>
        <s v="Karen J Red Bourbon"/>
        <s v="Kenya Nyeri Gatugi Peaberry"/>
        <s v="Kenya Gura AA"/>
        <s v="Yemen Port of Mokha Al-Durrar"/>
        <s v="Ethiopia Guji Gigessa"/>
        <s v="Granja La Esperanza Sudan Rume Natural"/>
        <s v="Gedeb Espresso"/>
        <s v="Panama Baru Geisha Honey by Joseph"/>
        <s v="Panama Baru Geisha Natural by Joseph"/>
        <s v="Burundi Buhorwa"/>
        <s v="Dodora Double"/>
        <s v="Summer Night Blend Espresso"/>
        <s v="Sumatra Mutu Batak"/>
        <s v="Three Queens Blend"/>
        <s v="Kiniyota Burundi"/>
        <s v="Ethiopia Biftu Gundina Coop Espresso"/>
        <s v="Canoe Blend"/>
        <s v="Guatemala Retiro Natural Process"/>
        <s v="Kenya Gatugi AB"/>
        <s v="Gedeb Ethiopia"/>
        <s v="Ethiopia Dry-Processed Guji Mt. Kayon"/>
        <s v="Panama Auromar Estate Geisha Peaberry"/>
        <s v="Panama Finca Hartmann Geisha Natural"/>
        <s v="Mini-Me Washed Kaffa Forest"/>
        <s v="Jade Espresso"/>
        <s v="Ulos Batak Sumatra"/>
        <s v="Blue Label La Esmeralda Porton Pascua Gesha"/>
        <s v="David Mburu Kenya"/>
        <s v="El PeГ±on Nicaragua"/>
        <s v="Kenya Chorongi Peaberry"/>
        <s v="Kenya Riakiberu AB"/>
        <s v="Yule Blend 2018"/>
        <s v="Kenya Thaitu"/>
        <s v="Ethiopia Banko Gotiti Natural G1"/>
        <s v="Panama Auromar Geisha Natural"/>
        <s v="El Salvador Finca Kilimanjaro"/>
        <s v="Panama Elida Green Tip Gesha Natural"/>
        <s v="Gikanda Kenya"/>
        <s v="Panama Don Julian Pacamara"/>
        <s v="Kenya AB Muchoki"/>
        <s v="Geisha Panama Santamaria Natural"/>
        <s v="100% Kona SL-28"/>
        <s v="Kenya Kirinyaga Mukangu AB"/>
        <s v="Ethiopia Washed Yirgacheffe Adado"/>
        <s v="Ace Espresso"/>
        <s v="Kenya Mutungati"/>
        <s v="Ethiopia Gedeb Halo Beriti"/>
        <s v="Ethiopia Sidama"/>
        <s v="Thiriku AA Kenya"/>
        <s v="Flora Blend Espresso"/>
        <s v="вЂњSweetyвЂќ Espresso Blend"/>
        <s v="вЂњFruityвЂќ Espresso Blend"/>
        <s v="El Aquila Pacamara Espresso"/>
        <s v="Guatemala Finca El Injerto Gesha"/>
        <s v="Kenya Gatomboya AA"/>
        <s v="A.G.E. Duetto Espresso"/>
        <s v="Kenya Nyeri Hill Farm"/>
        <s v="Jinotega Geisha"/>
        <s v="Nicaragua Un Regalo de Dios Bourbon"/>
        <s v="Gedeb Lot 83 Ethiopia Natural"/>
        <s v="Halo Beriti Ethiopia"/>
        <s v="Ethiopia Konga Sede"/>
        <s v="Static Amaro Gayo Natural Ethiopia"/>
        <s v="Static Cali Classic Espresso"/>
        <s v="Shine Day El Salvador"/>
        <s v="Kenya Kirinyaga Baragwi Guama AB"/>
        <s v="Guatemala Finca El General Espresso"/>
        <s v="Ethiopia Guji Zone Natural"/>
        <s v="Kenya Boma AA"/>
        <s v="Colombia Finca Campoalegre"/>
        <s v="Kenya Boma Peaberry"/>
        <s v="Esmeralda Special Auction Washed Geisha"/>
        <s v="Gesha Village 1931, Lot 86"/>
        <s v="Gesha Village Natural Oma Block Lot 72"/>
        <s v="Gesha Village Lot 76 Nasha Block"/>
        <s v="Gesha Village Auction Lot 26 Gori Gesha Natural"/>
        <s v="Carmen Geisha El Palomar Best of Panama #4 Carlos Aguilera"/>
        <s v="Karuthi Espresso"/>
        <s v="Chelelektu Espresso"/>
        <s v="Karuthi Kenya"/>
        <s v="Finca El Obraje Colombia Gesha"/>
        <s v="Kenya AA Top Nyeri Tekangu Tegu Microlot"/>
        <s v="Washed Ethiopia Yirgacheffe Banko Gotiti"/>
        <s v="Sumatra Danau Toba"/>
        <s v="Kapsakiso Kenya"/>
        <s v="Ethiopia Washed Kayon Mountain"/>
        <s v="Ninety Plus Gesha Estates Limited Batch #227"/>
        <s v="Makwa Kenya AB"/>
        <s v="Finca El Guamo Colombia"/>
        <s v="Kenya Ndaroini AA"/>
        <s v="El Salvador Finca Kilimanjaro Natural"/>
        <s v="Kamagogo Kenya"/>
        <s v="Twisted 4.0 Espresso"/>
        <s v="El Salvador Finca Kilimanjaro Cascara Fermentation Aida Batlle"/>
        <s v="Puna Natural"/>
        <s v="Colombia La Palma Y El Tucan Gesha"/>
        <s v="Bourbon Peaberry"/>
        <s v="Gesha Village Estate Bench Maji Gesha G1"/>
        <s v="Bourbon-Barrel-Aged Kenya Baragu"/>
        <s v="Aged Sumatra Ulos Batak Peaberry"/>
        <s v="Colombia La Palma and El Tucan Espresso"/>
        <s v="Kenya Kabare AA"/>
        <s v="Gesha, Gesha Village 1931"/>
        <s v="Aricha Yirgacheffe Ethiopia"/>
        <s v="Guatemala Finca Cappuccino вЂњEcho-LotвЂќ Espresso"/>
        <s v="Ethiopia Guji Shakiso Danbi Uddo"/>
        <s v="Kenya AA Gura Auction Lot"/>
        <s v="Yirgacheffe G1 Idido"/>
        <s v="Yemen Port of Mokha Hayma Microlot"/>
        <s v="Edgar Motta Colombia Pink Bourbon"/>
        <s v="Papua New Guinea PB Kimel Estate"/>
        <s v="Panama La Esmeralda Noria Enero Geisha"/>
        <s v="Rwanda Bufcafe"/>
        <s v="Ethiopia Queen Sheba Natural Yirgacheffe Phoenix Special"/>
        <s v="Ulos Batak Sumatra Peaberry"/>
        <s v="Bernachon High-Level Espresso"/>
        <s v="Mora Negra Geisha Hartmann Farm"/>
        <s v="Gori Gesha Forest"/>
        <s v="Ethiopia Natural Hambela Buku"/>
        <s v="Panama Camilina Natural Geisha"/>
        <s v="Kenya Nyeri Thageini Peaberry"/>
        <s v="Hawaii Kilauea Volcano Nano-Lot"/>
        <s v="Ethiopia Charbanta Natural"/>
        <s v="Esmeralda Noria Natural"/>
        <s v="Miami Winter Holiday Blend"/>
        <s v="Duncan Estate Panamanian Gesha"/>
        <s v="The Jungle"/>
        <s v="Ethiopia Yirgacheffe"/>
        <s v="Ethiopia Washed Yirgacheffe вЂњParadiseвЂќ Espresso"/>
        <s v="Kenya Lenana"/>
        <s v="вЂњMini-MeвЂќ Washed Yirgacheffe"/>
        <s v="Kenya Guama Peaberry"/>
        <s v="Los Congos Pacamara Natural"/>
        <s v="Granja La Esperanza Colombia"/>
        <s v="Mokka"/>
        <s v="Kenya Gathugu"/>
        <s v="Pacamara Finca Los Planes El Salvador"/>
        <s v="Kenya Karindundu"/>
        <s v="Panama Finca Las Brujas Geisha Natural"/>
        <s v="P.r.o. Coffee Ethiopia Yirgacheffe"/>
        <s v="Gichichi Peaberry Kenya"/>
        <s v="Blade Runner Blend"/>
        <s v="LauraвЂ™s Reserve SL-28"/>
        <s v="Panama Finca Mama Cata Microlot Tona"/>
        <s v="Mr. David Mburu Kenya"/>
        <s v="Meaza Ethiopia"/>
        <s v="Costa Rica Finca Chispirta"/>
        <s v="Las Lajas Perla Negra Natural"/>
        <s v="Ninety Plus Silvia Solkiln N2"/>
        <s v="P.R.O. Special Blended Coffee"/>
        <s v="Ethiopia Natural Yirgacheffe Gedeb G1 Lot 118"/>
        <s v="Ethiopia Gedeb Natural"/>
        <s v="Kenya Gathiruini"/>
        <s v="Kenya Thageini"/>
        <s v="Kenya Gatomboya Peaberry"/>
        <s v="Worka Ethiopia"/>
        <s v="Indonesia Sumatra Tano Batak"/>
        <s v="Ethiopia Hambela Washed"/>
        <s v="Kenya Muranga Gondo AA"/>
        <s v="Kenya Small-Lot Reserve Karatina AA"/>
        <s v="Washed Yirgacheffe Aramo Alemayehu Berhanu"/>
        <s v="Kenya Nyeri Gathugu"/>
        <s v="Ethiopia Yirgacheffe Chelelektu"/>
        <s v="Passport Collection Kenya Ichamara"/>
        <s v="Ethiopia Limu Natural No. 701"/>
        <s v="Ethiopia Yirgacheffe YCFCU Idido"/>
        <s v="Sumatra Black Panther"/>
        <s v="Sumatra Lintong Mutu Batak"/>
        <s v="Amaro Gayo Natural Ethiopia"/>
        <s v="Ardi Ethiopia Natural"/>
        <s v="Deri Kochoha Espresso"/>
        <s v="Camilina Geisha Auromar Natural"/>
        <s v="ManLao River Ethiopia Yirgacheffe Dry Process Gedeb Asasa"/>
        <s v="Deri Kochoha Ethiopia"/>
        <s v="Cachajinas Guatemala Huehuetenango"/>
        <s v="Ethiopia Yirgacheffe Goro"/>
        <s v="Ethiopia Yirgacheffe Reko"/>
        <s v="Costa Rica Alberto Guardia Bourbon Natural"/>
        <s v="Colombia San Adolfo"/>
        <s v="Brazil Estancia Telese"/>
        <s v="Brazil Fazenda Passeio Natural"/>
        <s v="Kenya Nyeri Gatugi AA"/>
        <s v="Panama La Esmeralda Bosque Geisha"/>
        <s v="Ethiopia Yirgacheffe Kebele Kochore"/>
        <s v="El Sitio Ecuador"/>
        <s v="Harfusa Espresso"/>
        <s v="SOPACDI Congo"/>
        <s v="Reserve Panama Geisha Hacienda La Esmeralda"/>
        <s v="Competition Blend"/>
        <s v="Bean Brain Reserve Suke Quto Ethiopia Sidamo Espresso"/>
        <s v="Hambela Ethiopia"/>
        <s v="Drima Zede Ethiopia"/>
        <s v="Ecuador Juan PeГ±a"/>
        <s v="Kenya Othaya Peaberry"/>
        <s v="Organic Ethiopia Aramo Natural"/>
        <s v="Love Shack (Kenya)"/>
        <s v="Costa Rica Alberto Guardia Venecia Natural"/>
        <s v="Adame Gorbota Espresso"/>
        <s v="El Aguila Pacamara Espresso"/>
        <s v="Ethiopia Natural Yirgacheffe Banko Gutiti Coop"/>
        <s v="Ethiopia Natural Sidamo Guji Shakisso"/>
        <s v="Colombia Granja La Esperanza Las Margaritas Sudan Rume"/>
        <s v="Adame Gorbota Ethiopia"/>
        <s v="Panama Ratibor Hartmann Natural"/>
        <s v="Kenya AA Nyeri Tambaya"/>
        <s v="Costa Rica Las Lajas Red Honey"/>
        <s v="Bernachon Panama Geisha"/>
        <s v="Panama La Esmeralda Geisha Bosque Natural"/>
        <s v="Harfusa Ethiopia Yirgacheffe Fair Trade Organic"/>
        <s v="ASOPCAFA Colombia"/>
        <s v="Guatemala San Sebastian Natural"/>
        <s v="Ethiopia Hachira Natural Espresso"/>
        <s v="Ethiopia Kochere Espresso Profile"/>
        <s v="Kenya Nyeri Kiama FCS Ichuga Factory Peaberry"/>
        <s v="Kenya Nyeri Thageini"/>
        <s v="Kenya AA Lot-125 вЂњQueen FloraвЂќ"/>
        <s v="Ethiopia Natural Yirgacheffe Phoenix Special вЂњKing SolomonвЂќ"/>
        <s v="Fully Washed Ethiopia Phoenix Special вЂњDr. EvilвЂќ"/>
        <s v="Sulawesi вЂњTanah KebangkitanвЂќ Phoenix Special Espresso"/>
        <s v="Kenya AA Lot-122 вЂњExcaliburвЂќ Espresso"/>
        <s v="Panama Elida Natural Lot #13"/>
        <s v="EmmaвЂ™s Jo: The Leam Hammer Competition Espresso"/>
        <s v="Costa Rica Sumava Natural Lot"/>
        <s v="Panama Auromar Geisha Natural Peaberry"/>
        <s v="El Burro Geisha Tachi Natural"/>
        <s v="Nicaragua Pacamara Los Congos Lot #8"/>
        <s v="Panama Boquete Kotowa Gesha Natural"/>
        <s v="Panama Finca Auromar Camilina Natural"/>
        <s v="El Aguila SL-28 El Salvador"/>
        <s v="Ethiopia Sidama Special Lot Natural"/>
        <s v="Panama Finca Deborah Caturra Natural"/>
        <s v="Nekisse Red N2 Level 39"/>
        <s v="Panama La Esmeralda Bosque Lot 1 Gesha"/>
        <s v="Finca La Mula Panama Geisha Natural"/>
        <s v="La Lagunita El Salvador"/>
        <s v="Kenya Kinuyu AA"/>
        <s v="Costa Rica Alberto Guardia Venecia Honey"/>
        <s v="Nicaragua Cafe Vidita Los Congos Pacamara Natural"/>
        <s v="Kenya Kigutha AA"/>
        <s v="Panama Altieri Natural Geisha"/>
        <s v="Organic Espresso"/>
        <s v="Kemgin Ninety Plus"/>
        <s v="Ethiopia Nigusse Lemma"/>
        <s v="Panama Don Pepe Estate Geisha Single-Origin Espresso"/>
        <s v="Las Flores Espresso"/>
        <s v="El Salvador Finca Medrano Pacamara Nohemi Ventura"/>
        <s v="Ethiopia Jimma Agaro"/>
        <s v="Rwanda Silverback Espresso"/>
        <s v="Ecuador вЂњMama KilyaвЂќ Espresso"/>
        <s v="Ethiopia Hambela"/>
        <s v="Kenya Nyeri Peaberry"/>
        <s v="Panama Lino Esmeralda Geisha Natural"/>
        <s v="Ethiopia Sidama Akrabi"/>
        <s v="Kenya AA Gakuyuri"/>
        <s v="Kenya Embu Gakui Peaberry"/>
        <s v="Kenya AA Kigwandi Estate"/>
        <s v="Ethiopia Yirgacheffe Buna Ababa"/>
        <s v="Panama Don Pepe Fully Washed Geisha"/>
        <s v="Golden Mean Espresso Blend"/>
        <s v="Finca La Mula Panama Geisha"/>
        <s v="S.O. Espresso Brazil Fazenda Santa Ines"/>
        <s v="Black House"/>
        <s v="Kenya Gachatha AA"/>
        <s v="Burundi Kayanza Province Mpanga Washing Station"/>
        <s v="Ethiopia Yirgacheffe Dabub Matebya"/>
        <s v="Yemen Haraaz Red A+"/>
        <s v="El Salvador Finca Loma La Gloria"/>
        <s v="Ethiopia Washed Limu Gera"/>
        <s v="Ethiopia Aricha"/>
        <s v="Colombia Special Process Microlot 511 вЂњMemory OrchardвЂќ Espresso"/>
        <s v="Costa Rica Sonora Bourbon Natural"/>
        <s v="The Secret Coffee"/>
        <s v="Panama Finca Hartmann"/>
        <s v="Sumatra Ulos Batak"/>
        <s v="Sillvia Solkiln N2 Level 95"/>
        <s v="Sweet MariaвЂ™s Acatenango Gesha"/>
        <s v="Keremara AA Kenya"/>
        <s v="Tchembe Gedeo Ethiopia"/>
        <s v="Ethiopia Yirgacheffe Gedeo"/>
        <s v="Sumatra Lake Toba Peaberry"/>
        <s v="Ethiopian Washed Kochere G1 SO Espresso"/>
        <s v="Colombia Granja La Esperanza Grand Cru Mokka"/>
        <s v="Panama Esmeralda Geisha"/>
        <s v="Rum-Barrel Conditioned Ethiopia Gelena Abaya"/>
        <s v="Milepost Kenya Nyeri Ruarai"/>
        <s v="Kenya Thiriku"/>
        <s v="Ari-Ari Seuri-Seuri"/>
        <s v="Jazz Apricot (Espresso)"/>
        <s v="Ethiopia Biloya Organic"/>
        <s v="Organic Ethiopian Worka Special Prep"/>
        <s v="Ethiopia Washed Yirgacheffe Alemu Station"/>
        <s v="Kenya Kianjuri AB"/>
        <s v="Kenya Nyeri Tambaya Peaberry"/>
        <s v="Ethiopian Yirgacheffe Idido Natural"/>
        <s v="Kenya AA"/>
        <s v="Ethiopia Suke Quto Organic"/>
        <s v="Espresso Blend Spring 15"/>
        <s v="Esmeralda Leon Natural Geisha"/>
        <s v="Shilcho Ethiopia, Red Cherry Initiative"/>
        <s v="Lomi Tasha Worka, Ethiopia"/>
        <s v="Semeon Abay Ethiopia"/>
        <s v="Kenya Nyeri Rukira AB"/>
        <s v="Auromar Camilina Geisha"/>
        <s v="Ethiopia Wenago Natural"/>
        <s v="Panama Geisha Holiday Blend"/>
        <s v="Panama Esmeralda Especial Geisha Bosque 2"/>
        <s v="Gratitude Special Blend"/>
        <s v="Nicaragua Pacamara Reserve Los Congos"/>
        <s v="Kenya Muthonjo AA"/>
        <s v="Ethiopia Ninety Plus Hachira N2"/>
        <s v="Perci Red Panama Gesha"/>
        <s v="Kenya Karagoto"/>
        <s v="Nekisse Natural Process Ethiopia"/>
        <s v="Ethiopia Yirgacheffe Gutiti"/>
        <s v="Ethiopia Konga"/>
        <s v="Kenya AA Top 405A Espresso"/>
        <s v="Seasonal Mini-Me Yirgacheffe Washed"/>
        <s v="Panama Mama Cata Natural"/>
        <s v="High Mountain Red Bourbon"/>
        <s v="Panama Duncan Natural Gesha"/>
        <s v="Kenya Kigwandi AA"/>
        <s v="Ethiopia Homacho Waeno"/>
        <s v="Colombia Granja Esperanza Gesha AAA"/>
        <s v="Kenya Mathew Mugo"/>
        <s v="Organic Ethiopian Banko Natural"/>
        <s v="Konga Natural Ethiopia"/>
        <s v="Kenya AA Giakanja"/>
        <s v="Ethiopia CheleвЂ™ Lektu"/>
        <s v="Ethiopia Boke Natural Grade 1 Espresso"/>
        <s v="Kochoha Espresso"/>
        <s v="Kenya Nyeri Giakanja"/>
        <s v="Perci N2 L39"/>
        <s v="Yirgacheffe Aricha Natural G1"/>
        <s v="Panama Ironman Camilina Geisha"/>
        <s v="Panama Estate Reserve: Elida Estate Natural"/>
        <s v="ByronвЂ™s Maracaturra Natural Nicaragua"/>
        <s v="Panama Chiriqui Finca Santa Teresa Geisha"/>
        <s v="Costa Rica Cerro San Luis Natural"/>
        <s v="Panama La Berlina Typica Natural"/>
        <s v="Costa Rica Flor de Santos Bourbon Natural"/>
        <s v="Panama NPGE Perci N2"/>
        <s v="El Salvador Cerro Las Ranas Espresso"/>
        <s v="Kii Kenya"/>
        <s v="Ethiopia Boke Washed Grade 1"/>
        <s v="Ethiopia Semeon Abay N3"/>
        <s v="Kenya Kahiriga"/>
        <s v="Elida Estate Panama"/>
        <s v="Kenya Baragwi Kagongo Peaberry"/>
        <s v="Washed Yirgacheffe"/>
        <s v="Kenya Kikai"/>
        <s v="Ethiopia Yirgacheffe Kore Kochore"/>
        <s v="SO Espresso Brazil Fazenda Rainha Natural"/>
        <s v="Papua New Guinea Kunjin"/>
        <s v="Celinga Ethiopia Espresso"/>
        <s v="Celinga Ethiopia"/>
        <s v="Ethiopia Danch Meng"/>
        <s v="Ethiopia Moplaco Yirgacheffe"/>
        <s v="Ethiopia Yirga Natural Bedhatu"/>
        <s v="Kenya Nyeri Tambaya AA"/>
        <s v="Guji Zone Ethiopia"/>
        <s v="Colombia Finca Monte Verde, Gildardo Gutierrez"/>
        <s v="Twisted 3.0 Espresso"/>
        <s v="Ethiopia Amaro Gayo Dry Process"/>
        <s v="Ethiopia Gedeo Yirgacheffe"/>
        <s v="Rwanda Karongi Gitesi"/>
        <s v="Gelgelu Adame Ethiopia Yirgacheffe Organic Natural Process"/>
        <s v="Ethiopia FTO Worka"/>
        <s v="Kenya Makwa AB"/>
        <s v="Kenya Kabare AB"/>
        <s v="El Salvador Santa Elena Honey Pacamara"/>
        <s v="Ethiopia Yirgacheffe ECX Auction Lot"/>
        <s v="Ethiopia Ninety Plus Pheribo N2"/>
        <s v="Ethiopia Washed Sidama Shilcho Coop G1"/>
        <s v="Ethiopia Washed Yirgacheffe вЂњMini-MeвЂќ 2014"/>
        <s v="Panama Los Lajones Bambu Geisha"/>
        <s v="Kikai Kenya"/>
        <s v="Panama Gesha Perci Red"/>
        <s v="Organic Ethiopian Yirgacheffe Idido"/>
        <s v="Panama Finca La Mula Geisha Natural"/>
        <s v="Ethiopia Washed Yirgacheffe Mini-Me"/>
        <s v="Ethiopia Kelenso Mokanisa"/>
        <s v="Ganesha Espresso"/>
        <s v="Lennette Kenya"/>
        <s v="Ethiopia Ninety Plus Nekisse Red"/>
        <s v="Ethiopia Yirgacheffe Kochere Aricha"/>
        <s v="Ethiopia Banko Natural"/>
        <s v="Makwa Kenya Nyeri"/>
        <s v="Panama Los Lajones Bambu Geisha Natural"/>
        <s v="Juliette Red Ninety Plus Gesha Estate Panama"/>
        <s v="100% Kona High Mountain Io Extra Fancy"/>
        <s v="Sumatra Blue Batak Peaberry"/>
        <s v="Panama Gesha Ninety Plus Perci Red"/>
        <s v="El Agulia Pacamara El Salvador"/>
        <s v="Mexico Finca Kassandra Pacamara"/>
        <s v="Panama Finca Santa Teresa Honey Geisha"/>
        <s v="Batista Natural Geisha"/>
        <s v="Perci N2 Ninety Plus Gesha Estates Panama"/>
        <s v="Ethiopia Sidama Deri Kochoha"/>
        <s v="Kenya Kirinyaga Karimikui Peaberry"/>
        <s v="Panama Auromar Estate вЂњIronmanвЂќ Geisha"/>
        <s v="Kenya Ruira Mchana Estate"/>
        <s v="Honeyed Yellow Caturra"/>
        <s v="Hawaii KaвЂ™u Isla"/>
        <s v="Ethiopia Yirgacheffe Kochere Grade 1"/>
        <s v="Colombia Valle del Cauca Cerro Azul Geisha AAA"/>
        <s v="Nyala Kenya Peaberry"/>
        <s v="Ethiopia Kercha Naturally Processed Sidama"/>
        <s v="Kenya AA Top Lot A114"/>
        <s v="Mchana Kenya Peaberry"/>
        <s v="Deri Kochoha Ethiopian Sidamo"/>
        <s v="Kemgin Ethiopia"/>
        <s v="Lintong Sumatra Dolok Sangul"/>
        <s v="Momma Bear Espresso"/>
        <s v="Ethiopia Yirgacheffe Kochere G1"/>
        <s v="Maragogype Honey Process"/>
        <s v="Ninety Plus Kemgin W2 Ethiopia"/>
        <s v="Ethiopia Dry Process Saris Abaya"/>
        <s v="Kenya AB Top Lot Single-Origin Espresso"/>
        <s v="Geisha S94"/>
        <s v="Sumatra Mandheling Wahana"/>
        <s v="Geisha P.E.B. (RFA)"/>
        <s v="Ethiopia Dry Process Grade 1 Aricha Yirgacheffe"/>
        <s v="Ethiopia Yirgacheffe ECX"/>
        <s v="Tchembe Single Origin Espresso"/>
        <s v="Ethiopia Ninety Plus Kemgin"/>
        <s v="El Salvador Santa Marta Honey"/>
        <s v="Rwanda Nyamasheke"/>
        <s v="Kenya Riakiberu Peaberry"/>
        <s v="Belekatu Ethiopia Yirgacheffe"/>
        <s v="Yukro Ethiopia"/>
        <s v="Kenya Nyeri Gaturiri Peaberry"/>
        <s v="Rutana Burundi Espresso"/>
        <s v="La Esmeralda Mario Carnaval 2012 Panama"/>
        <s v="Sumatra Wahana Natural"/>
        <s v="Kenya Mukurweini Kamuchuni AA"/>
        <s v="Sweet Breeze"/>
        <s v="Ninety Plus Sillvia SK L95"/>
        <s v="Mexico Santa Teresa BCS 02: Cabernet Franc Barrel"/>
        <s v="Yirgacheffe Blue Nile"/>
        <s v="Yirgacheffe Belekatu"/>
        <s v="Ethiopia Yirgacheffe Kochere"/>
        <s v="Mario San Jose Geisha"/>
        <s v="Panama Don Pachi Natural Geisha"/>
        <s v="Kenya Kamviu"/>
        <s v="Panama La Esmeralda Especial"/>
        <s v="Jingle Bell Natural Yirgacheffe"/>
        <s v="Rwanda Abakundakawa"/>
        <s v="Ethiopia Nekisse"/>
        <s v="Finca El Injerto Patagonia, Guatemala"/>
        <s v="Colombia La Esperanza Cerro Azul Geisha"/>
        <s v="Ethiopia Washed Yirgacheffe Aroma Roast"/>
        <s v="Bourbon Duets"/>
        <s v="Lycello Panama Gesha"/>
        <s v="Karatu Kenya AA"/>
        <s v="Kenya Mamuto"/>
        <s v="Kenya Thunguri вЂ“ Top Auction Lot"/>
        <s v="Kenya Nyeri AA Tegu"/>
        <s v="Panama Gesha Estates: Perci Estate 29 Natural"/>
        <s v="Ethiopia Hachira"/>
        <s v="Goldilocks Espresso"/>
        <s v="RoastmasterвЂ™s Reserve Esmeralda"/>
        <s v="Ethiopia Nanno Challa Cooperative"/>
        <s v="Esmeralda Leon, Panama Geisha Auction Lot"/>
        <s v="Gelena Abaya Natural Processed Ethiopia"/>
        <s v="Maui Mokka Peaberry"/>
        <s v="Kona Maragogipe Honey S.O. Espresso"/>
        <s v="Panama Lerida Estate"/>
        <s v="Colombian La Esperanza"/>
        <s v="Colombia Finca Villa Loyola"/>
        <s v="El Vergel Guatemala"/>
        <s v="Kenya Nyeri AA Gaturiri"/>
        <s v="Colombia Huila Monserrate Yaneth Gil Microlot"/>
        <s v="Colombia El Roble Single Origin Espresso"/>
        <s v="Kenya AA Top Single Origin Espresso"/>
        <s v="El Salvador Santa Rita"/>
        <s v="Kenya Meru Kinjo Peaberry"/>
        <s v="Ethiopia Yirgacheffe Gedeo Worka Fair Trade Organic Certified"/>
        <s v="RustyвЂ™s Hawaiian Red Caturra Natural"/>
        <s v="Guatemala El Diamante"/>
        <s v="Honey Pot Espresso"/>
        <s v="Guatemala Pandora Pacamara Medium-Light Roast"/>
        <s v="Panama Geisha Aroma Roast"/>
        <s v="Starlight Blend"/>
        <s v="Kenya Nyeri AB Gichatha-ini Signature Series"/>
        <s v="Colombia Tolimas"/>
        <s v="Ethiopia Harrar"/>
        <s v="El Salvador Nombre de Dios"/>
        <s v="Panama Elida Estate"/>
        <s v="Panama Elida Estate Natural Process"/>
        <s v="Ethiopia Sidamo Guji"/>
        <s v="Kenya Karinga"/>
        <s v="Kenya Karatu AA"/>
        <s v="Kenya Giakanja"/>
        <s v="Kenya AA Kiaora Estate Full City Roast"/>
        <s v="Kenya Kiandu"/>
        <s v="Kenya Kirinyaga Kii Peaberry Espresso"/>
        <s v="Sumatra Lake Tawar"/>
        <s v="Espresso Nuevo"/>
        <s v="Nicaragua SHG"/>
        <s v="Costa Rica Micro Lot вЂњPepeвЂќ Honey Processed"/>
        <s v="Panama Gesha 2011"/>
        <s v="Guatemala Xeucalvitz"/>
        <s v="Kenya Gethembwini"/>
        <s v="Ibonia Kenya Peaberry"/>
        <s v="Colombia Finca Cerro Azul"/>
        <s v="El Patron Nicaragua Espresso"/>
        <s v="Ethiopia Yirgacheffe Addis Ketema North Italian Espresso Roast"/>
        <s v="Bolivia Caranavi Cenaproc Co-op"/>
        <s v="Kenya Ndiara"/>
        <s v="Guatemala La Conception"/>
        <s v="Colombia La Escuelita"/>
        <s v="Kenya Thiriku Top Auction Lot"/>
        <s v="Extra Fancy Kona Coffee Medium Roast"/>
        <s v="El Salvador La Montana Pacamara"/>
        <s v="Stars of Formosa Blend"/>
        <s v="Kenya Kagongo Peaberry"/>
        <s v="Kenya Peaberry Muthunzunni Estate"/>
        <s v="Kenya Kangunu"/>
        <s v="Ethiopia Konga Co-op Yirgacheffe"/>
        <s v="Honduras David Mancia"/>
        <s v="Hawaii Isla Kona Mauka"/>
        <s v="Ethiopia Nekisse Espresso"/>
        <s v="Panama Mama Cata Geisha"/>
        <s v="El Salvador Pacamara Finca Los Alpes The Bank"/>
        <s v="Honduras Fernandez Farm"/>
        <s v="Resiprocate Verita Espresso"/>
        <s v="KaвЂ™u Coffee Natural Dried"/>
        <s v="Stars of Italy Espresso"/>
        <s v="Guatemala Hunapu Antigua Bourbon"/>
        <s v="Kenya Bourbon French Mission"/>
        <s v="Kenya Peaberry Kirinyaga Kii"/>
        <s v="El Salvador Pacamara Finca Los Alpes Tierra Fertil"/>
        <s v="Panama Esmeralda Mario Carnival"/>
        <s v="Panama La Esmeralda Especial Mario San Jose"/>
        <s v="Mocha Java Espresso"/>
        <s v="Sumatra Aceh Pondok"/>
        <s v="Ethiopian Sidamo Fair Trade/Organic"/>
        <s v="PeopleвЂ™s Daily Espresso"/>
        <s v="Tanzanian Songea Peaberry"/>
        <s v="La Esperanza Colombia Huila"/>
        <s v="Ethiopia Yirga Cheffe Koke Espresso"/>
        <s v="Sulawesi Toraja"/>
        <s v="Indonesia Blue Batak Peaberry"/>
        <s v="Romance by Paradise"/>
        <s v="Ethiopia Washed Yirgacheffe, Koke Grade 1"/>
        <s v="Kenya AA Top"/>
        <s v="Costa Rica Finca Cerro Palado"/>
        <s v="Ethiopia Yirgacheffe Koke"/>
        <s v="La Esmeralda"/>
        <s v="Kenya Githiru"/>
        <s v="Panama Elida Estate Natural"/>
        <s v="Fair Trade Organic Ethiopia Yirgacheffe"/>
        <s v="Hacienda La Esmeralda Special Mario Carnaval"/>
        <s v="Panama El Burro Estate"/>
        <s v="KaвЂ™u Bourbon"/>
        <s v="Kenya Peaberry Thika Gethumbwini"/>
        <s v="Burundi Kinyovu"/>
        <s v="Bonsai Blend Espresso"/>
        <s v="Ethiopia Yirgacheffe Beloya Selection 8"/>
        <s v="Kenya AA Gachatha"/>
        <s v="вЂњKona SweetвЂќ 100% Kona"/>
        <s v="Kenya Ndiara Full Flavor Roast"/>
        <s v="Kenya Ndaroini Microlot"/>
        <s v="Panama Elida Natural"/>
        <s v="Ethiopia Sidamo Special Prep"/>
        <s v="El Salvador Finca Siberia Pacamara"/>
        <s v="Panama Esmeralda Especial"/>
        <s v="La Esmeralda Panama"/>
        <s v="Panama Esmeralda Lot 9"/>
        <s v="Ethiopia Awassa Special"/>
        <s v="Kenya Peaberry Nyeri-Tatu"/>
        <s v="El Salvador Pacamara Tierra Fertil Los Alpes Reserva"/>
        <s v="Ruvuma Tanzanian Peaberry"/>
        <s v="Ethiopia Sidamo Natural Korate"/>
        <s v="Kenya AA Nyeri Tatu"/>
        <s v="Kenya Peaberry Ruera Estate"/>
        <s v="Brazil Fazenda Boa Vista"/>
        <s v="Ethiopia Yirgacheffe Aricha Selection #7"/>
        <s v="Guatemala El Injerto"/>
        <s v="Organic Colombia"/>
        <s v="Colombia Tolima Jairo Guiterrez Micro-Lot 07"/>
        <s v="Tres Santos Micro-Lot La Dorada Cauca"/>
        <s v="Nectar"/>
        <s v="La Minita Costa Rica"/>
        <s v="Kenya Kigutha"/>
        <s v="Hacienda La Esmeralda"/>
        <s v="Kenya AA Mathareini"/>
        <s v="Kenyan Highland Cooperatives"/>
        <s v="Esmeralda Especial Best of Panama"/>
        <s v="Esmeralda Especial Panama"/>
        <s v="Rwanda Karaba Fair Trade"/>
        <s v="Kenya Karogoto"/>
        <s v="Kenya AA Wagamuga Auction Lot"/>
        <s v="Aricha Selection Seven Ethiopia Yirgacheffe"/>
        <s v="Kenya Peaberry Deep River Estate"/>
        <s v="Ethiopia Biloya Special"/>
        <s v="Huila El Palacio Colombia"/>
        <s v="El Salvador Los Planes Cup of Excellence 2006"/>
        <s v="Natural Decaf Espresso"/>
        <s v="Decaf Organic Caffe Volcan"/>
        <s v="Colombia Cauca, Special Micro-Lot Selection Juvenal Penna"/>
        <s v="Colombia El Castillo Micro-Lot Nelson Melo"/>
        <s v="Colombia Hato Viejo Cup of Excellence"/>
        <s v="Colombia Tolima Reynel Perez Micro-Lot"/>
        <s v="Colombia Huila Supremo"/>
        <s v="Kenyan AA"/>
        <s v="El Salvador Los Planes Pacamara"/>
        <s v="El Salvador Pacamara Los Planes"/>
        <s v="Nicaragua El Progresso COE Lot #1"/>
        <s v="Kenya Mamuto Kirinyaga"/>
        <s v="Belle Espresso"/>
        <s v="Colombia Pitalito Estate"/>
        <s v="Hamma Cooperative Yirgacheffe, Fair-Trade Organic"/>
        <s v="Sumatra Golden Mandheling"/>
        <s v="Guatemala Antigua вЂ“ Finca La Tacita"/>
        <s v="Kenya AA Nyeri Fine Cup"/>
        <s v="El Salvador Montecarlos Tablon Crater"/>
        <s v="El Salvador Montecarlos Peaberry"/>
        <s v="Nicaragua Maragogipe Organic"/>
        <s v="Kenya AA, 2003 Crop"/>
        <s v="Fair Trade Organic Guatemala"/>
        <s v="Nicaraguan Maracaturra Light Roast"/>
        <s v="Elm City House Blend"/>
        <s v="Vienna Roast"/>
      </sharedItems>
    </cacheField>
    <cacheField name="total_score" numFmtId="0">
      <sharedItems containsSemiMixedTypes="0" containsString="0" containsNumber="1" containsInteger="1" minValue="94" maxValue="98" count="5">
        <n v="94"/>
        <n v="96"/>
        <n v="95"/>
        <n v="97"/>
        <n v="98"/>
      </sharedItems>
    </cacheField>
    <cacheField name="roast_level" numFmtId="0">
      <sharedItems count="6">
        <s v="Light"/>
        <s v="Medium Light"/>
        <s v="Medium"/>
        <s v="Medium Dark"/>
        <s v="Dark"/>
        <s v="Very Dark"/>
      </sharedItems>
    </cacheField>
    <cacheField name="agtron_ground" numFmtId="0">
      <sharedItems containsSemiMixedTypes="0" containsString="0" containsNumber="1" containsInteger="1" minValue="0" maxValue="85"/>
    </cacheField>
    <cacheField name="agtron_roast" numFmtId="0">
      <sharedItems containsSemiMixedTypes="0" containsString="0" containsNumber="1" containsInteger="1" minValue="43" maxValue="689" count="63">
        <n v="82"/>
        <n v="87"/>
        <n v="88"/>
        <n v="77"/>
        <n v="78"/>
        <n v="80"/>
        <n v="84"/>
        <n v="86"/>
        <n v="81"/>
        <n v="85"/>
        <n v="79"/>
        <n v="73"/>
        <n v="74"/>
        <n v="64"/>
        <n v="83"/>
        <n v="72"/>
        <n v="76"/>
        <n v="94"/>
        <n v="93"/>
        <n v="89"/>
        <n v="90"/>
        <n v="92"/>
        <n v="60"/>
        <n v="69"/>
        <n v="102"/>
        <n v="97"/>
        <n v="91"/>
        <n v="103"/>
        <n v="62"/>
        <n v="65"/>
        <n v="67"/>
        <n v="100"/>
        <n v="61"/>
        <n v="70"/>
        <n v="689"/>
        <n v="75"/>
        <n v="66"/>
        <n v="71"/>
        <n v="51"/>
        <n v="52"/>
        <n v="44"/>
        <n v="99"/>
        <n v="58"/>
        <n v="54"/>
        <n v="50"/>
        <n v="48"/>
        <n v="53"/>
        <n v="104"/>
        <n v="63"/>
        <n v="105"/>
        <n v="96"/>
        <n v="68"/>
        <n v="46"/>
        <n v="59"/>
        <n v="45"/>
        <n v="57"/>
        <n v="49"/>
        <n v="56"/>
        <n v="101"/>
        <n v="55"/>
        <n v="47"/>
        <n v="98"/>
        <n v="43"/>
      </sharedItems>
    </cacheField>
    <cacheField name="price_per_100g" numFmtId="0">
      <sharedItems containsSemiMixedTypes="0" containsString="0" containsNumber="1" minValue="0.22" maxValue="6000" count="685">
        <n v="13.22"/>
        <n v="10.14"/>
        <n v="10"/>
        <n v="110.23"/>
        <n v="176.37"/>
        <n v="17.2"/>
        <n v="705.47"/>
        <n v="154.32"/>
        <n v="264.55"/>
        <n v="529.1"/>
        <n v="145.5"/>
        <n v="11.9"/>
        <n v="11.46"/>
        <n v="6.47"/>
        <n v="275"/>
        <n v="14.11"/>
        <n v="8.82"/>
        <n v="10.58"/>
        <n v="6.17"/>
        <n v="8.23"/>
        <n v="9.41"/>
        <n v="246.47"/>
        <n v="145.06"/>
        <n v="470"/>
        <n v="211.64"/>
        <n v="16.75"/>
        <n v="15.52"/>
        <n v="17.64"/>
        <n v="12.79"/>
        <n v="5.88"/>
        <n v="6.76"/>
        <n v="14.81"/>
        <n v="5.86"/>
        <n v="4.99"/>
        <n v="8.9700000000000006"/>
        <n v="11.01"/>
        <n v="35.26"/>
        <n v="220.26"/>
        <n v="11.02"/>
        <n v="7.35"/>
        <n v="5.29"/>
        <n v="370.37"/>
        <n v="114.64"/>
        <n v="18.52"/>
        <n v="528.63"/>
        <n v="300"/>
        <n v="9.6999999999999993"/>
        <n v="44.09"/>
        <n v="5.4"/>
        <n v="10.29"/>
        <n v="352.42"/>
        <n v="325"/>
        <n v="2"/>
        <n v="149.47"/>
        <n v="743.36"/>
        <n v="10.23"/>
        <n v="10.4"/>
        <n v="202.82"/>
        <n v="317.45999999999998"/>
        <n v="6.91"/>
        <n v="175"/>
        <n v="7.05"/>
        <n v="7.94"/>
        <n v="60"/>
        <n v="2000"/>
        <n v="12.35"/>
        <n v="119.05"/>
        <n v="423.28"/>
        <n v="141.09"/>
        <n v="7.76"/>
        <n v="163.13999999999999"/>
        <n v="23.52"/>
        <n v="34.17"/>
        <n v="666.67"/>
        <n v="20.28"/>
        <n v="8.3800000000000008"/>
        <n v="4.7"/>
        <n v="171.52"/>
        <n v="153.88"/>
        <n v="8.52"/>
        <n v="5.42"/>
        <n v="220.46"/>
        <n v="0.88"/>
        <n v="58"/>
        <n v="24.25"/>
        <n v="77.599999999999994"/>
        <n v="88.18"/>
        <n v="28"/>
        <n v="617.28"/>
        <n v="5.59"/>
        <n v="418.87"/>
        <n v="396.83"/>
        <n v="44.07"/>
        <n v="35.25"/>
        <n v="432.1"/>
        <n v="14.55"/>
        <n v="16"/>
        <n v="264.32"/>
        <n v="198.24"/>
        <n v="343.61"/>
        <n v="171.81"/>
        <n v="211.45"/>
        <n v="70.55"/>
        <n v="11.54"/>
        <n v="13.89"/>
        <n v="244.44"/>
        <n v="8.81"/>
        <n v="950"/>
        <n v="20.87"/>
        <n v="19.36"/>
        <n v="242.29"/>
        <n v="22.33"/>
        <n v="136.24"/>
        <n v="197.97"/>
        <n v="6000"/>
        <n v="127.87"/>
        <n v="15.43"/>
        <n v="4.41"/>
        <n v="190"/>
        <n v="255.51"/>
        <n v="79.37"/>
        <n v="12.4"/>
        <n v="24.8"/>
        <n v="7.5"/>
        <n v="799"/>
        <n v="158.29"/>
        <n v="254.55"/>
        <n v="264.11"/>
        <n v="198.41"/>
        <n v="180.78"/>
        <n v="14.99"/>
        <n v="330.4"/>
        <n v="18.64"/>
        <n v="123.46"/>
        <n v="132.28"/>
        <n v="352.73"/>
        <n v="16.309999999999999"/>
        <n v="6.16"/>
        <n v="18.670000000000002"/>
        <n v="399"/>
        <n v="12.78"/>
        <n v="93.77"/>
        <n v="17"/>
        <n v="158.72999999999999"/>
        <n v="97"/>
        <n v="143.30000000000001"/>
        <n v="140.65"/>
        <n v="268.52"/>
        <n v="123.02"/>
        <n v="1.18"/>
        <n v="8.16"/>
        <n v="153.85"/>
        <n v="136.68"/>
        <n v="9.92"/>
        <n v="16.170000000000002"/>
        <n v="7.64"/>
        <n v="24"/>
        <n v="22.49"/>
        <n v="15.87"/>
        <n v="127.75"/>
        <n v="500"/>
        <n v="24.23"/>
        <n v="26.67"/>
        <n v="286.33999999999997"/>
        <n v="195"/>
        <n v="21.6"/>
        <n v="215"/>
        <n v="396.48"/>
        <n v="282.61"/>
        <n v="30.84"/>
        <n v="11.76"/>
        <n v="12"/>
        <n v="52.91"/>
        <n v="35.270000000000003"/>
        <n v="375"/>
        <n v="154.19"/>
        <n v="99.21"/>
        <n v="149.91"/>
        <n v="6.27"/>
        <n v="5.57"/>
        <n v="6.32"/>
        <n v="20.81"/>
        <n v="25.57"/>
        <n v="72.31"/>
        <n v="15.12"/>
        <n v="14.08"/>
        <n v="7.2"/>
        <n v="312.77999999999997"/>
        <n v="105.73"/>
        <n v="238.1"/>
        <n v="161.38"/>
        <n v="200"/>
        <n v="427.31"/>
        <n v="237.65"/>
        <n v="26.01"/>
        <n v="286.60000000000002"/>
        <n v="27"/>
        <n v="9.48"/>
        <n v="229.28"/>
        <n v="8.8000000000000007"/>
        <n v="9.99"/>
        <n v="6.61"/>
        <n v="661.38"/>
        <n v="180.34"/>
        <n v="171.96"/>
        <n v="0.44"/>
        <n v="49.8"/>
        <n v="23.37"/>
        <n v="22.05"/>
        <n v="13.67"/>
        <n v="242.5"/>
        <n v="39.68"/>
        <n v="255.73"/>
        <n v="9.8800000000000008"/>
        <n v="9.83"/>
        <n v="480"/>
        <n v="136.56"/>
        <n v="19.399999999999999"/>
        <n v="30.86"/>
        <n v="1"/>
        <n v="225"/>
        <n v="250"/>
        <n v="16.93"/>
        <n v="11.74"/>
        <n v="5.14"/>
        <n v="260"/>
        <n v="302.22000000000003"/>
        <n v="0.42"/>
        <n v="19.84"/>
        <n v="350"/>
        <n v="167.55"/>
        <n v="12.93"/>
        <n v="9.26"/>
        <n v="573.19000000000005"/>
        <n v="4.9800000000000004"/>
        <n v="92.59"/>
        <n v="11.3"/>
        <n v="7.73"/>
        <n v="349"/>
        <n v="26.46"/>
        <n v="5"/>
        <n v="29.39"/>
        <n v="440.92"/>
        <n v="288.89"/>
        <n v="28.66"/>
        <n v="6.96"/>
        <n v="9.52"/>
        <n v="850"/>
        <n v="299"/>
        <n v="549"/>
        <n v="433.33"/>
        <n v="353.33"/>
        <n v="9.69"/>
        <n v="64"/>
        <n v="498"/>
        <n v="6.03"/>
        <n v="20"/>
        <n v="17.5"/>
        <n v="165.34"/>
        <n v="10.86"/>
        <n v="793.65"/>
        <n v="202.38"/>
        <n v="13.23"/>
        <n v="8.11"/>
        <n v="3.82"/>
        <n v="13.52"/>
        <n v="4000"/>
        <n v="121.15"/>
        <n v="175.93"/>
        <n v="424.6"/>
        <n v="1058.2"/>
        <n v="1200"/>
        <n v="5.6"/>
        <n v="12.5"/>
        <n v="6.45"/>
        <n v="21.14"/>
        <n v="6.8"/>
        <n v="1000"/>
        <n v="6.88"/>
        <n v="326.08999999999997"/>
        <n v="17.28"/>
        <n v="308.64"/>
        <n v="105.82"/>
        <n v="14.22"/>
        <n v="11.61"/>
        <n v="9.17"/>
        <n v="5.44"/>
        <n v="4.74"/>
        <n v="40"/>
        <n v="6.09"/>
        <n v="2083.33"/>
        <n v="440"/>
        <n v="485.01"/>
        <n v="11.17"/>
        <n v="5.48"/>
        <n v="11.6"/>
        <n v="3000"/>
        <n v="5.58"/>
        <n v="5.51"/>
        <n v="15.71"/>
        <n v="4.12"/>
        <n v="121.25"/>
        <n v="27.76"/>
        <n v="292.04000000000002"/>
        <n v="474.29"/>
        <n v="620"/>
        <n v="204.55"/>
        <n v="16.5"/>
        <n v="418.5"/>
        <n v="5.73"/>
        <n v="176.21"/>
        <n v="800"/>
        <n v="700"/>
        <n v="29.08"/>
        <n v="3600"/>
        <n v="10.050000000000001"/>
        <n v="40.56"/>
        <n v="36.11"/>
        <n v="208.89"/>
        <n v="22.02"/>
        <n v="53.4"/>
        <n v="3.95"/>
        <n v="326.67"/>
        <n v="15.41"/>
        <n v="420.35"/>
        <n v="12.3"/>
        <n v="152.16999999999999"/>
        <n v="130.07"/>
        <n v="374.78"/>
        <n v="66.67"/>
        <n v="6.46"/>
        <n v="1102.29"/>
        <n v="87.94"/>
        <n v="560"/>
        <n v="6.6"/>
        <n v="39.659999999999997"/>
        <n v="11.67"/>
        <n v="507.05"/>
        <n v="1680"/>
        <n v="83.77"/>
        <n v="330.69"/>
        <n v="10.57"/>
        <n v="220"/>
        <n v="333.33"/>
        <n v="7.33"/>
        <n v="21.16"/>
        <n v="22"/>
        <n v="712"/>
        <n v="600"/>
        <n v="25.71"/>
        <n v="8.7899999999999991"/>
        <n v="668.14"/>
        <n v="16.149999999999999"/>
        <n v="133.33000000000001"/>
        <n v="66.09"/>
        <n v="280"/>
        <n v="299.56"/>
        <n v="2980"/>
        <n v="5.26"/>
        <n v="26.41"/>
        <n v="3.97"/>
        <n v="6.02"/>
        <n v="5.28"/>
        <n v="210"/>
        <n v="246.7"/>
        <n v="7.27"/>
        <n v="160"/>
        <n v="155.56"/>
        <n v="25.17"/>
        <n v="7.72"/>
        <n v="38.58"/>
        <n v="25.2"/>
        <n v="181.82"/>
        <n v="4.63"/>
        <n v="4"/>
        <n v="163.88"/>
        <n v="111.01"/>
        <n v="25"/>
        <n v="99.12"/>
        <n v="8.3699999999999992"/>
        <n v="9.9600000000000009"/>
        <n v="273.37"/>
        <n v="14.7"/>
        <n v="1146.3800000000001"/>
        <n v="263.88"/>
        <n v="11.64"/>
        <n v="59"/>
        <n v="546.74"/>
        <n v="24.69"/>
        <n v="17.59"/>
        <n v="90.83"/>
        <n v="16.53"/>
        <n v="1750"/>
        <n v="49.97"/>
        <n v="165"/>
        <n v="33.049999999999997"/>
        <n v="17.61"/>
        <n v="57.28"/>
        <n v="330.43"/>
        <n v="9.7799999999999994"/>
        <n v="239.13"/>
        <n v="2500"/>
        <n v="4.8499999999999996"/>
        <n v="11.73"/>
        <n v="17.62"/>
        <n v="16.71"/>
        <n v="6.75"/>
        <n v="5.23"/>
        <n v="290"/>
        <n v="4.26"/>
        <n v="20.55"/>
        <n v="9.8699999999999992"/>
        <n v="44.05"/>
        <n v="5.81"/>
        <n v="1410.93"/>
        <n v="4.1900000000000004"/>
        <n v="8"/>
        <n v="285"/>
        <n v="41.12"/>
        <n v="555.55999999999995"/>
        <n v="100"/>
        <n v="5.0599999999999996"/>
        <n v="5.64"/>
        <n v="476.19"/>
        <n v="6"/>
        <n v="264.56"/>
        <n v="188.88"/>
        <n v="32.299999999999997"/>
        <n v="586.96"/>
        <n v="5.03"/>
        <n v="3.53"/>
        <n v="8.66"/>
        <n v="22.71"/>
        <n v="16.670000000000002"/>
        <n v="6.23"/>
        <n v="5.07"/>
        <n v="293.33"/>
        <n v="43.65"/>
        <n v="37.04"/>
        <n v="9.5"/>
        <n v="533.33000000000004"/>
        <n v="266.67"/>
        <n v="5.95"/>
        <n v="111.11"/>
        <n v="19.82"/>
        <n v="4.97"/>
        <n v="7.61"/>
        <n v="132.16"/>
        <n v="639.33000000000004"/>
        <n v="33.07"/>
        <n v="4.25"/>
        <n v="4.92"/>
        <n v="308.64999999999998"/>
        <n v="330.7"/>
        <n v="4.34"/>
        <n v="177.78"/>
        <n v="5.22"/>
        <n v="187.39"/>
        <n v="5.17"/>
        <n v="63.93"/>
        <n v="20.260000000000002"/>
        <n v="26.9"/>
        <n v="8.77"/>
        <n v="4.3899999999999997"/>
        <n v="4.1100000000000003"/>
        <n v="35"/>
        <n v="23.81"/>
        <n v="263.64"/>
        <n v="32.630000000000003"/>
        <n v="5.66"/>
        <n v="69.599999999999994"/>
        <n v="110.13"/>
        <n v="88.11"/>
        <n v="217.78"/>
        <n v="6.5"/>
        <n v="3.81"/>
        <n v="705.48"/>
        <n v="30"/>
        <n v="60.41"/>
        <n v="6.14"/>
        <n v="58.24"/>
        <n v="38.799999999999997"/>
        <n v="4.5"/>
        <n v="335.1"/>
        <n v="37.479999999999997"/>
        <n v="3.86"/>
        <n v="33.51"/>
        <n v="5.47"/>
        <n v="22.03"/>
        <n v="20.94"/>
        <n v="4.78"/>
        <n v="52.86"/>
        <n v="6.4"/>
        <n v="1152.42"/>
        <n v="509.25"/>
        <n v="4.4800000000000004"/>
        <n v="2557.3200000000002"/>
        <n v="4.9400000000000004"/>
        <n v="21.83"/>
        <n v="50"/>
        <n v="3.89"/>
        <n v="3.08"/>
        <n v="5.13"/>
        <n v="39.65"/>
        <n v="4.5599999999999996"/>
        <n v="4.55"/>
        <n v="616.74"/>
        <n v="27.34"/>
        <n v="4.37"/>
        <n v="5.8"/>
        <n v="9"/>
        <n v="5.62"/>
        <n v="13.8"/>
        <n v="5.56"/>
        <n v="188"/>
        <n v="7.63"/>
        <n v="4.7300000000000004"/>
        <n v="4.6399999999999997"/>
        <n v="0.22"/>
        <n v="4.2300000000000004"/>
        <n v="16.41"/>
        <n v="26.43"/>
        <n v="3.75"/>
        <n v="231.11"/>
        <n v="466.67"/>
        <n v="187.2"/>
        <n v="9.1"/>
        <n v="21.38"/>
        <n v="2.65"/>
        <n v="8.08"/>
        <n v="16.23"/>
        <n v="21.72"/>
        <n v="15.85"/>
        <n v="121.4"/>
        <n v="3.67"/>
        <n v="10.67"/>
        <n v="21.3"/>
        <n v="352.74"/>
        <n v="9.98"/>
        <n v="20.72"/>
        <n v="217.47"/>
        <n v="97.39"/>
        <n v="5.24"/>
        <n v="43.82"/>
        <n v="89"/>
        <n v="4.6900000000000004"/>
        <n v="95"/>
        <n v="450"/>
        <n v="13.33"/>
        <n v="4.51"/>
        <n v="4.04"/>
        <n v="15"/>
        <n v="19.11"/>
        <n v="3.56"/>
        <n v="4.79"/>
        <n v="5.1100000000000003"/>
        <n v="1234.57"/>
        <n v="837.74"/>
        <n v="23.36"/>
        <n v="26.34"/>
        <n v="4.3"/>
        <n v="20.16"/>
        <n v="288"/>
        <n v="588"/>
        <n v="5.5"/>
        <n v="104.84"/>
        <n v="4.76"/>
        <n v="29.72"/>
        <n v="16.739999999999998"/>
        <n v="26.45"/>
        <n v="14.09"/>
        <n v="209.44"/>
        <n v="10.02"/>
        <n v="3.96"/>
        <n v="5.39"/>
        <n v="3.31"/>
        <n v="52.08"/>
        <n v="7.71"/>
        <n v="2.79"/>
        <n v="3.3"/>
        <n v="4.53"/>
        <n v="4.0999999999999996"/>
        <n v="4.38"/>
        <n v="136.36000000000001"/>
        <n v="170.45"/>
        <n v="2.86"/>
        <n v="147.72999999999999"/>
        <n v="119.32"/>
        <n v="13.28"/>
        <n v="11.16"/>
        <n v="15.5"/>
        <n v="3.51"/>
        <n v="3.88"/>
        <n v="105.11"/>
        <n v="113.64"/>
        <n v="3.2"/>
        <n v="385.01"/>
        <n v="1245.71"/>
        <n v="10.7"/>
        <n v="6.37"/>
        <n v="79.66"/>
        <n v="5.33"/>
        <n v="93.62"/>
        <n v="45.88"/>
        <n v="11.29"/>
        <n v="5.18"/>
        <n v="233.63"/>
        <n v="123.6"/>
        <n v="98.18"/>
        <n v="123.62"/>
        <n v="219.28"/>
        <n v="32.869999999999997"/>
        <n v="76.13"/>
        <n v="5.53"/>
        <n v="68.180000000000007"/>
        <n v="22.96"/>
        <n v="6.42"/>
        <n v="104.06"/>
        <n v="2008.52"/>
        <n v="12.45"/>
        <n v="5.75"/>
        <n v="10.37"/>
        <n v="63.49"/>
        <n v="24.18"/>
        <n v="11.95"/>
        <n v="200.59"/>
        <n v="51.92"/>
        <n v="118.06"/>
        <n v="41.72"/>
        <n v="122.58"/>
        <n v="9.4700000000000006"/>
        <n v="168.52"/>
        <n v="54.07"/>
        <n v="213.26"/>
        <n v="134.6"/>
        <n v="416.54"/>
        <n v="72.290000000000006"/>
        <n v="106.56"/>
        <n v="6.51"/>
        <n v="13.31"/>
        <n v="260.88"/>
        <n v="4.3499999999999996"/>
        <n v="462.48"/>
        <n v="140.51"/>
        <n v="100.77"/>
        <n v="4.8899999999999997"/>
        <n v="113.76"/>
        <n v="4.1399999999999997"/>
        <n v="326.82"/>
        <n v="619.29999999999995"/>
        <n v="405.76"/>
        <n v="30.44"/>
        <n v="30.12"/>
        <n v="18.190000000000001"/>
        <n v="80.14"/>
        <n v="323.33999999999997"/>
        <n v="52.2"/>
        <n v="477.67"/>
        <n v="57.46"/>
        <n v="414.95"/>
        <n v="111.72"/>
        <n v="159.26"/>
        <n v="194.62"/>
        <n v="98.84"/>
        <n v="13.17"/>
        <n v="5.63"/>
        <n v="252.88"/>
        <n v="10.38"/>
        <n v="11.13"/>
        <n v="7.39"/>
        <n v="76.73"/>
        <n v="4.88"/>
        <n v="7.52"/>
        <n v="51.33"/>
        <n v="122.5"/>
        <n v="75.599999999999994"/>
        <n v="205.91"/>
        <n v="47.23"/>
        <n v="249.35"/>
        <n v="180.28"/>
        <n v="106.72"/>
        <n v="184.51"/>
        <n v="224.33"/>
        <n v="198.56"/>
        <n v="198.57"/>
      </sharedItems>
      <fieldGroup par="8"/>
    </cacheField>
    <cacheField name="roaster_country" numFmtId="0">
      <sharedItems count="15">
        <s v="USA"/>
        <s v="Taiwan"/>
        <s v="Peru"/>
        <s v="Guatemala"/>
        <s v="Japan"/>
        <s v="South Korea"/>
        <s v="China"/>
        <s v="Canada"/>
        <s v="Kenya"/>
        <s v="United Kingdom"/>
        <s v="Colombia"/>
        <s v="Indonesia"/>
        <s v="Australia"/>
        <s v="Mexico"/>
        <s v="El Salvador"/>
      </sharedItems>
    </cacheField>
    <cacheField name="origin_country" numFmtId="0">
      <sharedItems count="25">
        <s v="Colombia"/>
        <s v="Ethiopia"/>
        <s v="Taiwan"/>
        <s v="Peru"/>
        <s v="Tanzania"/>
        <s v="Ecuador"/>
        <s v="Costa Rica"/>
        <s v="Brazil"/>
        <s v="Kenya"/>
        <s v="USA"/>
        <s v="Rwanda"/>
        <s v="Guatemala"/>
        <s v="Panama"/>
        <s v="Mexico"/>
        <s v="Yemen"/>
        <s v="Indonesia"/>
        <s v="El Salvador"/>
        <s v="Unknown"/>
        <s v="Honduras"/>
        <s v="Burundi"/>
        <s v="Papua New Guinea"/>
        <s v="Nicaragua"/>
        <s v="Democratic Republic of the Congo"/>
        <s v="China"/>
        <s v="Bolivia"/>
      </sharedItems>
    </cacheField>
    <cacheField name="price_per_100g2" numFmtId="0" databaseField="0">
      <fieldGroup base="5">
        <discretePr count="685">
          <x v="44"/>
          <x v="44"/>
          <x v="44"/>
          <x v="0"/>
          <x v="1"/>
          <x v="44"/>
          <x v="44"/>
          <x v="2"/>
          <x v="44"/>
          <x v="44"/>
          <x v="44"/>
          <x v="44"/>
          <x v="44"/>
          <x v="3"/>
          <x v="4"/>
          <x v="44"/>
          <x v="5"/>
          <x v="6"/>
          <x v="7"/>
          <x v="8"/>
          <x v="44"/>
          <x v="44"/>
          <x v="44"/>
          <x v="44"/>
          <x v="44"/>
          <x v="44"/>
          <x v="44"/>
          <x v="9"/>
          <x v="44"/>
          <x v="10"/>
          <x v="11"/>
          <x v="44"/>
          <x v="12"/>
          <x v="44"/>
          <x v="44"/>
          <x v="44"/>
          <x v="44"/>
          <x v="44"/>
          <x v="13"/>
          <x v="14"/>
          <x v="15"/>
          <x v="44"/>
          <x v="44"/>
          <x v="44"/>
          <x v="44"/>
          <x v="44"/>
          <x v="16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17"/>
          <x v="18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19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20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21"/>
          <x v="22"/>
          <x v="23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24"/>
          <x v="44"/>
          <x v="44"/>
          <x v="44"/>
          <x v="44"/>
          <x v="44"/>
          <x v="44"/>
          <x v="44"/>
          <x v="44"/>
          <x v="44"/>
          <x v="44"/>
          <x v="25"/>
          <x v="44"/>
          <x v="44"/>
          <x v="44"/>
          <x v="44"/>
          <x v="44"/>
          <x v="44"/>
          <x v="44"/>
          <x v="44"/>
          <x v="44"/>
          <x v="26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27"/>
          <x v="44"/>
          <x v="44"/>
          <x v="44"/>
          <x v="44"/>
          <x v="44"/>
          <x v="28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29"/>
          <x v="44"/>
          <x v="44"/>
          <x v="44"/>
          <x v="44"/>
          <x v="44"/>
          <x v="44"/>
          <x v="30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31"/>
          <x v="44"/>
          <x v="44"/>
          <x v="44"/>
          <x v="44"/>
          <x v="44"/>
          <x v="44"/>
          <x v="44"/>
          <x v="44"/>
          <x v="44"/>
          <x v="32"/>
          <x v="44"/>
          <x v="44"/>
          <x v="44"/>
          <x v="44"/>
          <x v="33"/>
          <x v="3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35"/>
          <x v="44"/>
          <x v="36"/>
          <x v="37"/>
          <x v="44"/>
          <x v="44"/>
          <x v="44"/>
          <x v="44"/>
          <x v="44"/>
          <x v="44"/>
          <x v="44"/>
          <x v="38"/>
          <x v="44"/>
          <x v="44"/>
          <x v="44"/>
          <x v="44"/>
          <x v="44"/>
          <x v="44"/>
          <x v="44"/>
          <x v="44"/>
          <x v="44"/>
          <x v="39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0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1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2"/>
          <x v="44"/>
          <x v="44"/>
          <x v="44"/>
          <x v="44"/>
          <x v="44"/>
          <x v="44"/>
          <x v="43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  <x v="44"/>
        </discretePr>
        <groupItems count="45">
          <n v="110.23"/>
          <n v="176.37"/>
          <n v="154.32"/>
          <n v="6.47"/>
          <n v="275"/>
          <n v="8.82"/>
          <n v="10.58"/>
          <n v="6.17"/>
          <n v="8.23"/>
          <n v="17.64"/>
          <n v="5.88"/>
          <n v="6.76"/>
          <n v="5.86"/>
          <n v="11.02"/>
          <n v="7.35"/>
          <n v="5.29"/>
          <n v="9.6999999999999993"/>
          <n v="7.05"/>
          <n v="7.94"/>
          <n v="4.7"/>
          <n v="5.59"/>
          <n v="127.87"/>
          <n v="15.43"/>
          <n v="4.41"/>
          <n v="132.28"/>
          <n v="143.30000000000001"/>
          <n v="7.64"/>
          <n v="35.270000000000003"/>
          <n v="5.57"/>
          <n v="6.61"/>
          <n v="22.05"/>
          <n v="5.14"/>
          <n v="4.9800000000000004"/>
          <n v="26.46"/>
          <n v="5"/>
          <n v="5.51"/>
          <n v="4.12"/>
          <n v="121.25"/>
          <n v="5.73"/>
          <n v="22.02"/>
          <n v="7.33"/>
          <n v="5.28"/>
          <n v="4.8499999999999996"/>
          <n v="4.26"/>
          <s v="Group1"/>
        </groupItems>
      </fieldGroup>
    </cacheField>
  </cacheFields>
  <extLst>
    <ext xmlns:x14="http://schemas.microsoft.com/office/spreadsheetml/2009/9/main" uri="{725AE2AE-9491-48be-B2B4-4EB974FC3084}">
      <x14:pivotCacheDefinition pivotCacheId="102114316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7.762026273151" createdVersion="7" refreshedVersion="7" minRefreshableVersion="3" recordCount="2188" xr:uid="{8DB22EF0-FC8E-4FA2-B373-FD0D862AFDC8}">
  <cacheSource type="worksheet">
    <worksheetSource ref="J2:L2190" sheet="Sheet2"/>
  </cacheSource>
  <cacheFields count="3">
    <cacheField name="coffee_name" numFmtId="0">
      <sharedItems count="2003">
        <s v="Colombia Finca Campo Hermosa"/>
        <s v="Colombia Finca La Sirena Mango Co-Ferment"/>
        <s v="In Bloom"/>
        <s v="Ethiopia Washed Kaffa Gimbo Lot Rich Espresso"/>
        <s v="Ethiopia Natural Gute Bona"/>
        <s v="White Geisha Blend Espresso"/>
        <s v="Yunlin Natural Geisha CPAG-1"/>
        <s v="Colombia Natural Huila Eulises Guzman"/>
        <s v="Peru Washed Cusco Buena Vista Soola SL09"/>
        <s v="Yunlin Natural Geisha"/>
        <s v="Hechi"/>
        <s v="Las Margaritas Sudan Rume"/>
        <s v="Wilton Benitez Geisha"/>
        <s v="Itumpi Tanzania"/>
        <s v="Ethiopia Yirgacheffe G1 Gotiti Angel Station Geisha Washed"/>
        <s v="Ethiopia Guji Hambela Buku Abel Bastet Geisha Washed"/>
        <s v="Finca Cruz Loma Ecuador Geisha"/>
        <s v="Costa Rica Finca El CaГ±al"/>
        <s v="Hambela Dabaye Ethiopia"/>
        <s v="Brazil Vinhal Grape Starfruit"/>
        <s v="Duwancho Natural Ethiopia"/>
        <s v="Colombia Finca Santa Barbara Gesha Anaerobic Honey"/>
        <s v="Colombia Faver Emir Ninco Pink Bourbon"/>
        <s v="Ethiopia Yirgacheffe Earl Grey Peach"/>
        <s v="Colombia Cauca Lusitania Geisha Washed"/>
        <s v="Kenya Kirinyaga Karamundi Washed AB"/>
        <s v="KaК»Е« Morning Glory"/>
        <s v="KaК»Е« Yellow Bourbon"/>
        <s v="Colombia San Adolfo Huila"/>
        <s v="Rwanda Kungahara Carbonic Maceration"/>
        <s v="Ecuador La Papaya Pacamara"/>
        <s v="Peru Churupampa Pacamara"/>
        <s v="Ethiopia Ayla Sidamo"/>
        <s v="Ethiopia Mullugeta Muntasha"/>
        <s v="KaвЂ™u Giant Maragogipe"/>
        <s v="KaвЂ™u Red Bourbon"/>
        <s v="Kona Bloom"/>
        <s v="Guatemala Retiro del Quisaya Washed Process"/>
        <s v="Ethiopian Single Origin"/>
        <s v="Colombia Finca Al Paraiso YвЂ“05 Lychee"/>
        <s v="Colombia Las Perlitas Anaerobic Honey"/>
        <s v="Panama Altieri Luci Geisha Natural Cold Dry Ferment"/>
        <s v="Costa Rica La Minita"/>
        <s v="Ethiopia Guji Grape GildVine Natural G1"/>
        <s v="Kenya Baragwi Guama AA Washed"/>
        <s v="Potosi Pink Bourbon Natural Colombia"/>
        <s v="Wilton Benitez Sudan Rume Colombia"/>
        <s v="Kangocho Kenya"/>
        <s v="La Esperanza Mandela"/>
        <s v="Mexico Alva Flores"/>
        <s v="Ethiopia Natural Sidama Blue Donkey Lot 2"/>
        <s v="Trust the Process Costa Rica Finca Carrizal SL28 Black Diamond Natural"/>
        <s v="Guatemala Washed Finca El General Gesha"/>
        <s v="Guatemala Finca El General Bourbon Honey Espresso"/>
        <s v="True Love Espresso Blend"/>
        <s v="Colombia Sebastian Ramirez Washed Pink Bourbon"/>
        <s v="Colombia Manos Juntas Anaerobic Natural"/>
        <s v="Ecuador La Papaya Geisha Natural"/>
        <s v="Yemen Al Obrah"/>
        <s v="Kenya Embu"/>
        <s v="Yemen Ismaili"/>
        <s v="Guatemala Acatenango Geisha"/>
        <s v="Ethiopia Bench-Maji Lucy Geisha Anaerobic Natural"/>
        <s v="Wilton Benitez Colombia Yellow Bourbon"/>
        <s v="Kona Tropical Punch Washed"/>
        <s v="Granate"/>
        <s v="Kenya Kirinyaga"/>
        <s v="Costa Rica San Diego"/>
        <s v="Costa Rica La Candelilla Geisha"/>
        <s v="Ethiopia Agaro Duromina"/>
        <s v="Panama Renaissance Series Flora Geisha Washed"/>
        <s v="Colombia San Martin Bourbon Aji Star Fruit Peach Honey"/>
        <s v="Taiwan COE #3 Alishan Zhou Zhu Yuan Geisha Natural"/>
        <s v="Las Margaritas Colombia Sudan Rume Natural"/>
        <s v="Yabitu Koba Ethiopia"/>
        <s v="Pantan Musara Sumatra"/>
        <s v="Ethiopia Yirgacheffe Misty Valley Aricha Washed G1"/>
        <s v="Guatemala El Soccoro Maracaturra Washed"/>
        <s v="Ethiopia Sidama Bensa Alo Single Variety 74158 Natural"/>
        <s v="El Salvador Loma La Gloria Unicorn Natural"/>
        <s v="Costa Rica Las Lajas SL-28 Natural"/>
        <s v="Ethiopia Faysel Abdosh"/>
        <s v="Kenya Kii"/>
        <s v="Ethiopia Guji Bishala G1 Red Honey"/>
        <s v="Ethiopia Sidama Bensa Shantawene Gatta Kenean Dukamo Anaerobic Natural G1"/>
        <s v="Kenya Nyeri Hill AB"/>
        <s v="Ethiopia Sidama  Bombe Natural"/>
        <s v="Ethiopia Kayon Mountain"/>
        <s v="Colombia Red Sunset"/>
        <s v="Ethiopia Gesha Village Lot 108"/>
        <s v="Panama Geisha Vuelta DRD Natural Lot GN-01"/>
        <s v="Panama Kaizen Lot GW-01"/>
        <s v="Kona Geisha Champagne Natural"/>
        <s v="Ethiopia Nano Genji Lot #8"/>
        <s v="Colombia Hacienda La Pradera Mokka"/>
        <s v="La Piragua Pink Bourbon Colombia"/>
        <s v="Kenya Baragwi Guama"/>
        <s v="Ethiopia Washed Uraga More Floral Kurume Espresso"/>
        <s v="Ethiopia Natural Sidama ALO Village FL"/>
        <s v="Ethiopia Washed Sidama Bura Karamo 74158"/>
        <s v="Ethiopia Natural Guji Hambella Wamena Buku G1"/>
        <s v="Guatemala Naranjas Nadando"/>
        <s v="Songstress Geisha"/>
        <s v="Ethiopia Gesha Village Surma 1931 Mossto Anaerobic Honey"/>
        <s v="Panama Bambito Estate Geisha"/>
        <s v="Colombia Efren Echeverry"/>
        <s v="Pueo Blend"/>
        <s v="Wai Meli Morning"/>
        <s v="Ayla Bombe Natural"/>
        <s v="Wilton Benitez Striped Bourbon Colombia"/>
        <s v="Buena Vista Pink Bourbon Colombia"/>
        <s v="Yunlin Washed Geisha"/>
        <s v="Ethiopia Banko Washed"/>
        <s v="Colombia Villa Betulia CM Sidra"/>
        <s v="Ethiopia Anaerobic Worka Sakaro"/>
        <s v="Costa Rica Hacienda Sonora Natural Milenio"/>
        <s v="Costa Rica Alma Negra Natural"/>
        <s v="El Salvador Finca Santa Sofia Natural Kenya"/>
        <s v="Colombia Aponte Honey"/>
        <s v="Finca Huixoc Geisha"/>
        <s v="Costa Rica Rivense Finca El Mango Honey Process"/>
        <s v="El Salvador Unicorn"/>
        <s v="Kenya Kiamwangi Factory AA TOP"/>
        <s v="Ethiopia Sidama Bensa Hamasho Washed TOH#2"/>
        <s v="Costa Rica Red Java Honey Finca Los Pinitos"/>
        <s v="Costa Rica Finca El CaГ±al Double Diamond"/>
        <s v="Honduras Roger Dominguez"/>
        <s v="Ngurueri Kenya"/>
        <s v="Cruz Loma Ecuador"/>
        <s v="Colombia Monteblanco Nectar Citrullus Secret Stash"/>
        <s v="Costa Rica La Laguna Lot Secret Stash"/>
        <s v="Ballista Espresso"/>
        <s v="Ethiopia Natural Lion 88"/>
        <s v="Panama Lamastus Family Elida Estate Loma Geisha Washed"/>
        <s v="Colombia El Paraiso Geisha Anti-Maceration"/>
        <s v="Ethiopia Alo Chilaka Natural"/>
        <s v="Panama Bambito Gesha"/>
        <s v="Panama Geisha Vuelta DRD Natural"/>
        <s v="Kona S12 Kaffa Washed"/>
        <s v="Kona Geisha RosГ© Washed"/>
        <s v="Colombia Cafe La Granja Pink Bourbon"/>
        <s v="Colombia Cafe La Granja Sudan Rume Natural"/>
        <s v="Panama Tierra Blanca C-5 Geisha Washed BOP-GW-05"/>
        <s v="Kenya AA Kangiri New Irati"/>
        <s v="Costa Rica Central Valley Honey Geisha"/>
        <s v="Ethiopia Sidama Bombe G1 Washed"/>
        <s v="Kenya AA Aries Return Espresso"/>
        <s v="Kenya AllвЂ™s Well Peaberry Espresso"/>
        <s v="Espresso No. 6 Finca San JosГ© OcaГ±a"/>
        <s v="Kahiko Orange"/>
        <s v="Kenya Washed Kiambu Yara Estate PB TOP"/>
        <s v="Kona Orange"/>
        <s v="Colombia Wilton Benitez Sudan Rume"/>
        <s v="Ethiopia Washed Gute 74110 Lot JH"/>
        <s v="Ethiopia Natural Sidama Bura Karamo 74158"/>
        <s v="Taiwan Honey Alishan Ming Yang Yuan Gesha"/>
        <s v="Kenya Washed Kiambu AB TOP Lot Yerihar"/>
        <s v="Kenya Ibonia Estate"/>
        <s v="Ethiopia Worka Sakaro"/>
        <s v="Guatemala Washed Huehuetenango Joya Verde"/>
        <s v="Ethiopia Washed Guji Uraga Tebe Burka"/>
        <s v="Ethiopia Natural Sidama ALO Village SKY Project FL"/>
        <s v="Taiwan Natural Alishan Chi Tsai Liu Li Ecological Farm"/>
        <s v="Wilton Benitez SL28"/>
        <s v="Kolla Bolcha #6 Ethiopia"/>
        <s v="Bener Meriah Sumatra"/>
        <s v="Yemen Haraaz"/>
        <s v="Ethiopia Yirgacheffe Hama Honey"/>
        <s v="Colombia Finca Santuario Red Bourbon Natural"/>
        <s v="Ethiopia Yirgacheffe Gutiti Gargari Natural"/>
        <s v="130 Blend"/>
        <s v="Ethiopia Bench Maji Gori Gesha ORO Yeast Natural G1"/>
        <s v="Fruits Melody"/>
        <s v="Kenya Melwa AA Washed"/>
        <s v="Colombia Wilton Benitez Thermal Shock Red Bourbon"/>
        <s v="Panama Elida Estate Geisha Natural ASD T3D Auction Lot EG6"/>
        <s v="El Salvador La Providencia Maria Pacas Bernadina Honey"/>
        <s v="Colombia El Vergel Martha Montenegro Rubi Marti Anaerobic"/>
        <s v="Ethiopia West Arsi Washed G1"/>
        <s v="Ethiopia Washed Yirgacheffe Chelbesa SNNPR Gedeo G1"/>
        <s v="Colombia Lulo Wonka Wonka &amp; Sebastian Gomez"/>
        <s v="Colombia Finca La Reserva"/>
        <s v="Ethiopia Washed Ayla Bombe"/>
        <s v="Ethiopia Mr. Ocholo Bedecho"/>
        <s v="Colombia Pink Champagne El Mirador Blend"/>
        <s v="Guatemala El Injerto Malawi Geisha Washed"/>
        <s v="Guatemala El Injerto Legendary Geisha Natural Lot E1-06"/>
        <s v="Guatemala Washed Finca La Hermosa Gesha Peaberry"/>
        <s v="Qunqana Ethiopia"/>
        <s v="Finca La Reserva Colombia Gesha Honey"/>
        <s v="Ethiopia Ayla Bombe"/>
        <s v="Ethiopia Arbegona Yaye Washed"/>
        <s v="Sumatra Putra Gayo Natural"/>
        <s v="El Salvador Finca Plan del Hoyo Microlot"/>
        <s v="Kenya Kichwa Tembo"/>
        <s v="Ethiopia Sidama Alice Orchard Natural G1"/>
        <s v="Colombia Fruit Loops Gesha Washed"/>
        <s v="Kenya Gachatha AA Top"/>
        <s v="Ethiopia Bench-Maji Lucy Station Geisha Washed"/>
        <s v="Ethiopia Yirgacheffe Lalisa Black Honey TOH#2"/>
        <s v="Panama Hacienda La Esmeralda Nano GIGANTE 4FC-N Geisha Washed"/>
        <s v="Kenya Washed Kiambu AA"/>
        <s v="Kenya Washed Kiambu Maganjo AA TOP"/>
        <s v="Ethiopia Washed Yirgacheffe Botabaa Lot"/>
        <s v="Ecuador Galo Morales"/>
        <s v="Orange Bourbon Natural"/>
        <s v="Ethiopia Yirgacheffe Huke Premium Washed G1"/>
        <s v="Ethiopia Yirgacheffe Huke Premium Natural G1"/>
        <s v="Colombia El Vergel #1"/>
        <s v="Ethiopia Sidama Bensa"/>
        <s v="Ethiopia Guji Rosechee Washed G1"/>
        <s v="Ethiopia Bench-Maji Lucy Geisha"/>
        <s v="Ethiopia Oromi Guji Hamela Wamena Tirtira Goyo Natural G1"/>
        <s v="Acacia Hills Geisha"/>
        <s v="Nsoga Iweyza Tanzania"/>
        <s v="Wilton Benitez Java"/>
        <s v="Ethiopia Guji Narcissus Washed G1"/>
        <s v="Asobombo Colombia"/>
        <s v="Panama Hacienda La Esmeralda Special Nano Geisha Gigante Washed Euphora Lot"/>
        <s v="Costa Rica Las Lajas Black Diamond Bourbon"/>
        <s v="Colombia Wilton Benitez Red Bourbon"/>
        <s v="Colombia Wilton Benitez Yellow Bourbon"/>
        <s v="Colombia Wilton Benitez Gesha Thermal Shock Wine Yeast"/>
        <s v="Colombia Wilton Benitez Striped Bourbon Thermal Shock"/>
        <s v="Ethiopia Mulish"/>
        <s v="Ethiopia Gesha Village Oma Gesha 1931 Natural"/>
        <s v="Ethiopia Djimma Limu Gummay Baby Geisha Washed"/>
        <s v="Ethiopia Yirgacheffe Kochere Halo Hartume Washed G1"/>
        <s v="Ethiopia Guji Bule Hambela TOH#1"/>
        <s v="Ethiopia Natural Sidama Bensa Blue Donkey 24/1"/>
        <s v="Peru Washed Los Santos Farm Gesha"/>
        <s v="Peru Black Honey Los Santos Farm Gesha"/>
        <s v="Nyeri Hill Kenya"/>
        <s v="Colombia Tabi La Roca"/>
        <s v="Ethiopia Sidama West Arsi Nansebo Natural G1"/>
        <s v="Ethiopia Moonlight Delight Wine Process Natural"/>
        <s v="Colombia Caldas Twilight Geisha Natural"/>
        <s v="Wilton Benitez Orange Bourbon"/>
        <s v="Costa Rica TarrazГє Tirra"/>
        <s v="Kona Maragogype"/>
        <s v="Ethiopia Natural Sidama Bensa Bombe"/>
        <s v="Ethiopia Washed Bench Maji Baby Lucy Gesha"/>
        <s v="Taiwan Natural Meishan Ching-Ye Farm Lot 0116"/>
        <s v="Gesha Spirits"/>
        <s v="Colombia El Jardin Anaerobic Natural"/>
        <s v="Colombia Los Nogales Yellow Bourbon"/>
        <s v="Ethiopia Chelba Natural"/>
        <s v="Tanzania Karatu Acacia Hills Geisha Washed AB Espresso"/>
        <s v="Las Margaritas Geisha Honey"/>
        <s v="Colombia Papayo"/>
        <s v="Las Margaritas Sudan Rume Natural"/>
        <s v="Colombia Green Apple Castillo"/>
        <s v="Colombia La Palma Y TucГЎn Heroes Series Geisha"/>
        <s v="Ethiopia Sidamo Bensa Anaerobic Washed"/>
        <s v="Ethiopia Sidama Orange Blossom Washed G1"/>
        <s v="Ethiopia Washed Sidama Bensa Single Variety 74158"/>
        <s v="Guatemala Bella Carmona"/>
        <s v="Wilton Benitez Sidra"/>
        <s v="Putra Gayo Sumatra"/>
        <s v="Colombia JosГ© JuliГЎn Giraldo Pink Bourbon Panela Sticky"/>
        <s v="Kenya Gatirima AA"/>
        <s v="Kenya Washed Kirinyaga Getuya AA Top"/>
        <s v="Ethiopia Natural Sidama Espresso"/>
        <s v="Guatemala Honey Finca El General Gesha"/>
        <s v="Ethiopia Natural Sidama Bacha 74110"/>
        <s v="Ethiopia Yirgacheffe Adame G1 Washed 95"/>
        <s v="Colombia Linarco Rodriguez Ospina Pink Bourbon Washed 94"/>
        <s v="Ethiopia Guji Uraga Haro Adama Washed G1"/>
        <s v="Colombia Edwin Enrique NoreГ±a / Black Honey Watermelon &amp; Lulo Co-Ferment"/>
        <s v="Colombia Edwin Enrique NoreГ±a / Black Honey Pink Bourbon Mosto &amp; Passionfruit Co-Ferment"/>
        <s v="Colombia Edwin Enrique NoreГ±a Pink Bourbon"/>
        <s v="Rwanda Humure Abishyizehamwe Low-Oxygen Natural"/>
        <s v="Candy Crush"/>
        <s v="Panama Clara Finca Auromar"/>
        <s v="Kona Geisha Peaberry Yeast Fermentation Washed"/>
        <s v="Colombia Finca La Secreta Lychee Caturra Anaerobic"/>
        <s v="Colombia Lychee Co-Ferment"/>
        <s v="Reserve Costa Rica Don Noel SL28"/>
        <s v="Ethiopia Rumadamo Anaerobic Washed"/>
        <s v="Ethiopia Djimma Limu Gummay Baby Geisha G1 Washed"/>
        <s v="La Papaya Pacamara Natural Ecuador"/>
        <s v="Palo de Rosa Pink Bourbon Colombia"/>
        <s v="Java Argopuro Mountain Natural SOE"/>
        <s v="Rwanda Rambagirakawa"/>
        <s v="Colombia Rigoberto Herrera Granja La Esperanza Hybrid Washed Gesha"/>
        <s v="Colombia El Diviso"/>
        <s v="Colombia Limited Release 2024"/>
        <s v="Colombia Wilton Benitez Orange Bourbon"/>
        <s v="Colombia Luna Azul"/>
        <s v="Colombia Cauca Castillo K-01"/>
        <s v="Ethiopia Sidama G4 Wamena Natural Espresso"/>
        <s v="Colombia El Paraiso Lychee Rose"/>
        <s v="Colombia Cauca Finca EI Paraiso 92 Pink Bourbon"/>
        <s v="Kona Geisha Washed"/>
        <s v="Karen J Kona Red Bourbon Anaerobic"/>
        <s v="Ethiopia Yirgacheffe Chelchele Washed G1"/>
        <s v="Kenya Nyeri Hill"/>
        <s v="Colombia Wilder Lasso Geisha Lot 2 Anaerobic Washed"/>
        <s v="Dragon Strong Espresso"/>
        <s v="Ethiopia Sidama Bombe Tadisa"/>
        <s v="Riripa Ethiopia"/>
        <s v="Ethiopia Washed Guji Uraga Haro Adama"/>
        <s v="Ethiopia Washed Kaffa Lot Rich Espresso"/>
        <s v="Ethiopia Washed Kaffa Lot Taco"/>
        <s v="Ethiopia Natural Sidama Karamo Niguse Gemeda 74158"/>
        <s v="Rainy Season in Fort Zeelandia Espresso Blend"/>
        <s v="Kenya Nyeri Kianjogu AA TOP Washed"/>
        <s v="Colombia La Esperanza Red Bourbon"/>
        <s v="Guatemala Finca Al Bosque"/>
        <s v="Marcela Gesha Espresso"/>
        <s v="Colombia Paraiso 92 Double Anaerobic"/>
        <s v="Colombia Sierra Morena Pink Bourbon"/>
        <s v="Ethiopia Growers Reserve Gesha Village Gaylee Special Fermentation"/>
        <s v="Ethiopia Anaerobic Washed G1 Wild Rose S.O. Sidamo"/>
        <s v="Colombia Buenavista Ataraxia Geisha"/>
        <s v="Kona Espresso Special Selection"/>
        <s v="El Salvador Finca Loma La Gloria Natural Process вЂњUnicorn LotвЂќ"/>
        <s v="Colombia El Diviso Nestor Lasso Sidra Anaerobic Washed"/>
        <s v="Colombia Red Fruits Campo Hermosa Edwin NoreГ±a"/>
        <s v="Juru Rwanda Rulindo Red Bourbon Honey"/>
        <s v="Colombia Granja Paraiso-92 Castillo"/>
        <s v="Ethiopia Dame Dabaye"/>
        <s v="Colombia Red Honey Geisha Campo Hermoso"/>
        <s v="Ethiopia Sidama Karamo Anaerobic Natural"/>
        <s v="Colombia Chiroso Caturra Washed"/>
        <s v="Kona SL 34 Anaerobic Washed Kona Rainforest"/>
        <s v="Colombia Yellow Geisha Granja Paraiso 92"/>
        <s v="Yaye Chericho Ethiopia Espresso"/>
        <s v="Colombia ChachagГјГ­ Mild Roast"/>
        <s v="Colombia Thermal Shock Double Anaerobic Granja Paraiso Orange Gesha"/>
        <s v="Kenya Nyeri Hill Estate AA Top Espresso"/>
        <s v="Colombia Granja Paraiso 92 Anaerobic Gesha"/>
        <s v="Putra Gayo Sumatra Espresso"/>
        <s v="Colombia Paraiso 92 Geisha Double Anaerobic"/>
        <s v="Kenya Blackberry Honey"/>
        <s v="Ethiopia Sidamo HeidenrГ¶slein Anaerobic Washed G1"/>
        <s v="Kenya Gachika"/>
        <s v="Hey Much Espresso Blend"/>
        <s v="Ethiopia Black Honey Guji Wate Lot Tabby"/>
        <s v="Finca Vista Hermosa EdwinвЂ™s Reserve Guatemala"/>
        <s v="Costa Rica Las Lajas Perla Negra"/>
        <s v="Kenya AA Top Gicherori Espresso"/>
        <s v="Kagunyu Kenya"/>
        <s v="Colombia Finca Milan Washed Nitro Caturra"/>
        <s v="Ethiopia JemJem"/>
        <s v="Guatemala La Esperanza Anaerobic"/>
        <s v="Sumatra Pantan Musara"/>
        <s v="Costa Rica Candelilla Gesha"/>
        <s v="Kona Red Bourbon Anaerobic Washed Kona Rainforest"/>
        <s v="Colombia Geisha Claudia Samboni"/>
        <s v="Ethiopia Ethiopia Limu Baby Geisha Natural"/>
        <s v="Panama Hacienda La Esmeralda Ethiopian Accessions"/>
        <s v="Yellow"/>
        <s v="Kona Noir"/>
        <s v="LauraвЂ™s Reserve SL34"/>
        <s v="Panama Mokkita Natural Mama Cata Estate"/>
        <s v="KaвЂЕ« Cloud Maragogipe"/>
        <s v="Geisha Champagne"/>
        <s v="JN Farms Double Anaerobic Red Bourbon"/>
        <s v="KaвЂЕ« Classic Peaberry"/>
        <s v="100% Kona Typica"/>
        <s v="Colombia 510 Elegante Natural Geisha"/>
        <s v="Colombia Turron"/>
        <s v="Black Geisha Blend Lab 18 Espresso"/>
        <s v="Ethiopia Layo Teraga"/>
        <s v="Ethiopia Reko Yirgacheffe"/>
        <s v="Colombia Huila El Diviso Nestor Lasso Geisha Washed"/>
        <s v="Ethiopia Bensa Bombe"/>
        <s v="Colombia  NariГ±o Villa Maria La Chorrera Geisha Washed"/>
        <s v="Kenya Kirinyaga County Gikirima Factory TOP PB"/>
        <s v="Colombia Huila Finca Buena Vista Geisha Washed"/>
        <s v="Ethiopia Natural Guji Blue Donkey 23/02"/>
        <s v="Ethiopia Natural Sidama Arbegona Bochessa"/>
        <s v="Peru Natural Villa Rica Espresso"/>
        <s v="Costa Rica TIM Washed Don Eli Catuai"/>
        <s v="Ethiopia Natural Sidama Twakok Pearl Selection"/>
        <s v="Kenya Washed Uklili AA"/>
        <s v="Peach-C Blend"/>
        <s v="Colombia Jaime Lopez"/>
        <s v="Cordillera de Fuego Costa Rica"/>
        <s v="Ethiopia Guji 74110 Natural"/>
        <s v="Good Tidings Sweet Holiday Blend"/>
        <s v="Kona Mokka Champagne Natural"/>
        <s v="Ethiopia Banko Gotiti"/>
        <s v="O-Li-A Geisha Blend"/>
        <s v="Colombia Huila El Triunfo Pink Bourbon Anaerobic Washed"/>
        <s v="Costa Rica VolcГЎn Azul Gesha Anaerobic Natural"/>
        <s v="Chang-E The Moon Goddess Espresso"/>
        <s v="GW03 Princesa Carmen Geisha"/>
        <s v="El Salvador Finca Loma La Gloria Yellow Honey"/>
        <s v="Costa Rica La Laguna Lot вЂ” Reserve Series"/>
        <s v="Rwanda Silverback Plus Espresso"/>
        <s v="Colombia El Paraiso Geisha Luna Washed"/>
        <s v="Kona PointuВ®"/>
        <s v="Colombia Calderon Honey"/>
        <s v="Karen J Kona Red Bourbon"/>
        <s v="Wilton Benitez Colombia Sidra"/>
        <s v="Peru Gilmer Cordova #13"/>
        <s v="Kenya Gichathaini"/>
        <s v="Colombia Honey Sweet Rose"/>
        <s v="Colombia Santa Monica Castillo Honey Lulo"/>
        <s v="Colombia Las Flores Red Bourbon Natural"/>
        <s v="African Dance Espresso Blend"/>
        <s v="Sweetheart Blend Espresso"/>
        <s v="Kenya AA Kiri"/>
        <s v="Guatemala Gesha"/>
        <s v="Gesha Village Ethiopia Gori Gesha"/>
        <s v="Kenya Machakos AA Top Washed"/>
        <s v="Indonesia Sumatra Raja Harimau Lintong Mandheling Espresso"/>
        <s v="Ethiopia Washed Guji Bishala 23/02"/>
        <s v="Guatemala Washed Huehuetenango Joya Verde Espresso"/>
        <s v="Ethiopia Red Honey Guji Uraga Tabe Haro Wachu"/>
        <s v="Ethiopia Natural Sidama Bare Tamiru"/>
        <s v="Colombia Wilton Benitez Thermal Shock Geisha"/>
        <s v="Colombia Tolima Genius"/>
        <s v="Colombia Wilton Benitez Thermal Shock Caturra"/>
        <s v="Ethiopia Natural Yirgacheffe Koke Shalaye Abraham Mengiste"/>
        <s v="Kenya AA TOP Gicherori"/>
        <s v="Panama Carmen Geisha Washed Light Roast"/>
        <s v="Mexico Los Aguacates"/>
        <s v="Ethiopia Arbegona Natural 74158"/>
        <s v="Guatemala Nueva Granda Washed Laurina"/>
        <s v="Ethiopia Shantawene Washed"/>
        <s v="Kona MoccaВ®"/>
        <s v="Ethiopia Worka Sakaro Anaerobic Natural"/>
        <s v="Colombia Finca Chambaku"/>
        <s v="Colombia La Siria Gesha"/>
        <s v="KaвЂЕ« Yellow Caturra Peaberry"/>
        <s v="Ethiopia Guji Hambela Tirtira Goyo Natural"/>
        <s v="Ethiopia Guji Euphora Special Honey Lot"/>
        <s v="Ichamama Kenya"/>
        <s v="La Candelilla Geisha Natural Costa Rica"/>
        <s v="El Lechero Peru"/>
        <s v="Colombia El Roble Natural Carbonic Java"/>
        <s v="Colombia Nestor Lasso Sidra"/>
        <s v="Colombia Yeast Anaerobic Washed Las Flores Bourbon Sidra"/>
        <s v="Ecuador Cruz Loma Sidra Anaerobic Euphora Special Lot"/>
        <s v="Colombia El Roble Chiroso Washed"/>
        <s v="Guatemala El Injerto SL28"/>
        <s v="HWC Holy Melody Espresso Blend"/>
        <s v="Panama Bambito Estate Geisha Anaerobic Natural"/>
        <s v="Ethiopia Natural Sidama 74158"/>
        <s v="Mr. DoddвЂ™s TeaTime Blend"/>
        <s v="Colombia Double Anaerobic Washed Los Nogales Yellow Bourbon"/>
        <s v="Colombia El Chaferote Pink Bourbon"/>
        <s v="Guatemala El Injerto Ethiopia Landrace Natural"/>
        <s v="Holiday Coffee"/>
        <s v="Kenya Muthua-Ini AB"/>
        <s v="Kenya Gichuka AA"/>
        <s v="Colombia Chili Bourbon"/>
        <s v="Chelbessa Ethiopia"/>
        <s v="Ethiopia Yirgacheffe Gedeb Chelbesa Natural"/>
        <s v="Tirra Natural Costa Rica"/>
        <s v="Colombia Huila Espiritu Blanc Geisha Semi-Washed Anaerobic"/>
        <s v="Costa Rica San Ramon Yeast Washed"/>
        <s v="HawaiвЂ™i Island Blend Espresso"/>
        <s v="Kenya Washed Kiambu Windrush AA"/>
        <s v="Guatemala El Amate Maragogype"/>
        <s v="Ethiopia Natural Guji Blue Donkey 23"/>
        <s v="Ethiopia Natural Yirgacheffe Worka Nenke Abraham Mengiste"/>
        <s v="Ethiopia Koke"/>
        <s v="Panama Florsa 100 Geisha FW 1600+"/>
        <s v="Ethiopia Bench Maji Gesha Winey Natural G1"/>
        <s v="Panama Hacienda La Esmeralda Geisha Natural"/>
        <s v="Panama Hacienda La Esmeralda Geisha Washed"/>
        <s v="Grand Champion Red Bourbon Natural"/>
        <s v="Sumatra Lintong Kardon"/>
        <s v="Panama Finca Don Julian Geisha Washed"/>
        <s v="Colombia Finca La Roca"/>
        <s v="Ethiopia YirgZ"/>
        <s v="Colombia Patio Bonita"/>
        <s v="Ethiopia Yirgacheffe Farmgate"/>
        <s v="Promise of Spring"/>
        <s v="Ethiopia Gesha Rebecca Natural"/>
        <s v="Colombia Finca El ParaГ­so Geisha Sake"/>
        <s v="Tanzania Nyasi Furaha"/>
        <s v="Kenya Nyeri Gatuya Factory AA Top"/>
        <s v="Costa Rica Tarrazu Double Anaerobic Washed"/>
        <s v="Wilton Benitez Pink Bourbon Colombia"/>
        <s v="Costa Rica Las Lajas SL28 Natural"/>
        <s v="Nano Genji #12 Ethiopia"/>
        <s v="Panama HWC Coffee Estate Washed"/>
        <s v="Colombia Fruit Maceration Series Lulo Bear"/>
        <s v="Colombia Huila Charlotte Geisha Washed"/>
        <s v="Colombia Wilton Benitez Double Anaerobic Thermal Shock Yellow Gesha"/>
        <s v="More Floral"/>
        <s v="Yemen Al Kawlah Special Reserve Natural"/>
        <s v="Kona K7"/>
        <s v="Ecuador La Josefina Estate"/>
        <s v="Ethiopia Kafa Natural"/>
        <s v="El Salvador Bourbon Semi-Washed"/>
        <s v="Bale Mountain Natural Ethiopia"/>
        <s v="Ethiopia Sidama Arbegona 74158 Washed"/>
        <s v="La Papaya Ecuador Geisha Natural"/>
        <s v="Colombia Tolima Finca El Vergel Rebel Geisha"/>
        <s v="Colombia Buenos Aires Honey Process-Yellow Velvet Peach"/>
        <s v="Encounter of Summer"/>
        <s v="Kenya"/>
        <s v="SL34 Dark Roast"/>
        <s v="Ethiopia Bench Maji Geisha Lucy Station Dark Roast"/>
        <s v="Kenya AB Athena Plus"/>
        <s v="Kenya Muranga"/>
        <s v="Costa Rica Turrialba Volcano Honey Process"/>
        <s v="Colombia Huila Finca El Triunfo Martha ZuГ±iga Pink Bourbon"/>
        <s v="Kenya Kanwangi AA"/>
        <s v="Ethiopia Bench Maji Geisha Lucy Station"/>
        <s v="Ecuador PeГ±aherrera AAA"/>
        <s v="HWC Geisha Plus Geisha Black Espresso"/>
        <s v="Ethiopia Yirgacheffe Jade Lotus"/>
        <s v="Blue Sunda Estate Java"/>
        <s v="La Papaya Natural Ecuador"/>
        <s v="Wilton Benitez Tabi VIP Colombia"/>
        <s v="El Mango Peru"/>
        <s v="Banko Gotiti Ethiopia"/>
        <s v="El Morito Guatemala"/>
        <s v="Giakanja Kenya"/>
        <s v="Ethiopia Basha Bekele"/>
        <s v="Colombia Luz Helena Salazar Wine Yeast Grape Honey"/>
        <s v="KaвЂЕ« Malolactic Natural"/>
        <s v="Jade Rabbit Espresso Blend"/>
        <s v="Colombia Finca Paraiso Gesha Wilton Benitez"/>
        <s v="Colombia Finca La EspaГ±a Gesha"/>
        <s v="Colombia Huila La Esperanza Pink Bourbon Honey"/>
        <s v="Ethiopia Halo Beriti Single-Origin Espresso"/>
        <s v="Ethiopia Gora Kone"/>
        <s v="Ecuador Finca Lugmapata"/>
        <s v="Costa Rica Raisin Honey"/>
        <s v="Quindio Gold Honey Colombia"/>
        <s v="Organic Peru San Fernando Tres Fincas Gesha"/>
        <s v="Kenya Washed Kiambu Gititu AB Top"/>
        <s v="Ethiopia Natural Guji Dasaya"/>
        <s v="Kona Classic"/>
        <s v="HawaiвЂ™i KaвЂЕ« Champagne Natural"/>
        <s v="Ethiopia Sidamo Rumudamo Premium"/>
        <s v="Yemen Natural Hamoud Abdullah AL-Khisheni"/>
        <s v="Guatemala Acatenango Gesha"/>
        <s v="Kenya Gatomboya"/>
        <s v="Ethiopia Guji"/>
        <s v="Burundi Nemba Washed Process"/>
        <s v="Worka Sakaro Ethiopia"/>
        <s v="Teremuka Peaberry Kenya"/>
        <s v="Teremuka Kenya"/>
        <s v="El Salvador La Muela Pacamara"/>
        <s v="Colombia Finca Juan Martin Aced Sidra"/>
        <s v="Guatemala Natural Santa Felisa Gesha SF-04 95"/>
        <s v="Colombia Red Bomb"/>
        <s v="Ethiopia 2022 COE #3 Washed Temam 74110"/>
        <s v="Espresso Giusto"/>
        <s v="Golden Parrot Blend Espresso"/>
        <s v="Galaxy Gesha Quindio Colombia Edwin NoreГ±a"/>
        <s v="KaвЂЕ« JN Farms Malolactic Honey"/>
        <s v="Colombia Finca El Paraiso Rose Tea"/>
        <s v="Colombia Monteblanco Rodrigo Sanchez Carbonic Maceration"/>
        <s v="Colombia Cauca Granja Paraiso 92 вЂ“ Pink Bourbon"/>
        <s v="Ethiopia Gatta Anaerobic"/>
        <s v="Colombia Osmanthus Bouquet Granja Paraiso 92"/>
        <s v="Colombia Granja ParaГ­so-92- Papayo KЕЌji"/>
        <s v="Ethiopia Dinkalem Ademe Wush Wush"/>
        <s v="Colombia Pink Bourbon"/>
        <s v="Kenya Kiambu Mandela Estate AA Washed Process"/>
        <s v="Costa Rica VolcГЎn Azul Geisha Yeast-Washed"/>
        <s v="Ethiopia Yirgacheffe Adame G1 Natural"/>
        <s v="Guatemala Retiro del Quisaya Natural Process"/>
        <s v="Colombia Geiner Montano"/>
        <s v="Kabiufa Papua New Guinea"/>
        <s v="KaвЂu Red Catuai Peaberry"/>
        <s v="Panama Finca Las Nubes Geisha Microlot"/>
        <s v="Guatemala El Milagro Bourbon Especial"/>
        <s v="Costa Rica William Mora"/>
        <s v="Ethiopia Duromina Agaro Gera"/>
        <s v="Winter 2022 Allocation Colombia"/>
        <s v="El Salvador 2022 COE#17 El Mirador Washed Gesha"/>
        <s v="Panama ABU Washed Gesha Lot GW57"/>
        <s v="Guatemala Natural El General Bistro Lot Espresso"/>
        <s v="Ethiopia 2022 COE#25 Natural Tadesse 74112"/>
        <s v="Ethiopia Washed Sidama Rumudamo"/>
        <s v="Lemon Sugar Wash"/>
        <s v="Kenya Kiambu AA"/>
        <s v="Colombia Geisha Allium"/>
        <s v="Kayon Mountain Ethiopia"/>
        <s v="Ethiopia Kochere Arefasa Washed G1"/>
        <s v="Colombia Granja ParaГ­so Java P14"/>
        <s v="El Salvador Finca El Retiro Sudan Rume Natural"/>
        <s v="Ethiopia Hayissa Olocho Lot 6"/>
        <s v="Ethiopia COE #8 Sidama Arbegona Muluneh Tute Galcho 74158 Natural"/>
        <s v="KaвЂ™u Tropical Punch"/>
        <s v="Ethiopia Gesha Village Illubabor Forest Lot 22/043 (Single-Terroir) Natural Process"/>
        <s v="Ethiopia Gera Genji Challa"/>
        <s v="Kenya Gotomboya Peaberry"/>
        <s v="Panama Hartmann Estate Chicho Gallo Amaro Gayo Natural BOP#1"/>
        <s v="Kenya Ichamama"/>
        <s v="Ethiopia Uchoro Nansebo Washed"/>
        <s v="Nekisse Phantom Roasting"/>
        <s v="Colombia Finca Samboni Gesha Anaerobic Natural"/>
        <s v="Kambera Inari Roasting"/>
        <s v="Colombia Don Correa Gesha"/>
        <s v="Ethiopia BergWu Maker Series Yirgacheffe Wuri G1 Lot MW21/02"/>
        <s v="Mexico Finca Santa Cruz COE#1b"/>
        <s v="Colombia Cerro Azul Geisha"/>
        <s v="Yirgacheffe Mengesha Natural"/>
        <s v="Panama Geisha Finca Debra Symbiosis"/>
        <s v="Panama Geisha Finca Debra Echo"/>
        <s v="Ethiopia Hamasho Washed"/>
        <s v="Ethiopia Idido Anaerobic Natural"/>
        <s v="Mexico Cup of Excellence #7"/>
        <s v="Double-Anaerobic Fermentation Tamiru Tadesse"/>
        <s v="Ethiopia Chelbesa Danche Yirgacheffe"/>
        <s v="Ethiopia Honey Process Tamiru Tadesse"/>
        <s v="Ethiopia Halo Beriti"/>
        <s v="Narsha Gesha"/>
        <s v="Ethiopia Washed Guji Uraga Welichu"/>
        <s v="Don Roger &amp; IsabelвЂ™s Natural Fruit Symphony"/>
        <s v="Kenya Gitare AA TOP"/>
        <s v="Yemen Natural SanaвЂ™a Manakhah JaвЂ™adi"/>
        <s v="Ethiopia Bench Maji Gesha Special Natural Lot 03"/>
        <s v="Ethiopia Yirgacheffe Kochere Debo Premium Lot Washed Process"/>
        <s v="Ethiopia Natural Yirgacheffe Burtukaana Danche"/>
        <s v="Ethiopia Hateso Guji Washed"/>
        <s v="Guatemala El Injerto Pacamara"/>
        <s v="Colombia Tres Dragones"/>
        <s v="Rwanda Cyesha Natural"/>
        <s v="Espresso No. 3"/>
        <s v="Finca Santa Isabel"/>
        <s v="Colombia Castillo Fruit Maceration Series (Passionfruit)"/>
        <s v="Colombia Castillo Fruit Maceration Series (Strawberry)"/>
        <s v="Colombia Castillo Fruit Maceration Series (Peach)"/>
        <s v="Full Moon Espresso"/>
        <s v="Ethiopia Sidama Tamiru Tadesse Anaerobic Natural Special Auction Lot"/>
        <s v="Colombia La Esperanza 100% Geisha Hanashaku"/>
        <s v="Kona Extra Fancy"/>
        <s v="Ecuador COE 1st place Arashi Typica Mejorado Washed"/>
        <s v="Ethiopia Getu Kurume Natural"/>
        <s v="Fruit of the Goddess Espresso Blend"/>
        <s v="Papua New Guinea Wahgi Valley Sigri Estate Peaberry"/>
        <s v="Kenya Nyeri Asali Peaberry"/>
        <s v="Memories of Autumn"/>
        <s v="Ethiopia Gera Estate Anaerobic Natural"/>
        <s v="Colombia Cauca Finca El Paraiso Double-Anaerobic Flor Lychee"/>
        <s v="Costa Rica Cerro Dragon Geisha Honey"/>
        <s v="Guatemala Washed El Injerto EI05 Mocca"/>
        <s v="Taiwan Natural Alishan Zhuo-Wu Geisha"/>
        <s v="Ethiopia Natural Guji Uraga Tome 74110 Lot K06"/>
        <s v="Kenya Gathaithi AA"/>
        <s v="Ethiopia Guji Uraga Tobutu Tuta G1 Experimental LOT 181NA2021"/>
        <s v="Colombia Jardines del Eden Pink Bourbon Wine Yeast Honey"/>
        <s v="Colombia Cerro Azul Enano"/>
        <s v="Peru Incahuasi"/>
        <s v="Reina de la Asuncion Ecuador"/>
        <s v="Ethiopia Guji Uraga More Floral Kudume Washed"/>
        <s v="Ethiopia Guji Uraga More Floral Kudume Natural"/>
        <s v="Kenya AA TOP Nairobi Rose"/>
        <s v="Kahiko"/>
        <s v="Kenya Ndumberi Peaberry"/>
        <s v="Taiwan Alishan Espresso Pacamara Natural"/>
        <s v="Ethiopia Gera Reserve Anaerobic Natural"/>
        <s v="Kenya Ngaita Peaberry"/>
        <s v="Kenya AB"/>
        <s v="Kona Red Bourbon"/>
        <s v="Kenya Washed Nyeri Hill Farm AA Top"/>
        <s v="Ethiopia Nano Genji"/>
        <s v="Ethiopia Natural Sidama Abebe 74110"/>
        <s v="Ethiopia Natural Guji TAMIRU 74158 Kakalove Lot"/>
        <s v="Rwanda Sholi Natural Single-Origin Espresso"/>
        <s v="Guatemala Washed Finca El General Lot SummerEnd Espresso"/>
        <s v="Guatemala Washed Acatenango Finca El General Pacamara Espresso"/>
        <s v="Finca Cerro Azul Aces Lot"/>
        <s v="Gachatha Kenya"/>
        <s v="Geisha Spirit"/>
        <s v="Colombia Sudan Rume"/>
        <s v="El Duende Peru"/>
        <s v="Ethiopia Yirgacheffe G1 Idido Natural"/>
        <s v="Colombia Pink Bourbon Filadelfia"/>
        <s v="Colombia Geisha"/>
        <s v="Colombia Don Ruiz Anaerobic"/>
        <s v="Colombia FUDAM NariГ±o"/>
        <s v="Ethiopia Durato Bombe"/>
        <s v="Sumatra Takengon Gayo Natural"/>
        <s v="Nano Genji #7"/>
        <s v="Panama Auromar Camilina Geisha Natural"/>
        <s v="Tio Conejo Colombia"/>
        <s v="Panama Auromar Ironman Geisha Washed Process"/>
        <s v="Cruz Loma"/>
        <s v="Panama Elida Washed Gesha"/>
        <s v="El Salvador Finca La Esperanza"/>
        <s v="Panama Hacienda La Esmeralda Super Mario Geisha Yeast Washed"/>
        <s v="Quartet Kaffe Blend No.10"/>
        <s v="Ethiopia Anasora Extended Natural Special Lot"/>
        <s v="Ethiopia Honey Yirgacheffe Idido G1"/>
        <s v="Taiwan Natural Alishan Ching-Ye Farm"/>
        <s v="Hawaii KaвЂЕ« Bourbon Anaerobic Natural"/>
        <s v="Chelchele Ethiopia"/>
        <s v="Colombia Antioquia Magico"/>
        <s v="Costa Rica Hacienda La Minita"/>
        <s v="El Salvador Aida Batlle La Florida Natural"/>
        <s v="Colombia Geisha Cordillera"/>
        <s v="Ethiopia Raro Boda"/>
        <s v="Costa Rica Bounty Gesha"/>
        <s v="Panama Static Gesha Natural"/>
        <s v="Panama La Mula Geisha Washed"/>
        <s v="Costa Rica San Gabriel SL28 Anaerobic Natural"/>
        <s v="Burundi Kibingo Intenso"/>
        <s v="Panama Hacienda La Esmeralda Porton 5N49 Gesha Natural"/>
        <s v="Kona SL34 Champagne Natural Uluwehi Farm"/>
        <s v="Ethiopia Yirgacheffe Adado"/>
        <s v="Tanzania Mbeya Mimba"/>
        <s v="Costa Rica La Chumeca"/>
        <s v="Kenya Nyeri Hill Farm AA TOP"/>
        <s v="Costa Rica Las MontaГ±as Honey"/>
        <s v="Colombia Finca La Guaca AjГ­"/>
        <s v="Kenya Washed Kiambu Uklili AB Espresso"/>
        <s v="Karatina Kenya"/>
        <s v="Karamo Ethiopia"/>
        <s v="Ethiopia Natural Shakisso Mormora 74112"/>
        <s v="Ethiopia Washed Shakisso Mormora 74112"/>
        <s v="Tang Bohu Espresso Blend"/>
        <s v="Colombia Quindio Anaerobic Natural"/>
        <s v="Colombia Tres Dragones Natural"/>
        <s v="Colombia Finca Jardines del Eden Ice Fermentation Natural"/>
        <s v="Honduras Natural San Vicente Belarmino Contreras Pacas"/>
        <s v="Chasing Horizon Natural Espresso"/>
        <s v="Supernatural"/>
        <s v="Ethiopia Alemaza Natural SOE"/>
        <s v="Kona Natural Espresso"/>
        <s v="Peru Gesha"/>
        <s v="Ecuador Loja Hacienda La Papaya Bourbon Sidra 168hr Anaerobic Natural"/>
        <s v="Panama Finca Deborah Afterglow Geisha Natural"/>
        <s v="Colombia ExГіtico De Altura"/>
        <s v="Ethiopia Dawencho 74110 Natural Espresso"/>
        <s v="Kenya Nyeri Yerihar AA Top Lot 21/01"/>
        <s v="Colombia Wush Wush Dynamic Natural"/>
        <s v="Rwanda Gatare"/>
        <s v="Costa Rica Naranjo Danilo Salazar Arias"/>
        <s v="Ethiopia Guji Shakiso G1 Honey"/>
        <s v="Yemen Haraaz Red Mahal Aqeeq ul Station Natural"/>
        <s v="Brazil Fazenda Samambaia Natural Fermentation Arara"/>
        <s v="Costa Rica Canet Musician Series Bach Raisin Honey"/>
        <s v="Peru Amazonas Los Santos Geisha Natural"/>
        <s v="Ethiopia Odola Washed"/>
        <s v="Minanga Village Sulawesi"/>
        <s v="KaвЂЕ« Tropical Punch Washed"/>
        <s v="Kenya Peaberry Top Hill Farm Espresso"/>
        <s v="Ethiopia Belayneh Bariso Natural"/>
        <s v="Yemen Al Mashtal Al Burhani"/>
        <s v="KaвЂЕ« Lactic Natural"/>
        <s v="Colombia Finca El Paraiso Castillo Red Plum"/>
        <s v="Ethiopia Guji Uraga Tebe Burku Natural"/>
        <s v="British Style Espresso Blend"/>
        <s v="Costa Rica Brunca Rivense Las Moras Black Honey"/>
        <s v="Ethiopia Yirgacheffe Hama Washed"/>
        <s v="Peru Washed Santa Monica Gesha"/>
        <s v="Taiwan Washed Alishan Ching-Ye Farm SL34"/>
        <s v="Ethiopia Guji Odo Shakiso"/>
        <s v="Ethiopia Sidamo Karamo"/>
        <s v="Gigesa Ethiopia"/>
        <s v="Oahu Triple-Bourbon вЂњSparklingвЂќ Yeast Ferment"/>
        <s v="Colombia Ibague Tolima"/>
        <s v="Kenya Karatu"/>
        <s v="Ecuador Taza Dorada Finca Cruz Loma"/>
        <s v="Kona Bourbon Champagne Natural Uluwehi Farm"/>
        <s v="Peru Garden of Eden Farcent Geisha Anaerobic Washed"/>
        <s v="Pointu Laurina"/>
        <s v="Ecuador Finca Cruz Loma"/>
        <s v="Aged Sumatra Semiga"/>
        <s v="Indonesia Sumatra Kerinci Valley"/>
        <s v="KaвЂ™u Classic Dark"/>
        <s v="Sumatra Boru Batak"/>
        <s v="Barokah Honey Sumatra"/>
        <s v="Colombia Finca La Primavera Sidra"/>
        <s v="Ethiopia Natural Guji Dasaya SP"/>
        <s v="Ethiopia Anaerobic Shantawene"/>
        <s v="Ethiopia Bensa Asefa Qonqana"/>
        <s v="Ethiopia Washed Shantawene"/>
        <s v="Indonesia Sumatra Natural Aceh Musara SC19"/>
        <s v="Kenya Washed Kabingara AA"/>
        <s v="Kenya Nyeri Jungle Estate Red Cherry SLD Anaerobic Natural"/>
        <s v="Lugmapata Ecuador"/>
        <s v="Red Sunset by Andres Cardona"/>
        <s v="Macarena Colombia"/>
        <s v="Haraaz Red Yemen"/>
        <s v="El Salvador Anarquia Pacamara"/>
        <s v="Colombia Sidra Natural Signature Selection"/>
        <s v="Colombia Finca El Paraiso Geisha Letty"/>
        <s v="Monarch Estate Pacamara"/>
        <s v="Uluwehi Farm Kona SL34 Yeast-Fermentation Washed Peaberry"/>
        <s v="KaвЂ™u IPA Natural"/>
        <s v="Ecuador Finca Lugmapata Mejorado"/>
        <s v="Shakiso Natural"/>
        <s v="Cerro Azul Geisha Honey Process"/>
        <s v="La Esmeralda Diamond Mountain Washed Coffee"/>
        <s v="Karen J Kona Red Bourbon Natural Anaerobic"/>
        <s v="El Salvador Finca Mileydi Pacamara"/>
        <s v="El Salvador Las Veraneras Red Bourbon"/>
        <s v="Costa Rica Brunca Rivense La Guaca Passion Honey"/>
        <s v="Hunkute by Nordic Approach"/>
        <s v="SchweikвЂ™s Blend"/>
        <s v="Whiskey Dreams Moka Java"/>
        <s v="Black Level Blend"/>
        <s v="Karindundu Kenya"/>
        <s v="Colombia Geisha Natural"/>
        <s v="Pacas Estate El Salvador Natural"/>
        <s v="Hunapu Natural Guatemala"/>
        <s v="Ethiopia Natural Sidama TAMIRU 74158"/>
        <s v="Bedhatu Jibicho Natural"/>
        <s v="Ethiopia Natural Guji DoReMi"/>
        <s v="Sabana Redonda SL28 Costa Rica"/>
        <s v="Ethiopia Bench Maji Gesha Village Dimma Illubabor Forest A6 Natural"/>
        <s v="Sumatra Siamang Forest"/>
        <s v="Yemen Jabal Nabi Special Reserve"/>
        <s v="Kenya Gakuyuini AA"/>
        <s v="Hacienda Esmeralda Ethiopian Accessions"/>
        <s v="Gelena Geisha"/>
        <s v="Ethiopia Anaerobic Natural"/>
        <s v="Rainy Day Espresso Blend"/>
        <s v="Ethiopia Tamiru Tadesse Tesema Anaerobic Natural"/>
        <s v="Ethiopia Aphrodite Washed Espresso"/>
        <s v="KaвЂ™u Bourbon Champagne Natural"/>
        <s v="Cerro Azul Geisha"/>
        <s v="Panama Mama Cata Geisha Champagne Natural"/>
        <s v="Ethiopia Yirgacheffe Worka Sakaro"/>
        <s v="El Socorro Maracaturra"/>
        <s v="Hacienda La Esmeralda MontaГ±as 71AS"/>
        <s v="Kenya Nyeri Gatomboya"/>
        <s v="Ethiopia Bench Maji Natural Gesha"/>
        <s v="Panama Hacienda La Esmeralda Gesha"/>
        <s v="Natural KaвЂ™u Maragogipe"/>
        <s v="Costa Rica Volcan Azul San Isidro Red Honey"/>
        <s v="Ethiopia Demeka Becha"/>
        <s v="Sweet Holiday Blend"/>
        <s v="Ethiopia Washed Sidama Bensa Bombe"/>
        <s v="Panama Abu Geisha Lot 6"/>
        <s v="Panama Finca Mi Finquita Geisha Afrodita Natural"/>
        <s v="Panama El Burro Estate Natural Gesha"/>
        <s v="Panama La Viuda Natural Geisha 4 Hermanos"/>
        <s v="Colombia Huila Finca Monteblanco Rodrigo Sanchez"/>
        <s v="Ninety Plus Panama Gesha Estate MS Joseph Brodsky 2307"/>
        <s v="Espresso"/>
        <s v="Kenya Kainamui AB"/>
        <s v="Ethiopia Olonso Qeka"/>
        <s v="Ethiopia Wate Mini Natural Espresso"/>
        <s v="Ethiopia Sidama Bensa Farmer Tamiru 74158 Natural"/>
        <s v="BNT Espresso Blend"/>
        <s v="Mama Cata Mokkita"/>
        <s v="Ethiopia Tamiru Tadesse Anaerobic"/>
        <s v="Ethiopia Tamiru Tadesse Natural"/>
        <s v="Puna Arakawa Estate Lactic Natural"/>
        <s v="100% Kona Bourbon Pointu Laurina"/>
        <s v="Colombia Java El Eden"/>
        <s v="Ethiopia Shantawene Natural"/>
        <s v="Ethiopia Buno Dambi Uddo"/>
        <s v="Ethiopia Durato Bombe Natural"/>
        <s v="SГ–T Coffee Roaster Colombia Wush Wush Dynamic Natural"/>
        <s v="Colombia Trujillo Experimental Process"/>
        <s v="Colombia La Siria Geisha"/>
        <s v="Guatemala Santa Felisa Wild Yeast Natural Gesha"/>
        <s v="Colombia Granja La Esperanza Las Margaritas Gesha Honey"/>
        <s v="Tanzania Acacia Hills Gesha Peaberry"/>
        <s v="Colombia La Palma Y El TucГЎn Gesha Natural"/>
        <s v="Peru Yanesha Geisha Washed Anaerobic"/>
        <s v="Guatemala Geisha"/>
        <s v="Costa Rica La Rejolla Washed Geisha"/>
        <s v="Bekele Heto Natural Ethiopia"/>
        <s v="El Salvador El Matazano Pacamara"/>
        <s v="Ethiopia Guji Mormora Organic Natural"/>
        <s v="Chelbesa Ethiopia"/>
        <s v="Colombia La Riviera Sudan Rume"/>
        <s v="Alaka Ethiopia"/>
        <s v="Ethiopia Guji Uraga Tebe Burka Natural G1"/>
        <s v="Sweet Kenya J36 Espresso"/>
        <s v="Acatenango Santa Felisa Wild Yeast Natural Sudan Rume Full Moon Lot 4"/>
        <s v="Guatemala Finca El General Slow Dry 6"/>
        <s v="Ethiopia Yirgacheffe Washed Banko Gotiti 3"/>
        <s v="Ethiopia Natural Yirgacheffe Adado Feysa Dira"/>
        <s v="Guatemala Finca El General SummerEnd Espresso"/>
        <s v="Guatemala El Injerto Natural Legendary Gesha 7"/>
        <s v="Kenya Gachatha Nyeri AA"/>
        <s v="Ethiopia Super Wush"/>
        <s v="Kenya Athena AB Espresso"/>
        <s v="Colombia La Esperanza Anaerobic"/>
        <s v="Ethiopia Gogogu Bekaka #1"/>
        <s v="Ethiopia Kochere Hama Jet Washing Station"/>
        <s v="Elida Estate Dragonfly Catuai Lot 13"/>
        <s v="Elida Estate ASD Natural Catuai 15"/>
        <s v="Yemen Sheba Auction Lot 1: Wadi Al Mahjr"/>
        <s v="Yemen Port of Mokha Al-Jabal"/>
        <s v="Colombia La Esperanza PotosГ­ Anaerobic Process"/>
        <s v="Panama Hacienda La Esmeralda Ethiopia Accessions"/>
        <s v="Guji Hamasho Washed"/>
        <s v="Kona Red Wine Process"/>
        <s v="Candelilla Geisha Natural"/>
        <s v="Kiamugumo Kenya"/>
        <s v="Ethiopia Sidama Ardi"/>
        <s v="Colombia Gesha"/>
        <s v="Ethiopia Kayon Mountain Washed"/>
        <s v="Ethiopia Gedeb Worka Wuri"/>
        <s v="Kenya Karatina"/>
        <s v="La Reforma El Salvador Natural"/>
        <s v="Panama Geisha"/>
        <s v="Guatemala COE-NW#2 Sierra Roja Geisha Washed"/>
        <s v="Guatemala La Voz"/>
        <s v="Cafe Granja La Esperanza Sudan Rume"/>
        <s v="Ethiopia Guji Laayoo Natural"/>
        <s v="Colombia Cafe Granja La Esperanza Sidra Natural"/>
        <s v="Nicaragua La Bendicion Yellow Maracaturra Natural"/>
        <s v="Kona Lactic Washed"/>
        <s v="Kenya Kamwangi"/>
        <s v="Ethiopia Bench Maji Gesha Village Oma Geisha 1931 Lot 55 Natural"/>
        <s v="Ethiopia Guji Natural Euphora Special Lot"/>
        <s v="Sudan Rume"/>
        <s v="Testi Ayla Double Ethiopia"/>
        <s v="Primavera Colombia Espresso"/>
        <s v="Espresso Blend"/>
        <s v="Classic MK Blend"/>
        <s v="Chocolate LoverвЂ™s Espresso"/>
        <s v="Golden Parrot Blend"/>
        <s v="Bull Demon King"/>
        <s v="Tanzania Gesha Peaberry"/>
        <s v="Ethiopia Natural Guji D Minor 21/01"/>
        <s v="Ethiopia Hambela Yellow Honey James Selection"/>
        <s v="Costa Rica Black Honey"/>
        <s v="Ethiopia Guji Hambela Kudume Yellow Honey"/>
        <s v="Ethiopia Sidamo Bensa Mirado Natural"/>
        <s v="Costa Rica La Florida Red Honey Espresso"/>
        <s v="Ethiopia Yirgacheffe Botabaa Washed G1 21/01"/>
        <s v="Yemen Mocca Matari"/>
        <s v="Mojave Vault Series Geisha Natural"/>
        <s v="Ethiopia Buku Abela"/>
        <s v="Colombia Finca Santa Maria"/>
        <s v="Yemen Mocha Haimi"/>
        <s v="Costa Rica Hacienda Tobosi Villalobos Anaerobic Natural"/>
        <s v="Colombia Wush Wush"/>
        <s v="Brazil Gauriroba Natural"/>
        <s v="Rwanda вЂњSilverback ReturnsвЂќ"/>
        <s v="Gigesa Natural"/>
        <s v="El Jocote Natural"/>
        <s v="Panama Finca Santa Teresa Summer Gesha"/>
        <s v="Baby Dragons"/>
        <s v="Kona Maragogype Peaberry Natural"/>
        <s v="Ecuador San JosГ© de Minas Double-Anaerobic"/>
        <s v="La Perla Chiquita Ecuador"/>
        <s v="Las Flores Colombia"/>
        <s v="Nicaragua Yellow Pacamara Natural"/>
        <s v="Ethiopia West Arsi Nensebo Natural G1"/>
        <s v="Ethiopia Sidama Bona Sweet Natural"/>
        <s v="Congo Square"/>
        <s v="Rwanda Rulindo Tumba"/>
        <s v="Tanzania Sambewe"/>
        <s v="Rwanda Kinini Village Natural"/>
        <s v="Tanzania Peaberry"/>
        <s v="Tanzania Ngila Estate SL28"/>
        <s v="Ethiopia Washed Sidama Nafasha 74158 21/01"/>
        <s v="Ethiopia Tibe Haro Uraga"/>
        <s v="Taiwan Natural Alishan TFUвЂ™YA Kakalove Lot"/>
        <s v="Ethiopia Natural Guji Blue Donkey 21/01"/>
        <s v="Kenya Nyeri Gachatha Washed AB"/>
        <s v="Ethiopia Yirgacheffe G1 Mulugeta Tsige"/>
        <s v="Kenya AA Top Gathambi Station"/>
        <s v="Ethiopia Guji Gerba Station G1 Natural Espresso"/>
        <s v="Ethiopia Keramo Village"/>
        <s v="Ethiopia Uraga Washed G1"/>
        <s v="Kenya Karindudu AA"/>
        <s v="Colombia Cardona Natural"/>
        <s v="Ethiopia Guji Anaerobic"/>
        <s v="Maypop"/>
        <s v="La Soledad Colombia"/>
        <s v="Colombia Huila Acevedo El Paraiso"/>
        <s v="Love of Desolate"/>
        <s v="Blend No.7 Berrichee"/>
        <s v="Ethiopia Niguse Gemeda Mude Natural"/>
        <s v="La Estrella Carbonic Geisha Reserve"/>
        <s v="Ethiopia Guji Wush Wush Anaerobic Natural"/>
        <s v="Ethiopia Guji Wush Wush"/>
        <s v="Tres Dragones Colombia"/>
        <s v="Panama Elida Estate CatuaГ­ Natural ASD"/>
        <s v="Ethiopia Yirgacheffe Israel Degfa Natural Gr.1"/>
        <s v="Panama Elida Estate Washed"/>
        <s v="Kona Maragogype Natural"/>
        <s v="Kenya Washed Nakuru Gachombe Factory AB"/>
        <s v="Ethiopia Natural Guji Hambella Wate Peaberry"/>
        <s v="Ethiopia Guji Shakiso Dambi Udo Natural Anaerobic"/>
        <s v="Ethiopia Natural Guji"/>
        <s v="Costa Rica Yellow Honey Kinka Bear Lot 20-02"/>
        <s v="Ethiopia Guji Shakiso Dambi Udo Honey"/>
        <s v="Kenya Washed Nyeri Gichathaini Factory AB"/>
        <s v="Colombia Pink Bourbon Honey"/>
        <s v="Kona SL34 Sweet Spot"/>
        <s v="Haraaz Red"/>
        <s v="Panama Elida Green-Tip Geisha La Torre ASD"/>
        <s v="Kona Peaberry"/>
        <s v="Panama Finca Los Lajones Natural"/>
        <s v="SL28"/>
        <s v="Bourbon Pointu Natural"/>
        <s v="Ethiopia Guji Hambela Buku Abel Slow Dry Natural 2400m"/>
        <s v="Flight Seasonal Espresso"/>
        <s v="Panama Boquete Flor De Mariposa Geisha Espresso"/>
        <s v="Guji Ethiopia Washed"/>
        <s v="Colombia Monteblanco Geisha"/>
        <s v="Ethiopia Gedeo Kochere Reko Natural"/>
        <s v="Costa Rica Aris Red Honey Lot 2002 Espresso"/>
        <s v="Twisted V.6 Espresso"/>
        <s v="Aged Sumatra Ulos Batak 2015"/>
        <s v="Kona Uluwehi SL34"/>
        <s v="Colombia Pink Bourbon Finca El Chaparote"/>
        <s v="Ethiopia Neja Fadil"/>
        <s v="Peru Buena Vista Valerio Almanza Ccahua"/>
        <s v="Panama Finca Santa Teresa Lot 9"/>
        <s v="Guatemala CobГЎn Chicoj Cooperative Red Honey Fair Trade"/>
        <s v="Ethiopia Halo Hartume Daniel Mijane"/>
        <s v="Colombia Cauca El Paraiso"/>
        <s v="Taiwan Songyue Geisha"/>
        <s v="Kenya Nyeri"/>
        <s v="Kenya Kirinyaga Baragwi Karumandi AA"/>
        <s v="Harimau Tiger Sumatra"/>
        <s v="Ethiopia Sidamo Washed"/>
        <s v="Ethiopia Guji Uraga Washed"/>
        <s v="Indonesia Golden Sumatra TP Espresso"/>
        <s v="Kenya Gachatha"/>
        <s v="Ethiopia Suke Quto Single-Origin Espresso"/>
        <s v="Ethiopia Gera Limu"/>
        <s v="Panama Pacamara Natural"/>
        <s v="KaвЂ™u Pink Honey"/>
        <s v="Kona Maragogype Pink Honey"/>
        <s v="RD1 Espresso Blend"/>
        <s v="Bull Espresso Blend"/>
        <s v="Ethiopia Yirgacheffe Gotiti Natural"/>
        <s v="Trust the Process вЂ” Full Natural"/>
        <s v="Colombia Finca El Caucho Pink Bourbon"/>
        <s v="Colombia Antioquia Natural Carbonic Maceration Caturra"/>
        <s v="Colombia La Gallera Estate"/>
        <s v="Colombia Diofanor Ruiz"/>
        <s v="Colombia Java El EdГ©n Limited Edition"/>
        <s v="Finca La Maria Geisha Natural"/>
        <s v="Angamaza"/>
        <s v="Ethiopia Rhapsody Espresso"/>
        <s v="Dafis Abafita Natural Ethiopia"/>
        <s v="Berg Wu Championship Sidamo Washed G1 Lot 20-02"/>
        <s v="KaвЂ™u Yellow Bourbon"/>
        <s v="Ethiopia Natural Hambela Wate"/>
        <s v="Kinini Village Rwanda"/>
        <s v="Ethiopia Natural Guji Uraga G1 Lot 20-05"/>
        <s v="Kenya Nyeri Muchoki Estate AA"/>
        <s v="Fruity Espresso Blend"/>
        <s v="Ethiopia Yirgacheffe Cleopatra Natural"/>
        <s v="Ethiopia Yirgacheffe Dumerso G1 Natural"/>
        <s v="Guatemala Santa Felisa Solar Eclipse Gesha Natural"/>
        <s v="Coral"/>
        <s v="Ethiopia Guji Goro Muda Washed G1"/>
        <s v="Ethiopian Guji Ana Sora Alcoholic Natural G1"/>
        <s v="Ethiopia Cup of Excellence Guji Natural"/>
        <s v="Ethiopia Sidama Telamo FTO Natural"/>
        <s v="Ethiopia Guji Laayyoo Natural"/>
        <s v="Magic Cat Kenya Civet AFCA TOH NO.2 Gatuya Factory New Murarandia AA"/>
        <s v="Ethiopia Grade 1 Chelchele"/>
        <s v="Ethiopia Natural Yirgacheffe Gr.1 Cleopatra"/>
        <s v="Taiwan Alishan Zhou-Zhu-Yuan Farm Estate Reserve Washed"/>
        <s v="Ethiopia Keramo Zero Oxygen Natural"/>
        <s v="Panama Elida ASD Natural"/>
        <s v="Peru Yanesha Geisha"/>
        <s v="Ethiopia Guji Chembi"/>
        <s v="Kona Red Bourbon Anaerobic Washed Uluwehi Farm"/>
        <s v="Wush Wush"/>
        <s v="Honey Typica Anaerobic"/>
        <s v="Geisha"/>
        <s v="Panama Abu Natural ASD Geisha BOP GN11"/>
        <s v="Ethiopia Kochere Boji"/>
        <s v="Panama Finca Minerva-Mirage Pacamara BOP PAC04"/>
        <s v="Tanzania Shimiligwanda"/>
        <s v="Ethiopia Natural Guji Blue-Donkey 2020"/>
        <s v="Kenya Washed Peaberry Rnyeusi"/>
        <s v="Ethiopia COE 2nd place Washed Sidamo Rumudamo"/>
        <s v="Ethiopia Yirgacheffe Natural Haru Suke G1"/>
        <s v="Finca Sophia Gesha Washed"/>
        <s v="Colombia Granja La Esperanza Java Anaerobic"/>
        <s v="Shantawene Ethiopia Daya Bensa Natural"/>
        <s v="Kenya AA FAQ"/>
        <s v="Ardent Ethiopia Natural"/>
        <s v="Ethiopia Dur Feres Natural"/>
        <s v="Kenya AA Ares Phoenix Special"/>
        <s v="GW01 Finca Sophia Olympus Geisha"/>
        <s v="La Esperanza Colombian Natural X.O."/>
        <s v="Taiwan Geisha Honey"/>
        <s v="Camilina Geisha"/>
        <s v="Hacienda La Esmeralda Buenos Aires Geisha Natural"/>
        <s v="Ethiopia Sidama Bona Washed G1"/>
        <s v="Sidama Extreme Papilio Washed"/>
        <s v="Finca San Carlos"/>
        <s v="Ethiopia Natural Guji D Minor Special Lot"/>
        <s v="2020 Savage Auction Deborah Carbonic-Macerated Natural Geisha"/>
        <s v="Costa Rica Cordillera del Fuego"/>
        <s v="Ethiopia Bombe Mountains"/>
        <s v="Ethiopia Yirgacheffe G1 Natural Asfaw Maru"/>
        <s v="Coffea Diversa Rume Sudan Winey"/>
        <s v="HawaiвЂ™i Puna Anaerobic Washed"/>
        <s v="Colombia Hacienda Casablanca"/>
        <s v="Ethiopia Natural Guji Kercha Lot Riverside"/>
        <s v="Costa Rica Yellow Honey Lot Kinka Bear"/>
        <s v="San Diego Natural"/>
        <s v="Buna Boka #1"/>
        <s v="El Jardin"/>
        <s v="Kenya Wachuri"/>
        <s v="Kenya Baragwi Guama AB"/>
        <s v="Kenya ARES"/>
        <s v="Empress Kenya"/>
        <s v="Kenya Kiambu AB Top Lot"/>
        <s v="Kenya Kiambu Maua Lot AB"/>
        <s v="Kenya Thunguri AA"/>
        <s v="Kenya Kirinyaga Kabare Karani AA"/>
        <s v="Kenya Kirinyaga Kii"/>
        <s v="Kenya Rungeto"/>
        <s v="Kenya AA Top Gatomboya"/>
        <s v="Heart &amp; Soul Espresso Blend"/>
        <s v="Ethiopia Yabitu Koba"/>
        <s v="Rhapsody of Dreams"/>
        <s v="Colombia Asobombo Inza"/>
        <s v="Ethiopia Sidamo Natural Twakok G1"/>
        <s v="Panama Boquete Torre Lot #1 Geisha Honey"/>
        <s v="Yellow Caturra (special lot)"/>
        <s v="HawaiвЂ™i Kilauea Volcano Yeast Fermentation Washed"/>
        <s v="Kona Pink Honey Black Rock Farm"/>
        <s v="Benti Nenqa #209 Ethiopia"/>
        <s v="El Salvador Santa Elena Pacamara"/>
        <s v="Ethiopia Sheka Kawo Kamina Natural"/>
        <s v="Black Swan Blend"/>
        <s v="Indonesia Lintong Mandheling"/>
        <s v="Ethiopia Yirgacheffe Natural Farm Direct"/>
        <s v="Kenya Karatina AA 2020"/>
        <s v="Colombia San LuГ­s Gesha"/>
        <s v="Karani Kenya"/>
        <s v="Miraflores Colombia"/>
        <s v="Kenya Gatuya"/>
        <s v="Kenya Gicherori"/>
        <s v="Ethiopia Kayon Mountain (Natural)"/>
        <s v="Ethiopia Kayon Mountain (Washed)"/>
        <s v="Kenya Nyeri AB Nyeshun"/>
        <s v="Ethiopia Guji Bishala"/>
        <s v="Ethiopia Wegida Natural"/>
        <s v="KaвЂ™u Red Caturra Peaberry"/>
        <s v="Wush Wush Ginbo Keffa Ethiopia"/>
        <s v="Burundi Karehe"/>
        <s v="Ethiopia Guji Natural"/>
        <s v="Ethiopia Gera Estate Natural"/>
        <s v="EstelГ­ Nicaragua"/>
        <s v="Limu Ethiopia Natural"/>
        <s v="Colombia Finca El Roblar"/>
        <s v="Ethiopia Yirgacheffe Kochere Debo"/>
        <s v="Kilauea Volcano Champagne Natural"/>
        <s v="Nicaragua La Benedicion SL28 Natural"/>
        <s v="Colombia Tolima Geisha"/>
        <s v="Ethiopia Haro Guta Natural"/>
        <s v="Kenya AA Kirinyaga Kii"/>
        <s v="Colombia Antioquia La Papaya Bourbon Chiroso"/>
        <s v="Karimiuki Espresso"/>
        <s v="Karimiuki Kenya"/>
        <s v="Colombia San Pedro"/>
        <s v="DR Congo, Gera Village, SOPACDI"/>
        <s v="El Floral Colombia"/>
        <s v="El Salvador Geisha Natural"/>
        <s v="Ethiopia Natural Guji Lot D Minor"/>
        <s v="Taiwan Natural Alishan Zhuo-Wu Farm Geisha"/>
        <s v="All Rise"/>
        <s v="Costa Rica Hacienda Tobosi Copey Villa Sarchi Black Honey"/>
        <s v="Ethiopia Sidama Keramo Village"/>
        <s v="Red Bourbon Natural Exclusive Reserve"/>
        <s v="Nano Genji Agaro Gera"/>
        <s v="Kona Classic Black Rock Farm"/>
        <s v="Ethiopian Yirgacheffe Natural"/>
        <s v="Colombia Cauca AtвЂ™e"/>
        <s v="Sumatra Gayo G1 Triple-Picked Lot 005"/>
        <s v="Nano Genji #4 Espresso"/>
        <s v="Ignacio Quintero Colombia"/>
        <s v="Organic Ethiopia Agaro-Nano Challa"/>
        <s v="Kerinci Palompek Sumatra"/>
        <s v="Kenya Embu Gicherori Factory AA Top"/>
        <s v="Colombia Finca Lord Baltimore Papayo"/>
        <s v="Mocha Java"/>
        <s v="Organic Suke Quto Ethiopia"/>
        <s v="Kenya Tuikit Factory AA"/>
        <s v="Abu Natural Panama Geisha"/>
        <s v="Colombia Finca Las Margaritas Natural Sudan Rume"/>
        <s v="Ecuador Finca Carolina Sidra"/>
        <s v="Gesha Village Single-Variety Gesha Special Selection"/>
        <s v="Indestec El Paraiso"/>
        <s v="Monteblanco Cold Fermentation Geisha"/>
        <s v="Funky Chicken"/>
        <s v="Yemen Al-Obbarat"/>
        <s v="Ecuador Quilanga Typica Yeast Fermentation"/>
        <s v="Ethiopia Natural Guji PB JackyLai Lot"/>
        <s v="Ethiopia Wush Wush"/>
        <s v="Ethiopia Hassen Ware Akrabi"/>
        <s v="Costa Rica Luis Campos Anaerobic"/>
        <s v="Colombia Granja La Esperanza Tres Dragones"/>
        <s v="Colombia Finca La Loma Microlot"/>
        <s v="Kenya Kiambu AB Uklili 1905 Lot"/>
        <s v="Elida Natural Dragonfly Lot"/>
        <s v="Kona Laurina Pointu"/>
        <s v="Dadaocheng Garden Blend Espresso"/>
        <s v="Ethiopia Dimtu"/>
        <s v="Ethiopia Sidama Anaerobic"/>
        <s v="Kenya Kiri Peaberry"/>
        <s v="Ethiopia Violent Andromeda Natural"/>
        <s v="Kenya Nyeri Yerihar AA Lot 1901 Espresso"/>
        <s v="Costa Rica Aris Red Honey Lot 1901 Espresso"/>
        <s v="Panama Hacienda La Esmeralda Geisha Natural Special Auction ES-N-2"/>
        <s v="El Salvador Finca El Cerro Natural"/>
        <s v="Halo Hartume Espresso"/>
        <s v="Giusto Organic Espresso Blend"/>
        <s v="Berg Wu Championship Selection Yirgacheffe G1 Natural Lot 19/01"/>
        <s v="Ethiopia Mulegeta Sintayehu Washed"/>
        <s v="Ecuador Eugenioides Natural Finca Perla Negra"/>
        <s v="Panama Esmeralda Geisha Natural"/>
        <s v="Ethiopia Suke Quto Honey"/>
        <s v="Kenya FSC AB"/>
        <s v="Ceri Ceri Meriah Coffee"/>
        <s v="Alamendah Patuha Coffee"/>
        <s v="Holiday Blend"/>
        <s v="2019 Celebration"/>
        <s v="Kenya Kiandu Peaberry"/>
        <s v="Sumatra Raja Harimau Lintong Espresso"/>
        <s v="Panama Esmeralda Geisha PortГіn Oro Yeast"/>
        <s v="Kenya Kiambu Peaberry Uklili 1904 Lot"/>
        <s v="Kenya Kiambu AB Uklili 1903 Lot"/>
        <s v="Ethiopia Natural Yirgacheffe Blue Donkey Lot #2"/>
        <s v="Ethiopia Nansebo Worka"/>
        <s v="Panama Elida Geisha Natural 1029"/>
        <s v="Port of Mokha Yemen JSP"/>
        <s v="Panama Elida Natural Catuai"/>
        <s v="Cate Natural G5"/>
        <s v="Gachami Kenya"/>
        <s v="Ethiopia Natural вЂњPhoenixвЂќ"/>
        <s v="Costa Rica SL-28 Yellow Honey Espresso"/>
        <s v="Washed Geisha Hacienda La Esmeralda Jaramillo Special"/>
        <s v="Panama Perci Geisha Natural"/>
        <s v="Elida Estate Geisha Green-Tip Natural"/>
        <s v="Washed Kenya"/>
        <s v="Panama Hacienda La Esmeralda Super Mario Geisha"/>
        <s v="Kenya Gakundu FCS Kamviu Wet Mill"/>
        <s v="Rukira Kenya"/>
        <s v="Gesha Village Lot #85 Natural"/>
        <s v="Ethiopia Natural Yirgacheffe Banko Gotiti"/>
        <s v="Indonesia Sumatra Gayo Espresso"/>
        <s v="Ethiopia Limu Nano Challa Lot #10"/>
        <s v="Best of Panama GNEP-01 Elida Geisha Green Tip Natural"/>
        <s v="Geisha XO"/>
        <s v="Colombia Finca La Maria Geisha Natural"/>
        <s v="Panama Finca Kalithea Natural Geisha"/>
        <s v="Panama Hacienda La Esmeralda Super Mario 6 Geisha"/>
        <s v="Panama Geisha Alto Jaramillo"/>
        <s v="Colombia Laderas del Tapias Estate Natural Geisha"/>
        <s v="Gesha Village Natural Lot #19"/>
        <s v="Gesha Village 1931 Lot 27"/>
        <s v="Ethiopia Sidamo Gora Kone"/>
        <s v="Kebele Village Espresso"/>
        <s v="Panama Finca San Sebastian"/>
        <s v="Yirgacheffe Gedeb G1 Natural"/>
        <s v="Kenya Kiambu Uklili AA"/>
        <s v="Ethiopia Guji Shakisso Natural Lot 24"/>
        <s v="Ethiopia Washed Yirgacheffe Nafasha Lot"/>
        <s v="El Salvador"/>
        <s v="Ethiopia Kayon Mountain Natural"/>
        <s v="Ethiopia Natural Yirgacheffe Blue Donkey Lot"/>
        <s v="Geisha Village Auction Lot #11"/>
        <s v="Ethiopia Yirgacheffe Chelelektu Natural"/>
        <s v="Kenya Kimaruri"/>
        <s v="Kenya Handege"/>
        <s v="Colombia Valle del Cauca Cerro Azul Geisha"/>
        <s v="Green-Tip Geisha"/>
        <s v="Barichu Double"/>
        <s v="Rukera Kenya"/>
        <s v="Rukera Espresso"/>
        <s v="The Core Espresso"/>
        <s v="Espresso Mandarina"/>
        <s v="SOB Espresso"/>
        <s v="Ethiopia Gedeb Worka Sakaro"/>
        <s v="La Belleza Colombia"/>
        <s v="Crystalina"/>
        <s v="Kenya Kiambu Gititu AA"/>
        <s v="Ninety Plus Gesha Estates JBC Custom Lot #252"/>
        <s v="La Palma Y El Tucan Hero Series Colombia Sidra Lot #190"/>
        <s v="KaвЂ™u Champagne Natural"/>
        <s v="Monarch Gesha"/>
        <s v="Australian Blend Espresso"/>
        <s v="Colombia Tolima Monteverde Estate Natural Wush Wush"/>
        <s v="Ethiopia Oromia Guji Washed"/>
        <s v="Kenya MurangвЂ™a Githiga AA"/>
        <s v="Ethiopia Sidama Shantewene"/>
        <s v="Gesha Rebecca Natural"/>
        <s v="CafГ© Granja La Esperanza Sudan Rume Natural"/>
        <s v="Boru Batak Sumatra"/>
        <s v="Sumatra Tano Batak"/>
        <s v="Sumatra Lintong"/>
        <s v="Ethiopia Natural Guji Hambela G1 Bishan Fugu"/>
        <s v="Tanzania Tarime AB"/>
        <s v="El Salvador Cerro Las Ranas Honey Espresso"/>
        <s v="Panama Baru Geisha Black"/>
        <s v="Eaagads Estate Kenya"/>
        <s v="Ethiopia Yirgacheffe G1"/>
        <s v="Kenya Karindundu AA Small Lot Reserve"/>
        <s v="Rwanda Kanzu"/>
        <s v="Ethiopia Kochere Natural"/>
        <s v="Kenya Thirikwa Single-Origin Espresso"/>
        <s v="Rwanda Mushonyi Natural"/>
        <s v="Ethiopia Hambela Natural Organic"/>
        <s v="Tanzania Ngorongoro Ridge Peaberry"/>
        <s v="Ethiopia Haro Wachu"/>
        <s v="Banco Gotete Ethiopia"/>
        <s v="Kenya Ruthaka Peaberry"/>
        <s v="Honduras Las Flores Parainema"/>
        <s v="Kivu DR Congo"/>
        <s v="Panama Ninety Plus Perci Lot 50"/>
        <s v="Colombia Sidra"/>
        <s v="Kenya Murunga New Gatanga FCS Mukurwe Factory AB"/>
        <s v="Ethiopia WORKA"/>
        <s v="Ethiopia Banko Dhadhato Washed"/>
        <s v="Kenya Karuthi AA"/>
        <s v="Kenya Nyeri Nudurutu Factory AB"/>
        <s v="Ethiopia Kochere Washed Saona Lot"/>
        <s v="Ethiopia Guji Natural Dasaya"/>
        <s v="Holiday Sweet Blend"/>
        <s v="Colombia El Obraje Gesha"/>
        <s v="Flowery Nekisse"/>
        <s v="Baru Gesha"/>
        <s v="Mama Cata Geisha Washed"/>
        <s v="Wei Rong Blend"/>
        <s v="Kiunyu Peaberry"/>
        <s v="Kibugu Kenya"/>
        <s v="Poseidon Blend Espresso"/>
        <s v="Kenya Gikirima Kibugu"/>
        <s v="Elida Estate Geisha Natural Dragonfly Reserve"/>
        <s v="Costa Rica Geisha Honey COE 2018 2nd Place"/>
        <s v="Guatemala Pacamara Natural"/>
        <s v="La Providencia Guatemala Maragogype"/>
        <s v="Kenya Kabingara"/>
        <s v="Kenya Konyu"/>
        <s v="Hacienda La Esmeralda Cabana Geisha Natural"/>
        <s v="Finca La Aurora Camilina Geisha"/>
        <s v="Twenty Five"/>
        <s v="Karimikui Kenya"/>
        <s v="Kenya Baragwi Thimu Peaberry"/>
        <s v="Kariru Kenya"/>
        <s v="Esmeralda Estate Porton Geisha Natural"/>
        <s v="Kenya Kiambu"/>
        <s v="Ethiopia Washed Phoenix Special вЂњMuseвЂќ"/>
        <s v="Kenya AB Phoenix Special вЂњGloryвЂќ"/>
        <s v="Kenya Ritho FCS Handege Factory AB"/>
        <s v="Ethiopia Yirgacheffe Botabaa Washed"/>
        <s v="Ethiopia Hambela Natural"/>
        <s v="Ethiopia Gera Limmu Oromia"/>
        <s v="Kenya Kabare Konyu"/>
        <s v="Alemu Bukato Espresso"/>
        <s v="Tarime Tanzania"/>
        <s v="Berlina Geisha"/>
        <s v="Gatugi Triple"/>
        <s v="Ethiopia Yirgacheffe Natural Espresso"/>
        <s v="Ethiopia Yirgacheffe Natural"/>
        <s v="Guatemala Finca El General Lot ALT8 Espresso"/>
        <s v="Green Dolphin Blend Espresso"/>
        <s v="Finca El Socorro Maracaturra"/>
        <s v="Ethiopia Kochere Debo Washed Gellana"/>
        <s v="Ethiopia Gotiti Natural"/>
        <s v="Cream Tabby Espresso Blend"/>
        <s v="Ethiopia Girma Eshetu"/>
        <s v="Karimikui Espresso"/>
        <s v="Ethiospro Blend"/>
        <s v="Costa Rica Cumbres Del Poas вЂњPerla NegraвЂќ Natural"/>
        <s v="Natural Sidamo Twakok G1"/>
        <s v="YCFCU Banko Gotiti Coop G1"/>
        <s v="Gesha Village Lot #25"/>
        <s v="Costa Rica Perla Negra"/>
        <s v="Espresso 1849 Blend"/>
        <s v="Tano Batak Sumatra"/>
        <s v="No. 7 Espresso Blend"/>
        <s v="Kenya Embu Uteuzi Jimbo"/>
        <s v="DR Congo FTO Bourbon SOPACDI"/>
        <s v="Kiniyota Espresso"/>
        <s v="El Obraje Geisha"/>
        <s v="Mandheling Onan Ganjang"/>
        <s v="Ethiopia Banko Gotiti Natural"/>
        <s v="Yemen Microlot"/>
        <s v="Lycello by Ninety Plus"/>
        <s v="Lotus by Ninety Plus"/>
        <s v="Karen J Red Bourbon"/>
        <s v="Kenya Nyeri Gatugi Peaberry"/>
        <s v="Kenya Gura AA"/>
        <s v="Yemen Port of Mokha Al-Durrar"/>
        <s v="Ethiopia Guji Gigessa"/>
        <s v="Granja La Esperanza Sudan Rume Natural"/>
        <s v="Gedeb Espresso"/>
        <s v="Panama Baru Geisha Honey by Joseph"/>
        <s v="Panama Baru Geisha Natural by Joseph"/>
        <s v="Burundi Buhorwa"/>
        <s v="Dodora Double"/>
        <s v="Summer Night Blend Espresso"/>
        <s v="Sumatra Mutu Batak"/>
        <s v="Three Queens Blend"/>
        <s v="Kiniyota Burundi"/>
        <s v="Ethiopia Biftu Gundina Coop Espresso"/>
        <s v="Canoe Blend"/>
        <s v="Guatemala Retiro Natural Process"/>
        <s v="Kenya Gatugi AB"/>
        <s v="Gedeb Ethiopia"/>
        <s v="Ethiopia Dry-Processed Guji Mt. Kayon"/>
        <s v="Panama Auromar Estate Geisha Peaberry"/>
        <s v="Panama Finca Hartmann Geisha Natural"/>
        <s v="Mini-Me Washed Kaffa Forest"/>
        <s v="Jade Espresso"/>
        <s v="Ulos Batak Sumatra"/>
        <s v="Blue Label La Esmeralda Porton Pascua Gesha"/>
        <s v="David Mburu Kenya"/>
        <s v="El PeГ±on Nicaragua"/>
        <s v="Kenya Chorongi Peaberry"/>
        <s v="Kenya Riakiberu AB"/>
        <s v="Yule Blend 2018"/>
        <s v="Kenya Thaitu"/>
        <s v="Ethiopia Banko Gotiti Natural G1"/>
        <s v="Panama Auromar Geisha Natural"/>
        <s v="El Salvador Finca Kilimanjaro"/>
        <s v="Panama Elida Green Tip Gesha Natural"/>
        <s v="Gikanda Kenya"/>
        <s v="Panama Don Julian Pacamara"/>
        <s v="Kenya AB Muchoki"/>
        <s v="Geisha Panama Santamaria Natural"/>
        <s v="100% Kona SL-28"/>
        <s v="Kenya Kirinyaga Mukangu AB"/>
        <s v="Ethiopia Washed Yirgacheffe Adado"/>
        <s v="Ace Espresso"/>
        <s v="Kenya Mutungati"/>
        <s v="Ethiopia Gedeb Halo Beriti"/>
        <s v="Ethiopia Sidama"/>
        <s v="Thiriku AA Kenya"/>
        <s v="Flora Blend Espresso"/>
        <s v="вЂњSweetyвЂќ Espresso Blend"/>
        <s v="вЂњFruityвЂќ Espresso Blend"/>
        <s v="El Aquila Pacamara Espresso"/>
        <s v="Guatemala Finca El Injerto Gesha"/>
        <s v="Kenya Gatomboya AA"/>
        <s v="A.G.E. Duetto Espresso"/>
        <s v="Kenya Nyeri Hill Farm"/>
        <s v="Jinotega Geisha"/>
        <s v="Nicaragua Un Regalo de Dios Bourbon"/>
        <s v="Gedeb Lot 83 Ethiopia Natural"/>
        <s v="Halo Beriti Ethiopia"/>
        <s v="Ethiopia Konga Sede"/>
        <s v="Static Amaro Gayo Natural Ethiopia"/>
        <s v="Static Cali Classic Espresso"/>
        <s v="Shine Day El Salvador"/>
        <s v="Kenya Kirinyaga Baragwi Guama AB"/>
        <s v="Guatemala Finca El General Espresso"/>
        <s v="Ethiopia Guji Zone Natural"/>
        <s v="Kenya Boma AA"/>
        <s v="Colombia Finca Campoalegre"/>
        <s v="Kenya Boma Peaberry"/>
        <s v="Esmeralda Special Auction Washed Geisha"/>
        <s v="Gesha Village 1931, Lot 86"/>
        <s v="Gesha Village Natural Oma Block Lot 72"/>
        <s v="Gesha Village Lot 76 Nasha Block"/>
        <s v="Gesha Village Auction Lot 26 Gori Gesha Natural"/>
        <s v="Carmen Geisha El Palomar Best of Panama #4 Carlos Aguilera"/>
        <s v="Karuthi Espresso"/>
        <s v="Chelelektu Espresso"/>
        <s v="Karuthi Kenya"/>
        <s v="Finca El Obraje Colombia Gesha"/>
        <s v="Kenya AA Top Nyeri Tekangu Tegu Microlot"/>
        <s v="Washed Ethiopia Yirgacheffe Banko Gotiti"/>
        <s v="Sumatra Danau Toba"/>
        <s v="Kapsakiso Kenya"/>
        <s v="Ethiopia Washed Kayon Mountain"/>
        <s v="Ninety Plus Gesha Estates Limited Batch #227"/>
        <s v="Makwa Kenya AB"/>
        <s v="Finca El Guamo Colombia"/>
        <s v="Kenya Ndaroini AA"/>
        <s v="El Salvador Finca Kilimanjaro Natural"/>
        <s v="Kamagogo Kenya"/>
        <s v="Twisted 4.0 Espresso"/>
        <s v="El Salvador Finca Kilimanjaro Cascara Fermentation Aida Batlle"/>
        <s v="Puna Natural"/>
        <s v="Colombia La Palma Y El Tucan Gesha"/>
        <s v="Bourbon Peaberry"/>
        <s v="Gesha Village Estate Bench Maji Gesha G1"/>
        <s v="Bourbon-Barrel-Aged Kenya Baragu"/>
        <s v="Aged Sumatra Ulos Batak Peaberry"/>
        <s v="Colombia La Palma and El Tucan Espresso"/>
        <s v="Kenya Kabare AA"/>
        <s v="Gesha, Gesha Village 1931"/>
        <s v="Aricha Yirgacheffe Ethiopia"/>
        <s v="Guatemala Finca Cappuccino вЂњEcho-LotвЂќ Espresso"/>
        <s v="Ethiopia Guji Shakiso Danbi Uddo"/>
        <s v="Kenya AA Gura Auction Lot"/>
        <s v="Yirgacheffe G1 Idido"/>
        <s v="Yemen Port of Mokha Hayma Microlot"/>
        <s v="Edgar Motta Colombia Pink Bourbon"/>
        <s v="Papua New Guinea PB Kimel Estate"/>
        <s v="Panama La Esmeralda Noria Enero Geisha"/>
        <s v="Rwanda Bufcafe"/>
        <s v="Ethiopia Queen Sheba Natural Yirgacheffe Phoenix Special"/>
        <s v="Ulos Batak Sumatra Peaberry"/>
        <s v="Bernachon High-Level Espresso"/>
        <s v="Mora Negra Geisha Hartmann Farm"/>
        <s v="Gori Gesha Forest"/>
        <s v="Ethiopia Natural Hambela Buku"/>
        <s v="Panama Camilina Natural Geisha"/>
        <s v="Kenya Nyeri Thageini Peaberry"/>
        <s v="Hawaii Kilauea Volcano Nano-Lot"/>
        <s v="Ethiopia Charbanta Natural"/>
        <s v="Esmeralda Noria Natural"/>
        <s v="Miami Winter Holiday Blend"/>
        <s v="Duncan Estate Panamanian Gesha"/>
        <s v="The Jungle"/>
        <s v="Ethiopia Yirgacheffe"/>
        <s v="Ethiopia Washed Yirgacheffe вЂњParadiseвЂќ Espresso"/>
        <s v="Kenya Lenana"/>
        <s v="вЂњMini-MeвЂќ Washed Yirgacheffe"/>
        <s v="Kenya Guama Peaberry"/>
        <s v="Los Congos Pacamara Natural"/>
        <s v="Granja La Esperanza Colombia"/>
        <s v="Mokka"/>
        <s v="Kenya Gathugu"/>
        <s v="Pacamara Finca Los Planes El Salvador"/>
        <s v="Kenya Karindundu"/>
        <s v="Panama Finca Las Brujas Geisha Natural"/>
        <s v="P.r.o. Coffee Ethiopia Yirgacheffe"/>
        <s v="Gichichi Peaberry Kenya"/>
        <s v="Blade Runner Blend"/>
        <s v="LauraвЂ™s Reserve SL-28"/>
        <s v="Panama Finca Mama Cata Microlot Tona"/>
        <s v="Mr. David Mburu Kenya"/>
        <s v="Meaza Ethiopia"/>
        <s v="Costa Rica Finca Chispirta"/>
        <s v="Las Lajas Perla Negra Natural"/>
        <s v="Ninety Plus Silvia Solkiln N2"/>
        <s v="P.R.O. Special Blended Coffee"/>
        <s v="Ethiopia Natural Yirgacheffe Gedeb G1 Lot 118"/>
        <s v="Ethiopia Gedeb Natural"/>
        <s v="Kenya Gathiruini"/>
        <s v="Kenya Thageini"/>
        <s v="Kenya Gatomboya Peaberry"/>
        <s v="Worka Ethiopia"/>
        <s v="Indonesia Sumatra Tano Batak"/>
        <s v="Ethiopia Hambela Washed"/>
        <s v="Kenya Muranga Gondo AA"/>
        <s v="Kenya Small-Lot Reserve Karatina AA"/>
        <s v="Washed Yirgacheffe Aramo Alemayehu Berhanu"/>
        <s v="Kenya Nyeri Gathugu"/>
        <s v="Ethiopia Yirgacheffe Chelelektu"/>
        <s v="Passport Collection Kenya Ichamara"/>
        <s v="Ethiopia Limu Natural No. 701"/>
        <s v="Ethiopia Yirgacheffe YCFCU Idido"/>
        <s v="Sumatra Black Panther"/>
        <s v="Sumatra Lintong Mutu Batak"/>
        <s v="Amaro Gayo Natural Ethiopia"/>
        <s v="Ardi Ethiopia Natural"/>
        <s v="Deri Kochoha Espresso"/>
        <s v="Camilina Geisha Auromar Natural"/>
        <s v="ManLao River Ethiopia Yirgacheffe Dry Process Gedeb Asasa"/>
        <s v="Deri Kochoha Ethiopia"/>
        <s v="Cachajinas Guatemala Huehuetenango"/>
        <s v="Ethiopia Yirgacheffe Goro"/>
        <s v="Ethiopia Yirgacheffe Reko"/>
        <s v="Costa Rica Alberto Guardia Bourbon Natural"/>
        <s v="Colombia San Adolfo"/>
        <s v="Brazil Estancia Telese"/>
        <s v="Brazil Fazenda Passeio Natural"/>
        <s v="Kenya Nyeri Gatugi AA"/>
        <s v="Panama La Esmeralda Bosque Geisha"/>
        <s v="Ethiopia Yirgacheffe Kebele Kochore"/>
        <s v="El Sitio Ecuador"/>
        <s v="Harfusa Espresso"/>
        <s v="SOPACDI Congo"/>
        <s v="Reserve Panama Geisha Hacienda La Esmeralda"/>
        <s v="Competition Blend"/>
        <s v="Bean Brain Reserve Suke Quto Ethiopia Sidamo Espresso"/>
        <s v="Hambela Ethiopia"/>
        <s v="Drima Zede Ethiopia"/>
        <s v="Ecuador Juan PeГ±a"/>
        <s v="Kenya Othaya Peaberry"/>
        <s v="Organic Ethiopia Aramo Natural"/>
        <s v="Love Shack (Kenya)"/>
        <s v="Costa Rica Alberto Guardia Venecia Natural"/>
        <s v="Adame Gorbota Espresso"/>
        <s v="El Aguila Pacamara Espresso"/>
        <s v="Ethiopia Natural Yirgacheffe Banko Gutiti Coop"/>
        <s v="Ethiopia Natural Sidamo Guji Shakisso"/>
        <s v="Colombia Granja La Esperanza Las Margaritas Sudan Rume"/>
        <s v="Adame Gorbota Ethiopia"/>
        <s v="Panama Ratibor Hartmann Natural"/>
        <s v="Kenya AA Nyeri Tambaya"/>
        <s v="Costa Rica Las Lajas Red Honey"/>
        <s v="Bernachon Panama Geisha"/>
        <s v="Panama La Esmeralda Geisha Bosque Natural"/>
        <s v="Harfusa Ethiopia Yirgacheffe Fair Trade Organic"/>
        <s v="ASOPCAFA Colombia"/>
        <s v="Guatemala San Sebastian Natural"/>
        <s v="Ethiopia Hachira Natural Espresso"/>
        <s v="Ethiopia Kochere Espresso Profile"/>
        <s v="Kenya Nyeri Kiama FCS Ichuga Factory Peaberry"/>
        <s v="Kenya Nyeri Thageini"/>
        <s v="Kenya AA Lot-125 вЂњQueen FloraвЂќ"/>
        <s v="Ethiopia Natural Yirgacheffe Phoenix Special вЂњKing SolomonвЂќ"/>
        <s v="Fully Washed Ethiopia Phoenix Special вЂњDr. EvilвЂќ"/>
        <s v="Sulawesi вЂњTanah KebangkitanвЂќ Phoenix Special Espresso"/>
        <s v="Kenya AA Lot-122 вЂњExcaliburвЂќ Espresso"/>
        <s v="Panama Elida Natural Lot #13"/>
        <s v="EmmaвЂ™s Jo: The Leam Hammer Competition Espresso"/>
        <s v="Costa Rica Sumava Natural Lot"/>
        <s v="Panama Auromar Geisha Natural Peaberry"/>
        <s v="El Burro Geisha Tachi Natural"/>
        <s v="Nicaragua Pacamara Los Congos Lot #8"/>
        <s v="Panama Boquete Kotowa Gesha Natural"/>
        <s v="Panama Finca Auromar Camilina Natural"/>
        <s v="El Aguila SL-28 El Salvador"/>
        <s v="Ethiopia Sidama Special Lot Natural"/>
        <s v="Panama Finca Deborah Caturra Natural"/>
        <s v="Nekisse Red N2 Level 39"/>
        <s v="Panama La Esmeralda Bosque Lot 1 Gesha"/>
        <s v="Finca La Mula Panama Geisha Natural"/>
        <s v="La Lagunita El Salvador"/>
        <s v="Kenya Kinuyu AA"/>
        <s v="Costa Rica Alberto Guardia Venecia Honey"/>
        <s v="Nicaragua Cafe Vidita Los Congos Pacamara Natural"/>
        <s v="Kenya Kigutha AA"/>
        <s v="Panama Altieri Natural Geisha"/>
        <s v="Organic Espresso"/>
        <s v="Kemgin Ninety Plus"/>
        <s v="Ethiopia Nigusse Lemma"/>
        <s v="Panama Don Pepe Estate Geisha Single-Origin Espresso"/>
        <s v="Las Flores Espresso"/>
        <s v="El Salvador Finca Medrano Pacamara Nohemi Ventura"/>
        <s v="Ethiopia Jimma Agaro"/>
        <s v="Rwanda Silverback Espresso"/>
        <s v="Ecuador вЂњMama KilyaвЂќ Espresso"/>
        <s v="Ethiopia Hambela"/>
        <s v="Kenya Nyeri Peaberry"/>
        <s v="Panama Lino Esmeralda Geisha Natural"/>
        <s v="Ethiopia Sidama Akrabi"/>
        <s v="Kenya AA Gakuyuri"/>
        <s v="Kenya Embu Gakui Peaberry"/>
        <s v="Kenya AA Kigwandi Estate"/>
        <s v="Ethiopia Yirgacheffe Buna Ababa"/>
        <s v="Panama Don Pepe Fully Washed Geisha"/>
        <s v="Golden Mean Espresso Blend"/>
        <s v="Finca La Mula Panama Geisha"/>
        <s v="S.O. Espresso Brazil Fazenda Santa Ines"/>
        <s v="Black House"/>
        <s v="Kenya Gachatha AA"/>
        <s v="Burundi Kayanza Province Mpanga Washing Station"/>
        <s v="Ethiopia Yirgacheffe Dabub Matebya"/>
        <s v="Yemen Haraaz Red A+"/>
        <s v="El Salvador Finca Loma La Gloria"/>
        <s v="Ethiopia Washed Limu Gera"/>
        <s v="Ethiopia Aricha"/>
        <s v="Colombia Special Process Microlot 511 вЂњMemory OrchardвЂќ Espresso"/>
        <s v="Costa Rica Sonora Bourbon Natural"/>
        <s v="The Secret Coffee"/>
        <s v="Panama Finca Hartmann"/>
        <s v="Sumatra Ulos Batak"/>
        <s v="Sillvia Solkiln N2 Level 95"/>
        <s v="Sweet MariaвЂ™s Acatenango Gesha"/>
        <s v="Keremara AA Kenya"/>
        <s v="Tchembe Gedeo Ethiopia"/>
        <s v="Ethiopia Yirgacheffe Gedeo"/>
        <s v="Sumatra Lake Toba Peaberry"/>
        <s v="Ethiopian Washed Kochere G1 SO Espresso"/>
        <s v="Colombia Granja La Esperanza Grand Cru Mokka"/>
        <s v="Panama Esmeralda Geisha"/>
        <s v="Rum-Barrel Conditioned Ethiopia Gelena Abaya"/>
        <s v="Milepost Kenya Nyeri Ruarai"/>
        <s v="Kenya Thiriku"/>
        <s v="Ari-Ari Seuri-Seuri"/>
        <s v="Jazz Apricot (Espresso)"/>
        <s v="Ethiopia Biloya Organic"/>
        <s v="Organic Ethiopian Worka Special Prep"/>
        <s v="Ethiopia Washed Yirgacheffe Alemu Station"/>
        <s v="Kenya Kianjuri AB"/>
        <s v="Kenya Nyeri Tambaya Peaberry"/>
        <s v="Ethiopian Yirgacheffe Idido Natural"/>
        <s v="Kenya AA"/>
        <s v="Ethiopia Suke Quto Organic"/>
        <s v="Espresso Blend Spring 15"/>
        <s v="Esmeralda Leon Natural Geisha"/>
        <s v="Shilcho Ethiopia, Red Cherry Initiative"/>
        <s v="Lomi Tasha Worka, Ethiopia"/>
        <s v="Semeon Abay Ethiopia"/>
        <s v="Kenya Nyeri Rukira AB"/>
        <s v="Auromar Camilina Geisha"/>
        <s v="Ethiopia Wenago Natural"/>
        <s v="Panama Geisha Holiday Blend"/>
        <s v="Panama Esmeralda Especial Geisha Bosque 2"/>
        <s v="Gratitude Special Blend"/>
        <s v="Nicaragua Pacamara Reserve Los Congos"/>
        <s v="Kenya Muthonjo AA"/>
        <s v="Ethiopia Ninety Plus Hachira N2"/>
        <s v="Perci Red Panama Gesha"/>
        <s v="Kenya Karagoto"/>
        <s v="Nekisse Natural Process Ethiopia"/>
        <s v="Ethiopia Yirgacheffe Gutiti"/>
        <s v="Ethiopia Konga"/>
        <s v="Kenya AA Top 405A Espresso"/>
        <s v="Seasonal Mini-Me Yirgacheffe Washed"/>
        <s v="Panama Mama Cata Natural"/>
        <s v="High Mountain Red Bourbon"/>
        <s v="Panama Duncan Natural Gesha"/>
        <s v="Kenya Kigwandi AA"/>
        <s v="Ethiopia Homacho Waeno"/>
        <s v="Colombia Granja Esperanza Gesha AAA"/>
        <s v="Kenya Mathew Mugo"/>
        <s v="Organic Ethiopian Banko Natural"/>
        <s v="Konga Natural Ethiopia"/>
        <s v="Kenya AA Giakanja"/>
        <s v="Ethiopia CheleвЂ™ Lektu"/>
        <s v="Ethiopia Boke Natural Grade 1 Espresso"/>
        <s v="Kochoha Espresso"/>
        <s v="Kenya Nyeri Giakanja"/>
        <s v="Perci N2 L39"/>
        <s v="Yirgacheffe Aricha Natural G1"/>
        <s v="Panama Ironman Camilina Geisha"/>
        <s v="Panama Estate Reserve: Elida Estate Natural"/>
        <s v="ByronвЂ™s Maracaturra Natural Nicaragua"/>
        <s v="Panama Chiriqui Finca Santa Teresa Geisha"/>
        <s v="Costa Rica Cerro San Luis Natural"/>
        <s v="Panama La Berlina Typica Natural"/>
        <s v="Costa Rica Flor de Santos Bourbon Natural"/>
        <s v="Panama NPGE Perci N2"/>
        <s v="El Salvador Cerro Las Ranas Espresso"/>
        <s v="Kii Kenya"/>
        <s v="Ethiopia Boke Washed Grade 1"/>
        <s v="Ethiopia Semeon Abay N3"/>
        <s v="Kenya Kahiriga"/>
        <s v="Elida Estate Panama"/>
        <s v="Kenya Baragwi Kagongo Peaberry"/>
        <s v="Washed Yirgacheffe"/>
        <s v="Kenya Kikai"/>
        <s v="Ethiopia Yirgacheffe Kore Kochore"/>
        <s v="SO Espresso Brazil Fazenda Rainha Natural"/>
        <s v="Papua New Guinea Kunjin"/>
        <s v="Celinga Ethiopia Espresso"/>
        <s v="Celinga Ethiopia"/>
        <s v="Ethiopia Danch Meng"/>
        <s v="Ethiopia Moplaco Yirgacheffe"/>
        <s v="Ethiopia Yirga Natural Bedhatu"/>
        <s v="Kenya Nyeri Tambaya AA"/>
        <s v="Guji Zone Ethiopia"/>
        <s v="Colombia Finca Monte Verde, Gildardo Gutierrez"/>
        <s v="Twisted 3.0 Espresso"/>
        <s v="Ethiopia Amaro Gayo Dry Process"/>
        <s v="Ethiopia Gedeo Yirgacheffe"/>
        <s v="Rwanda Karongi Gitesi"/>
        <s v="Gelgelu Adame Ethiopia Yirgacheffe Organic Natural Process"/>
        <s v="Ethiopia FTO Worka"/>
        <s v="Kenya Makwa AB"/>
        <s v="Kenya Kabare AB"/>
        <s v="El Salvador Santa Elena Honey Pacamara"/>
        <s v="Ethiopia Yirgacheffe ECX Auction Lot"/>
        <s v="Ethiopia Ninety Plus Pheribo N2"/>
        <s v="Ethiopia Washed Sidama Shilcho Coop G1"/>
        <s v="Ethiopia Washed Yirgacheffe вЂњMini-MeвЂќ 2014"/>
        <s v="Panama Los Lajones Bambu Geisha"/>
        <s v="Kikai Kenya"/>
        <s v="Panama Gesha Perci Red"/>
        <s v="Organic Ethiopian Yirgacheffe Idido"/>
        <s v="Panama Finca La Mula Geisha Natural"/>
        <s v="Ethiopia Washed Yirgacheffe Mini-Me"/>
        <s v="Ethiopia Kelenso Mokanisa"/>
        <s v="Ganesha Espresso"/>
        <s v="Lennette Kenya"/>
        <s v="Ethiopia Ninety Plus Nekisse Red"/>
        <s v="Ethiopia Yirgacheffe Kochere Aricha"/>
        <s v="Ethiopia Banko Natural"/>
        <s v="Makwa Kenya Nyeri"/>
        <s v="Panama Los Lajones Bambu Geisha Natural"/>
        <s v="Juliette Red Ninety Plus Gesha Estate Panama"/>
        <s v="100% Kona High Mountain Io Extra Fancy"/>
        <s v="Sumatra Blue Batak Peaberry"/>
        <s v="Panama Gesha Ninety Plus Perci Red"/>
        <s v="El Agulia Pacamara El Salvador"/>
        <s v="Mexico Finca Kassandra Pacamara"/>
        <s v="Panama Finca Santa Teresa Honey Geisha"/>
        <s v="Batista Natural Geisha"/>
        <s v="Perci N2 Ninety Plus Gesha Estates Panama"/>
        <s v="Ethiopia Sidama Deri Kochoha"/>
        <s v="Kenya Kirinyaga Karimikui Peaberry"/>
        <s v="Panama Auromar Estate вЂњIronmanвЂќ Geisha"/>
        <s v="Kenya Ruira Mchana Estate"/>
        <s v="Honeyed Yellow Caturra"/>
        <s v="Hawaii KaвЂ™u Isla"/>
        <s v="Ethiopia Yirgacheffe Kochere Grade 1"/>
        <s v="Colombia Valle del Cauca Cerro Azul Geisha AAA"/>
        <s v="Nyala Kenya Peaberry"/>
        <s v="Ethiopia Kercha Naturally Processed Sidama"/>
        <s v="Kenya AA Top Lot A114"/>
        <s v="Mchana Kenya Peaberry"/>
        <s v="Deri Kochoha Ethiopian Sidamo"/>
        <s v="Kemgin Ethiopia"/>
        <s v="Lintong Sumatra Dolok Sangul"/>
        <s v="Momma Bear Espresso"/>
        <s v="Ethiopia Yirgacheffe Kochere G1"/>
        <s v="Maragogype Honey Process"/>
        <s v="Ninety Plus Kemgin W2 Ethiopia"/>
        <s v="Ethiopia Dry Process Saris Abaya"/>
        <s v="Kenya AB Top Lot Single-Origin Espresso"/>
        <s v="Geisha S94"/>
        <s v="Sumatra Mandheling Wahana"/>
        <s v="Geisha P.E.B. (RFA)"/>
        <s v="Ethiopia Dry Process Grade 1 Aricha Yirgacheffe"/>
        <s v="Ethiopia Yirgacheffe ECX"/>
        <s v="Tchembe Single Origin Espresso"/>
        <s v="Ethiopia Ninety Plus Kemgin"/>
        <s v="El Salvador Santa Marta Honey"/>
        <s v="Rwanda Nyamasheke"/>
        <s v="Kenya Riakiberu Peaberry"/>
        <s v="Belekatu Ethiopia Yirgacheffe"/>
        <s v="Yukro Ethiopia"/>
        <s v="Kenya Nyeri Gaturiri Peaberry"/>
        <s v="Rutana Burundi Espresso"/>
        <s v="La Esmeralda Mario Carnaval 2012 Panama"/>
        <s v="Sumatra Wahana Natural"/>
        <s v="Kenya Mukurweini Kamuchuni AA"/>
        <s v="Sweet Breeze"/>
        <s v="Ninety Plus Sillvia SK L95"/>
        <s v="Mexico Santa Teresa BCS 02: Cabernet Franc Barrel"/>
        <s v="Yirgacheffe Blue Nile"/>
        <s v="Yirgacheffe Belekatu"/>
        <s v="Ethiopia Yirgacheffe Kochere"/>
        <s v="Mario San Jose Geisha"/>
        <s v="Panama Don Pachi Natural Geisha"/>
        <s v="Kenya Kamviu"/>
        <s v="Panama La Esmeralda Especial"/>
        <s v="Jingle Bell Natural Yirgacheffe"/>
        <s v="Rwanda Abakundakawa"/>
        <s v="Ethiopia Nekisse"/>
        <s v="Finca El Injerto Patagonia, Guatemala"/>
        <s v="Colombia La Esperanza Cerro Azul Geisha"/>
        <s v="Ethiopia Washed Yirgacheffe Aroma Roast"/>
        <s v="Bourbon Duets"/>
        <s v="Lycello Panama Gesha"/>
        <s v="Karatu Kenya AA"/>
        <s v="Kenya Mamuto"/>
        <s v="Kenya Thunguri вЂ“ Top Auction Lot"/>
        <s v="Kenya Nyeri AA Tegu"/>
        <s v="Panama Gesha Estates: Perci Estate 29 Natural"/>
        <s v="Ethiopia Hachira"/>
        <s v="Goldilocks Espresso"/>
        <s v="RoastmasterвЂ™s Reserve Esmeralda"/>
        <s v="Ethiopia Nanno Challa Cooperative"/>
        <s v="Esmeralda Leon, Panama Geisha Auction Lot"/>
        <s v="Gelena Abaya Natural Processed Ethiopia"/>
        <s v="Maui Mokka Peaberry"/>
        <s v="Kona Maragogipe Honey S.O. Espresso"/>
        <s v="Panama Lerida Estate"/>
        <s v="Colombian La Esperanza"/>
        <s v="Colombia Finca Villa Loyola"/>
        <s v="El Vergel Guatemala"/>
        <s v="Kenya Nyeri AA Gaturiri"/>
        <s v="Colombia Huila Monserrate Yaneth Gil Microlot"/>
        <s v="Colombia El Roble Single Origin Espresso"/>
        <s v="Kenya AA Top Single Origin Espresso"/>
        <s v="El Salvador Santa Rita"/>
        <s v="Kenya Meru Kinjo Peaberry"/>
        <s v="Ethiopia Yirgacheffe Gedeo Worka Fair Trade Organic Certified"/>
        <s v="RustyвЂ™s Hawaiian Red Caturra Natural"/>
        <s v="Guatemala El Diamante"/>
        <s v="Honey Pot Espresso"/>
        <s v="Guatemala Pandora Pacamara Medium-Light Roast"/>
        <s v="Panama Geisha Aroma Roast"/>
        <s v="Starlight Blend"/>
        <s v="Kenya Nyeri AB Gichatha-ini Signature Series"/>
        <s v="Colombia Tolimas"/>
        <s v="Ethiopia Harrar"/>
        <s v="El Salvador Nombre de Dios"/>
        <s v="Panama Elida Estate"/>
        <s v="Panama Elida Estate Natural Process"/>
        <s v="Ethiopia Sidamo Guji"/>
        <s v="Kenya Karinga"/>
        <s v="Kenya Karatu AA"/>
        <s v="Kenya Giakanja"/>
        <s v="Kenya AA Kiaora Estate Full City Roast"/>
        <s v="Kenya Kiandu"/>
        <s v="Kenya Kirinyaga Kii Peaberry Espresso"/>
        <s v="Sumatra Lake Tawar"/>
        <s v="Espresso Nuevo"/>
        <s v="Nicaragua SHG"/>
        <s v="Costa Rica Micro Lot вЂњPepeвЂќ Honey Processed"/>
        <s v="Panama Gesha 2011"/>
        <s v="Guatemala Xeucalvitz"/>
        <s v="Kenya Gethembwini"/>
        <s v="Ibonia Kenya Peaberry"/>
        <s v="Colombia Finca Cerro Azul"/>
        <s v="El Patron Nicaragua Espresso"/>
        <s v="Ethiopia Yirgacheffe Addis Ketema North Italian Espresso Roast"/>
        <s v="Bolivia Caranavi Cenaproc Co-op"/>
        <s v="Kenya Ndiara"/>
        <s v="Guatemala La Conception"/>
        <s v="Colombia La Escuelita"/>
        <s v="Kenya Thiriku Top Auction Lot"/>
        <s v="Extra Fancy Kona Coffee Medium Roast"/>
        <s v="El Salvador La Montana Pacamara"/>
        <s v="Stars of Formosa Blend"/>
        <s v="Kenya Kagongo Peaberry"/>
        <s v="Kenya Peaberry Muthunzunni Estate"/>
        <s v="Kenya Kangunu"/>
        <s v="Ethiopia Konga Co-op Yirgacheffe"/>
        <s v="Honduras David Mancia"/>
        <s v="Hawaii Isla Kona Mauka"/>
        <s v="Ethiopia Nekisse Espresso"/>
        <s v="Panama Mama Cata Geisha"/>
        <s v="El Salvador Pacamara Finca Los Alpes The Bank"/>
        <s v="Honduras Fernandez Farm"/>
        <s v="Resiprocate Verita Espresso"/>
        <s v="KaвЂ™u Coffee Natural Dried"/>
        <s v="Stars of Italy Espresso"/>
        <s v="Guatemala Hunapu Antigua Bourbon"/>
        <s v="Kenya Bourbon French Mission"/>
        <s v="Kenya Peaberry Kirinyaga Kii"/>
        <s v="El Salvador Pacamara Finca Los Alpes Tierra Fertil"/>
        <s v="Panama Esmeralda Mario Carnival"/>
        <s v="Panama La Esmeralda Especial Mario San Jose"/>
        <s v="Mocha Java Espresso"/>
        <s v="Sumatra Aceh Pondok"/>
        <s v="Ethiopian Sidamo Fair Trade/Organic"/>
        <s v="PeopleвЂ™s Daily Espresso"/>
        <s v="Tanzanian Songea Peaberry"/>
        <s v="La Esperanza Colombia Huila"/>
        <s v="Ethiopia Yirga Cheffe Koke Espresso"/>
        <s v="Sulawesi Toraja"/>
        <s v="Indonesia Blue Batak Peaberry"/>
        <s v="Romance by Paradise"/>
        <s v="Ethiopia Washed Yirgacheffe, Koke Grade 1"/>
        <s v="Kenya AA Top"/>
        <s v="Costa Rica Finca Cerro Palado"/>
        <s v="Ethiopia Yirgacheffe Koke"/>
        <s v="La Esmeralda"/>
        <s v="Kenya Githiru"/>
        <s v="Panama Elida Estate Natural"/>
        <s v="Fair Trade Organic Ethiopia Yirgacheffe"/>
        <s v="Hacienda La Esmeralda Special Mario Carnaval"/>
        <s v="Panama El Burro Estate"/>
        <s v="KaвЂ™u Bourbon"/>
        <s v="Kenya Peaberry Thika Gethumbwini"/>
        <s v="Burundi Kinyovu"/>
        <s v="Bonsai Blend Espresso"/>
        <s v="Ethiopia Yirgacheffe Beloya Selection 8"/>
        <s v="Kenya AA Gachatha"/>
        <s v="вЂњKona SweetвЂќ 100% Kona"/>
        <s v="Kenya Ndiara Full Flavor Roast"/>
        <s v="Kenya Ndaroini Microlot"/>
        <s v="Panama Elida Natural"/>
        <s v="Ethiopia Sidamo Special Prep"/>
        <s v="El Salvador Finca Siberia Pacamara"/>
        <s v="Panama Esmeralda Especial"/>
        <s v="La Esmeralda Panama"/>
        <s v="Panama Esmeralda Lot 9"/>
        <s v="Ethiopia Awassa Special"/>
        <s v="Kenya Peaberry Nyeri-Tatu"/>
        <s v="El Salvador Pacamara Tierra Fertil Los Alpes Reserva"/>
        <s v="Ruvuma Tanzanian Peaberry"/>
        <s v="Ethiopia Sidamo Natural Korate"/>
        <s v="Kenya AA Nyeri Tatu"/>
        <s v="Kenya Peaberry Ruera Estate"/>
        <s v="Brazil Fazenda Boa Vista"/>
        <s v="Ethiopia Yirgacheffe Aricha Selection #7"/>
        <s v="Guatemala El Injerto"/>
        <s v="Organic Colombia"/>
        <s v="Colombia Tolima Jairo Guiterrez Micro-Lot 07"/>
        <s v="Tres Santos Micro-Lot La Dorada Cauca"/>
        <s v="Nectar"/>
        <s v="La Minita Costa Rica"/>
        <s v="Kenya Kigutha"/>
        <s v="Hacienda La Esmeralda"/>
        <s v="Kenya AA Mathareini"/>
        <s v="Kenyan Highland Cooperatives"/>
        <s v="Esmeralda Especial Best of Panama"/>
        <s v="Esmeralda Especial Panama"/>
        <s v="Rwanda Karaba Fair Trade"/>
        <s v="Kenya Karogoto"/>
        <s v="Kenya AA Wagamuga Auction Lot"/>
        <s v="Aricha Selection Seven Ethiopia Yirgacheffe"/>
        <s v="Kenya Peaberry Deep River Estate"/>
        <s v="Ethiopia Biloya Special"/>
        <s v="Huila El Palacio Colombia"/>
        <s v="El Salvador Los Planes Cup of Excellence 2006"/>
        <s v="Natural Decaf Espresso"/>
        <s v="Decaf Organic Caffe Volcan"/>
        <s v="Colombia Cauca, Special Micro-Lot Selection Juvenal Penna"/>
        <s v="Colombia El Castillo Micro-Lot Nelson Melo"/>
        <s v="Colombia Hato Viejo Cup of Excellence"/>
        <s v="Colombia Tolima Reynel Perez Micro-Lot"/>
        <s v="Colombia Huila Supremo"/>
        <s v="Kenyan AA"/>
        <s v="El Salvador Los Planes Pacamara"/>
        <s v="El Salvador Pacamara Los Planes"/>
        <s v="Nicaragua El Progresso COE Lot #1"/>
        <s v="Kenya Mamuto Kirinyaga"/>
        <s v="Belle Espresso"/>
        <s v="Colombia Pitalito Estate"/>
        <s v="Hamma Cooperative Yirgacheffe, Fair-Trade Organic"/>
        <s v="Sumatra Golden Mandheling"/>
        <s v="Guatemala Antigua вЂ“ Finca La Tacita"/>
        <s v="Kenya AA Nyeri Fine Cup"/>
        <s v="El Salvador Montecarlos Tablon Crater"/>
        <s v="El Salvador Montecarlos Peaberry"/>
        <s v="Nicaragua Maragogipe Organic"/>
        <s v="Kenya AA, 2003 Crop"/>
        <s v="Fair Trade Organic Guatemala"/>
        <s v="Nicaraguan Maracaturra Light Roast"/>
        <s v="Elm City House Blend"/>
        <s v="Vienna Roast"/>
      </sharedItems>
    </cacheField>
    <cacheField name="price_segmentation" numFmtId="0">
      <sharedItems count="3">
        <s v="budget"/>
        <s v="premium"/>
        <s v="middle"/>
      </sharedItems>
    </cacheField>
    <cacheField name="total_quality" numFmtId="0">
      <sharedItems containsSemiMixedTypes="0" containsString="0" containsNumber="1" minValue="33" maxValue="36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7.763277546299" createdVersion="7" refreshedVersion="7" minRefreshableVersion="3" recordCount="2188" xr:uid="{9C70F234-9D00-497A-B01F-E08B6838ADAD}">
  <cacheSource type="worksheet">
    <worksheetSource ref="K2:L2190" sheet="Sheet2"/>
  </cacheSource>
  <cacheFields count="2">
    <cacheField name="price_segmentation" numFmtId="0">
      <sharedItems count="3">
        <s v="budget"/>
        <s v="premium"/>
        <s v="middle"/>
      </sharedItems>
    </cacheField>
    <cacheField name="total_quality" numFmtId="0">
      <sharedItems containsSemiMixedTypes="0" containsString="0" containsNumber="1" minValue="33" maxValue="368.5" count="100">
        <n v="72"/>
        <n v="75"/>
        <n v="76"/>
        <n v="66"/>
        <n v="70"/>
        <n v="69"/>
        <n v="67.5"/>
        <n v="73"/>
        <n v="74"/>
        <n v="68.5"/>
        <n v="68"/>
        <n v="71.5"/>
        <n v="71"/>
        <n v="77"/>
        <n v="69.5"/>
        <n v="62.5"/>
        <n v="63"/>
        <n v="58"/>
        <n v="77.5"/>
        <n v="67"/>
        <n v="75.5"/>
        <n v="81"/>
        <n v="79"/>
        <n v="63.5"/>
        <n v="65"/>
        <n v="78"/>
        <n v="82"/>
        <n v="80.5"/>
        <n v="52"/>
        <n v="59"/>
        <n v="57"/>
        <n v="72.5"/>
        <n v="79.5"/>
        <n v="78.5"/>
        <n v="87"/>
        <n v="80"/>
        <n v="66.5"/>
        <n v="74.5"/>
        <n v="65.5"/>
        <n v="70.5"/>
        <n v="76.5"/>
        <n v="82.5"/>
        <n v="84.5"/>
        <n v="53.5"/>
        <n v="57.5"/>
        <n v="81.5"/>
        <n v="58.5"/>
        <n v="53"/>
        <n v="368.5"/>
        <n v="62"/>
        <n v="73.5"/>
        <n v="64"/>
        <n v="61"/>
        <n v="43"/>
        <n v="50"/>
        <n v="48.5"/>
        <n v="38.5"/>
        <n v="42.5"/>
        <n v="83"/>
        <n v="56"/>
        <n v="84"/>
        <n v="51.5"/>
        <n v="47"/>
        <n v="45"/>
        <n v="54"/>
        <n v="60"/>
        <n v="42"/>
        <n v="46"/>
        <n v="41.5"/>
        <n v="93"/>
        <n v="95"/>
        <n v="85.5"/>
        <n v="55"/>
        <n v="52.5"/>
        <n v="51"/>
        <n v="40"/>
        <n v="64.5"/>
        <n v="61.5"/>
        <n v="59.5"/>
        <n v="44"/>
        <n v="49.5"/>
        <n v="60.5"/>
        <n v="47.5"/>
        <n v="49"/>
        <n v="56.5"/>
        <n v="88.5"/>
        <n v="55.5"/>
        <n v="87.5"/>
        <n v="54.5"/>
        <n v="50.5"/>
        <n v="46.5"/>
        <n v="44.5"/>
        <n v="85"/>
        <n v="86"/>
        <n v="37"/>
        <n v="48"/>
        <n v="39"/>
        <n v="33"/>
        <n v="40.5"/>
        <n v="4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8.776564120373" createdVersion="7" refreshedVersion="7" minRefreshableVersion="3" recordCount="2191" xr:uid="{D40B8182-8A1A-4783-98D8-D85C56E154F9}">
  <cacheSource type="worksheet">
    <worksheetSource ref="K2:L1048576" sheet="Sheet2"/>
  </cacheSource>
  <cacheFields count="2">
    <cacheField name="price_segmentation" numFmtId="0">
      <sharedItems containsBlank="1" count="4">
        <s v="budget"/>
        <s v="premium"/>
        <s v="middle"/>
        <m/>
      </sharedItems>
    </cacheField>
    <cacheField name="total_quality" numFmtId="0">
      <sharedItems containsString="0" containsBlank="1" containsNumber="1" minValue="33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5.86317986111" createdVersion="7" refreshedVersion="7" minRefreshableVersion="3" recordCount="2188" xr:uid="{2C815FB4-ABC0-483D-9538-0F7E2CC9C750}">
  <cacheSource type="worksheet">
    <worksheetSource ref="A1:I2189" sheet="Sheet3"/>
  </cacheSource>
  <cacheFields count="9">
    <cacheField name="coffee_name" numFmtId="0">
      <sharedItems/>
    </cacheField>
    <cacheField name="total_score" numFmtId="0">
      <sharedItems containsSemiMixedTypes="0" containsString="0" containsNumber="1" containsInteger="1" minValue="94" maxValue="98"/>
    </cacheField>
    <cacheField name="roast_level" numFmtId="0">
      <sharedItems/>
    </cacheField>
    <cacheField name="agtron_ground" numFmtId="0">
      <sharedItems containsSemiMixedTypes="0" containsString="0" containsNumber="1" containsInteger="1" minValue="0" maxValue="85"/>
    </cacheField>
    <cacheField name="agtron_roast" numFmtId="0">
      <sharedItems containsSemiMixedTypes="0" containsString="0" containsNumber="1" containsInteger="1" minValue="43" maxValue="689"/>
    </cacheField>
    <cacheField name="price_per_100g" numFmtId="0">
      <sharedItems containsSemiMixedTypes="0" containsString="0" containsNumber="1" minValue="0.22" maxValue="6000"/>
    </cacheField>
    <cacheField name="roaster_country" numFmtId="0">
      <sharedItems/>
    </cacheField>
    <cacheField name="origin_country" numFmtId="0">
      <sharedItems/>
    </cacheField>
    <cacheField name="region" numFmtId="0">
      <sharedItems count="4">
        <s v="America"/>
        <s v="Africa"/>
        <s v="Asia-Pacific"/>
        <s v="NU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8">
  <r>
    <x v="0"/>
    <x v="0"/>
    <x v="0"/>
    <n v="62"/>
    <x v="0"/>
    <x v="0"/>
    <x v="0"/>
    <x v="0"/>
  </r>
  <r>
    <x v="1"/>
    <x v="0"/>
    <x v="0"/>
    <n v="63"/>
    <x v="1"/>
    <x v="1"/>
    <x v="0"/>
    <x v="0"/>
  </r>
  <r>
    <x v="2"/>
    <x v="0"/>
    <x v="0"/>
    <n v="64"/>
    <x v="2"/>
    <x v="2"/>
    <x v="0"/>
    <x v="1"/>
  </r>
  <r>
    <x v="3"/>
    <x v="1"/>
    <x v="1"/>
    <n v="55"/>
    <x v="3"/>
    <x v="3"/>
    <x v="1"/>
    <x v="1"/>
  </r>
  <r>
    <x v="4"/>
    <x v="2"/>
    <x v="1"/>
    <n v="62"/>
    <x v="4"/>
    <x v="4"/>
    <x v="1"/>
    <x v="1"/>
  </r>
  <r>
    <x v="5"/>
    <x v="2"/>
    <x v="1"/>
    <n v="60"/>
    <x v="4"/>
    <x v="5"/>
    <x v="1"/>
    <x v="1"/>
  </r>
  <r>
    <x v="6"/>
    <x v="2"/>
    <x v="1"/>
    <n v="60"/>
    <x v="4"/>
    <x v="6"/>
    <x v="1"/>
    <x v="2"/>
  </r>
  <r>
    <x v="7"/>
    <x v="0"/>
    <x v="1"/>
    <n v="60"/>
    <x v="5"/>
    <x v="7"/>
    <x v="1"/>
    <x v="0"/>
  </r>
  <r>
    <x v="8"/>
    <x v="0"/>
    <x v="1"/>
    <n v="58"/>
    <x v="3"/>
    <x v="8"/>
    <x v="1"/>
    <x v="3"/>
  </r>
  <r>
    <x v="9"/>
    <x v="0"/>
    <x v="0"/>
    <n v="60"/>
    <x v="6"/>
    <x v="9"/>
    <x v="1"/>
    <x v="2"/>
  </r>
  <r>
    <x v="10"/>
    <x v="0"/>
    <x v="0"/>
    <n v="60"/>
    <x v="7"/>
    <x v="10"/>
    <x v="1"/>
    <x v="1"/>
  </r>
  <r>
    <x v="11"/>
    <x v="2"/>
    <x v="0"/>
    <n v="60"/>
    <x v="6"/>
    <x v="11"/>
    <x v="0"/>
    <x v="0"/>
  </r>
  <r>
    <x v="12"/>
    <x v="2"/>
    <x v="0"/>
    <n v="62"/>
    <x v="6"/>
    <x v="12"/>
    <x v="0"/>
    <x v="0"/>
  </r>
  <r>
    <x v="13"/>
    <x v="0"/>
    <x v="1"/>
    <n v="59"/>
    <x v="8"/>
    <x v="13"/>
    <x v="0"/>
    <x v="4"/>
  </r>
  <r>
    <x v="14"/>
    <x v="0"/>
    <x v="0"/>
    <n v="62"/>
    <x v="0"/>
    <x v="14"/>
    <x v="1"/>
    <x v="1"/>
  </r>
  <r>
    <x v="15"/>
    <x v="0"/>
    <x v="0"/>
    <n v="63"/>
    <x v="9"/>
    <x v="14"/>
    <x v="1"/>
    <x v="1"/>
  </r>
  <r>
    <x v="16"/>
    <x v="1"/>
    <x v="1"/>
    <n v="60"/>
    <x v="3"/>
    <x v="15"/>
    <x v="0"/>
    <x v="5"/>
  </r>
  <r>
    <x v="17"/>
    <x v="2"/>
    <x v="0"/>
    <n v="60"/>
    <x v="2"/>
    <x v="16"/>
    <x v="0"/>
    <x v="6"/>
  </r>
  <r>
    <x v="18"/>
    <x v="2"/>
    <x v="0"/>
    <n v="65"/>
    <x v="1"/>
    <x v="17"/>
    <x v="0"/>
    <x v="1"/>
  </r>
  <r>
    <x v="19"/>
    <x v="0"/>
    <x v="1"/>
    <n v="59"/>
    <x v="3"/>
    <x v="18"/>
    <x v="0"/>
    <x v="7"/>
  </r>
  <r>
    <x v="20"/>
    <x v="0"/>
    <x v="0"/>
    <n v="61"/>
    <x v="0"/>
    <x v="19"/>
    <x v="0"/>
    <x v="1"/>
  </r>
  <r>
    <x v="21"/>
    <x v="2"/>
    <x v="0"/>
    <n v="63"/>
    <x v="1"/>
    <x v="20"/>
    <x v="0"/>
    <x v="0"/>
  </r>
  <r>
    <x v="22"/>
    <x v="0"/>
    <x v="0"/>
    <n v="61"/>
    <x v="8"/>
    <x v="21"/>
    <x v="1"/>
    <x v="0"/>
  </r>
  <r>
    <x v="23"/>
    <x v="0"/>
    <x v="0"/>
    <n v="65"/>
    <x v="1"/>
    <x v="22"/>
    <x v="1"/>
    <x v="1"/>
  </r>
  <r>
    <x v="24"/>
    <x v="0"/>
    <x v="0"/>
    <n v="66"/>
    <x v="2"/>
    <x v="23"/>
    <x v="1"/>
    <x v="0"/>
  </r>
  <r>
    <x v="25"/>
    <x v="2"/>
    <x v="0"/>
    <n v="66"/>
    <x v="7"/>
    <x v="24"/>
    <x v="1"/>
    <x v="8"/>
  </r>
  <r>
    <x v="26"/>
    <x v="3"/>
    <x v="0"/>
    <n v="62"/>
    <x v="6"/>
    <x v="25"/>
    <x v="0"/>
    <x v="9"/>
  </r>
  <r>
    <x v="27"/>
    <x v="2"/>
    <x v="1"/>
    <n v="60"/>
    <x v="5"/>
    <x v="26"/>
    <x v="0"/>
    <x v="9"/>
  </r>
  <r>
    <x v="28"/>
    <x v="2"/>
    <x v="0"/>
    <n v="65"/>
    <x v="1"/>
    <x v="27"/>
    <x v="0"/>
    <x v="0"/>
  </r>
  <r>
    <x v="29"/>
    <x v="2"/>
    <x v="0"/>
    <n v="64"/>
    <x v="7"/>
    <x v="19"/>
    <x v="0"/>
    <x v="10"/>
  </r>
  <r>
    <x v="30"/>
    <x v="2"/>
    <x v="0"/>
    <n v="64"/>
    <x v="7"/>
    <x v="28"/>
    <x v="0"/>
    <x v="5"/>
  </r>
  <r>
    <x v="31"/>
    <x v="0"/>
    <x v="1"/>
    <n v="59"/>
    <x v="5"/>
    <x v="13"/>
    <x v="0"/>
    <x v="3"/>
  </r>
  <r>
    <x v="32"/>
    <x v="2"/>
    <x v="0"/>
    <n v="62"/>
    <x v="6"/>
    <x v="29"/>
    <x v="0"/>
    <x v="1"/>
  </r>
  <r>
    <x v="33"/>
    <x v="0"/>
    <x v="1"/>
    <n v="61"/>
    <x v="10"/>
    <x v="30"/>
    <x v="0"/>
    <x v="1"/>
  </r>
  <r>
    <x v="34"/>
    <x v="0"/>
    <x v="1"/>
    <n v="52"/>
    <x v="11"/>
    <x v="31"/>
    <x v="0"/>
    <x v="9"/>
  </r>
  <r>
    <x v="35"/>
    <x v="2"/>
    <x v="1"/>
    <n v="60"/>
    <x v="4"/>
    <x v="26"/>
    <x v="0"/>
    <x v="9"/>
  </r>
  <r>
    <x v="36"/>
    <x v="0"/>
    <x v="1"/>
    <n v="57"/>
    <x v="4"/>
    <x v="26"/>
    <x v="0"/>
    <x v="9"/>
  </r>
  <r>
    <x v="37"/>
    <x v="0"/>
    <x v="1"/>
    <n v="57"/>
    <x v="10"/>
    <x v="32"/>
    <x v="0"/>
    <x v="11"/>
  </r>
  <r>
    <x v="38"/>
    <x v="0"/>
    <x v="1"/>
    <n v="52"/>
    <x v="12"/>
    <x v="33"/>
    <x v="0"/>
    <x v="1"/>
  </r>
  <r>
    <x v="39"/>
    <x v="2"/>
    <x v="2"/>
    <n v="52"/>
    <x v="13"/>
    <x v="34"/>
    <x v="0"/>
    <x v="0"/>
  </r>
  <r>
    <x v="40"/>
    <x v="0"/>
    <x v="1"/>
    <n v="59"/>
    <x v="8"/>
    <x v="35"/>
    <x v="0"/>
    <x v="0"/>
  </r>
  <r>
    <x v="41"/>
    <x v="0"/>
    <x v="1"/>
    <n v="58"/>
    <x v="8"/>
    <x v="36"/>
    <x v="0"/>
    <x v="12"/>
  </r>
  <r>
    <x v="42"/>
    <x v="0"/>
    <x v="1"/>
    <n v="56"/>
    <x v="0"/>
    <x v="13"/>
    <x v="0"/>
    <x v="6"/>
  </r>
  <r>
    <x v="43"/>
    <x v="0"/>
    <x v="0"/>
    <n v="67"/>
    <x v="2"/>
    <x v="37"/>
    <x v="1"/>
    <x v="1"/>
  </r>
  <r>
    <x v="44"/>
    <x v="2"/>
    <x v="0"/>
    <n v="61"/>
    <x v="14"/>
    <x v="18"/>
    <x v="0"/>
    <x v="8"/>
  </r>
  <r>
    <x v="45"/>
    <x v="1"/>
    <x v="0"/>
    <n v="64"/>
    <x v="7"/>
    <x v="28"/>
    <x v="0"/>
    <x v="0"/>
  </r>
  <r>
    <x v="46"/>
    <x v="2"/>
    <x v="0"/>
    <n v="62"/>
    <x v="0"/>
    <x v="38"/>
    <x v="0"/>
    <x v="0"/>
  </r>
  <r>
    <x v="47"/>
    <x v="2"/>
    <x v="1"/>
    <n v="59"/>
    <x v="8"/>
    <x v="39"/>
    <x v="0"/>
    <x v="8"/>
  </r>
  <r>
    <x v="48"/>
    <x v="2"/>
    <x v="0"/>
    <n v="62"/>
    <x v="5"/>
    <x v="11"/>
    <x v="0"/>
    <x v="0"/>
  </r>
  <r>
    <x v="49"/>
    <x v="0"/>
    <x v="1"/>
    <n v="54"/>
    <x v="15"/>
    <x v="40"/>
    <x v="0"/>
    <x v="13"/>
  </r>
  <r>
    <x v="50"/>
    <x v="1"/>
    <x v="0"/>
    <n v="62"/>
    <x v="6"/>
    <x v="7"/>
    <x v="1"/>
    <x v="1"/>
  </r>
  <r>
    <x v="51"/>
    <x v="2"/>
    <x v="0"/>
    <n v="62"/>
    <x v="6"/>
    <x v="17"/>
    <x v="0"/>
    <x v="6"/>
  </r>
  <r>
    <x v="52"/>
    <x v="0"/>
    <x v="1"/>
    <n v="58"/>
    <x v="3"/>
    <x v="41"/>
    <x v="1"/>
    <x v="11"/>
  </r>
  <r>
    <x v="53"/>
    <x v="0"/>
    <x v="1"/>
    <n v="56"/>
    <x v="16"/>
    <x v="41"/>
    <x v="1"/>
    <x v="11"/>
  </r>
  <r>
    <x v="54"/>
    <x v="0"/>
    <x v="1"/>
    <n v="57"/>
    <x v="3"/>
    <x v="42"/>
    <x v="1"/>
    <x v="11"/>
  </r>
  <r>
    <x v="55"/>
    <x v="3"/>
    <x v="0"/>
    <n v="62"/>
    <x v="6"/>
    <x v="16"/>
    <x v="0"/>
    <x v="0"/>
  </r>
  <r>
    <x v="56"/>
    <x v="0"/>
    <x v="0"/>
    <n v="63"/>
    <x v="9"/>
    <x v="40"/>
    <x v="0"/>
    <x v="0"/>
  </r>
  <r>
    <x v="57"/>
    <x v="1"/>
    <x v="1"/>
    <n v="61"/>
    <x v="10"/>
    <x v="25"/>
    <x v="0"/>
    <x v="5"/>
  </r>
  <r>
    <x v="58"/>
    <x v="2"/>
    <x v="0"/>
    <n v="62"/>
    <x v="7"/>
    <x v="43"/>
    <x v="0"/>
    <x v="14"/>
  </r>
  <r>
    <x v="59"/>
    <x v="2"/>
    <x v="0"/>
    <n v="62"/>
    <x v="5"/>
    <x v="44"/>
    <x v="1"/>
    <x v="8"/>
  </r>
  <r>
    <x v="60"/>
    <x v="0"/>
    <x v="1"/>
    <n v="57"/>
    <x v="8"/>
    <x v="44"/>
    <x v="1"/>
    <x v="14"/>
  </r>
  <r>
    <x v="61"/>
    <x v="0"/>
    <x v="1"/>
    <n v="59"/>
    <x v="10"/>
    <x v="44"/>
    <x v="1"/>
    <x v="11"/>
  </r>
  <r>
    <x v="62"/>
    <x v="0"/>
    <x v="0"/>
    <n v="64"/>
    <x v="2"/>
    <x v="45"/>
    <x v="1"/>
    <x v="1"/>
  </r>
  <r>
    <x v="63"/>
    <x v="1"/>
    <x v="0"/>
    <n v="63"/>
    <x v="2"/>
    <x v="46"/>
    <x v="0"/>
    <x v="0"/>
  </r>
  <r>
    <x v="64"/>
    <x v="2"/>
    <x v="0"/>
    <n v="68"/>
    <x v="6"/>
    <x v="47"/>
    <x v="0"/>
    <x v="9"/>
  </r>
  <r>
    <x v="65"/>
    <x v="0"/>
    <x v="1"/>
    <n v="57"/>
    <x v="10"/>
    <x v="48"/>
    <x v="2"/>
    <x v="3"/>
  </r>
  <r>
    <x v="66"/>
    <x v="2"/>
    <x v="0"/>
    <n v="60"/>
    <x v="0"/>
    <x v="39"/>
    <x v="0"/>
    <x v="8"/>
  </r>
  <r>
    <x v="67"/>
    <x v="0"/>
    <x v="1"/>
    <n v="57"/>
    <x v="3"/>
    <x v="13"/>
    <x v="0"/>
    <x v="6"/>
  </r>
  <r>
    <x v="68"/>
    <x v="0"/>
    <x v="0"/>
    <n v="62"/>
    <x v="6"/>
    <x v="49"/>
    <x v="0"/>
    <x v="6"/>
  </r>
  <r>
    <x v="69"/>
    <x v="0"/>
    <x v="1"/>
    <n v="59"/>
    <x v="10"/>
    <x v="13"/>
    <x v="0"/>
    <x v="1"/>
  </r>
  <r>
    <x v="70"/>
    <x v="0"/>
    <x v="0"/>
    <n v="68"/>
    <x v="17"/>
    <x v="50"/>
    <x v="1"/>
    <x v="12"/>
  </r>
  <r>
    <x v="71"/>
    <x v="2"/>
    <x v="0"/>
    <n v="64"/>
    <x v="2"/>
    <x v="51"/>
    <x v="1"/>
    <x v="0"/>
  </r>
  <r>
    <x v="72"/>
    <x v="0"/>
    <x v="0"/>
    <n v="62"/>
    <x v="5"/>
    <x v="52"/>
    <x v="1"/>
    <x v="2"/>
  </r>
  <r>
    <x v="73"/>
    <x v="2"/>
    <x v="0"/>
    <n v="62"/>
    <x v="7"/>
    <x v="38"/>
    <x v="0"/>
    <x v="0"/>
  </r>
  <r>
    <x v="74"/>
    <x v="2"/>
    <x v="1"/>
    <n v="58"/>
    <x v="4"/>
    <x v="30"/>
    <x v="0"/>
    <x v="1"/>
  </r>
  <r>
    <x v="75"/>
    <x v="0"/>
    <x v="1"/>
    <n v="57"/>
    <x v="5"/>
    <x v="30"/>
    <x v="0"/>
    <x v="15"/>
  </r>
  <r>
    <x v="76"/>
    <x v="0"/>
    <x v="0"/>
    <n v="65"/>
    <x v="18"/>
    <x v="53"/>
    <x v="1"/>
    <x v="1"/>
  </r>
  <r>
    <x v="77"/>
    <x v="0"/>
    <x v="1"/>
    <n v="60"/>
    <x v="4"/>
    <x v="29"/>
    <x v="0"/>
    <x v="11"/>
  </r>
  <r>
    <x v="78"/>
    <x v="0"/>
    <x v="0"/>
    <n v="66"/>
    <x v="2"/>
    <x v="54"/>
    <x v="1"/>
    <x v="1"/>
  </r>
  <r>
    <x v="79"/>
    <x v="2"/>
    <x v="0"/>
    <n v="64"/>
    <x v="2"/>
    <x v="55"/>
    <x v="0"/>
    <x v="16"/>
  </r>
  <r>
    <x v="80"/>
    <x v="0"/>
    <x v="0"/>
    <n v="58"/>
    <x v="6"/>
    <x v="16"/>
    <x v="0"/>
    <x v="6"/>
  </r>
  <r>
    <x v="81"/>
    <x v="0"/>
    <x v="0"/>
    <n v="64"/>
    <x v="2"/>
    <x v="29"/>
    <x v="0"/>
    <x v="1"/>
  </r>
  <r>
    <x v="82"/>
    <x v="0"/>
    <x v="1"/>
    <n v="58"/>
    <x v="0"/>
    <x v="56"/>
    <x v="0"/>
    <x v="8"/>
  </r>
  <r>
    <x v="83"/>
    <x v="0"/>
    <x v="1"/>
    <n v="58"/>
    <x v="5"/>
    <x v="57"/>
    <x v="1"/>
    <x v="1"/>
  </r>
  <r>
    <x v="84"/>
    <x v="0"/>
    <x v="0"/>
    <n v="66"/>
    <x v="19"/>
    <x v="58"/>
    <x v="1"/>
    <x v="1"/>
  </r>
  <r>
    <x v="85"/>
    <x v="1"/>
    <x v="1"/>
    <n v="58"/>
    <x v="0"/>
    <x v="59"/>
    <x v="0"/>
    <x v="8"/>
  </r>
  <r>
    <x v="86"/>
    <x v="0"/>
    <x v="0"/>
    <n v="61"/>
    <x v="9"/>
    <x v="60"/>
    <x v="1"/>
    <x v="1"/>
  </r>
  <r>
    <x v="87"/>
    <x v="2"/>
    <x v="0"/>
    <n v="64"/>
    <x v="2"/>
    <x v="61"/>
    <x v="0"/>
    <x v="1"/>
  </r>
  <r>
    <x v="88"/>
    <x v="0"/>
    <x v="0"/>
    <n v="60"/>
    <x v="6"/>
    <x v="62"/>
    <x v="0"/>
    <x v="0"/>
  </r>
  <r>
    <x v="89"/>
    <x v="0"/>
    <x v="0"/>
    <n v="66"/>
    <x v="19"/>
    <x v="63"/>
    <x v="0"/>
    <x v="1"/>
  </r>
  <r>
    <x v="90"/>
    <x v="3"/>
    <x v="0"/>
    <n v="64"/>
    <x v="2"/>
    <x v="64"/>
    <x v="0"/>
    <x v="12"/>
  </r>
  <r>
    <x v="91"/>
    <x v="1"/>
    <x v="0"/>
    <n v="65"/>
    <x v="20"/>
    <x v="64"/>
    <x v="0"/>
    <x v="12"/>
  </r>
  <r>
    <x v="92"/>
    <x v="2"/>
    <x v="0"/>
    <n v="64"/>
    <x v="2"/>
    <x v="4"/>
    <x v="0"/>
    <x v="9"/>
  </r>
  <r>
    <x v="93"/>
    <x v="0"/>
    <x v="0"/>
    <n v="64"/>
    <x v="6"/>
    <x v="13"/>
    <x v="0"/>
    <x v="1"/>
  </r>
  <r>
    <x v="94"/>
    <x v="0"/>
    <x v="0"/>
    <n v="64"/>
    <x v="2"/>
    <x v="65"/>
    <x v="0"/>
    <x v="0"/>
  </r>
  <r>
    <x v="95"/>
    <x v="0"/>
    <x v="0"/>
    <n v="62"/>
    <x v="6"/>
    <x v="13"/>
    <x v="0"/>
    <x v="0"/>
  </r>
  <r>
    <x v="96"/>
    <x v="0"/>
    <x v="1"/>
    <n v="60"/>
    <x v="4"/>
    <x v="13"/>
    <x v="0"/>
    <x v="8"/>
  </r>
  <r>
    <x v="97"/>
    <x v="2"/>
    <x v="1"/>
    <n v="58"/>
    <x v="10"/>
    <x v="66"/>
    <x v="1"/>
    <x v="1"/>
  </r>
  <r>
    <x v="98"/>
    <x v="2"/>
    <x v="0"/>
    <n v="62"/>
    <x v="6"/>
    <x v="67"/>
    <x v="1"/>
    <x v="1"/>
  </r>
  <r>
    <x v="99"/>
    <x v="2"/>
    <x v="0"/>
    <n v="64"/>
    <x v="6"/>
    <x v="68"/>
    <x v="1"/>
    <x v="1"/>
  </r>
  <r>
    <x v="100"/>
    <x v="0"/>
    <x v="0"/>
    <n v="64"/>
    <x v="2"/>
    <x v="68"/>
    <x v="1"/>
    <x v="1"/>
  </r>
  <r>
    <x v="101"/>
    <x v="2"/>
    <x v="0"/>
    <n v="62"/>
    <x v="6"/>
    <x v="69"/>
    <x v="0"/>
    <x v="11"/>
  </r>
  <r>
    <x v="102"/>
    <x v="2"/>
    <x v="0"/>
    <n v="64"/>
    <x v="7"/>
    <x v="70"/>
    <x v="1"/>
    <x v="1"/>
  </r>
  <r>
    <x v="103"/>
    <x v="2"/>
    <x v="0"/>
    <n v="62"/>
    <x v="6"/>
    <x v="71"/>
    <x v="0"/>
    <x v="1"/>
  </r>
  <r>
    <x v="104"/>
    <x v="2"/>
    <x v="0"/>
    <n v="64"/>
    <x v="2"/>
    <x v="72"/>
    <x v="0"/>
    <x v="12"/>
  </r>
  <r>
    <x v="105"/>
    <x v="0"/>
    <x v="0"/>
    <n v="62"/>
    <x v="6"/>
    <x v="39"/>
    <x v="0"/>
    <x v="0"/>
  </r>
  <r>
    <x v="106"/>
    <x v="0"/>
    <x v="1"/>
    <n v="50"/>
    <x v="3"/>
    <x v="61"/>
    <x v="0"/>
    <x v="17"/>
  </r>
  <r>
    <x v="107"/>
    <x v="0"/>
    <x v="1"/>
    <n v="54"/>
    <x v="15"/>
    <x v="17"/>
    <x v="0"/>
    <x v="17"/>
  </r>
  <r>
    <x v="108"/>
    <x v="0"/>
    <x v="0"/>
    <n v="63"/>
    <x v="1"/>
    <x v="13"/>
    <x v="0"/>
    <x v="1"/>
  </r>
  <r>
    <x v="109"/>
    <x v="0"/>
    <x v="0"/>
    <n v="62"/>
    <x v="6"/>
    <x v="38"/>
    <x v="0"/>
    <x v="0"/>
  </r>
  <r>
    <x v="110"/>
    <x v="0"/>
    <x v="1"/>
    <n v="59"/>
    <x v="3"/>
    <x v="46"/>
    <x v="0"/>
    <x v="0"/>
  </r>
  <r>
    <x v="111"/>
    <x v="1"/>
    <x v="0"/>
    <n v="64"/>
    <x v="20"/>
    <x v="73"/>
    <x v="1"/>
    <x v="2"/>
  </r>
  <r>
    <x v="112"/>
    <x v="1"/>
    <x v="0"/>
    <n v="62"/>
    <x v="6"/>
    <x v="61"/>
    <x v="0"/>
    <x v="1"/>
  </r>
  <r>
    <x v="113"/>
    <x v="1"/>
    <x v="0"/>
    <n v="60"/>
    <x v="6"/>
    <x v="74"/>
    <x v="0"/>
    <x v="0"/>
  </r>
  <r>
    <x v="114"/>
    <x v="2"/>
    <x v="0"/>
    <n v="66"/>
    <x v="21"/>
    <x v="61"/>
    <x v="0"/>
    <x v="1"/>
  </r>
  <r>
    <x v="115"/>
    <x v="0"/>
    <x v="0"/>
    <n v="62"/>
    <x v="6"/>
    <x v="75"/>
    <x v="0"/>
    <x v="6"/>
  </r>
  <r>
    <x v="116"/>
    <x v="0"/>
    <x v="0"/>
    <n v="58"/>
    <x v="2"/>
    <x v="39"/>
    <x v="0"/>
    <x v="6"/>
  </r>
  <r>
    <x v="117"/>
    <x v="0"/>
    <x v="0"/>
    <n v="68"/>
    <x v="17"/>
    <x v="46"/>
    <x v="0"/>
    <x v="16"/>
  </r>
  <r>
    <x v="118"/>
    <x v="0"/>
    <x v="0"/>
    <n v="64"/>
    <x v="2"/>
    <x v="30"/>
    <x v="0"/>
    <x v="0"/>
  </r>
  <r>
    <x v="119"/>
    <x v="0"/>
    <x v="0"/>
    <n v="60"/>
    <x v="0"/>
    <x v="61"/>
    <x v="3"/>
    <x v="11"/>
  </r>
  <r>
    <x v="120"/>
    <x v="0"/>
    <x v="0"/>
    <n v="62"/>
    <x v="6"/>
    <x v="76"/>
    <x v="0"/>
    <x v="6"/>
  </r>
  <r>
    <x v="121"/>
    <x v="0"/>
    <x v="1"/>
    <n v="58"/>
    <x v="5"/>
    <x v="17"/>
    <x v="0"/>
    <x v="16"/>
  </r>
  <r>
    <x v="122"/>
    <x v="0"/>
    <x v="1"/>
    <n v="60"/>
    <x v="5"/>
    <x v="77"/>
    <x v="1"/>
    <x v="8"/>
  </r>
  <r>
    <x v="123"/>
    <x v="0"/>
    <x v="0"/>
    <n v="64"/>
    <x v="7"/>
    <x v="78"/>
    <x v="1"/>
    <x v="1"/>
  </r>
  <r>
    <x v="124"/>
    <x v="2"/>
    <x v="0"/>
    <n v="60"/>
    <x v="2"/>
    <x v="79"/>
    <x v="0"/>
    <x v="6"/>
  </r>
  <r>
    <x v="125"/>
    <x v="0"/>
    <x v="0"/>
    <n v="62"/>
    <x v="7"/>
    <x v="19"/>
    <x v="0"/>
    <x v="6"/>
  </r>
  <r>
    <x v="126"/>
    <x v="0"/>
    <x v="0"/>
    <n v="66"/>
    <x v="2"/>
    <x v="16"/>
    <x v="0"/>
    <x v="18"/>
  </r>
  <r>
    <x v="127"/>
    <x v="0"/>
    <x v="0"/>
    <n v="62"/>
    <x v="5"/>
    <x v="13"/>
    <x v="0"/>
    <x v="8"/>
  </r>
  <r>
    <x v="128"/>
    <x v="0"/>
    <x v="0"/>
    <n v="60"/>
    <x v="0"/>
    <x v="46"/>
    <x v="0"/>
    <x v="5"/>
  </r>
  <r>
    <x v="129"/>
    <x v="0"/>
    <x v="1"/>
    <n v="58"/>
    <x v="0"/>
    <x v="16"/>
    <x v="0"/>
    <x v="0"/>
  </r>
  <r>
    <x v="130"/>
    <x v="0"/>
    <x v="0"/>
    <n v="64"/>
    <x v="7"/>
    <x v="16"/>
    <x v="0"/>
    <x v="6"/>
  </r>
  <r>
    <x v="131"/>
    <x v="0"/>
    <x v="1"/>
    <n v="56"/>
    <x v="12"/>
    <x v="80"/>
    <x v="0"/>
    <x v="7"/>
  </r>
  <r>
    <x v="132"/>
    <x v="0"/>
    <x v="0"/>
    <n v="66"/>
    <x v="20"/>
    <x v="81"/>
    <x v="1"/>
    <x v="1"/>
  </r>
  <r>
    <x v="133"/>
    <x v="3"/>
    <x v="0"/>
    <n v="64"/>
    <x v="2"/>
    <x v="82"/>
    <x v="1"/>
    <x v="12"/>
  </r>
  <r>
    <x v="134"/>
    <x v="2"/>
    <x v="0"/>
    <n v="70"/>
    <x v="17"/>
    <x v="83"/>
    <x v="4"/>
    <x v="0"/>
  </r>
  <r>
    <x v="135"/>
    <x v="0"/>
    <x v="0"/>
    <n v="66"/>
    <x v="2"/>
    <x v="13"/>
    <x v="0"/>
    <x v="1"/>
  </r>
  <r>
    <x v="136"/>
    <x v="0"/>
    <x v="0"/>
    <n v="62"/>
    <x v="6"/>
    <x v="84"/>
    <x v="0"/>
    <x v="12"/>
  </r>
  <r>
    <x v="137"/>
    <x v="3"/>
    <x v="0"/>
    <n v="66"/>
    <x v="2"/>
    <x v="85"/>
    <x v="0"/>
    <x v="12"/>
  </r>
  <r>
    <x v="138"/>
    <x v="1"/>
    <x v="0"/>
    <n v="67"/>
    <x v="17"/>
    <x v="86"/>
    <x v="0"/>
    <x v="9"/>
  </r>
  <r>
    <x v="139"/>
    <x v="1"/>
    <x v="0"/>
    <n v="64"/>
    <x v="2"/>
    <x v="86"/>
    <x v="0"/>
    <x v="9"/>
  </r>
  <r>
    <x v="140"/>
    <x v="1"/>
    <x v="0"/>
    <n v="62"/>
    <x v="2"/>
    <x v="87"/>
    <x v="0"/>
    <x v="0"/>
  </r>
  <r>
    <x v="141"/>
    <x v="2"/>
    <x v="0"/>
    <n v="66"/>
    <x v="21"/>
    <x v="87"/>
    <x v="0"/>
    <x v="0"/>
  </r>
  <r>
    <x v="142"/>
    <x v="3"/>
    <x v="0"/>
    <n v="64"/>
    <x v="2"/>
    <x v="88"/>
    <x v="1"/>
    <x v="12"/>
  </r>
  <r>
    <x v="143"/>
    <x v="2"/>
    <x v="0"/>
    <n v="66"/>
    <x v="6"/>
    <x v="89"/>
    <x v="0"/>
    <x v="8"/>
  </r>
  <r>
    <x v="144"/>
    <x v="0"/>
    <x v="0"/>
    <n v="62"/>
    <x v="5"/>
    <x v="20"/>
    <x v="0"/>
    <x v="6"/>
  </r>
  <r>
    <x v="145"/>
    <x v="0"/>
    <x v="0"/>
    <n v="64"/>
    <x v="6"/>
    <x v="89"/>
    <x v="0"/>
    <x v="1"/>
  </r>
  <r>
    <x v="146"/>
    <x v="1"/>
    <x v="2"/>
    <n v="44"/>
    <x v="22"/>
    <x v="90"/>
    <x v="1"/>
    <x v="8"/>
  </r>
  <r>
    <x v="147"/>
    <x v="1"/>
    <x v="2"/>
    <n v="46"/>
    <x v="15"/>
    <x v="91"/>
    <x v="1"/>
    <x v="8"/>
  </r>
  <r>
    <x v="148"/>
    <x v="1"/>
    <x v="2"/>
    <n v="50"/>
    <x v="13"/>
    <x v="39"/>
    <x v="3"/>
    <x v="11"/>
  </r>
  <r>
    <x v="149"/>
    <x v="4"/>
    <x v="1"/>
    <n v="54"/>
    <x v="6"/>
    <x v="92"/>
    <x v="0"/>
    <x v="17"/>
  </r>
  <r>
    <x v="150"/>
    <x v="3"/>
    <x v="1"/>
    <n v="58"/>
    <x v="5"/>
    <x v="8"/>
    <x v="1"/>
    <x v="8"/>
  </r>
  <r>
    <x v="151"/>
    <x v="1"/>
    <x v="0"/>
    <n v="58"/>
    <x v="6"/>
    <x v="93"/>
    <x v="0"/>
    <x v="9"/>
  </r>
  <r>
    <x v="152"/>
    <x v="1"/>
    <x v="0"/>
    <n v="64"/>
    <x v="6"/>
    <x v="28"/>
    <x v="0"/>
    <x v="0"/>
  </r>
  <r>
    <x v="153"/>
    <x v="2"/>
    <x v="0"/>
    <n v="60"/>
    <x v="0"/>
    <x v="24"/>
    <x v="1"/>
    <x v="1"/>
  </r>
  <r>
    <x v="154"/>
    <x v="2"/>
    <x v="0"/>
    <n v="57"/>
    <x v="2"/>
    <x v="24"/>
    <x v="1"/>
    <x v="1"/>
  </r>
  <r>
    <x v="155"/>
    <x v="2"/>
    <x v="0"/>
    <n v="62"/>
    <x v="6"/>
    <x v="82"/>
    <x v="1"/>
    <x v="2"/>
  </r>
  <r>
    <x v="156"/>
    <x v="0"/>
    <x v="1"/>
    <n v="58"/>
    <x v="4"/>
    <x v="7"/>
    <x v="1"/>
    <x v="8"/>
  </r>
  <r>
    <x v="157"/>
    <x v="2"/>
    <x v="1"/>
    <n v="58"/>
    <x v="5"/>
    <x v="61"/>
    <x v="0"/>
    <x v="8"/>
  </r>
  <r>
    <x v="158"/>
    <x v="0"/>
    <x v="0"/>
    <n v="62"/>
    <x v="7"/>
    <x v="62"/>
    <x v="0"/>
    <x v="1"/>
  </r>
  <r>
    <x v="159"/>
    <x v="0"/>
    <x v="1"/>
    <n v="56"/>
    <x v="12"/>
    <x v="42"/>
    <x v="1"/>
    <x v="11"/>
  </r>
  <r>
    <x v="160"/>
    <x v="0"/>
    <x v="1"/>
    <n v="58"/>
    <x v="5"/>
    <x v="10"/>
    <x v="1"/>
    <x v="1"/>
  </r>
  <r>
    <x v="161"/>
    <x v="0"/>
    <x v="1"/>
    <n v="60"/>
    <x v="3"/>
    <x v="94"/>
    <x v="1"/>
    <x v="1"/>
  </r>
  <r>
    <x v="162"/>
    <x v="0"/>
    <x v="1"/>
    <n v="60"/>
    <x v="3"/>
    <x v="82"/>
    <x v="1"/>
    <x v="2"/>
  </r>
  <r>
    <x v="163"/>
    <x v="1"/>
    <x v="1"/>
    <n v="58"/>
    <x v="0"/>
    <x v="95"/>
    <x v="0"/>
    <x v="0"/>
  </r>
  <r>
    <x v="164"/>
    <x v="0"/>
    <x v="1"/>
    <n v="60"/>
    <x v="10"/>
    <x v="29"/>
    <x v="0"/>
    <x v="1"/>
  </r>
  <r>
    <x v="165"/>
    <x v="0"/>
    <x v="1"/>
    <n v="59"/>
    <x v="3"/>
    <x v="29"/>
    <x v="0"/>
    <x v="15"/>
  </r>
  <r>
    <x v="166"/>
    <x v="1"/>
    <x v="0"/>
    <n v="60"/>
    <x v="0"/>
    <x v="96"/>
    <x v="0"/>
    <x v="14"/>
  </r>
  <r>
    <x v="167"/>
    <x v="2"/>
    <x v="1"/>
    <n v="59"/>
    <x v="8"/>
    <x v="97"/>
    <x v="1"/>
    <x v="1"/>
  </r>
  <r>
    <x v="168"/>
    <x v="2"/>
    <x v="0"/>
    <n v="62"/>
    <x v="17"/>
    <x v="97"/>
    <x v="1"/>
    <x v="0"/>
  </r>
  <r>
    <x v="169"/>
    <x v="0"/>
    <x v="1"/>
    <n v="60"/>
    <x v="3"/>
    <x v="98"/>
    <x v="1"/>
    <x v="1"/>
  </r>
  <r>
    <x v="170"/>
    <x v="0"/>
    <x v="1"/>
    <n v="55"/>
    <x v="10"/>
    <x v="89"/>
    <x v="0"/>
    <x v="1"/>
  </r>
  <r>
    <x v="171"/>
    <x v="0"/>
    <x v="1"/>
    <n v="55"/>
    <x v="10"/>
    <x v="99"/>
    <x v="1"/>
    <x v="1"/>
  </r>
  <r>
    <x v="172"/>
    <x v="0"/>
    <x v="0"/>
    <n v="65"/>
    <x v="8"/>
    <x v="100"/>
    <x v="1"/>
    <x v="1"/>
  </r>
  <r>
    <x v="173"/>
    <x v="0"/>
    <x v="0"/>
    <n v="64"/>
    <x v="2"/>
    <x v="101"/>
    <x v="1"/>
    <x v="8"/>
  </r>
  <r>
    <x v="174"/>
    <x v="0"/>
    <x v="0"/>
    <n v="60"/>
    <x v="14"/>
    <x v="25"/>
    <x v="0"/>
    <x v="0"/>
  </r>
  <r>
    <x v="175"/>
    <x v="3"/>
    <x v="0"/>
    <n v="66"/>
    <x v="6"/>
    <x v="102"/>
    <x v="1"/>
    <x v="12"/>
  </r>
  <r>
    <x v="176"/>
    <x v="2"/>
    <x v="0"/>
    <n v="62"/>
    <x v="6"/>
    <x v="103"/>
    <x v="0"/>
    <x v="16"/>
  </r>
  <r>
    <x v="177"/>
    <x v="2"/>
    <x v="0"/>
    <n v="66"/>
    <x v="20"/>
    <x v="104"/>
    <x v="0"/>
    <x v="0"/>
  </r>
  <r>
    <x v="178"/>
    <x v="2"/>
    <x v="0"/>
    <n v="64"/>
    <x v="2"/>
    <x v="105"/>
    <x v="1"/>
    <x v="1"/>
  </r>
  <r>
    <x v="179"/>
    <x v="0"/>
    <x v="0"/>
    <n v="64"/>
    <x v="6"/>
    <x v="24"/>
    <x v="1"/>
    <x v="1"/>
  </r>
  <r>
    <x v="180"/>
    <x v="1"/>
    <x v="0"/>
    <n v="64"/>
    <x v="7"/>
    <x v="106"/>
    <x v="0"/>
    <x v="0"/>
  </r>
  <r>
    <x v="181"/>
    <x v="0"/>
    <x v="0"/>
    <n v="64"/>
    <x v="6"/>
    <x v="106"/>
    <x v="0"/>
    <x v="0"/>
  </r>
  <r>
    <x v="182"/>
    <x v="0"/>
    <x v="1"/>
    <n v="59"/>
    <x v="10"/>
    <x v="89"/>
    <x v="0"/>
    <x v="1"/>
  </r>
  <r>
    <x v="183"/>
    <x v="2"/>
    <x v="0"/>
    <n v="58"/>
    <x v="6"/>
    <x v="13"/>
    <x v="0"/>
    <x v="1"/>
  </r>
  <r>
    <x v="184"/>
    <x v="0"/>
    <x v="0"/>
    <n v="66"/>
    <x v="18"/>
    <x v="55"/>
    <x v="0"/>
    <x v="0"/>
  </r>
  <r>
    <x v="185"/>
    <x v="2"/>
    <x v="0"/>
    <n v="69"/>
    <x v="2"/>
    <x v="107"/>
    <x v="1"/>
    <x v="11"/>
  </r>
  <r>
    <x v="186"/>
    <x v="0"/>
    <x v="0"/>
    <n v="60"/>
    <x v="2"/>
    <x v="108"/>
    <x v="1"/>
    <x v="11"/>
  </r>
  <r>
    <x v="187"/>
    <x v="0"/>
    <x v="1"/>
    <n v="56"/>
    <x v="6"/>
    <x v="109"/>
    <x v="1"/>
    <x v="11"/>
  </r>
  <r>
    <x v="188"/>
    <x v="2"/>
    <x v="0"/>
    <n v="63"/>
    <x v="8"/>
    <x v="30"/>
    <x v="0"/>
    <x v="1"/>
  </r>
  <r>
    <x v="189"/>
    <x v="2"/>
    <x v="1"/>
    <n v="59"/>
    <x v="3"/>
    <x v="46"/>
    <x v="0"/>
    <x v="0"/>
  </r>
  <r>
    <x v="190"/>
    <x v="1"/>
    <x v="1"/>
    <n v="61"/>
    <x v="4"/>
    <x v="29"/>
    <x v="0"/>
    <x v="1"/>
  </r>
  <r>
    <x v="191"/>
    <x v="2"/>
    <x v="0"/>
    <n v="62"/>
    <x v="5"/>
    <x v="61"/>
    <x v="0"/>
    <x v="1"/>
  </r>
  <r>
    <x v="192"/>
    <x v="0"/>
    <x v="1"/>
    <n v="60"/>
    <x v="10"/>
    <x v="30"/>
    <x v="0"/>
    <x v="15"/>
  </r>
  <r>
    <x v="193"/>
    <x v="0"/>
    <x v="1"/>
    <n v="60"/>
    <x v="3"/>
    <x v="76"/>
    <x v="0"/>
    <x v="16"/>
  </r>
  <r>
    <x v="194"/>
    <x v="0"/>
    <x v="1"/>
    <n v="59"/>
    <x v="8"/>
    <x v="19"/>
    <x v="0"/>
    <x v="8"/>
  </r>
  <r>
    <x v="195"/>
    <x v="2"/>
    <x v="0"/>
    <n v="64"/>
    <x v="7"/>
    <x v="110"/>
    <x v="1"/>
    <x v="1"/>
  </r>
  <r>
    <x v="196"/>
    <x v="0"/>
    <x v="0"/>
    <n v="65"/>
    <x v="19"/>
    <x v="111"/>
    <x v="0"/>
    <x v="0"/>
  </r>
  <r>
    <x v="197"/>
    <x v="0"/>
    <x v="0"/>
    <n v="62"/>
    <x v="5"/>
    <x v="112"/>
    <x v="1"/>
    <x v="8"/>
  </r>
  <r>
    <x v="198"/>
    <x v="0"/>
    <x v="0"/>
    <n v="64"/>
    <x v="6"/>
    <x v="53"/>
    <x v="1"/>
    <x v="1"/>
  </r>
  <r>
    <x v="199"/>
    <x v="0"/>
    <x v="0"/>
    <n v="66"/>
    <x v="20"/>
    <x v="113"/>
    <x v="1"/>
    <x v="1"/>
  </r>
  <r>
    <x v="200"/>
    <x v="3"/>
    <x v="0"/>
    <n v="62"/>
    <x v="6"/>
    <x v="114"/>
    <x v="1"/>
    <x v="12"/>
  </r>
  <r>
    <x v="201"/>
    <x v="1"/>
    <x v="2"/>
    <n v="47"/>
    <x v="23"/>
    <x v="115"/>
    <x v="1"/>
    <x v="8"/>
  </r>
  <r>
    <x v="202"/>
    <x v="2"/>
    <x v="1"/>
    <n v="58"/>
    <x v="0"/>
    <x v="7"/>
    <x v="1"/>
    <x v="8"/>
  </r>
  <r>
    <x v="203"/>
    <x v="2"/>
    <x v="0"/>
    <n v="62"/>
    <x v="6"/>
    <x v="10"/>
    <x v="1"/>
    <x v="1"/>
  </r>
  <r>
    <x v="204"/>
    <x v="0"/>
    <x v="0"/>
    <n v="64"/>
    <x v="7"/>
    <x v="16"/>
    <x v="0"/>
    <x v="5"/>
  </r>
  <r>
    <x v="205"/>
    <x v="2"/>
    <x v="0"/>
    <n v="64"/>
    <x v="2"/>
    <x v="116"/>
    <x v="0"/>
    <x v="17"/>
  </r>
  <r>
    <x v="206"/>
    <x v="2"/>
    <x v="0"/>
    <n v="64"/>
    <x v="0"/>
    <x v="18"/>
    <x v="0"/>
    <x v="1"/>
  </r>
  <r>
    <x v="207"/>
    <x v="0"/>
    <x v="0"/>
    <n v="62"/>
    <x v="5"/>
    <x v="18"/>
    <x v="0"/>
    <x v="1"/>
  </r>
  <r>
    <x v="208"/>
    <x v="0"/>
    <x v="0"/>
    <n v="64"/>
    <x v="7"/>
    <x v="117"/>
    <x v="0"/>
    <x v="0"/>
  </r>
  <r>
    <x v="209"/>
    <x v="0"/>
    <x v="0"/>
    <n v="65"/>
    <x v="1"/>
    <x v="60"/>
    <x v="1"/>
    <x v="1"/>
  </r>
  <r>
    <x v="210"/>
    <x v="0"/>
    <x v="0"/>
    <n v="66"/>
    <x v="2"/>
    <x v="97"/>
    <x v="1"/>
    <x v="1"/>
  </r>
  <r>
    <x v="211"/>
    <x v="0"/>
    <x v="0"/>
    <n v="66"/>
    <x v="6"/>
    <x v="118"/>
    <x v="1"/>
    <x v="1"/>
  </r>
  <r>
    <x v="212"/>
    <x v="2"/>
    <x v="0"/>
    <n v="66"/>
    <x v="2"/>
    <x v="24"/>
    <x v="1"/>
    <x v="1"/>
  </r>
  <r>
    <x v="213"/>
    <x v="1"/>
    <x v="1"/>
    <n v="58"/>
    <x v="5"/>
    <x v="17"/>
    <x v="0"/>
    <x v="4"/>
  </r>
  <r>
    <x v="214"/>
    <x v="2"/>
    <x v="1"/>
    <n v="57"/>
    <x v="3"/>
    <x v="17"/>
    <x v="0"/>
    <x v="4"/>
  </r>
  <r>
    <x v="215"/>
    <x v="1"/>
    <x v="0"/>
    <n v="59"/>
    <x v="18"/>
    <x v="16"/>
    <x v="0"/>
    <x v="0"/>
  </r>
  <r>
    <x v="216"/>
    <x v="0"/>
    <x v="0"/>
    <n v="63"/>
    <x v="0"/>
    <x v="119"/>
    <x v="1"/>
    <x v="1"/>
  </r>
  <r>
    <x v="217"/>
    <x v="0"/>
    <x v="0"/>
    <n v="63"/>
    <x v="9"/>
    <x v="29"/>
    <x v="0"/>
    <x v="0"/>
  </r>
  <r>
    <x v="218"/>
    <x v="1"/>
    <x v="0"/>
    <n v="66"/>
    <x v="2"/>
    <x v="120"/>
    <x v="1"/>
    <x v="12"/>
  </r>
  <r>
    <x v="219"/>
    <x v="2"/>
    <x v="0"/>
    <n v="72"/>
    <x v="24"/>
    <x v="19"/>
    <x v="0"/>
    <x v="6"/>
  </r>
  <r>
    <x v="220"/>
    <x v="0"/>
    <x v="0"/>
    <n v="66"/>
    <x v="2"/>
    <x v="121"/>
    <x v="0"/>
    <x v="0"/>
  </r>
  <r>
    <x v="221"/>
    <x v="0"/>
    <x v="0"/>
    <n v="65"/>
    <x v="20"/>
    <x v="121"/>
    <x v="0"/>
    <x v="0"/>
  </r>
  <r>
    <x v="222"/>
    <x v="1"/>
    <x v="0"/>
    <n v="68"/>
    <x v="21"/>
    <x v="122"/>
    <x v="0"/>
    <x v="0"/>
  </r>
  <r>
    <x v="223"/>
    <x v="2"/>
    <x v="0"/>
    <n v="65"/>
    <x v="21"/>
    <x v="122"/>
    <x v="0"/>
    <x v="0"/>
  </r>
  <r>
    <x v="224"/>
    <x v="0"/>
    <x v="1"/>
    <n v="58"/>
    <x v="4"/>
    <x v="123"/>
    <x v="0"/>
    <x v="1"/>
  </r>
  <r>
    <x v="225"/>
    <x v="1"/>
    <x v="0"/>
    <n v="59"/>
    <x v="14"/>
    <x v="124"/>
    <x v="1"/>
    <x v="1"/>
  </r>
  <r>
    <x v="226"/>
    <x v="2"/>
    <x v="0"/>
    <n v="64"/>
    <x v="2"/>
    <x v="125"/>
    <x v="1"/>
    <x v="1"/>
  </r>
  <r>
    <x v="227"/>
    <x v="0"/>
    <x v="0"/>
    <n v="64"/>
    <x v="7"/>
    <x v="126"/>
    <x v="1"/>
    <x v="1"/>
  </r>
  <r>
    <x v="228"/>
    <x v="0"/>
    <x v="1"/>
    <n v="57"/>
    <x v="16"/>
    <x v="127"/>
    <x v="1"/>
    <x v="1"/>
  </r>
  <r>
    <x v="229"/>
    <x v="1"/>
    <x v="1"/>
    <n v="60"/>
    <x v="3"/>
    <x v="7"/>
    <x v="1"/>
    <x v="1"/>
  </r>
  <r>
    <x v="230"/>
    <x v="2"/>
    <x v="0"/>
    <n v="64"/>
    <x v="6"/>
    <x v="128"/>
    <x v="1"/>
    <x v="3"/>
  </r>
  <r>
    <x v="231"/>
    <x v="0"/>
    <x v="0"/>
    <n v="64"/>
    <x v="2"/>
    <x v="129"/>
    <x v="1"/>
    <x v="3"/>
  </r>
  <r>
    <x v="232"/>
    <x v="0"/>
    <x v="1"/>
    <n v="58"/>
    <x v="16"/>
    <x v="30"/>
    <x v="0"/>
    <x v="8"/>
  </r>
  <r>
    <x v="233"/>
    <x v="0"/>
    <x v="0"/>
    <n v="57"/>
    <x v="1"/>
    <x v="130"/>
    <x v="0"/>
    <x v="0"/>
  </r>
  <r>
    <x v="234"/>
    <x v="2"/>
    <x v="0"/>
    <n v="58"/>
    <x v="7"/>
    <x v="101"/>
    <x v="1"/>
    <x v="1"/>
  </r>
  <r>
    <x v="235"/>
    <x v="0"/>
    <x v="0"/>
    <n v="66"/>
    <x v="2"/>
    <x v="131"/>
    <x v="1"/>
    <x v="1"/>
  </r>
  <r>
    <x v="236"/>
    <x v="0"/>
    <x v="0"/>
    <n v="58"/>
    <x v="7"/>
    <x v="131"/>
    <x v="1"/>
    <x v="0"/>
  </r>
  <r>
    <x v="237"/>
    <x v="2"/>
    <x v="0"/>
    <n v="63"/>
    <x v="8"/>
    <x v="38"/>
    <x v="0"/>
    <x v="0"/>
  </r>
  <r>
    <x v="238"/>
    <x v="0"/>
    <x v="1"/>
    <n v="58"/>
    <x v="0"/>
    <x v="61"/>
    <x v="0"/>
    <x v="6"/>
  </r>
  <r>
    <x v="239"/>
    <x v="0"/>
    <x v="1"/>
    <n v="56"/>
    <x v="16"/>
    <x v="132"/>
    <x v="0"/>
    <x v="9"/>
  </r>
  <r>
    <x v="240"/>
    <x v="2"/>
    <x v="1"/>
    <n v="58"/>
    <x v="3"/>
    <x v="133"/>
    <x v="1"/>
    <x v="1"/>
  </r>
  <r>
    <x v="241"/>
    <x v="0"/>
    <x v="0"/>
    <n v="64"/>
    <x v="7"/>
    <x v="134"/>
    <x v="1"/>
    <x v="1"/>
  </r>
  <r>
    <x v="242"/>
    <x v="0"/>
    <x v="0"/>
    <n v="62"/>
    <x v="5"/>
    <x v="135"/>
    <x v="1"/>
    <x v="2"/>
  </r>
  <r>
    <x v="243"/>
    <x v="1"/>
    <x v="0"/>
    <n v="64"/>
    <x v="2"/>
    <x v="136"/>
    <x v="0"/>
    <x v="0"/>
  </r>
  <r>
    <x v="244"/>
    <x v="0"/>
    <x v="1"/>
    <n v="59"/>
    <x v="8"/>
    <x v="137"/>
    <x v="0"/>
    <x v="0"/>
  </r>
  <r>
    <x v="245"/>
    <x v="0"/>
    <x v="0"/>
    <n v="63"/>
    <x v="7"/>
    <x v="138"/>
    <x v="4"/>
    <x v="0"/>
  </r>
  <r>
    <x v="246"/>
    <x v="0"/>
    <x v="1"/>
    <n v="51"/>
    <x v="5"/>
    <x v="60"/>
    <x v="1"/>
    <x v="1"/>
  </r>
  <r>
    <x v="247"/>
    <x v="0"/>
    <x v="1"/>
    <n v="58"/>
    <x v="5"/>
    <x v="139"/>
    <x v="1"/>
    <x v="4"/>
  </r>
  <r>
    <x v="248"/>
    <x v="2"/>
    <x v="0"/>
    <n v="62"/>
    <x v="6"/>
    <x v="38"/>
    <x v="0"/>
    <x v="0"/>
  </r>
  <r>
    <x v="249"/>
    <x v="0"/>
    <x v="0"/>
    <n v="62"/>
    <x v="7"/>
    <x v="16"/>
    <x v="0"/>
    <x v="0"/>
  </r>
  <r>
    <x v="250"/>
    <x v="0"/>
    <x v="1"/>
    <n v="59"/>
    <x v="0"/>
    <x v="27"/>
    <x v="0"/>
    <x v="0"/>
  </r>
  <r>
    <x v="251"/>
    <x v="0"/>
    <x v="0"/>
    <n v="63"/>
    <x v="7"/>
    <x v="43"/>
    <x v="0"/>
    <x v="0"/>
  </r>
  <r>
    <x v="252"/>
    <x v="0"/>
    <x v="0"/>
    <n v="64"/>
    <x v="25"/>
    <x v="140"/>
    <x v="0"/>
    <x v="0"/>
  </r>
  <r>
    <x v="253"/>
    <x v="0"/>
    <x v="0"/>
    <n v="59"/>
    <x v="17"/>
    <x v="141"/>
    <x v="1"/>
    <x v="1"/>
  </r>
  <r>
    <x v="254"/>
    <x v="0"/>
    <x v="0"/>
    <n v="64"/>
    <x v="0"/>
    <x v="37"/>
    <x v="1"/>
    <x v="1"/>
  </r>
  <r>
    <x v="255"/>
    <x v="0"/>
    <x v="0"/>
    <n v="62"/>
    <x v="0"/>
    <x v="97"/>
    <x v="1"/>
    <x v="1"/>
  </r>
  <r>
    <x v="256"/>
    <x v="0"/>
    <x v="1"/>
    <n v="57"/>
    <x v="10"/>
    <x v="29"/>
    <x v="0"/>
    <x v="11"/>
  </r>
  <r>
    <x v="257"/>
    <x v="2"/>
    <x v="0"/>
    <n v="57"/>
    <x v="19"/>
    <x v="12"/>
    <x v="0"/>
    <x v="0"/>
  </r>
  <r>
    <x v="258"/>
    <x v="0"/>
    <x v="0"/>
    <n v="60"/>
    <x v="2"/>
    <x v="30"/>
    <x v="0"/>
    <x v="15"/>
  </r>
  <r>
    <x v="259"/>
    <x v="2"/>
    <x v="0"/>
    <n v="65"/>
    <x v="19"/>
    <x v="142"/>
    <x v="0"/>
    <x v="0"/>
  </r>
  <r>
    <x v="260"/>
    <x v="0"/>
    <x v="0"/>
    <n v="66"/>
    <x v="2"/>
    <x v="30"/>
    <x v="0"/>
    <x v="8"/>
  </r>
  <r>
    <x v="261"/>
    <x v="1"/>
    <x v="0"/>
    <n v="62"/>
    <x v="5"/>
    <x v="143"/>
    <x v="1"/>
    <x v="8"/>
  </r>
  <r>
    <x v="262"/>
    <x v="2"/>
    <x v="0"/>
    <n v="66"/>
    <x v="7"/>
    <x v="144"/>
    <x v="1"/>
    <x v="1"/>
  </r>
  <r>
    <x v="54"/>
    <x v="0"/>
    <x v="1"/>
    <n v="57"/>
    <x v="3"/>
    <x v="42"/>
    <x v="1"/>
    <x v="11"/>
  </r>
  <r>
    <x v="263"/>
    <x v="0"/>
    <x v="0"/>
    <n v="62"/>
    <x v="5"/>
    <x v="8"/>
    <x v="1"/>
    <x v="11"/>
  </r>
  <r>
    <x v="264"/>
    <x v="2"/>
    <x v="0"/>
    <n v="66"/>
    <x v="2"/>
    <x v="145"/>
    <x v="1"/>
    <x v="1"/>
  </r>
  <r>
    <x v="265"/>
    <x v="2"/>
    <x v="0"/>
    <n v="67"/>
    <x v="21"/>
    <x v="146"/>
    <x v="1"/>
    <x v="1"/>
  </r>
  <r>
    <x v="266"/>
    <x v="0"/>
    <x v="0"/>
    <n v="62"/>
    <x v="8"/>
    <x v="147"/>
    <x v="1"/>
    <x v="0"/>
  </r>
  <r>
    <x v="267"/>
    <x v="0"/>
    <x v="0"/>
    <n v="67"/>
    <x v="20"/>
    <x v="148"/>
    <x v="1"/>
    <x v="1"/>
  </r>
  <r>
    <x v="268"/>
    <x v="0"/>
    <x v="0"/>
    <n v="64"/>
    <x v="2"/>
    <x v="149"/>
    <x v="0"/>
    <x v="0"/>
  </r>
  <r>
    <x v="269"/>
    <x v="0"/>
    <x v="0"/>
    <n v="65"/>
    <x v="7"/>
    <x v="149"/>
    <x v="0"/>
    <x v="0"/>
  </r>
  <r>
    <x v="270"/>
    <x v="2"/>
    <x v="0"/>
    <n v="62"/>
    <x v="5"/>
    <x v="31"/>
    <x v="0"/>
    <x v="0"/>
  </r>
  <r>
    <x v="271"/>
    <x v="0"/>
    <x v="0"/>
    <n v="62"/>
    <x v="6"/>
    <x v="150"/>
    <x v="0"/>
    <x v="10"/>
  </r>
  <r>
    <x v="272"/>
    <x v="0"/>
    <x v="0"/>
    <n v="64"/>
    <x v="7"/>
    <x v="151"/>
    <x v="1"/>
    <x v="1"/>
  </r>
  <r>
    <x v="273"/>
    <x v="0"/>
    <x v="1"/>
    <n v="60"/>
    <x v="10"/>
    <x v="152"/>
    <x v="1"/>
    <x v="12"/>
  </r>
  <r>
    <x v="274"/>
    <x v="2"/>
    <x v="0"/>
    <n v="59"/>
    <x v="6"/>
    <x v="102"/>
    <x v="0"/>
    <x v="9"/>
  </r>
  <r>
    <x v="275"/>
    <x v="0"/>
    <x v="0"/>
    <n v="62"/>
    <x v="6"/>
    <x v="16"/>
    <x v="0"/>
    <x v="0"/>
  </r>
  <r>
    <x v="276"/>
    <x v="0"/>
    <x v="1"/>
    <n v="59"/>
    <x v="8"/>
    <x v="153"/>
    <x v="0"/>
    <x v="0"/>
  </r>
  <r>
    <x v="277"/>
    <x v="0"/>
    <x v="0"/>
    <n v="60"/>
    <x v="0"/>
    <x v="19"/>
    <x v="0"/>
    <x v="6"/>
  </r>
  <r>
    <x v="278"/>
    <x v="1"/>
    <x v="0"/>
    <n v="66"/>
    <x v="26"/>
    <x v="154"/>
    <x v="0"/>
    <x v="1"/>
  </r>
  <r>
    <x v="279"/>
    <x v="1"/>
    <x v="0"/>
    <n v="67"/>
    <x v="20"/>
    <x v="45"/>
    <x v="1"/>
    <x v="1"/>
  </r>
  <r>
    <x v="280"/>
    <x v="0"/>
    <x v="0"/>
    <n v="60"/>
    <x v="6"/>
    <x v="46"/>
    <x v="0"/>
    <x v="5"/>
  </r>
  <r>
    <x v="281"/>
    <x v="0"/>
    <x v="1"/>
    <n v="61"/>
    <x v="10"/>
    <x v="46"/>
    <x v="0"/>
    <x v="0"/>
  </r>
  <r>
    <x v="282"/>
    <x v="0"/>
    <x v="1"/>
    <n v="56"/>
    <x v="10"/>
    <x v="62"/>
    <x v="0"/>
    <x v="15"/>
  </r>
  <r>
    <x v="283"/>
    <x v="0"/>
    <x v="1"/>
    <n v="59"/>
    <x v="3"/>
    <x v="155"/>
    <x v="0"/>
    <x v="10"/>
  </r>
  <r>
    <x v="284"/>
    <x v="2"/>
    <x v="0"/>
    <n v="66"/>
    <x v="20"/>
    <x v="156"/>
    <x v="0"/>
    <x v="0"/>
  </r>
  <r>
    <x v="285"/>
    <x v="0"/>
    <x v="0"/>
    <n v="75"/>
    <x v="20"/>
    <x v="91"/>
    <x v="1"/>
    <x v="0"/>
  </r>
  <r>
    <x v="286"/>
    <x v="0"/>
    <x v="0"/>
    <n v="66"/>
    <x v="14"/>
    <x v="17"/>
    <x v="0"/>
    <x v="0"/>
  </r>
  <r>
    <x v="287"/>
    <x v="0"/>
    <x v="0"/>
    <n v="62"/>
    <x v="6"/>
    <x v="157"/>
    <x v="0"/>
    <x v="0"/>
  </r>
  <r>
    <x v="208"/>
    <x v="2"/>
    <x v="0"/>
    <n v="62"/>
    <x v="5"/>
    <x v="117"/>
    <x v="0"/>
    <x v="0"/>
  </r>
  <r>
    <x v="288"/>
    <x v="0"/>
    <x v="0"/>
    <n v="66"/>
    <x v="2"/>
    <x v="39"/>
    <x v="0"/>
    <x v="0"/>
  </r>
  <r>
    <x v="289"/>
    <x v="0"/>
    <x v="1"/>
    <n v="59"/>
    <x v="0"/>
    <x v="158"/>
    <x v="0"/>
    <x v="0"/>
  </r>
  <r>
    <x v="290"/>
    <x v="0"/>
    <x v="1"/>
    <n v="59"/>
    <x v="8"/>
    <x v="159"/>
    <x v="1"/>
    <x v="1"/>
  </r>
  <r>
    <x v="291"/>
    <x v="0"/>
    <x v="0"/>
    <n v="65"/>
    <x v="1"/>
    <x v="160"/>
    <x v="1"/>
    <x v="0"/>
  </r>
  <r>
    <x v="292"/>
    <x v="2"/>
    <x v="0"/>
    <n v="66"/>
    <x v="21"/>
    <x v="45"/>
    <x v="1"/>
    <x v="0"/>
  </r>
  <r>
    <x v="293"/>
    <x v="1"/>
    <x v="0"/>
    <n v="64"/>
    <x v="7"/>
    <x v="86"/>
    <x v="0"/>
    <x v="9"/>
  </r>
  <r>
    <x v="294"/>
    <x v="2"/>
    <x v="1"/>
    <n v="58"/>
    <x v="0"/>
    <x v="161"/>
    <x v="0"/>
    <x v="9"/>
  </r>
  <r>
    <x v="87"/>
    <x v="2"/>
    <x v="0"/>
    <n v="65"/>
    <x v="7"/>
    <x v="61"/>
    <x v="0"/>
    <x v="1"/>
  </r>
  <r>
    <x v="295"/>
    <x v="0"/>
    <x v="0"/>
    <n v="62"/>
    <x v="7"/>
    <x v="22"/>
    <x v="1"/>
    <x v="1"/>
  </r>
  <r>
    <x v="296"/>
    <x v="0"/>
    <x v="0"/>
    <n v="62"/>
    <x v="5"/>
    <x v="13"/>
    <x v="0"/>
    <x v="8"/>
  </r>
  <r>
    <x v="297"/>
    <x v="2"/>
    <x v="0"/>
    <n v="66"/>
    <x v="27"/>
    <x v="162"/>
    <x v="0"/>
    <x v="0"/>
  </r>
  <r>
    <x v="298"/>
    <x v="0"/>
    <x v="2"/>
    <n v="45"/>
    <x v="28"/>
    <x v="163"/>
    <x v="1"/>
    <x v="6"/>
  </r>
  <r>
    <x v="299"/>
    <x v="0"/>
    <x v="0"/>
    <n v="68"/>
    <x v="20"/>
    <x v="164"/>
    <x v="1"/>
    <x v="1"/>
  </r>
  <r>
    <x v="300"/>
    <x v="2"/>
    <x v="0"/>
    <n v="60"/>
    <x v="6"/>
    <x v="29"/>
    <x v="0"/>
    <x v="1"/>
  </r>
  <r>
    <x v="301"/>
    <x v="2"/>
    <x v="0"/>
    <n v="64"/>
    <x v="7"/>
    <x v="133"/>
    <x v="1"/>
    <x v="1"/>
  </r>
  <r>
    <x v="302"/>
    <x v="0"/>
    <x v="1"/>
    <n v="58"/>
    <x v="4"/>
    <x v="86"/>
    <x v="1"/>
    <x v="1"/>
  </r>
  <r>
    <x v="303"/>
    <x v="0"/>
    <x v="0"/>
    <n v="64"/>
    <x v="0"/>
    <x v="3"/>
    <x v="1"/>
    <x v="1"/>
  </r>
  <r>
    <x v="304"/>
    <x v="0"/>
    <x v="0"/>
    <n v="62"/>
    <x v="6"/>
    <x v="152"/>
    <x v="1"/>
    <x v="1"/>
  </r>
  <r>
    <x v="305"/>
    <x v="0"/>
    <x v="1"/>
    <n v="56"/>
    <x v="12"/>
    <x v="68"/>
    <x v="1"/>
    <x v="11"/>
  </r>
  <r>
    <x v="306"/>
    <x v="0"/>
    <x v="0"/>
    <n v="62"/>
    <x v="0"/>
    <x v="4"/>
    <x v="1"/>
    <x v="8"/>
  </r>
  <r>
    <x v="307"/>
    <x v="0"/>
    <x v="0"/>
    <n v="64"/>
    <x v="0"/>
    <x v="89"/>
    <x v="0"/>
    <x v="0"/>
  </r>
  <r>
    <x v="308"/>
    <x v="0"/>
    <x v="1"/>
    <n v="60"/>
    <x v="4"/>
    <x v="89"/>
    <x v="0"/>
    <x v="11"/>
  </r>
  <r>
    <x v="309"/>
    <x v="2"/>
    <x v="0"/>
    <n v="67"/>
    <x v="2"/>
    <x v="165"/>
    <x v="0"/>
    <x v="0"/>
  </r>
  <r>
    <x v="310"/>
    <x v="2"/>
    <x v="1"/>
    <n v="52"/>
    <x v="12"/>
    <x v="166"/>
    <x v="1"/>
    <x v="0"/>
  </r>
  <r>
    <x v="311"/>
    <x v="2"/>
    <x v="0"/>
    <n v="60"/>
    <x v="6"/>
    <x v="39"/>
    <x v="0"/>
    <x v="0"/>
  </r>
  <r>
    <x v="312"/>
    <x v="0"/>
    <x v="0"/>
    <n v="65"/>
    <x v="9"/>
    <x v="167"/>
    <x v="1"/>
    <x v="1"/>
  </r>
  <r>
    <x v="313"/>
    <x v="0"/>
    <x v="0"/>
    <n v="62"/>
    <x v="14"/>
    <x v="168"/>
    <x v="1"/>
    <x v="1"/>
  </r>
  <r>
    <x v="314"/>
    <x v="0"/>
    <x v="2"/>
    <n v="50"/>
    <x v="29"/>
    <x v="16"/>
    <x v="1"/>
    <x v="0"/>
  </r>
  <r>
    <x v="315"/>
    <x v="0"/>
    <x v="1"/>
    <n v="58"/>
    <x v="12"/>
    <x v="169"/>
    <x v="0"/>
    <x v="9"/>
  </r>
  <r>
    <x v="316"/>
    <x v="0"/>
    <x v="0"/>
    <n v="66"/>
    <x v="25"/>
    <x v="29"/>
    <x v="0"/>
    <x v="16"/>
  </r>
  <r>
    <x v="317"/>
    <x v="0"/>
    <x v="1"/>
    <n v="57"/>
    <x v="12"/>
    <x v="50"/>
    <x v="1"/>
    <x v="0"/>
  </r>
  <r>
    <x v="318"/>
    <x v="0"/>
    <x v="0"/>
    <n v="62"/>
    <x v="8"/>
    <x v="170"/>
    <x v="0"/>
    <x v="0"/>
  </r>
  <r>
    <x v="319"/>
    <x v="0"/>
    <x v="2"/>
    <n v="40"/>
    <x v="30"/>
    <x v="105"/>
    <x v="1"/>
    <x v="10"/>
  </r>
  <r>
    <x v="320"/>
    <x v="0"/>
    <x v="0"/>
    <n v="62"/>
    <x v="6"/>
    <x v="16"/>
    <x v="0"/>
    <x v="0"/>
  </r>
  <r>
    <x v="321"/>
    <x v="0"/>
    <x v="2"/>
    <n v="41"/>
    <x v="16"/>
    <x v="13"/>
    <x v="0"/>
    <x v="1"/>
  </r>
  <r>
    <x v="322"/>
    <x v="2"/>
    <x v="0"/>
    <n v="59"/>
    <x v="7"/>
    <x v="20"/>
    <x v="0"/>
    <x v="0"/>
  </r>
  <r>
    <x v="323"/>
    <x v="0"/>
    <x v="1"/>
    <n v="54"/>
    <x v="4"/>
    <x v="79"/>
    <x v="0"/>
    <x v="1"/>
  </r>
  <r>
    <x v="324"/>
    <x v="2"/>
    <x v="0"/>
    <n v="65"/>
    <x v="8"/>
    <x v="171"/>
    <x v="0"/>
    <x v="0"/>
  </r>
  <r>
    <x v="325"/>
    <x v="2"/>
    <x v="0"/>
    <n v="65"/>
    <x v="8"/>
    <x v="172"/>
    <x v="0"/>
    <x v="9"/>
  </r>
  <r>
    <x v="326"/>
    <x v="0"/>
    <x v="0"/>
    <n v="64"/>
    <x v="6"/>
    <x v="173"/>
    <x v="0"/>
    <x v="0"/>
  </r>
  <r>
    <x v="327"/>
    <x v="2"/>
    <x v="1"/>
    <n v="60"/>
    <x v="4"/>
    <x v="46"/>
    <x v="0"/>
    <x v="1"/>
  </r>
  <r>
    <x v="328"/>
    <x v="0"/>
    <x v="0"/>
    <n v="64"/>
    <x v="7"/>
    <x v="18"/>
    <x v="0"/>
    <x v="0"/>
  </r>
  <r>
    <x v="329"/>
    <x v="2"/>
    <x v="0"/>
    <n v="64"/>
    <x v="5"/>
    <x v="91"/>
    <x v="1"/>
    <x v="0"/>
  </r>
  <r>
    <x v="330"/>
    <x v="0"/>
    <x v="1"/>
    <n v="60"/>
    <x v="5"/>
    <x v="115"/>
    <x v="1"/>
    <x v="8"/>
  </r>
  <r>
    <x v="331"/>
    <x v="0"/>
    <x v="0"/>
    <n v="62"/>
    <x v="6"/>
    <x v="91"/>
    <x v="1"/>
    <x v="0"/>
  </r>
  <r>
    <x v="332"/>
    <x v="2"/>
    <x v="1"/>
    <n v="59"/>
    <x v="3"/>
    <x v="30"/>
    <x v="0"/>
    <x v="15"/>
  </r>
  <r>
    <x v="333"/>
    <x v="2"/>
    <x v="0"/>
    <n v="62"/>
    <x v="0"/>
    <x v="174"/>
    <x v="1"/>
    <x v="0"/>
  </r>
  <r>
    <x v="334"/>
    <x v="0"/>
    <x v="0"/>
    <n v="62"/>
    <x v="5"/>
    <x v="60"/>
    <x v="1"/>
    <x v="8"/>
  </r>
  <r>
    <x v="258"/>
    <x v="0"/>
    <x v="1"/>
    <n v="59"/>
    <x v="3"/>
    <x v="30"/>
    <x v="0"/>
    <x v="15"/>
  </r>
  <r>
    <x v="335"/>
    <x v="0"/>
    <x v="0"/>
    <n v="67"/>
    <x v="7"/>
    <x v="175"/>
    <x v="1"/>
    <x v="1"/>
  </r>
  <r>
    <x v="336"/>
    <x v="0"/>
    <x v="0"/>
    <n v="62"/>
    <x v="5"/>
    <x v="18"/>
    <x v="0"/>
    <x v="8"/>
  </r>
  <r>
    <x v="69"/>
    <x v="0"/>
    <x v="1"/>
    <n v="58"/>
    <x v="3"/>
    <x v="155"/>
    <x v="0"/>
    <x v="1"/>
  </r>
  <r>
    <x v="337"/>
    <x v="0"/>
    <x v="1"/>
    <n v="56"/>
    <x v="5"/>
    <x v="176"/>
    <x v="1"/>
    <x v="0"/>
  </r>
  <r>
    <x v="338"/>
    <x v="0"/>
    <x v="0"/>
    <n v="63"/>
    <x v="8"/>
    <x v="177"/>
    <x v="1"/>
    <x v="1"/>
  </r>
  <r>
    <x v="339"/>
    <x v="0"/>
    <x v="0"/>
    <n v="63"/>
    <x v="8"/>
    <x v="178"/>
    <x v="0"/>
    <x v="11"/>
  </r>
  <r>
    <x v="340"/>
    <x v="2"/>
    <x v="1"/>
    <n v="58"/>
    <x v="5"/>
    <x v="179"/>
    <x v="0"/>
    <x v="6"/>
  </r>
  <r>
    <x v="341"/>
    <x v="2"/>
    <x v="2"/>
    <n v="44"/>
    <x v="28"/>
    <x v="14"/>
    <x v="1"/>
    <x v="8"/>
  </r>
  <r>
    <x v="342"/>
    <x v="0"/>
    <x v="1"/>
    <n v="60"/>
    <x v="4"/>
    <x v="13"/>
    <x v="0"/>
    <x v="8"/>
  </r>
  <r>
    <x v="343"/>
    <x v="2"/>
    <x v="0"/>
    <n v="64"/>
    <x v="6"/>
    <x v="20"/>
    <x v="0"/>
    <x v="0"/>
  </r>
  <r>
    <x v="344"/>
    <x v="0"/>
    <x v="0"/>
    <n v="62"/>
    <x v="5"/>
    <x v="61"/>
    <x v="0"/>
    <x v="1"/>
  </r>
  <r>
    <x v="345"/>
    <x v="0"/>
    <x v="0"/>
    <n v="64"/>
    <x v="7"/>
    <x v="61"/>
    <x v="0"/>
    <x v="11"/>
  </r>
  <r>
    <x v="346"/>
    <x v="0"/>
    <x v="1"/>
    <n v="60"/>
    <x v="4"/>
    <x v="13"/>
    <x v="0"/>
    <x v="15"/>
  </r>
  <r>
    <x v="347"/>
    <x v="0"/>
    <x v="0"/>
    <n v="64"/>
    <x v="6"/>
    <x v="49"/>
    <x v="0"/>
    <x v="6"/>
  </r>
  <r>
    <x v="348"/>
    <x v="2"/>
    <x v="0"/>
    <n v="60"/>
    <x v="0"/>
    <x v="172"/>
    <x v="0"/>
    <x v="9"/>
  </r>
  <r>
    <x v="349"/>
    <x v="2"/>
    <x v="1"/>
    <n v="61"/>
    <x v="5"/>
    <x v="16"/>
    <x v="0"/>
    <x v="0"/>
  </r>
  <r>
    <x v="350"/>
    <x v="0"/>
    <x v="1"/>
    <n v="56"/>
    <x v="6"/>
    <x v="118"/>
    <x v="1"/>
    <x v="1"/>
  </r>
  <r>
    <x v="351"/>
    <x v="0"/>
    <x v="0"/>
    <n v="65"/>
    <x v="6"/>
    <x v="173"/>
    <x v="0"/>
    <x v="12"/>
  </r>
  <r>
    <x v="352"/>
    <x v="0"/>
    <x v="0"/>
    <n v="74"/>
    <x v="31"/>
    <x v="180"/>
    <x v="0"/>
    <x v="1"/>
  </r>
  <r>
    <x v="353"/>
    <x v="2"/>
    <x v="0"/>
    <n v="62"/>
    <x v="6"/>
    <x v="181"/>
    <x v="0"/>
    <x v="9"/>
  </r>
  <r>
    <x v="354"/>
    <x v="3"/>
    <x v="0"/>
    <n v="62"/>
    <x v="5"/>
    <x v="169"/>
    <x v="0"/>
    <x v="17"/>
  </r>
  <r>
    <x v="355"/>
    <x v="1"/>
    <x v="0"/>
    <n v="64"/>
    <x v="0"/>
    <x v="81"/>
    <x v="0"/>
    <x v="12"/>
  </r>
  <r>
    <x v="356"/>
    <x v="2"/>
    <x v="1"/>
    <n v="58"/>
    <x v="16"/>
    <x v="182"/>
    <x v="0"/>
    <x v="9"/>
  </r>
  <r>
    <x v="357"/>
    <x v="0"/>
    <x v="1"/>
    <n v="58"/>
    <x v="3"/>
    <x v="183"/>
    <x v="0"/>
    <x v="17"/>
  </r>
  <r>
    <x v="358"/>
    <x v="0"/>
    <x v="0"/>
    <n v="64"/>
    <x v="0"/>
    <x v="15"/>
    <x v="0"/>
    <x v="17"/>
  </r>
  <r>
    <x v="359"/>
    <x v="0"/>
    <x v="1"/>
    <n v="58"/>
    <x v="12"/>
    <x v="184"/>
    <x v="0"/>
    <x v="9"/>
  </r>
  <r>
    <x v="360"/>
    <x v="0"/>
    <x v="1"/>
    <n v="58"/>
    <x v="5"/>
    <x v="185"/>
    <x v="0"/>
    <x v="9"/>
  </r>
  <r>
    <x v="361"/>
    <x v="2"/>
    <x v="0"/>
    <n v="62"/>
    <x v="0"/>
    <x v="16"/>
    <x v="0"/>
    <x v="0"/>
  </r>
  <r>
    <x v="362"/>
    <x v="0"/>
    <x v="1"/>
    <n v="58"/>
    <x v="4"/>
    <x v="16"/>
    <x v="0"/>
    <x v="0"/>
  </r>
  <r>
    <x v="363"/>
    <x v="0"/>
    <x v="2"/>
    <n v="43"/>
    <x v="32"/>
    <x v="27"/>
    <x v="1"/>
    <x v="1"/>
  </r>
  <r>
    <x v="364"/>
    <x v="2"/>
    <x v="0"/>
    <n v="62"/>
    <x v="5"/>
    <x v="30"/>
    <x v="0"/>
    <x v="1"/>
  </r>
  <r>
    <x v="365"/>
    <x v="0"/>
    <x v="1"/>
    <n v="58"/>
    <x v="16"/>
    <x v="186"/>
    <x v="0"/>
    <x v="1"/>
  </r>
  <r>
    <x v="366"/>
    <x v="2"/>
    <x v="0"/>
    <n v="66"/>
    <x v="6"/>
    <x v="99"/>
    <x v="1"/>
    <x v="0"/>
  </r>
  <r>
    <x v="367"/>
    <x v="0"/>
    <x v="0"/>
    <n v="64"/>
    <x v="7"/>
    <x v="86"/>
    <x v="1"/>
    <x v="1"/>
  </r>
  <r>
    <x v="368"/>
    <x v="0"/>
    <x v="1"/>
    <n v="60"/>
    <x v="16"/>
    <x v="187"/>
    <x v="1"/>
    <x v="0"/>
  </r>
  <r>
    <x v="369"/>
    <x v="0"/>
    <x v="1"/>
    <n v="60"/>
    <x v="4"/>
    <x v="188"/>
    <x v="1"/>
    <x v="8"/>
  </r>
  <r>
    <x v="370"/>
    <x v="0"/>
    <x v="1"/>
    <n v="60"/>
    <x v="5"/>
    <x v="163"/>
    <x v="1"/>
    <x v="0"/>
  </r>
  <r>
    <x v="12"/>
    <x v="1"/>
    <x v="0"/>
    <n v="62"/>
    <x v="5"/>
    <x v="11"/>
    <x v="0"/>
    <x v="0"/>
  </r>
  <r>
    <x v="371"/>
    <x v="2"/>
    <x v="1"/>
    <n v="62"/>
    <x v="4"/>
    <x v="145"/>
    <x v="1"/>
    <x v="1"/>
  </r>
  <r>
    <x v="372"/>
    <x v="2"/>
    <x v="0"/>
    <n v="64"/>
    <x v="7"/>
    <x v="145"/>
    <x v="1"/>
    <x v="1"/>
  </r>
  <r>
    <x v="373"/>
    <x v="0"/>
    <x v="1"/>
    <n v="58"/>
    <x v="4"/>
    <x v="3"/>
    <x v="1"/>
    <x v="3"/>
  </r>
  <r>
    <x v="374"/>
    <x v="0"/>
    <x v="1"/>
    <n v="58"/>
    <x v="12"/>
    <x v="189"/>
    <x v="1"/>
    <x v="6"/>
  </r>
  <r>
    <x v="375"/>
    <x v="0"/>
    <x v="0"/>
    <n v="62"/>
    <x v="5"/>
    <x v="134"/>
    <x v="1"/>
    <x v="1"/>
  </r>
  <r>
    <x v="376"/>
    <x v="0"/>
    <x v="0"/>
    <n v="64"/>
    <x v="7"/>
    <x v="145"/>
    <x v="1"/>
    <x v="8"/>
  </r>
  <r>
    <x v="377"/>
    <x v="0"/>
    <x v="0"/>
    <n v="62"/>
    <x v="6"/>
    <x v="190"/>
    <x v="1"/>
    <x v="0"/>
  </r>
  <r>
    <x v="378"/>
    <x v="0"/>
    <x v="0"/>
    <n v="62"/>
    <x v="0"/>
    <x v="170"/>
    <x v="0"/>
    <x v="0"/>
  </r>
  <r>
    <x v="379"/>
    <x v="0"/>
    <x v="1"/>
    <n v="59"/>
    <x v="3"/>
    <x v="62"/>
    <x v="0"/>
    <x v="6"/>
  </r>
  <r>
    <x v="232"/>
    <x v="0"/>
    <x v="1"/>
    <n v="56"/>
    <x v="12"/>
    <x v="13"/>
    <x v="0"/>
    <x v="8"/>
  </r>
  <r>
    <x v="380"/>
    <x v="0"/>
    <x v="0"/>
    <n v="64"/>
    <x v="7"/>
    <x v="110"/>
    <x v="1"/>
    <x v="1"/>
  </r>
  <r>
    <x v="381"/>
    <x v="0"/>
    <x v="1"/>
    <n v="60"/>
    <x v="4"/>
    <x v="13"/>
    <x v="0"/>
    <x v="1"/>
  </r>
  <r>
    <x v="382"/>
    <x v="2"/>
    <x v="0"/>
    <n v="64"/>
    <x v="7"/>
    <x v="86"/>
    <x v="0"/>
    <x v="9"/>
  </r>
  <r>
    <x v="383"/>
    <x v="0"/>
    <x v="0"/>
    <n v="64"/>
    <x v="0"/>
    <x v="191"/>
    <x v="1"/>
    <x v="1"/>
  </r>
  <r>
    <x v="384"/>
    <x v="0"/>
    <x v="0"/>
    <n v="64"/>
    <x v="7"/>
    <x v="192"/>
    <x v="1"/>
    <x v="1"/>
  </r>
  <r>
    <x v="385"/>
    <x v="0"/>
    <x v="1"/>
    <n v="52"/>
    <x v="4"/>
    <x v="193"/>
    <x v="1"/>
    <x v="0"/>
  </r>
  <r>
    <x v="386"/>
    <x v="0"/>
    <x v="0"/>
    <n v="64"/>
    <x v="5"/>
    <x v="194"/>
    <x v="0"/>
    <x v="6"/>
  </r>
  <r>
    <x v="387"/>
    <x v="0"/>
    <x v="2"/>
    <n v="46"/>
    <x v="33"/>
    <x v="195"/>
    <x v="1"/>
    <x v="1"/>
  </r>
  <r>
    <x v="388"/>
    <x v="4"/>
    <x v="1"/>
    <n v="58"/>
    <x v="12"/>
    <x v="2"/>
    <x v="1"/>
    <x v="12"/>
  </r>
  <r>
    <x v="389"/>
    <x v="0"/>
    <x v="1"/>
    <n v="58"/>
    <x v="4"/>
    <x v="29"/>
    <x v="0"/>
    <x v="16"/>
  </r>
  <r>
    <x v="390"/>
    <x v="0"/>
    <x v="1"/>
    <n v="60"/>
    <x v="4"/>
    <x v="30"/>
    <x v="0"/>
    <x v="6"/>
  </r>
  <r>
    <x v="391"/>
    <x v="2"/>
    <x v="0"/>
    <n v="48"/>
    <x v="34"/>
    <x v="135"/>
    <x v="1"/>
    <x v="10"/>
  </r>
  <r>
    <x v="392"/>
    <x v="2"/>
    <x v="0"/>
    <n v="70"/>
    <x v="9"/>
    <x v="196"/>
    <x v="4"/>
    <x v="0"/>
  </r>
  <r>
    <x v="386"/>
    <x v="2"/>
    <x v="0"/>
    <n v="66"/>
    <x v="0"/>
    <x v="12"/>
    <x v="0"/>
    <x v="6"/>
  </r>
  <r>
    <x v="393"/>
    <x v="3"/>
    <x v="1"/>
    <n v="52"/>
    <x v="15"/>
    <x v="169"/>
    <x v="0"/>
    <x v="9"/>
  </r>
  <r>
    <x v="394"/>
    <x v="1"/>
    <x v="1"/>
    <n v="60"/>
    <x v="4"/>
    <x v="197"/>
    <x v="0"/>
    <x v="0"/>
  </r>
  <r>
    <x v="395"/>
    <x v="2"/>
    <x v="1"/>
    <n v="58"/>
    <x v="4"/>
    <x v="161"/>
    <x v="0"/>
    <x v="9"/>
  </r>
  <r>
    <x v="396"/>
    <x v="1"/>
    <x v="0"/>
    <n v="65"/>
    <x v="14"/>
    <x v="156"/>
    <x v="0"/>
    <x v="0"/>
  </r>
  <r>
    <x v="397"/>
    <x v="2"/>
    <x v="0"/>
    <n v="64"/>
    <x v="2"/>
    <x v="79"/>
    <x v="0"/>
    <x v="3"/>
  </r>
  <r>
    <x v="87"/>
    <x v="2"/>
    <x v="0"/>
    <n v="64"/>
    <x v="6"/>
    <x v="61"/>
    <x v="0"/>
    <x v="1"/>
  </r>
  <r>
    <x v="398"/>
    <x v="2"/>
    <x v="0"/>
    <n v="62"/>
    <x v="5"/>
    <x v="155"/>
    <x v="0"/>
    <x v="8"/>
  </r>
  <r>
    <x v="399"/>
    <x v="2"/>
    <x v="0"/>
    <n v="62"/>
    <x v="5"/>
    <x v="198"/>
    <x v="1"/>
    <x v="0"/>
  </r>
  <r>
    <x v="400"/>
    <x v="0"/>
    <x v="0"/>
    <n v="74"/>
    <x v="20"/>
    <x v="95"/>
    <x v="0"/>
    <x v="0"/>
  </r>
  <r>
    <x v="401"/>
    <x v="0"/>
    <x v="1"/>
    <n v="60"/>
    <x v="4"/>
    <x v="199"/>
    <x v="0"/>
    <x v="0"/>
  </r>
  <r>
    <x v="402"/>
    <x v="0"/>
    <x v="1"/>
    <n v="60"/>
    <x v="4"/>
    <x v="200"/>
    <x v="1"/>
    <x v="11"/>
  </r>
  <r>
    <x v="403"/>
    <x v="0"/>
    <x v="1"/>
    <n v="58"/>
    <x v="4"/>
    <x v="201"/>
    <x v="1"/>
    <x v="11"/>
  </r>
  <r>
    <x v="404"/>
    <x v="2"/>
    <x v="0"/>
    <n v="64"/>
    <x v="5"/>
    <x v="155"/>
    <x v="0"/>
    <x v="8"/>
  </r>
  <r>
    <x v="405"/>
    <x v="2"/>
    <x v="1"/>
    <n v="60"/>
    <x v="3"/>
    <x v="202"/>
    <x v="1"/>
    <x v="11"/>
  </r>
  <r>
    <x v="406"/>
    <x v="0"/>
    <x v="0"/>
    <n v="62"/>
    <x v="5"/>
    <x v="128"/>
    <x v="1"/>
    <x v="1"/>
  </r>
  <r>
    <x v="407"/>
    <x v="1"/>
    <x v="0"/>
    <n v="62"/>
    <x v="0"/>
    <x v="203"/>
    <x v="1"/>
    <x v="8"/>
  </r>
  <r>
    <x v="408"/>
    <x v="2"/>
    <x v="1"/>
    <n v="58"/>
    <x v="3"/>
    <x v="42"/>
    <x v="1"/>
    <x v="15"/>
  </r>
  <r>
    <x v="409"/>
    <x v="2"/>
    <x v="1"/>
    <n v="60"/>
    <x v="5"/>
    <x v="7"/>
    <x v="1"/>
    <x v="1"/>
  </r>
  <r>
    <x v="410"/>
    <x v="0"/>
    <x v="1"/>
    <n v="58"/>
    <x v="10"/>
    <x v="144"/>
    <x v="1"/>
    <x v="11"/>
  </r>
  <r>
    <x v="411"/>
    <x v="0"/>
    <x v="1"/>
    <n v="58"/>
    <x v="4"/>
    <x v="177"/>
    <x v="1"/>
    <x v="1"/>
  </r>
  <r>
    <x v="412"/>
    <x v="0"/>
    <x v="0"/>
    <n v="64"/>
    <x v="4"/>
    <x v="204"/>
    <x v="1"/>
    <x v="1"/>
  </r>
  <r>
    <x v="413"/>
    <x v="1"/>
    <x v="1"/>
    <n v="60"/>
    <x v="4"/>
    <x v="182"/>
    <x v="0"/>
    <x v="0"/>
  </r>
  <r>
    <x v="174"/>
    <x v="2"/>
    <x v="1"/>
    <n v="60"/>
    <x v="4"/>
    <x v="25"/>
    <x v="0"/>
    <x v="0"/>
  </r>
  <r>
    <x v="414"/>
    <x v="0"/>
    <x v="0"/>
    <n v="61"/>
    <x v="14"/>
    <x v="116"/>
    <x v="0"/>
    <x v="0"/>
  </r>
  <r>
    <x v="415"/>
    <x v="0"/>
    <x v="1"/>
    <n v="60"/>
    <x v="3"/>
    <x v="116"/>
    <x v="0"/>
    <x v="0"/>
  </r>
  <r>
    <x v="416"/>
    <x v="0"/>
    <x v="1"/>
    <n v="60"/>
    <x v="16"/>
    <x v="4"/>
    <x v="1"/>
    <x v="1"/>
  </r>
  <r>
    <x v="417"/>
    <x v="3"/>
    <x v="1"/>
    <n v="60"/>
    <x v="4"/>
    <x v="14"/>
    <x v="1"/>
    <x v="8"/>
  </r>
  <r>
    <x v="418"/>
    <x v="2"/>
    <x v="0"/>
    <n v="62"/>
    <x v="0"/>
    <x v="171"/>
    <x v="1"/>
    <x v="12"/>
  </r>
  <r>
    <x v="288"/>
    <x v="0"/>
    <x v="1"/>
    <n v="60"/>
    <x v="16"/>
    <x v="19"/>
    <x v="0"/>
    <x v="0"/>
  </r>
  <r>
    <x v="419"/>
    <x v="2"/>
    <x v="0"/>
    <n v="65"/>
    <x v="0"/>
    <x v="65"/>
    <x v="0"/>
    <x v="13"/>
  </r>
  <r>
    <x v="420"/>
    <x v="2"/>
    <x v="0"/>
    <n v="64"/>
    <x v="5"/>
    <x v="81"/>
    <x v="1"/>
    <x v="1"/>
  </r>
  <r>
    <x v="421"/>
    <x v="0"/>
    <x v="0"/>
    <n v="64"/>
    <x v="5"/>
    <x v="205"/>
    <x v="1"/>
    <x v="11"/>
  </r>
  <r>
    <x v="422"/>
    <x v="1"/>
    <x v="0"/>
    <n v="64"/>
    <x v="0"/>
    <x v="13"/>
    <x v="0"/>
    <x v="1"/>
  </r>
  <r>
    <x v="423"/>
    <x v="2"/>
    <x v="1"/>
    <n v="58"/>
    <x v="12"/>
    <x v="206"/>
    <x v="0"/>
    <x v="9"/>
  </r>
  <r>
    <x v="424"/>
    <x v="1"/>
    <x v="1"/>
    <n v="60"/>
    <x v="4"/>
    <x v="30"/>
    <x v="0"/>
    <x v="1"/>
  </r>
  <r>
    <x v="425"/>
    <x v="0"/>
    <x v="0"/>
    <n v="62"/>
    <x v="5"/>
    <x v="61"/>
    <x v="0"/>
    <x v="0"/>
  </r>
  <r>
    <x v="426"/>
    <x v="2"/>
    <x v="1"/>
    <n v="60"/>
    <x v="5"/>
    <x v="207"/>
    <x v="0"/>
    <x v="0"/>
  </r>
  <r>
    <x v="427"/>
    <x v="0"/>
    <x v="1"/>
    <n v="60"/>
    <x v="3"/>
    <x v="208"/>
    <x v="0"/>
    <x v="9"/>
  </r>
  <r>
    <x v="428"/>
    <x v="0"/>
    <x v="0"/>
    <n v="68"/>
    <x v="6"/>
    <x v="3"/>
    <x v="1"/>
    <x v="1"/>
  </r>
  <r>
    <x v="121"/>
    <x v="0"/>
    <x v="1"/>
    <n v="56"/>
    <x v="4"/>
    <x v="61"/>
    <x v="0"/>
    <x v="16"/>
  </r>
  <r>
    <x v="429"/>
    <x v="0"/>
    <x v="1"/>
    <n v="58"/>
    <x v="15"/>
    <x v="40"/>
    <x v="1"/>
    <x v="1"/>
  </r>
  <r>
    <x v="430"/>
    <x v="2"/>
    <x v="1"/>
    <n v="59"/>
    <x v="35"/>
    <x v="13"/>
    <x v="0"/>
    <x v="8"/>
  </r>
  <r>
    <x v="431"/>
    <x v="2"/>
    <x v="1"/>
    <n v="59"/>
    <x v="3"/>
    <x v="75"/>
    <x v="0"/>
    <x v="6"/>
  </r>
  <r>
    <x v="432"/>
    <x v="0"/>
    <x v="1"/>
    <n v="59"/>
    <x v="3"/>
    <x v="89"/>
    <x v="0"/>
    <x v="3"/>
  </r>
  <r>
    <x v="433"/>
    <x v="2"/>
    <x v="0"/>
    <n v="63"/>
    <x v="8"/>
    <x v="209"/>
    <x v="0"/>
    <x v="0"/>
  </r>
  <r>
    <x v="434"/>
    <x v="2"/>
    <x v="0"/>
    <n v="62"/>
    <x v="14"/>
    <x v="95"/>
    <x v="0"/>
    <x v="0"/>
  </r>
  <r>
    <x v="435"/>
    <x v="2"/>
    <x v="0"/>
    <n v="62"/>
    <x v="8"/>
    <x v="210"/>
    <x v="1"/>
    <x v="0"/>
  </r>
  <r>
    <x v="436"/>
    <x v="2"/>
    <x v="0"/>
    <n v="64"/>
    <x v="5"/>
    <x v="15"/>
    <x v="1"/>
    <x v="5"/>
  </r>
  <r>
    <x v="437"/>
    <x v="0"/>
    <x v="1"/>
    <n v="58"/>
    <x v="4"/>
    <x v="51"/>
    <x v="1"/>
    <x v="0"/>
  </r>
  <r>
    <x v="438"/>
    <x v="0"/>
    <x v="1"/>
    <n v="62"/>
    <x v="10"/>
    <x v="17"/>
    <x v="0"/>
    <x v="11"/>
  </r>
  <r>
    <x v="215"/>
    <x v="1"/>
    <x v="1"/>
    <n v="60"/>
    <x v="12"/>
    <x v="38"/>
    <x v="0"/>
    <x v="0"/>
  </r>
  <r>
    <x v="439"/>
    <x v="0"/>
    <x v="1"/>
    <n v="57"/>
    <x v="3"/>
    <x v="27"/>
    <x v="1"/>
    <x v="1"/>
  </r>
  <r>
    <x v="440"/>
    <x v="1"/>
    <x v="0"/>
    <n v="65"/>
    <x v="20"/>
    <x v="211"/>
    <x v="0"/>
    <x v="12"/>
  </r>
  <r>
    <x v="441"/>
    <x v="1"/>
    <x v="0"/>
    <n v="62"/>
    <x v="5"/>
    <x v="91"/>
    <x v="1"/>
    <x v="1"/>
  </r>
  <r>
    <x v="442"/>
    <x v="2"/>
    <x v="1"/>
    <n v="56"/>
    <x v="15"/>
    <x v="145"/>
    <x v="1"/>
    <x v="11"/>
  </r>
  <r>
    <x v="443"/>
    <x v="2"/>
    <x v="0"/>
    <n v="64"/>
    <x v="5"/>
    <x v="212"/>
    <x v="1"/>
    <x v="0"/>
  </r>
  <r>
    <x v="444"/>
    <x v="2"/>
    <x v="1"/>
    <n v="63"/>
    <x v="3"/>
    <x v="213"/>
    <x v="0"/>
    <x v="0"/>
  </r>
  <r>
    <x v="445"/>
    <x v="0"/>
    <x v="1"/>
    <n v="57"/>
    <x v="12"/>
    <x v="170"/>
    <x v="0"/>
    <x v="11"/>
  </r>
  <r>
    <x v="446"/>
    <x v="2"/>
    <x v="1"/>
    <n v="58"/>
    <x v="36"/>
    <x v="169"/>
    <x v="0"/>
    <x v="17"/>
  </r>
  <r>
    <x v="447"/>
    <x v="2"/>
    <x v="1"/>
    <n v="58"/>
    <x v="3"/>
    <x v="13"/>
    <x v="0"/>
    <x v="8"/>
  </r>
  <r>
    <x v="448"/>
    <x v="2"/>
    <x v="1"/>
    <n v="60"/>
    <x v="4"/>
    <x v="137"/>
    <x v="0"/>
    <x v="8"/>
  </r>
  <r>
    <x v="449"/>
    <x v="0"/>
    <x v="0"/>
    <n v="62"/>
    <x v="5"/>
    <x v="214"/>
    <x v="0"/>
    <x v="0"/>
  </r>
  <r>
    <x v="450"/>
    <x v="2"/>
    <x v="1"/>
    <n v="60"/>
    <x v="16"/>
    <x v="18"/>
    <x v="0"/>
    <x v="1"/>
  </r>
  <r>
    <x v="451"/>
    <x v="2"/>
    <x v="1"/>
    <n v="59"/>
    <x v="16"/>
    <x v="24"/>
    <x v="1"/>
    <x v="1"/>
  </r>
  <r>
    <x v="452"/>
    <x v="0"/>
    <x v="1"/>
    <n v="59"/>
    <x v="3"/>
    <x v="13"/>
    <x v="0"/>
    <x v="6"/>
  </r>
  <r>
    <x v="453"/>
    <x v="0"/>
    <x v="1"/>
    <n v="63"/>
    <x v="37"/>
    <x v="215"/>
    <x v="1"/>
    <x v="0"/>
  </r>
  <r>
    <x v="454"/>
    <x v="0"/>
    <x v="0"/>
    <n v="63"/>
    <x v="10"/>
    <x v="10"/>
    <x v="1"/>
    <x v="6"/>
  </r>
  <r>
    <x v="455"/>
    <x v="0"/>
    <x v="1"/>
    <n v="52"/>
    <x v="33"/>
    <x v="27"/>
    <x v="0"/>
    <x v="9"/>
  </r>
  <r>
    <x v="456"/>
    <x v="1"/>
    <x v="1"/>
    <n v="57"/>
    <x v="3"/>
    <x v="177"/>
    <x v="1"/>
    <x v="8"/>
  </r>
  <r>
    <x v="457"/>
    <x v="0"/>
    <x v="1"/>
    <n v="60"/>
    <x v="16"/>
    <x v="62"/>
    <x v="0"/>
    <x v="11"/>
  </r>
  <r>
    <x v="458"/>
    <x v="0"/>
    <x v="1"/>
    <n v="58"/>
    <x v="16"/>
    <x v="145"/>
    <x v="1"/>
    <x v="1"/>
  </r>
  <r>
    <x v="459"/>
    <x v="0"/>
    <x v="1"/>
    <n v="60"/>
    <x v="4"/>
    <x v="115"/>
    <x v="1"/>
    <x v="1"/>
  </r>
  <r>
    <x v="460"/>
    <x v="2"/>
    <x v="0"/>
    <n v="62"/>
    <x v="5"/>
    <x v="30"/>
    <x v="0"/>
    <x v="1"/>
  </r>
  <r>
    <x v="461"/>
    <x v="2"/>
    <x v="0"/>
    <n v="65"/>
    <x v="8"/>
    <x v="98"/>
    <x v="1"/>
    <x v="12"/>
  </r>
  <r>
    <x v="462"/>
    <x v="0"/>
    <x v="1"/>
    <n v="60"/>
    <x v="3"/>
    <x v="216"/>
    <x v="1"/>
    <x v="1"/>
  </r>
  <r>
    <x v="257"/>
    <x v="0"/>
    <x v="1"/>
    <n v="58"/>
    <x v="12"/>
    <x v="46"/>
    <x v="0"/>
    <x v="0"/>
  </r>
  <r>
    <x v="463"/>
    <x v="2"/>
    <x v="1"/>
    <n v="60"/>
    <x v="3"/>
    <x v="217"/>
    <x v="1"/>
    <x v="12"/>
  </r>
  <r>
    <x v="464"/>
    <x v="2"/>
    <x v="0"/>
    <n v="64"/>
    <x v="4"/>
    <x v="27"/>
    <x v="1"/>
    <x v="12"/>
  </r>
  <r>
    <x v="465"/>
    <x v="1"/>
    <x v="1"/>
    <n v="52"/>
    <x v="15"/>
    <x v="218"/>
    <x v="0"/>
    <x v="17"/>
  </r>
  <r>
    <x v="466"/>
    <x v="2"/>
    <x v="1"/>
    <n v="56"/>
    <x v="12"/>
    <x v="18"/>
    <x v="0"/>
    <x v="15"/>
  </r>
  <r>
    <x v="467"/>
    <x v="0"/>
    <x v="0"/>
    <n v="65"/>
    <x v="8"/>
    <x v="219"/>
    <x v="1"/>
    <x v="12"/>
  </r>
  <r>
    <x v="468"/>
    <x v="0"/>
    <x v="1"/>
    <n v="60"/>
    <x v="3"/>
    <x v="155"/>
    <x v="0"/>
    <x v="0"/>
  </r>
  <r>
    <x v="469"/>
    <x v="2"/>
    <x v="1"/>
    <n v="62"/>
    <x v="4"/>
    <x v="62"/>
    <x v="0"/>
    <x v="1"/>
  </r>
  <r>
    <x v="470"/>
    <x v="0"/>
    <x v="0"/>
    <n v="64"/>
    <x v="5"/>
    <x v="62"/>
    <x v="0"/>
    <x v="0"/>
  </r>
  <r>
    <x v="471"/>
    <x v="0"/>
    <x v="1"/>
    <n v="59"/>
    <x v="35"/>
    <x v="62"/>
    <x v="0"/>
    <x v="1"/>
  </r>
  <r>
    <x v="472"/>
    <x v="0"/>
    <x v="1"/>
    <n v="59"/>
    <x v="16"/>
    <x v="220"/>
    <x v="1"/>
    <x v="1"/>
  </r>
  <r>
    <x v="473"/>
    <x v="0"/>
    <x v="1"/>
    <n v="61"/>
    <x v="12"/>
    <x v="221"/>
    <x v="1"/>
    <x v="1"/>
  </r>
  <r>
    <x v="474"/>
    <x v="1"/>
    <x v="0"/>
    <n v="65"/>
    <x v="0"/>
    <x v="172"/>
    <x v="0"/>
    <x v="0"/>
  </r>
  <r>
    <x v="475"/>
    <x v="0"/>
    <x v="1"/>
    <n v="62"/>
    <x v="12"/>
    <x v="89"/>
    <x v="0"/>
    <x v="4"/>
  </r>
  <r>
    <x v="197"/>
    <x v="2"/>
    <x v="1"/>
    <n v="58"/>
    <x v="12"/>
    <x v="10"/>
    <x v="1"/>
    <x v="8"/>
  </r>
  <r>
    <x v="476"/>
    <x v="0"/>
    <x v="1"/>
    <n v="57"/>
    <x v="16"/>
    <x v="145"/>
    <x v="1"/>
    <x v="8"/>
  </r>
  <r>
    <x v="477"/>
    <x v="0"/>
    <x v="1"/>
    <n v="60"/>
    <x v="3"/>
    <x v="128"/>
    <x v="1"/>
    <x v="6"/>
  </r>
  <r>
    <x v="478"/>
    <x v="4"/>
    <x v="1"/>
    <n v="62"/>
    <x v="4"/>
    <x v="16"/>
    <x v="0"/>
    <x v="0"/>
  </r>
  <r>
    <x v="479"/>
    <x v="2"/>
    <x v="0"/>
    <n v="62"/>
    <x v="5"/>
    <x v="16"/>
    <x v="0"/>
    <x v="6"/>
  </r>
  <r>
    <x v="480"/>
    <x v="2"/>
    <x v="1"/>
    <n v="58"/>
    <x v="12"/>
    <x v="30"/>
    <x v="0"/>
    <x v="1"/>
  </r>
  <r>
    <x v="243"/>
    <x v="2"/>
    <x v="0"/>
    <n v="62"/>
    <x v="5"/>
    <x v="222"/>
    <x v="0"/>
    <x v="0"/>
  </r>
  <r>
    <x v="481"/>
    <x v="0"/>
    <x v="1"/>
    <n v="59"/>
    <x v="11"/>
    <x v="173"/>
    <x v="1"/>
    <x v="12"/>
  </r>
  <r>
    <x v="482"/>
    <x v="0"/>
    <x v="0"/>
    <n v="64"/>
    <x v="5"/>
    <x v="171"/>
    <x v="0"/>
    <x v="0"/>
  </r>
  <r>
    <x v="483"/>
    <x v="0"/>
    <x v="0"/>
    <n v="65"/>
    <x v="10"/>
    <x v="128"/>
    <x v="1"/>
    <x v="0"/>
  </r>
  <r>
    <x v="484"/>
    <x v="0"/>
    <x v="0"/>
    <n v="62"/>
    <x v="5"/>
    <x v="156"/>
    <x v="0"/>
    <x v="0"/>
  </r>
  <r>
    <x v="485"/>
    <x v="0"/>
    <x v="0"/>
    <n v="66"/>
    <x v="5"/>
    <x v="134"/>
    <x v="1"/>
    <x v="1"/>
  </r>
  <r>
    <x v="486"/>
    <x v="2"/>
    <x v="1"/>
    <n v="60"/>
    <x v="3"/>
    <x v="223"/>
    <x v="0"/>
    <x v="14"/>
  </r>
  <r>
    <x v="487"/>
    <x v="2"/>
    <x v="0"/>
    <n v="63"/>
    <x v="10"/>
    <x v="218"/>
    <x v="0"/>
    <x v="9"/>
  </r>
  <r>
    <x v="488"/>
    <x v="0"/>
    <x v="0"/>
    <n v="62"/>
    <x v="6"/>
    <x v="39"/>
    <x v="0"/>
    <x v="5"/>
  </r>
  <r>
    <x v="489"/>
    <x v="0"/>
    <x v="0"/>
    <n v="65"/>
    <x v="10"/>
    <x v="30"/>
    <x v="0"/>
    <x v="1"/>
  </r>
  <r>
    <x v="490"/>
    <x v="0"/>
    <x v="1"/>
    <n v="58"/>
    <x v="15"/>
    <x v="224"/>
    <x v="0"/>
    <x v="16"/>
  </r>
  <r>
    <x v="424"/>
    <x v="0"/>
    <x v="1"/>
    <n v="62"/>
    <x v="4"/>
    <x v="13"/>
    <x v="0"/>
    <x v="1"/>
  </r>
  <r>
    <x v="491"/>
    <x v="0"/>
    <x v="0"/>
    <n v="64"/>
    <x v="5"/>
    <x v="30"/>
    <x v="0"/>
    <x v="1"/>
  </r>
  <r>
    <x v="492"/>
    <x v="0"/>
    <x v="0"/>
    <n v="66"/>
    <x v="5"/>
    <x v="188"/>
    <x v="1"/>
    <x v="1"/>
  </r>
  <r>
    <x v="493"/>
    <x v="1"/>
    <x v="1"/>
    <n v="59"/>
    <x v="35"/>
    <x v="79"/>
    <x v="0"/>
    <x v="5"/>
  </r>
  <r>
    <x v="494"/>
    <x v="2"/>
    <x v="0"/>
    <n v="63"/>
    <x v="8"/>
    <x v="14"/>
    <x v="1"/>
    <x v="0"/>
  </r>
  <r>
    <x v="495"/>
    <x v="2"/>
    <x v="1"/>
    <n v="60"/>
    <x v="3"/>
    <x v="225"/>
    <x v="1"/>
    <x v="0"/>
  </r>
  <r>
    <x v="496"/>
    <x v="0"/>
    <x v="0"/>
    <n v="62"/>
    <x v="5"/>
    <x v="220"/>
    <x v="1"/>
    <x v="1"/>
  </r>
  <r>
    <x v="497"/>
    <x v="2"/>
    <x v="3"/>
    <n v="35"/>
    <x v="38"/>
    <x v="226"/>
    <x v="1"/>
    <x v="8"/>
  </r>
  <r>
    <x v="498"/>
    <x v="0"/>
    <x v="3"/>
    <n v="48"/>
    <x v="39"/>
    <x v="169"/>
    <x v="0"/>
    <x v="17"/>
  </r>
  <r>
    <x v="499"/>
    <x v="0"/>
    <x v="3"/>
    <n v="45"/>
    <x v="39"/>
    <x v="45"/>
    <x v="1"/>
    <x v="1"/>
  </r>
  <r>
    <x v="500"/>
    <x v="0"/>
    <x v="4"/>
    <n v="33"/>
    <x v="40"/>
    <x v="135"/>
    <x v="1"/>
    <x v="8"/>
  </r>
  <r>
    <x v="501"/>
    <x v="0"/>
    <x v="3"/>
    <n v="41"/>
    <x v="40"/>
    <x v="227"/>
    <x v="1"/>
    <x v="8"/>
  </r>
  <r>
    <x v="502"/>
    <x v="0"/>
    <x v="1"/>
    <n v="59"/>
    <x v="3"/>
    <x v="145"/>
    <x v="1"/>
    <x v="6"/>
  </r>
  <r>
    <x v="503"/>
    <x v="0"/>
    <x v="1"/>
    <n v="58"/>
    <x v="12"/>
    <x v="20"/>
    <x v="0"/>
    <x v="0"/>
  </r>
  <r>
    <x v="504"/>
    <x v="0"/>
    <x v="1"/>
    <n v="59"/>
    <x v="5"/>
    <x v="61"/>
    <x v="0"/>
    <x v="8"/>
  </r>
  <r>
    <x v="505"/>
    <x v="0"/>
    <x v="0"/>
    <n v="64"/>
    <x v="14"/>
    <x v="45"/>
    <x v="1"/>
    <x v="1"/>
  </r>
  <r>
    <x v="506"/>
    <x v="2"/>
    <x v="1"/>
    <n v="60"/>
    <x v="3"/>
    <x v="39"/>
    <x v="0"/>
    <x v="5"/>
  </r>
  <r>
    <x v="507"/>
    <x v="2"/>
    <x v="1"/>
    <n v="54"/>
    <x v="15"/>
    <x v="228"/>
    <x v="1"/>
    <x v="1"/>
  </r>
  <r>
    <x v="508"/>
    <x v="0"/>
    <x v="1"/>
    <n v="59"/>
    <x v="35"/>
    <x v="16"/>
    <x v="1"/>
    <x v="1"/>
  </r>
  <r>
    <x v="509"/>
    <x v="0"/>
    <x v="1"/>
    <n v="60"/>
    <x v="35"/>
    <x v="89"/>
    <x v="0"/>
    <x v="15"/>
  </r>
  <r>
    <x v="510"/>
    <x v="2"/>
    <x v="1"/>
    <n v="58"/>
    <x v="5"/>
    <x v="75"/>
    <x v="0"/>
    <x v="5"/>
  </r>
  <r>
    <x v="511"/>
    <x v="2"/>
    <x v="0"/>
    <n v="64"/>
    <x v="7"/>
    <x v="13"/>
    <x v="0"/>
    <x v="0"/>
  </r>
  <r>
    <x v="512"/>
    <x v="0"/>
    <x v="1"/>
    <n v="56"/>
    <x v="3"/>
    <x v="89"/>
    <x v="0"/>
    <x v="3"/>
  </r>
  <r>
    <x v="513"/>
    <x v="2"/>
    <x v="1"/>
    <n v="60"/>
    <x v="4"/>
    <x v="29"/>
    <x v="0"/>
    <x v="1"/>
  </r>
  <r>
    <x v="514"/>
    <x v="0"/>
    <x v="1"/>
    <n v="59"/>
    <x v="16"/>
    <x v="75"/>
    <x v="0"/>
    <x v="11"/>
  </r>
  <r>
    <x v="75"/>
    <x v="2"/>
    <x v="1"/>
    <n v="56"/>
    <x v="4"/>
    <x v="30"/>
    <x v="0"/>
    <x v="15"/>
  </r>
  <r>
    <x v="515"/>
    <x v="0"/>
    <x v="1"/>
    <n v="59"/>
    <x v="10"/>
    <x v="39"/>
    <x v="0"/>
    <x v="8"/>
  </r>
  <r>
    <x v="516"/>
    <x v="2"/>
    <x v="0"/>
    <n v="62"/>
    <x v="7"/>
    <x v="30"/>
    <x v="0"/>
    <x v="1"/>
  </r>
  <r>
    <x v="517"/>
    <x v="0"/>
    <x v="1"/>
    <n v="58"/>
    <x v="5"/>
    <x v="229"/>
    <x v="1"/>
    <x v="0"/>
  </r>
  <r>
    <x v="518"/>
    <x v="0"/>
    <x v="1"/>
    <n v="62"/>
    <x v="16"/>
    <x v="173"/>
    <x v="0"/>
    <x v="9"/>
  </r>
  <r>
    <x v="519"/>
    <x v="2"/>
    <x v="2"/>
    <n v="46"/>
    <x v="33"/>
    <x v="195"/>
    <x v="1"/>
    <x v="8"/>
  </r>
  <r>
    <x v="520"/>
    <x v="0"/>
    <x v="0"/>
    <n v="64"/>
    <x v="6"/>
    <x v="156"/>
    <x v="0"/>
    <x v="0"/>
  </r>
  <r>
    <x v="521"/>
    <x v="0"/>
    <x v="0"/>
    <n v="64"/>
    <x v="6"/>
    <x v="156"/>
    <x v="0"/>
    <x v="0"/>
  </r>
  <r>
    <x v="522"/>
    <x v="0"/>
    <x v="1"/>
    <n v="62"/>
    <x v="16"/>
    <x v="230"/>
    <x v="1"/>
    <x v="0"/>
  </r>
  <r>
    <x v="523"/>
    <x v="2"/>
    <x v="1"/>
    <n v="56"/>
    <x v="12"/>
    <x v="61"/>
    <x v="0"/>
    <x v="1"/>
  </r>
  <r>
    <x v="524"/>
    <x v="0"/>
    <x v="0"/>
    <n v="62"/>
    <x v="6"/>
    <x v="59"/>
    <x v="0"/>
    <x v="1"/>
  </r>
  <r>
    <x v="525"/>
    <x v="0"/>
    <x v="1"/>
    <n v="62"/>
    <x v="10"/>
    <x v="231"/>
    <x v="0"/>
    <x v="5"/>
  </r>
  <r>
    <x v="526"/>
    <x v="0"/>
    <x v="1"/>
    <n v="60"/>
    <x v="16"/>
    <x v="155"/>
    <x v="0"/>
    <x v="6"/>
  </r>
  <r>
    <x v="527"/>
    <x v="0"/>
    <x v="0"/>
    <n v="62"/>
    <x v="5"/>
    <x v="62"/>
    <x v="0"/>
    <x v="0"/>
  </r>
  <r>
    <x v="528"/>
    <x v="2"/>
    <x v="1"/>
    <n v="58"/>
    <x v="5"/>
    <x v="79"/>
    <x v="0"/>
    <x v="3"/>
  </r>
  <r>
    <x v="529"/>
    <x v="2"/>
    <x v="0"/>
    <n v="60"/>
    <x v="0"/>
    <x v="134"/>
    <x v="1"/>
    <x v="8"/>
  </r>
  <r>
    <x v="530"/>
    <x v="2"/>
    <x v="0"/>
    <n v="62"/>
    <x v="7"/>
    <x v="115"/>
    <x v="1"/>
    <x v="1"/>
  </r>
  <r>
    <x v="531"/>
    <x v="0"/>
    <x v="1"/>
    <n v="60"/>
    <x v="4"/>
    <x v="208"/>
    <x v="0"/>
    <x v="9"/>
  </r>
  <r>
    <x v="532"/>
    <x v="0"/>
    <x v="1"/>
    <n v="60"/>
    <x v="4"/>
    <x v="208"/>
    <x v="0"/>
    <x v="9"/>
  </r>
  <r>
    <x v="533"/>
    <x v="2"/>
    <x v="0"/>
    <n v="64"/>
    <x v="6"/>
    <x v="4"/>
    <x v="1"/>
    <x v="1"/>
  </r>
  <r>
    <x v="534"/>
    <x v="0"/>
    <x v="0"/>
    <n v="62"/>
    <x v="5"/>
    <x v="9"/>
    <x v="1"/>
    <x v="14"/>
  </r>
  <r>
    <x v="535"/>
    <x v="0"/>
    <x v="0"/>
    <n v="67"/>
    <x v="7"/>
    <x v="205"/>
    <x v="1"/>
    <x v="11"/>
  </r>
  <r>
    <x v="536"/>
    <x v="0"/>
    <x v="1"/>
    <n v="59"/>
    <x v="3"/>
    <x v="16"/>
    <x v="0"/>
    <x v="8"/>
  </r>
  <r>
    <x v="537"/>
    <x v="0"/>
    <x v="0"/>
    <n v="65"/>
    <x v="7"/>
    <x v="120"/>
    <x v="1"/>
    <x v="1"/>
  </r>
  <r>
    <x v="538"/>
    <x v="0"/>
    <x v="1"/>
    <n v="60"/>
    <x v="3"/>
    <x v="30"/>
    <x v="0"/>
    <x v="19"/>
  </r>
  <r>
    <x v="539"/>
    <x v="2"/>
    <x v="0"/>
    <n v="62"/>
    <x v="6"/>
    <x v="29"/>
    <x v="0"/>
    <x v="1"/>
  </r>
  <r>
    <x v="540"/>
    <x v="0"/>
    <x v="1"/>
    <n v="60"/>
    <x v="3"/>
    <x v="61"/>
    <x v="0"/>
    <x v="8"/>
  </r>
  <r>
    <x v="541"/>
    <x v="0"/>
    <x v="1"/>
    <n v="60"/>
    <x v="3"/>
    <x v="61"/>
    <x v="0"/>
    <x v="8"/>
  </r>
  <r>
    <x v="542"/>
    <x v="0"/>
    <x v="1"/>
    <n v="58"/>
    <x v="3"/>
    <x v="30"/>
    <x v="0"/>
    <x v="16"/>
  </r>
  <r>
    <x v="543"/>
    <x v="2"/>
    <x v="0"/>
    <n v="62"/>
    <x v="5"/>
    <x v="232"/>
    <x v="0"/>
    <x v="0"/>
  </r>
  <r>
    <x v="544"/>
    <x v="2"/>
    <x v="1"/>
    <n v="59"/>
    <x v="35"/>
    <x v="233"/>
    <x v="1"/>
    <x v="11"/>
  </r>
  <r>
    <x v="545"/>
    <x v="0"/>
    <x v="1"/>
    <n v="59"/>
    <x v="3"/>
    <x v="39"/>
    <x v="0"/>
    <x v="0"/>
  </r>
  <r>
    <x v="546"/>
    <x v="2"/>
    <x v="0"/>
    <n v="62"/>
    <x v="7"/>
    <x v="82"/>
    <x v="1"/>
    <x v="1"/>
  </r>
  <r>
    <x v="547"/>
    <x v="0"/>
    <x v="1"/>
    <n v="54"/>
    <x v="15"/>
    <x v="234"/>
    <x v="0"/>
    <x v="13"/>
  </r>
  <r>
    <x v="548"/>
    <x v="0"/>
    <x v="1"/>
    <n v="58"/>
    <x v="4"/>
    <x v="235"/>
    <x v="1"/>
    <x v="0"/>
  </r>
  <r>
    <x v="549"/>
    <x v="2"/>
    <x v="0"/>
    <n v="65"/>
    <x v="7"/>
    <x v="236"/>
    <x v="0"/>
    <x v="0"/>
  </r>
  <r>
    <x v="550"/>
    <x v="2"/>
    <x v="0"/>
    <n v="62"/>
    <x v="6"/>
    <x v="173"/>
    <x v="0"/>
    <x v="9"/>
  </r>
  <r>
    <x v="551"/>
    <x v="0"/>
    <x v="0"/>
    <n v="64"/>
    <x v="2"/>
    <x v="160"/>
    <x v="1"/>
    <x v="0"/>
  </r>
  <r>
    <x v="552"/>
    <x v="0"/>
    <x v="0"/>
    <n v="56"/>
    <x v="7"/>
    <x v="237"/>
    <x v="0"/>
    <x v="0"/>
  </r>
  <r>
    <x v="553"/>
    <x v="0"/>
    <x v="0"/>
    <n v="67"/>
    <x v="41"/>
    <x v="49"/>
    <x v="0"/>
    <x v="0"/>
  </r>
  <r>
    <x v="554"/>
    <x v="0"/>
    <x v="0"/>
    <n v="65"/>
    <x v="21"/>
    <x v="1"/>
    <x v="0"/>
    <x v="1"/>
  </r>
  <r>
    <x v="555"/>
    <x v="0"/>
    <x v="0"/>
    <n v="64"/>
    <x v="0"/>
    <x v="87"/>
    <x v="5"/>
    <x v="0"/>
  </r>
  <r>
    <x v="556"/>
    <x v="2"/>
    <x v="0"/>
    <n v="64"/>
    <x v="6"/>
    <x v="173"/>
    <x v="0"/>
    <x v="0"/>
  </r>
  <r>
    <x v="557"/>
    <x v="2"/>
    <x v="0"/>
    <n v="62"/>
    <x v="6"/>
    <x v="19"/>
    <x v="0"/>
    <x v="1"/>
  </r>
  <r>
    <x v="558"/>
    <x v="2"/>
    <x v="0"/>
    <n v="64"/>
    <x v="0"/>
    <x v="171"/>
    <x v="0"/>
    <x v="0"/>
  </r>
  <r>
    <x v="559"/>
    <x v="0"/>
    <x v="1"/>
    <n v="60"/>
    <x v="3"/>
    <x v="78"/>
    <x v="1"/>
    <x v="8"/>
  </r>
  <r>
    <x v="560"/>
    <x v="0"/>
    <x v="0"/>
    <n v="62"/>
    <x v="5"/>
    <x v="238"/>
    <x v="1"/>
    <x v="6"/>
  </r>
  <r>
    <x v="561"/>
    <x v="0"/>
    <x v="0"/>
    <n v="63"/>
    <x v="10"/>
    <x v="210"/>
    <x v="1"/>
    <x v="1"/>
  </r>
  <r>
    <x v="398"/>
    <x v="0"/>
    <x v="0"/>
    <n v="64"/>
    <x v="0"/>
    <x v="39"/>
    <x v="0"/>
    <x v="8"/>
  </r>
  <r>
    <x v="562"/>
    <x v="0"/>
    <x v="1"/>
    <n v="59"/>
    <x v="4"/>
    <x v="179"/>
    <x v="0"/>
    <x v="11"/>
  </r>
  <r>
    <x v="323"/>
    <x v="0"/>
    <x v="1"/>
    <n v="62"/>
    <x v="10"/>
    <x v="49"/>
    <x v="0"/>
    <x v="1"/>
  </r>
  <r>
    <x v="563"/>
    <x v="0"/>
    <x v="1"/>
    <n v="62"/>
    <x v="4"/>
    <x v="186"/>
    <x v="0"/>
    <x v="0"/>
  </r>
  <r>
    <x v="564"/>
    <x v="0"/>
    <x v="1"/>
    <n v="58"/>
    <x v="3"/>
    <x v="29"/>
    <x v="0"/>
    <x v="20"/>
  </r>
  <r>
    <x v="565"/>
    <x v="0"/>
    <x v="1"/>
    <n v="59"/>
    <x v="12"/>
    <x v="239"/>
    <x v="0"/>
    <x v="9"/>
  </r>
  <r>
    <x v="87"/>
    <x v="0"/>
    <x v="0"/>
    <n v="64"/>
    <x v="0"/>
    <x v="137"/>
    <x v="0"/>
    <x v="1"/>
  </r>
  <r>
    <x v="566"/>
    <x v="0"/>
    <x v="1"/>
    <n v="60"/>
    <x v="3"/>
    <x v="201"/>
    <x v="0"/>
    <x v="12"/>
  </r>
  <r>
    <x v="567"/>
    <x v="2"/>
    <x v="1"/>
    <n v="60"/>
    <x v="4"/>
    <x v="19"/>
    <x v="0"/>
    <x v="11"/>
  </r>
  <r>
    <x v="568"/>
    <x v="0"/>
    <x v="0"/>
    <n v="65"/>
    <x v="6"/>
    <x v="19"/>
    <x v="0"/>
    <x v="6"/>
  </r>
  <r>
    <x v="569"/>
    <x v="0"/>
    <x v="0"/>
    <n v="62"/>
    <x v="8"/>
    <x v="240"/>
    <x v="0"/>
    <x v="1"/>
  </r>
  <r>
    <x v="570"/>
    <x v="0"/>
    <x v="0"/>
    <n v="62"/>
    <x v="5"/>
    <x v="241"/>
    <x v="0"/>
    <x v="0"/>
  </r>
  <r>
    <x v="354"/>
    <x v="1"/>
    <x v="1"/>
    <n v="60"/>
    <x v="5"/>
    <x v="169"/>
    <x v="0"/>
    <x v="17"/>
  </r>
  <r>
    <x v="571"/>
    <x v="1"/>
    <x v="1"/>
    <n v="58"/>
    <x v="4"/>
    <x v="242"/>
    <x v="1"/>
    <x v="16"/>
  </r>
  <r>
    <x v="572"/>
    <x v="2"/>
    <x v="0"/>
    <n v="64"/>
    <x v="6"/>
    <x v="82"/>
    <x v="1"/>
    <x v="12"/>
  </r>
  <r>
    <x v="573"/>
    <x v="0"/>
    <x v="1"/>
    <n v="58"/>
    <x v="16"/>
    <x v="115"/>
    <x v="1"/>
    <x v="11"/>
  </r>
  <r>
    <x v="574"/>
    <x v="0"/>
    <x v="0"/>
    <n v="65"/>
    <x v="6"/>
    <x v="91"/>
    <x v="1"/>
    <x v="1"/>
  </r>
  <r>
    <x v="575"/>
    <x v="0"/>
    <x v="0"/>
    <n v="64"/>
    <x v="7"/>
    <x v="204"/>
    <x v="1"/>
    <x v="1"/>
  </r>
  <r>
    <x v="576"/>
    <x v="2"/>
    <x v="1"/>
    <n v="59"/>
    <x v="3"/>
    <x v="105"/>
    <x v="1"/>
    <x v="1"/>
  </r>
  <r>
    <x v="577"/>
    <x v="2"/>
    <x v="1"/>
    <n v="60"/>
    <x v="16"/>
    <x v="243"/>
    <x v="1"/>
    <x v="8"/>
  </r>
  <r>
    <x v="578"/>
    <x v="0"/>
    <x v="0"/>
    <n v="62"/>
    <x v="6"/>
    <x v="244"/>
    <x v="0"/>
    <x v="0"/>
  </r>
  <r>
    <x v="237"/>
    <x v="1"/>
    <x v="0"/>
    <n v="60"/>
    <x v="0"/>
    <x v="75"/>
    <x v="0"/>
    <x v="0"/>
  </r>
  <r>
    <x v="579"/>
    <x v="0"/>
    <x v="1"/>
    <n v="58"/>
    <x v="4"/>
    <x v="40"/>
    <x v="0"/>
    <x v="1"/>
  </r>
  <r>
    <x v="580"/>
    <x v="0"/>
    <x v="0"/>
    <n v="62"/>
    <x v="5"/>
    <x v="37"/>
    <x v="1"/>
    <x v="1"/>
  </r>
  <r>
    <x v="581"/>
    <x v="2"/>
    <x v="0"/>
    <n v="64"/>
    <x v="0"/>
    <x v="47"/>
    <x v="0"/>
    <x v="0"/>
  </r>
  <r>
    <x v="582"/>
    <x v="0"/>
    <x v="1"/>
    <n v="62"/>
    <x v="4"/>
    <x v="245"/>
    <x v="1"/>
    <x v="16"/>
  </r>
  <r>
    <x v="583"/>
    <x v="0"/>
    <x v="0"/>
    <n v="61"/>
    <x v="0"/>
    <x v="246"/>
    <x v="0"/>
    <x v="1"/>
  </r>
  <r>
    <x v="232"/>
    <x v="0"/>
    <x v="1"/>
    <n v="58"/>
    <x v="5"/>
    <x v="13"/>
    <x v="0"/>
    <x v="8"/>
  </r>
  <r>
    <x v="584"/>
    <x v="2"/>
    <x v="0"/>
    <n v="63"/>
    <x v="0"/>
    <x v="247"/>
    <x v="1"/>
    <x v="1"/>
  </r>
  <r>
    <x v="450"/>
    <x v="0"/>
    <x v="1"/>
    <n v="60"/>
    <x v="4"/>
    <x v="29"/>
    <x v="0"/>
    <x v="1"/>
  </r>
  <r>
    <x v="585"/>
    <x v="0"/>
    <x v="1"/>
    <n v="60"/>
    <x v="4"/>
    <x v="208"/>
    <x v="0"/>
    <x v="9"/>
  </r>
  <r>
    <x v="586"/>
    <x v="0"/>
    <x v="0"/>
    <n v="64"/>
    <x v="6"/>
    <x v="248"/>
    <x v="1"/>
    <x v="1"/>
  </r>
  <r>
    <x v="587"/>
    <x v="0"/>
    <x v="1"/>
    <n v="59"/>
    <x v="3"/>
    <x v="19"/>
    <x v="0"/>
    <x v="1"/>
  </r>
  <r>
    <x v="588"/>
    <x v="0"/>
    <x v="1"/>
    <n v="59"/>
    <x v="3"/>
    <x v="62"/>
    <x v="0"/>
    <x v="8"/>
  </r>
  <r>
    <x v="589"/>
    <x v="0"/>
    <x v="1"/>
    <n v="60"/>
    <x v="4"/>
    <x v="249"/>
    <x v="1"/>
    <x v="12"/>
  </r>
  <r>
    <x v="590"/>
    <x v="0"/>
    <x v="1"/>
    <n v="59"/>
    <x v="3"/>
    <x v="19"/>
    <x v="0"/>
    <x v="8"/>
  </r>
  <r>
    <x v="591"/>
    <x v="2"/>
    <x v="0"/>
    <n v="60"/>
    <x v="0"/>
    <x v="62"/>
    <x v="0"/>
    <x v="1"/>
  </r>
  <r>
    <x v="592"/>
    <x v="2"/>
    <x v="0"/>
    <n v="64"/>
    <x v="14"/>
    <x v="250"/>
    <x v="6"/>
    <x v="1"/>
  </r>
  <r>
    <x v="593"/>
    <x v="0"/>
    <x v="1"/>
    <n v="62"/>
    <x v="4"/>
    <x v="16"/>
    <x v="0"/>
    <x v="0"/>
  </r>
  <r>
    <x v="594"/>
    <x v="0"/>
    <x v="0"/>
    <n v="62"/>
    <x v="5"/>
    <x v="251"/>
    <x v="6"/>
    <x v="12"/>
  </r>
  <r>
    <x v="595"/>
    <x v="0"/>
    <x v="0"/>
    <n v="62"/>
    <x v="5"/>
    <x v="252"/>
    <x v="0"/>
    <x v="0"/>
  </r>
  <r>
    <x v="596"/>
    <x v="0"/>
    <x v="1"/>
    <n v="62"/>
    <x v="4"/>
    <x v="253"/>
    <x v="6"/>
    <x v="1"/>
  </r>
  <r>
    <x v="597"/>
    <x v="0"/>
    <x v="0"/>
    <n v="64"/>
    <x v="6"/>
    <x v="254"/>
    <x v="6"/>
    <x v="13"/>
  </r>
  <r>
    <x v="12"/>
    <x v="2"/>
    <x v="1"/>
    <n v="59"/>
    <x v="8"/>
    <x v="38"/>
    <x v="0"/>
    <x v="0"/>
  </r>
  <r>
    <x v="598"/>
    <x v="2"/>
    <x v="0"/>
    <n v="62"/>
    <x v="5"/>
    <x v="194"/>
    <x v="0"/>
    <x v="0"/>
  </r>
  <r>
    <x v="599"/>
    <x v="0"/>
    <x v="1"/>
    <n v="60"/>
    <x v="3"/>
    <x v="255"/>
    <x v="0"/>
    <x v="1"/>
  </r>
  <r>
    <x v="600"/>
    <x v="0"/>
    <x v="0"/>
    <n v="62"/>
    <x v="5"/>
    <x v="211"/>
    <x v="0"/>
    <x v="12"/>
  </r>
  <r>
    <x v="601"/>
    <x v="0"/>
    <x v="0"/>
    <n v="64"/>
    <x v="5"/>
    <x v="256"/>
    <x v="0"/>
    <x v="12"/>
  </r>
  <r>
    <x v="602"/>
    <x v="2"/>
    <x v="0"/>
    <n v="62"/>
    <x v="8"/>
    <x v="39"/>
    <x v="0"/>
    <x v="1"/>
  </r>
  <r>
    <x v="603"/>
    <x v="2"/>
    <x v="1"/>
    <n v="61"/>
    <x v="5"/>
    <x v="170"/>
    <x v="0"/>
    <x v="1"/>
  </r>
  <r>
    <x v="604"/>
    <x v="0"/>
    <x v="0"/>
    <n v="62"/>
    <x v="5"/>
    <x v="170"/>
    <x v="0"/>
    <x v="13"/>
  </r>
  <r>
    <x v="365"/>
    <x v="0"/>
    <x v="1"/>
    <n v="60"/>
    <x v="16"/>
    <x v="59"/>
    <x v="0"/>
    <x v="1"/>
  </r>
  <r>
    <x v="605"/>
    <x v="0"/>
    <x v="0"/>
    <n v="62"/>
    <x v="5"/>
    <x v="15"/>
    <x v="0"/>
    <x v="1"/>
  </r>
  <r>
    <x v="606"/>
    <x v="0"/>
    <x v="1"/>
    <n v="60"/>
    <x v="3"/>
    <x v="61"/>
    <x v="0"/>
    <x v="1"/>
  </r>
  <r>
    <x v="607"/>
    <x v="0"/>
    <x v="0"/>
    <n v="64"/>
    <x v="14"/>
    <x v="65"/>
    <x v="0"/>
    <x v="1"/>
  </r>
  <r>
    <x v="608"/>
    <x v="1"/>
    <x v="1"/>
    <n v="60"/>
    <x v="3"/>
    <x v="137"/>
    <x v="0"/>
    <x v="1"/>
  </r>
  <r>
    <x v="609"/>
    <x v="1"/>
    <x v="0"/>
    <n v="63"/>
    <x v="8"/>
    <x v="257"/>
    <x v="0"/>
    <x v="1"/>
  </r>
  <r>
    <x v="610"/>
    <x v="1"/>
    <x v="1"/>
    <n v="58"/>
    <x v="4"/>
    <x v="258"/>
    <x v="1"/>
    <x v="1"/>
  </r>
  <r>
    <x v="611"/>
    <x v="0"/>
    <x v="1"/>
    <n v="60"/>
    <x v="3"/>
    <x v="259"/>
    <x v="0"/>
    <x v="21"/>
  </r>
  <r>
    <x v="612"/>
    <x v="2"/>
    <x v="0"/>
    <n v="62"/>
    <x v="5"/>
    <x v="177"/>
    <x v="1"/>
    <x v="8"/>
  </r>
  <r>
    <x v="613"/>
    <x v="2"/>
    <x v="1"/>
    <n v="58"/>
    <x v="3"/>
    <x v="260"/>
    <x v="1"/>
    <x v="14"/>
  </r>
  <r>
    <x v="614"/>
    <x v="2"/>
    <x v="0"/>
    <n v="64"/>
    <x v="8"/>
    <x v="4"/>
    <x v="1"/>
    <x v="1"/>
  </r>
  <r>
    <x v="615"/>
    <x v="0"/>
    <x v="0"/>
    <n v="62"/>
    <x v="5"/>
    <x v="261"/>
    <x v="1"/>
    <x v="1"/>
  </r>
  <r>
    <x v="616"/>
    <x v="0"/>
    <x v="1"/>
    <n v="60"/>
    <x v="4"/>
    <x v="7"/>
    <x v="1"/>
    <x v="1"/>
  </r>
  <r>
    <x v="617"/>
    <x v="0"/>
    <x v="1"/>
    <n v="59"/>
    <x v="4"/>
    <x v="29"/>
    <x v="0"/>
    <x v="1"/>
  </r>
  <r>
    <x v="618"/>
    <x v="0"/>
    <x v="1"/>
    <n v="58"/>
    <x v="12"/>
    <x v="231"/>
    <x v="0"/>
    <x v="11"/>
  </r>
  <r>
    <x v="593"/>
    <x v="2"/>
    <x v="0"/>
    <n v="62"/>
    <x v="5"/>
    <x v="262"/>
    <x v="0"/>
    <x v="0"/>
  </r>
  <r>
    <x v="619"/>
    <x v="0"/>
    <x v="0"/>
    <n v="64"/>
    <x v="6"/>
    <x v="263"/>
    <x v="0"/>
    <x v="0"/>
  </r>
  <r>
    <x v="620"/>
    <x v="0"/>
    <x v="1"/>
    <n v="58"/>
    <x v="12"/>
    <x v="155"/>
    <x v="0"/>
    <x v="10"/>
  </r>
  <r>
    <x v="621"/>
    <x v="0"/>
    <x v="1"/>
    <n v="54"/>
    <x v="4"/>
    <x v="29"/>
    <x v="3"/>
    <x v="11"/>
  </r>
  <r>
    <x v="622"/>
    <x v="0"/>
    <x v="1"/>
    <n v="58"/>
    <x v="16"/>
    <x v="264"/>
    <x v="3"/>
    <x v="11"/>
  </r>
  <r>
    <x v="623"/>
    <x v="2"/>
    <x v="1"/>
    <n v="58"/>
    <x v="4"/>
    <x v="38"/>
    <x v="0"/>
    <x v="0"/>
  </r>
  <r>
    <x v="624"/>
    <x v="0"/>
    <x v="1"/>
    <n v="61"/>
    <x v="4"/>
    <x v="38"/>
    <x v="0"/>
    <x v="0"/>
  </r>
  <r>
    <x v="625"/>
    <x v="0"/>
    <x v="1"/>
    <n v="60"/>
    <x v="3"/>
    <x v="38"/>
    <x v="0"/>
    <x v="0"/>
  </r>
  <r>
    <x v="626"/>
    <x v="2"/>
    <x v="2"/>
    <n v="48"/>
    <x v="13"/>
    <x v="14"/>
    <x v="1"/>
    <x v="6"/>
  </r>
  <r>
    <x v="627"/>
    <x v="2"/>
    <x v="0"/>
    <n v="62"/>
    <x v="5"/>
    <x v="16"/>
    <x v="1"/>
    <x v="1"/>
  </r>
  <r>
    <x v="628"/>
    <x v="0"/>
    <x v="0"/>
    <n v="65"/>
    <x v="8"/>
    <x v="242"/>
    <x v="1"/>
    <x v="0"/>
  </r>
  <r>
    <x v="629"/>
    <x v="2"/>
    <x v="1"/>
    <n v="58"/>
    <x v="12"/>
    <x v="265"/>
    <x v="0"/>
    <x v="9"/>
  </r>
  <r>
    <x v="340"/>
    <x v="0"/>
    <x v="1"/>
    <n v="57"/>
    <x v="16"/>
    <x v="179"/>
    <x v="0"/>
    <x v="6"/>
  </r>
  <r>
    <x v="630"/>
    <x v="1"/>
    <x v="0"/>
    <n v="62"/>
    <x v="5"/>
    <x v="266"/>
    <x v="1"/>
    <x v="5"/>
  </r>
  <r>
    <x v="631"/>
    <x v="2"/>
    <x v="0"/>
    <n v="64"/>
    <x v="7"/>
    <x v="57"/>
    <x v="1"/>
    <x v="1"/>
  </r>
  <r>
    <x v="632"/>
    <x v="0"/>
    <x v="1"/>
    <n v="52"/>
    <x v="33"/>
    <x v="267"/>
    <x v="1"/>
    <x v="1"/>
  </r>
  <r>
    <x v="633"/>
    <x v="0"/>
    <x v="1"/>
    <n v="57"/>
    <x v="3"/>
    <x v="110"/>
    <x v="1"/>
    <x v="20"/>
  </r>
  <r>
    <x v="634"/>
    <x v="2"/>
    <x v="1"/>
    <n v="60"/>
    <x v="3"/>
    <x v="37"/>
    <x v="1"/>
    <x v="8"/>
  </r>
  <r>
    <x v="635"/>
    <x v="0"/>
    <x v="0"/>
    <n v="64"/>
    <x v="0"/>
    <x v="268"/>
    <x v="1"/>
    <x v="0"/>
  </r>
  <r>
    <x v="636"/>
    <x v="2"/>
    <x v="1"/>
    <n v="60"/>
    <x v="4"/>
    <x v="13"/>
    <x v="0"/>
    <x v="1"/>
  </r>
  <r>
    <x v="637"/>
    <x v="2"/>
    <x v="1"/>
    <n v="60"/>
    <x v="4"/>
    <x v="269"/>
    <x v="1"/>
    <x v="0"/>
  </r>
  <r>
    <x v="638"/>
    <x v="0"/>
    <x v="1"/>
    <n v="59"/>
    <x v="4"/>
    <x v="16"/>
    <x v="0"/>
    <x v="6"/>
  </r>
  <r>
    <x v="639"/>
    <x v="1"/>
    <x v="0"/>
    <n v="61"/>
    <x v="8"/>
    <x v="270"/>
    <x v="1"/>
    <x v="11"/>
  </r>
  <r>
    <x v="640"/>
    <x v="2"/>
    <x v="1"/>
    <n v="60"/>
    <x v="4"/>
    <x v="271"/>
    <x v="1"/>
    <x v="2"/>
  </r>
  <r>
    <x v="641"/>
    <x v="2"/>
    <x v="0"/>
    <n v="63"/>
    <x v="9"/>
    <x v="145"/>
    <x v="1"/>
    <x v="1"/>
  </r>
  <r>
    <x v="642"/>
    <x v="0"/>
    <x v="1"/>
    <n v="58"/>
    <x v="16"/>
    <x v="272"/>
    <x v="0"/>
    <x v="8"/>
  </r>
  <r>
    <x v="643"/>
    <x v="2"/>
    <x v="0"/>
    <n v="72"/>
    <x v="20"/>
    <x v="273"/>
    <x v="4"/>
    <x v="1"/>
  </r>
  <r>
    <x v="644"/>
    <x v="0"/>
    <x v="0"/>
    <n v="64"/>
    <x v="7"/>
    <x v="171"/>
    <x v="7"/>
    <x v="0"/>
  </r>
  <r>
    <x v="645"/>
    <x v="0"/>
    <x v="1"/>
    <n v="60"/>
    <x v="3"/>
    <x v="155"/>
    <x v="0"/>
    <x v="0"/>
  </r>
  <r>
    <x v="646"/>
    <x v="0"/>
    <x v="1"/>
    <n v="58"/>
    <x v="4"/>
    <x v="155"/>
    <x v="0"/>
    <x v="3"/>
  </r>
  <r>
    <x v="647"/>
    <x v="0"/>
    <x v="1"/>
    <n v="58"/>
    <x v="12"/>
    <x v="29"/>
    <x v="0"/>
    <x v="5"/>
  </r>
  <r>
    <x v="648"/>
    <x v="2"/>
    <x v="0"/>
    <n v="65"/>
    <x v="0"/>
    <x v="14"/>
    <x v="1"/>
    <x v="1"/>
  </r>
  <r>
    <x v="649"/>
    <x v="0"/>
    <x v="1"/>
    <n v="62"/>
    <x v="3"/>
    <x v="14"/>
    <x v="1"/>
    <x v="1"/>
  </r>
  <r>
    <x v="296"/>
    <x v="0"/>
    <x v="1"/>
    <n v="60"/>
    <x v="4"/>
    <x v="274"/>
    <x v="0"/>
    <x v="8"/>
  </r>
  <r>
    <x v="650"/>
    <x v="0"/>
    <x v="1"/>
    <n v="60"/>
    <x v="3"/>
    <x v="4"/>
    <x v="1"/>
    <x v="8"/>
  </r>
  <r>
    <x v="651"/>
    <x v="1"/>
    <x v="1"/>
    <n v="56"/>
    <x v="12"/>
    <x v="275"/>
    <x v="0"/>
    <x v="17"/>
  </r>
  <r>
    <x v="652"/>
    <x v="0"/>
    <x v="1"/>
    <n v="58"/>
    <x v="3"/>
    <x v="276"/>
    <x v="0"/>
    <x v="8"/>
  </r>
  <r>
    <x v="653"/>
    <x v="0"/>
    <x v="2"/>
    <n v="48"/>
    <x v="30"/>
    <x v="277"/>
    <x v="1"/>
    <x v="2"/>
  </r>
  <r>
    <x v="654"/>
    <x v="0"/>
    <x v="0"/>
    <n v="62"/>
    <x v="6"/>
    <x v="278"/>
    <x v="0"/>
    <x v="1"/>
  </r>
  <r>
    <x v="655"/>
    <x v="0"/>
    <x v="1"/>
    <n v="60"/>
    <x v="3"/>
    <x v="276"/>
    <x v="0"/>
    <x v="8"/>
  </r>
  <r>
    <x v="656"/>
    <x v="0"/>
    <x v="0"/>
    <n v="64"/>
    <x v="6"/>
    <x v="279"/>
    <x v="1"/>
    <x v="8"/>
  </r>
  <r>
    <x v="353"/>
    <x v="0"/>
    <x v="0"/>
    <n v="62"/>
    <x v="5"/>
    <x v="182"/>
    <x v="0"/>
    <x v="9"/>
  </r>
  <r>
    <x v="657"/>
    <x v="0"/>
    <x v="1"/>
    <n v="60"/>
    <x v="4"/>
    <x v="280"/>
    <x v="0"/>
    <x v="9"/>
  </r>
  <r>
    <x v="658"/>
    <x v="1"/>
    <x v="1"/>
    <n v="60"/>
    <x v="3"/>
    <x v="204"/>
    <x v="1"/>
    <x v="8"/>
  </r>
  <r>
    <x v="659"/>
    <x v="2"/>
    <x v="0"/>
    <n v="62"/>
    <x v="5"/>
    <x v="123"/>
    <x v="0"/>
    <x v="1"/>
  </r>
  <r>
    <x v="660"/>
    <x v="2"/>
    <x v="0"/>
    <n v="62"/>
    <x v="5"/>
    <x v="8"/>
    <x v="1"/>
    <x v="1"/>
  </r>
  <r>
    <x v="661"/>
    <x v="2"/>
    <x v="0"/>
    <n v="64"/>
    <x v="6"/>
    <x v="281"/>
    <x v="1"/>
    <x v="1"/>
  </r>
  <r>
    <x v="662"/>
    <x v="0"/>
    <x v="1"/>
    <n v="56"/>
    <x v="15"/>
    <x v="13"/>
    <x v="0"/>
    <x v="10"/>
  </r>
  <r>
    <x v="663"/>
    <x v="0"/>
    <x v="1"/>
    <n v="56"/>
    <x v="12"/>
    <x v="282"/>
    <x v="1"/>
    <x v="11"/>
  </r>
  <r>
    <x v="664"/>
    <x v="0"/>
    <x v="1"/>
    <n v="58"/>
    <x v="4"/>
    <x v="7"/>
    <x v="1"/>
    <x v="11"/>
  </r>
  <r>
    <x v="665"/>
    <x v="0"/>
    <x v="1"/>
    <n v="61"/>
    <x v="10"/>
    <x v="283"/>
    <x v="0"/>
    <x v="13"/>
  </r>
  <r>
    <x v="666"/>
    <x v="1"/>
    <x v="1"/>
    <n v="59"/>
    <x v="3"/>
    <x v="61"/>
    <x v="0"/>
    <x v="8"/>
  </r>
  <r>
    <x v="667"/>
    <x v="0"/>
    <x v="1"/>
    <n v="58"/>
    <x v="4"/>
    <x v="284"/>
    <x v="0"/>
    <x v="0"/>
  </r>
  <r>
    <x v="668"/>
    <x v="2"/>
    <x v="0"/>
    <n v="64"/>
    <x v="0"/>
    <x v="173"/>
    <x v="0"/>
    <x v="0"/>
  </r>
  <r>
    <x v="669"/>
    <x v="0"/>
    <x v="1"/>
    <n v="58"/>
    <x v="16"/>
    <x v="240"/>
    <x v="0"/>
    <x v="3"/>
  </r>
  <r>
    <x v="670"/>
    <x v="2"/>
    <x v="0"/>
    <n v="65"/>
    <x v="9"/>
    <x v="14"/>
    <x v="1"/>
    <x v="1"/>
  </r>
  <r>
    <x v="671"/>
    <x v="2"/>
    <x v="0"/>
    <n v="64"/>
    <x v="0"/>
    <x v="285"/>
    <x v="0"/>
    <x v="0"/>
  </r>
  <r>
    <x v="87"/>
    <x v="0"/>
    <x v="1"/>
    <n v="60"/>
    <x v="4"/>
    <x v="29"/>
    <x v="0"/>
    <x v="1"/>
  </r>
  <r>
    <x v="497"/>
    <x v="2"/>
    <x v="1"/>
    <n v="62"/>
    <x v="3"/>
    <x v="97"/>
    <x v="1"/>
    <x v="8"/>
  </r>
  <r>
    <x v="395"/>
    <x v="1"/>
    <x v="1"/>
    <n v="58"/>
    <x v="4"/>
    <x v="161"/>
    <x v="0"/>
    <x v="9"/>
  </r>
  <r>
    <x v="158"/>
    <x v="2"/>
    <x v="1"/>
    <n v="60"/>
    <x v="4"/>
    <x v="13"/>
    <x v="0"/>
    <x v="1"/>
  </r>
  <r>
    <x v="672"/>
    <x v="0"/>
    <x v="1"/>
    <n v="58"/>
    <x v="16"/>
    <x v="17"/>
    <x v="0"/>
    <x v="0"/>
  </r>
  <r>
    <x v="673"/>
    <x v="2"/>
    <x v="1"/>
    <n v="60"/>
    <x v="4"/>
    <x v="75"/>
    <x v="0"/>
    <x v="0"/>
  </r>
  <r>
    <x v="674"/>
    <x v="0"/>
    <x v="0"/>
    <n v="62"/>
    <x v="5"/>
    <x v="286"/>
    <x v="0"/>
    <x v="0"/>
  </r>
  <r>
    <x v="675"/>
    <x v="2"/>
    <x v="0"/>
    <n v="68"/>
    <x v="21"/>
    <x v="61"/>
    <x v="0"/>
    <x v="1"/>
  </r>
  <r>
    <x v="75"/>
    <x v="0"/>
    <x v="1"/>
    <n v="58"/>
    <x v="16"/>
    <x v="18"/>
    <x v="0"/>
    <x v="15"/>
  </r>
  <r>
    <x v="676"/>
    <x v="0"/>
    <x v="0"/>
    <n v="62"/>
    <x v="5"/>
    <x v="287"/>
    <x v="0"/>
    <x v="15"/>
  </r>
  <r>
    <x v="677"/>
    <x v="2"/>
    <x v="1"/>
    <n v="58"/>
    <x v="4"/>
    <x v="89"/>
    <x v="0"/>
    <x v="1"/>
  </r>
  <r>
    <x v="678"/>
    <x v="2"/>
    <x v="1"/>
    <n v="60"/>
    <x v="4"/>
    <x v="47"/>
    <x v="0"/>
    <x v="12"/>
  </r>
  <r>
    <x v="679"/>
    <x v="0"/>
    <x v="1"/>
    <n v="58"/>
    <x v="16"/>
    <x v="62"/>
    <x v="0"/>
    <x v="0"/>
  </r>
  <r>
    <x v="680"/>
    <x v="0"/>
    <x v="1"/>
    <n v="60"/>
    <x v="4"/>
    <x v="47"/>
    <x v="0"/>
    <x v="12"/>
  </r>
  <r>
    <x v="681"/>
    <x v="0"/>
    <x v="1"/>
    <n v="57"/>
    <x v="35"/>
    <x v="38"/>
    <x v="0"/>
    <x v="5"/>
  </r>
  <r>
    <x v="682"/>
    <x v="2"/>
    <x v="0"/>
    <n v="64"/>
    <x v="6"/>
    <x v="288"/>
    <x v="0"/>
    <x v="12"/>
  </r>
  <r>
    <x v="683"/>
    <x v="0"/>
    <x v="1"/>
    <n v="62"/>
    <x v="4"/>
    <x v="289"/>
    <x v="1"/>
    <x v="16"/>
  </r>
  <r>
    <x v="684"/>
    <x v="2"/>
    <x v="1"/>
    <n v="60"/>
    <x v="3"/>
    <x v="290"/>
    <x v="1"/>
    <x v="12"/>
  </r>
  <r>
    <x v="685"/>
    <x v="0"/>
    <x v="1"/>
    <n v="56"/>
    <x v="15"/>
    <x v="221"/>
    <x v="1"/>
    <x v="12"/>
  </r>
  <r>
    <x v="686"/>
    <x v="0"/>
    <x v="1"/>
    <n v="60"/>
    <x v="16"/>
    <x v="291"/>
    <x v="1"/>
    <x v="1"/>
  </r>
  <r>
    <x v="687"/>
    <x v="2"/>
    <x v="1"/>
    <n v="60"/>
    <x v="5"/>
    <x v="7"/>
    <x v="1"/>
    <x v="1"/>
  </r>
  <r>
    <x v="688"/>
    <x v="0"/>
    <x v="1"/>
    <n v="58"/>
    <x v="16"/>
    <x v="292"/>
    <x v="1"/>
    <x v="2"/>
  </r>
  <r>
    <x v="689"/>
    <x v="2"/>
    <x v="1"/>
    <n v="57"/>
    <x v="12"/>
    <x v="239"/>
    <x v="0"/>
    <x v="9"/>
  </r>
  <r>
    <x v="690"/>
    <x v="0"/>
    <x v="1"/>
    <n v="58"/>
    <x v="4"/>
    <x v="89"/>
    <x v="0"/>
    <x v="1"/>
  </r>
  <r>
    <x v="691"/>
    <x v="0"/>
    <x v="0"/>
    <n v="62"/>
    <x v="5"/>
    <x v="293"/>
    <x v="0"/>
    <x v="0"/>
  </r>
  <r>
    <x v="692"/>
    <x v="0"/>
    <x v="1"/>
    <n v="57"/>
    <x v="11"/>
    <x v="224"/>
    <x v="0"/>
    <x v="6"/>
  </r>
  <r>
    <x v="693"/>
    <x v="2"/>
    <x v="1"/>
    <n v="56"/>
    <x v="12"/>
    <x v="294"/>
    <x v="0"/>
    <x v="16"/>
  </r>
  <r>
    <x v="694"/>
    <x v="2"/>
    <x v="1"/>
    <n v="58"/>
    <x v="4"/>
    <x v="244"/>
    <x v="0"/>
    <x v="0"/>
  </r>
  <r>
    <x v="695"/>
    <x v="0"/>
    <x v="1"/>
    <n v="56"/>
    <x v="12"/>
    <x v="13"/>
    <x v="0"/>
    <x v="1"/>
  </r>
  <r>
    <x v="696"/>
    <x v="0"/>
    <x v="1"/>
    <n v="60"/>
    <x v="4"/>
    <x v="295"/>
    <x v="0"/>
    <x v="6"/>
  </r>
  <r>
    <x v="697"/>
    <x v="2"/>
    <x v="1"/>
    <n v="58"/>
    <x v="3"/>
    <x v="262"/>
    <x v="0"/>
    <x v="12"/>
  </r>
  <r>
    <x v="698"/>
    <x v="2"/>
    <x v="0"/>
    <n v="60"/>
    <x v="0"/>
    <x v="296"/>
    <x v="1"/>
    <x v="12"/>
  </r>
  <r>
    <x v="699"/>
    <x v="0"/>
    <x v="1"/>
    <n v="58"/>
    <x v="16"/>
    <x v="45"/>
    <x v="1"/>
    <x v="6"/>
  </r>
  <r>
    <x v="700"/>
    <x v="0"/>
    <x v="1"/>
    <n v="57"/>
    <x v="12"/>
    <x v="18"/>
    <x v="0"/>
    <x v="19"/>
  </r>
  <r>
    <x v="506"/>
    <x v="2"/>
    <x v="1"/>
    <n v="58"/>
    <x v="16"/>
    <x v="39"/>
    <x v="0"/>
    <x v="5"/>
  </r>
  <r>
    <x v="701"/>
    <x v="2"/>
    <x v="1"/>
    <n v="60"/>
    <x v="3"/>
    <x v="244"/>
    <x v="0"/>
    <x v="12"/>
  </r>
  <r>
    <x v="702"/>
    <x v="2"/>
    <x v="1"/>
    <n v="58"/>
    <x v="16"/>
    <x v="239"/>
    <x v="0"/>
    <x v="9"/>
  </r>
  <r>
    <x v="703"/>
    <x v="0"/>
    <x v="1"/>
    <n v="60"/>
    <x v="4"/>
    <x v="297"/>
    <x v="0"/>
    <x v="1"/>
  </r>
  <r>
    <x v="704"/>
    <x v="2"/>
    <x v="1"/>
    <n v="58"/>
    <x v="16"/>
    <x v="298"/>
    <x v="0"/>
    <x v="4"/>
  </r>
  <r>
    <x v="705"/>
    <x v="0"/>
    <x v="1"/>
    <n v="60"/>
    <x v="4"/>
    <x v="30"/>
    <x v="0"/>
    <x v="6"/>
  </r>
  <r>
    <x v="243"/>
    <x v="2"/>
    <x v="1"/>
    <n v="60"/>
    <x v="3"/>
    <x v="299"/>
    <x v="0"/>
    <x v="0"/>
  </r>
  <r>
    <x v="706"/>
    <x v="0"/>
    <x v="1"/>
    <n v="59"/>
    <x v="10"/>
    <x v="78"/>
    <x v="1"/>
    <x v="8"/>
  </r>
  <r>
    <x v="707"/>
    <x v="0"/>
    <x v="1"/>
    <n v="60"/>
    <x v="4"/>
    <x v="300"/>
    <x v="0"/>
    <x v="6"/>
  </r>
  <r>
    <x v="708"/>
    <x v="0"/>
    <x v="0"/>
    <n v="62"/>
    <x v="5"/>
    <x v="12"/>
    <x v="0"/>
    <x v="0"/>
  </r>
  <r>
    <x v="709"/>
    <x v="1"/>
    <x v="1"/>
    <n v="54"/>
    <x v="15"/>
    <x v="4"/>
    <x v="1"/>
    <x v="8"/>
  </r>
  <r>
    <x v="710"/>
    <x v="2"/>
    <x v="1"/>
    <n v="58"/>
    <x v="16"/>
    <x v="30"/>
    <x v="0"/>
    <x v="8"/>
  </r>
  <r>
    <x v="711"/>
    <x v="0"/>
    <x v="1"/>
    <n v="60"/>
    <x v="4"/>
    <x v="89"/>
    <x v="0"/>
    <x v="1"/>
  </r>
  <r>
    <x v="712"/>
    <x v="2"/>
    <x v="1"/>
    <n v="54"/>
    <x v="16"/>
    <x v="145"/>
    <x v="1"/>
    <x v="1"/>
  </r>
  <r>
    <x v="713"/>
    <x v="2"/>
    <x v="1"/>
    <n v="58"/>
    <x v="4"/>
    <x v="145"/>
    <x v="1"/>
    <x v="1"/>
  </r>
  <r>
    <x v="714"/>
    <x v="2"/>
    <x v="2"/>
    <n v="45"/>
    <x v="33"/>
    <x v="195"/>
    <x v="1"/>
    <x v="6"/>
  </r>
  <r>
    <x v="715"/>
    <x v="0"/>
    <x v="1"/>
    <n v="60"/>
    <x v="4"/>
    <x v="16"/>
    <x v="0"/>
    <x v="0"/>
  </r>
  <r>
    <x v="716"/>
    <x v="0"/>
    <x v="1"/>
    <n v="58"/>
    <x v="16"/>
    <x v="39"/>
    <x v="0"/>
    <x v="0"/>
  </r>
  <r>
    <x v="717"/>
    <x v="0"/>
    <x v="1"/>
    <n v="58"/>
    <x v="12"/>
    <x v="160"/>
    <x v="1"/>
    <x v="0"/>
  </r>
  <r>
    <x v="718"/>
    <x v="0"/>
    <x v="1"/>
    <n v="58"/>
    <x v="4"/>
    <x v="301"/>
    <x v="1"/>
    <x v="18"/>
  </r>
  <r>
    <x v="719"/>
    <x v="2"/>
    <x v="2"/>
    <n v="48"/>
    <x v="13"/>
    <x v="135"/>
    <x v="1"/>
    <x v="1"/>
  </r>
  <r>
    <x v="720"/>
    <x v="2"/>
    <x v="1"/>
    <n v="56"/>
    <x v="12"/>
    <x v="80"/>
    <x v="0"/>
    <x v="1"/>
  </r>
  <r>
    <x v="721"/>
    <x v="2"/>
    <x v="1"/>
    <n v="58"/>
    <x v="3"/>
    <x v="143"/>
    <x v="1"/>
    <x v="1"/>
  </r>
  <r>
    <x v="722"/>
    <x v="2"/>
    <x v="1"/>
    <n v="57"/>
    <x v="3"/>
    <x v="302"/>
    <x v="0"/>
    <x v="9"/>
  </r>
  <r>
    <x v="619"/>
    <x v="2"/>
    <x v="1"/>
    <n v="60"/>
    <x v="16"/>
    <x v="62"/>
    <x v="0"/>
    <x v="0"/>
  </r>
  <r>
    <x v="715"/>
    <x v="0"/>
    <x v="1"/>
    <n v="61"/>
    <x v="10"/>
    <x v="16"/>
    <x v="0"/>
    <x v="0"/>
  </r>
  <r>
    <x v="558"/>
    <x v="0"/>
    <x v="1"/>
    <n v="60"/>
    <x v="3"/>
    <x v="293"/>
    <x v="0"/>
    <x v="0"/>
  </r>
  <r>
    <x v="723"/>
    <x v="0"/>
    <x v="1"/>
    <n v="60"/>
    <x v="3"/>
    <x v="16"/>
    <x v="0"/>
    <x v="3"/>
  </r>
  <r>
    <x v="724"/>
    <x v="2"/>
    <x v="0"/>
    <n v="64"/>
    <x v="6"/>
    <x v="303"/>
    <x v="1"/>
    <x v="5"/>
  </r>
  <r>
    <x v="725"/>
    <x v="2"/>
    <x v="0"/>
    <n v="62"/>
    <x v="5"/>
    <x v="304"/>
    <x v="6"/>
    <x v="12"/>
  </r>
  <r>
    <x v="726"/>
    <x v="0"/>
    <x v="1"/>
    <n v="54"/>
    <x v="12"/>
    <x v="40"/>
    <x v="0"/>
    <x v="0"/>
  </r>
  <r>
    <x v="727"/>
    <x v="0"/>
    <x v="1"/>
    <n v="58"/>
    <x v="3"/>
    <x v="305"/>
    <x v="1"/>
    <x v="1"/>
  </r>
  <r>
    <x v="728"/>
    <x v="0"/>
    <x v="1"/>
    <n v="57"/>
    <x v="4"/>
    <x v="306"/>
    <x v="1"/>
    <x v="8"/>
  </r>
  <r>
    <x v="729"/>
    <x v="2"/>
    <x v="0"/>
    <n v="75"/>
    <x v="18"/>
    <x v="307"/>
    <x v="4"/>
    <x v="0"/>
  </r>
  <r>
    <x v="730"/>
    <x v="0"/>
    <x v="1"/>
    <n v="58"/>
    <x v="5"/>
    <x v="13"/>
    <x v="0"/>
    <x v="10"/>
  </r>
  <r>
    <x v="731"/>
    <x v="0"/>
    <x v="1"/>
    <n v="60"/>
    <x v="3"/>
    <x v="30"/>
    <x v="0"/>
    <x v="6"/>
  </r>
  <r>
    <x v="732"/>
    <x v="0"/>
    <x v="1"/>
    <n v="59"/>
    <x v="3"/>
    <x v="4"/>
    <x v="1"/>
    <x v="1"/>
  </r>
  <r>
    <x v="733"/>
    <x v="3"/>
    <x v="1"/>
    <n v="58"/>
    <x v="16"/>
    <x v="116"/>
    <x v="0"/>
    <x v="14"/>
  </r>
  <r>
    <x v="734"/>
    <x v="2"/>
    <x v="1"/>
    <n v="58"/>
    <x v="16"/>
    <x v="8"/>
    <x v="1"/>
    <x v="7"/>
  </r>
  <r>
    <x v="735"/>
    <x v="0"/>
    <x v="1"/>
    <n v="60"/>
    <x v="3"/>
    <x v="110"/>
    <x v="1"/>
    <x v="6"/>
  </r>
  <r>
    <x v="736"/>
    <x v="2"/>
    <x v="0"/>
    <n v="64"/>
    <x v="5"/>
    <x v="308"/>
    <x v="1"/>
    <x v="3"/>
  </r>
  <r>
    <x v="737"/>
    <x v="2"/>
    <x v="0"/>
    <n v="60"/>
    <x v="0"/>
    <x v="179"/>
    <x v="0"/>
    <x v="1"/>
  </r>
  <r>
    <x v="738"/>
    <x v="0"/>
    <x v="1"/>
    <n v="54"/>
    <x v="15"/>
    <x v="61"/>
    <x v="0"/>
    <x v="15"/>
  </r>
  <r>
    <x v="739"/>
    <x v="0"/>
    <x v="1"/>
    <n v="58"/>
    <x v="12"/>
    <x v="208"/>
    <x v="0"/>
    <x v="9"/>
  </r>
  <r>
    <x v="740"/>
    <x v="2"/>
    <x v="2"/>
    <n v="45"/>
    <x v="42"/>
    <x v="14"/>
    <x v="1"/>
    <x v="8"/>
  </r>
  <r>
    <x v="741"/>
    <x v="2"/>
    <x v="1"/>
    <n v="58"/>
    <x v="16"/>
    <x v="309"/>
    <x v="0"/>
    <x v="1"/>
  </r>
  <r>
    <x v="702"/>
    <x v="0"/>
    <x v="1"/>
    <n v="57"/>
    <x v="12"/>
    <x v="239"/>
    <x v="0"/>
    <x v="9"/>
  </r>
  <r>
    <x v="742"/>
    <x v="2"/>
    <x v="1"/>
    <n v="58"/>
    <x v="12"/>
    <x v="239"/>
    <x v="0"/>
    <x v="14"/>
  </r>
  <r>
    <x v="743"/>
    <x v="2"/>
    <x v="1"/>
    <n v="60"/>
    <x v="3"/>
    <x v="239"/>
    <x v="0"/>
    <x v="9"/>
  </r>
  <r>
    <x v="744"/>
    <x v="0"/>
    <x v="0"/>
    <n v="62"/>
    <x v="5"/>
    <x v="15"/>
    <x v="0"/>
    <x v="0"/>
  </r>
  <r>
    <x v="745"/>
    <x v="0"/>
    <x v="1"/>
    <n v="58"/>
    <x v="12"/>
    <x v="175"/>
    <x v="1"/>
    <x v="1"/>
  </r>
  <r>
    <x v="746"/>
    <x v="2"/>
    <x v="2"/>
    <n v="50"/>
    <x v="13"/>
    <x v="37"/>
    <x v="1"/>
    <x v="1"/>
  </r>
  <r>
    <x v="747"/>
    <x v="0"/>
    <x v="1"/>
    <n v="62"/>
    <x v="16"/>
    <x v="310"/>
    <x v="1"/>
    <x v="6"/>
  </r>
  <r>
    <x v="748"/>
    <x v="0"/>
    <x v="1"/>
    <n v="62"/>
    <x v="16"/>
    <x v="175"/>
    <x v="1"/>
    <x v="1"/>
  </r>
  <r>
    <x v="749"/>
    <x v="1"/>
    <x v="1"/>
    <n v="58"/>
    <x v="3"/>
    <x v="88"/>
    <x v="1"/>
    <x v="3"/>
  </r>
  <r>
    <x v="750"/>
    <x v="0"/>
    <x v="1"/>
    <n v="56"/>
    <x v="12"/>
    <x v="135"/>
    <x v="1"/>
    <x v="2"/>
  </r>
  <r>
    <x v="751"/>
    <x v="0"/>
    <x v="1"/>
    <n v="60"/>
    <x v="16"/>
    <x v="40"/>
    <x v="0"/>
    <x v="1"/>
  </r>
  <r>
    <x v="752"/>
    <x v="2"/>
    <x v="0"/>
    <n v="62"/>
    <x v="5"/>
    <x v="155"/>
    <x v="0"/>
    <x v="1"/>
  </r>
  <r>
    <x v="753"/>
    <x v="0"/>
    <x v="1"/>
    <n v="56"/>
    <x v="12"/>
    <x v="89"/>
    <x v="0"/>
    <x v="1"/>
  </r>
  <r>
    <x v="754"/>
    <x v="0"/>
    <x v="1"/>
    <n v="54"/>
    <x v="12"/>
    <x v="130"/>
    <x v="0"/>
    <x v="9"/>
  </r>
  <r>
    <x v="755"/>
    <x v="0"/>
    <x v="0"/>
    <n v="64"/>
    <x v="5"/>
    <x v="155"/>
    <x v="0"/>
    <x v="0"/>
  </r>
  <r>
    <x v="756"/>
    <x v="0"/>
    <x v="1"/>
    <n v="60"/>
    <x v="16"/>
    <x v="59"/>
    <x v="8"/>
    <x v="8"/>
  </r>
  <r>
    <x v="757"/>
    <x v="1"/>
    <x v="1"/>
    <n v="60"/>
    <x v="3"/>
    <x v="133"/>
    <x v="0"/>
    <x v="5"/>
  </r>
  <r>
    <x v="758"/>
    <x v="2"/>
    <x v="1"/>
    <n v="57"/>
    <x v="12"/>
    <x v="239"/>
    <x v="0"/>
    <x v="9"/>
  </r>
  <r>
    <x v="464"/>
    <x v="2"/>
    <x v="2"/>
    <n v="46"/>
    <x v="22"/>
    <x v="311"/>
    <x v="1"/>
    <x v="12"/>
  </r>
  <r>
    <x v="759"/>
    <x v="0"/>
    <x v="1"/>
    <n v="62"/>
    <x v="4"/>
    <x v="312"/>
    <x v="1"/>
    <x v="3"/>
  </r>
  <r>
    <x v="760"/>
    <x v="2"/>
    <x v="2"/>
    <n v="46"/>
    <x v="22"/>
    <x v="313"/>
    <x v="0"/>
    <x v="17"/>
  </r>
  <r>
    <x v="761"/>
    <x v="2"/>
    <x v="3"/>
    <n v="40"/>
    <x v="43"/>
    <x v="314"/>
    <x v="1"/>
    <x v="5"/>
  </r>
  <r>
    <x v="762"/>
    <x v="0"/>
    <x v="3"/>
    <n v="40"/>
    <x v="44"/>
    <x v="16"/>
    <x v="0"/>
    <x v="15"/>
  </r>
  <r>
    <x v="763"/>
    <x v="0"/>
    <x v="2"/>
    <n v="47"/>
    <x v="22"/>
    <x v="186"/>
    <x v="0"/>
    <x v="15"/>
  </r>
  <r>
    <x v="764"/>
    <x v="0"/>
    <x v="2"/>
    <n v="47"/>
    <x v="32"/>
    <x v="315"/>
    <x v="0"/>
    <x v="9"/>
  </r>
  <r>
    <x v="765"/>
    <x v="2"/>
    <x v="1"/>
    <n v="57"/>
    <x v="10"/>
    <x v="18"/>
    <x v="0"/>
    <x v="15"/>
  </r>
  <r>
    <x v="766"/>
    <x v="2"/>
    <x v="1"/>
    <n v="58"/>
    <x v="5"/>
    <x v="89"/>
    <x v="0"/>
    <x v="15"/>
  </r>
  <r>
    <x v="767"/>
    <x v="1"/>
    <x v="0"/>
    <n v="64"/>
    <x v="0"/>
    <x v="15"/>
    <x v="0"/>
    <x v="0"/>
  </r>
  <r>
    <x v="768"/>
    <x v="2"/>
    <x v="1"/>
    <n v="58"/>
    <x v="4"/>
    <x v="7"/>
    <x v="1"/>
    <x v="1"/>
  </r>
  <r>
    <x v="769"/>
    <x v="0"/>
    <x v="1"/>
    <n v="58"/>
    <x v="5"/>
    <x v="29"/>
    <x v="0"/>
    <x v="1"/>
  </r>
  <r>
    <x v="770"/>
    <x v="0"/>
    <x v="0"/>
    <n v="64"/>
    <x v="7"/>
    <x v="155"/>
    <x v="0"/>
    <x v="1"/>
  </r>
  <r>
    <x v="675"/>
    <x v="0"/>
    <x v="1"/>
    <n v="58"/>
    <x v="4"/>
    <x v="89"/>
    <x v="0"/>
    <x v="1"/>
  </r>
  <r>
    <x v="771"/>
    <x v="0"/>
    <x v="1"/>
    <n v="60"/>
    <x v="4"/>
    <x v="29"/>
    <x v="0"/>
    <x v="1"/>
  </r>
  <r>
    <x v="772"/>
    <x v="0"/>
    <x v="0"/>
    <n v="62"/>
    <x v="5"/>
    <x v="7"/>
    <x v="1"/>
    <x v="15"/>
  </r>
  <r>
    <x v="773"/>
    <x v="0"/>
    <x v="1"/>
    <n v="57"/>
    <x v="3"/>
    <x v="143"/>
    <x v="1"/>
    <x v="8"/>
  </r>
  <r>
    <x v="774"/>
    <x v="2"/>
    <x v="1"/>
    <n v="57"/>
    <x v="3"/>
    <x v="131"/>
    <x v="1"/>
    <x v="8"/>
  </r>
  <r>
    <x v="775"/>
    <x v="2"/>
    <x v="1"/>
    <n v="60"/>
    <x v="5"/>
    <x v="62"/>
    <x v="0"/>
    <x v="5"/>
  </r>
  <r>
    <x v="776"/>
    <x v="0"/>
    <x v="1"/>
    <n v="55"/>
    <x v="11"/>
    <x v="61"/>
    <x v="0"/>
    <x v="0"/>
  </r>
  <r>
    <x v="777"/>
    <x v="0"/>
    <x v="1"/>
    <n v="60"/>
    <x v="4"/>
    <x v="62"/>
    <x v="0"/>
    <x v="0"/>
  </r>
  <r>
    <x v="778"/>
    <x v="0"/>
    <x v="1"/>
    <n v="58"/>
    <x v="4"/>
    <x v="38"/>
    <x v="0"/>
    <x v="14"/>
  </r>
  <r>
    <x v="779"/>
    <x v="0"/>
    <x v="0"/>
    <n v="60"/>
    <x v="0"/>
    <x v="13"/>
    <x v="0"/>
    <x v="16"/>
  </r>
  <r>
    <x v="780"/>
    <x v="1"/>
    <x v="0"/>
    <n v="62"/>
    <x v="5"/>
    <x v="316"/>
    <x v="0"/>
    <x v="0"/>
  </r>
  <r>
    <x v="781"/>
    <x v="3"/>
    <x v="0"/>
    <n v="64"/>
    <x v="6"/>
    <x v="173"/>
    <x v="0"/>
    <x v="0"/>
  </r>
  <r>
    <x v="782"/>
    <x v="0"/>
    <x v="1"/>
    <n v="60"/>
    <x v="5"/>
    <x v="317"/>
    <x v="0"/>
    <x v="17"/>
  </r>
  <r>
    <x v="783"/>
    <x v="0"/>
    <x v="1"/>
    <n v="56"/>
    <x v="15"/>
    <x v="173"/>
    <x v="0"/>
    <x v="9"/>
  </r>
  <r>
    <x v="784"/>
    <x v="2"/>
    <x v="1"/>
    <n v="58"/>
    <x v="4"/>
    <x v="208"/>
    <x v="0"/>
    <x v="9"/>
  </r>
  <r>
    <x v="785"/>
    <x v="2"/>
    <x v="0"/>
    <n v="64"/>
    <x v="5"/>
    <x v="17"/>
    <x v="0"/>
    <x v="5"/>
  </r>
  <r>
    <x v="786"/>
    <x v="0"/>
    <x v="1"/>
    <n v="58"/>
    <x v="16"/>
    <x v="89"/>
    <x v="0"/>
    <x v="1"/>
  </r>
  <r>
    <x v="787"/>
    <x v="0"/>
    <x v="1"/>
    <n v="58"/>
    <x v="16"/>
    <x v="158"/>
    <x v="0"/>
    <x v="0"/>
  </r>
  <r>
    <x v="788"/>
    <x v="0"/>
    <x v="1"/>
    <n v="60"/>
    <x v="4"/>
    <x v="318"/>
    <x v="1"/>
    <x v="12"/>
  </r>
  <r>
    <x v="789"/>
    <x v="2"/>
    <x v="1"/>
    <n v="56"/>
    <x v="16"/>
    <x v="319"/>
    <x v="0"/>
    <x v="9"/>
  </r>
  <r>
    <x v="790"/>
    <x v="2"/>
    <x v="1"/>
    <n v="60"/>
    <x v="4"/>
    <x v="39"/>
    <x v="0"/>
    <x v="16"/>
  </r>
  <r>
    <x v="791"/>
    <x v="0"/>
    <x v="1"/>
    <n v="58"/>
    <x v="4"/>
    <x v="297"/>
    <x v="0"/>
    <x v="16"/>
  </r>
  <r>
    <x v="792"/>
    <x v="0"/>
    <x v="1"/>
    <n v="58"/>
    <x v="4"/>
    <x v="310"/>
    <x v="1"/>
    <x v="6"/>
  </r>
  <r>
    <x v="793"/>
    <x v="0"/>
    <x v="0"/>
    <n v="64"/>
    <x v="2"/>
    <x v="320"/>
    <x v="1"/>
    <x v="1"/>
  </r>
  <r>
    <x v="794"/>
    <x v="0"/>
    <x v="0"/>
    <n v="62"/>
    <x v="5"/>
    <x v="321"/>
    <x v="0"/>
    <x v="17"/>
  </r>
  <r>
    <x v="795"/>
    <x v="0"/>
    <x v="1"/>
    <n v="58"/>
    <x v="16"/>
    <x v="40"/>
    <x v="0"/>
    <x v="1"/>
  </r>
  <r>
    <x v="796"/>
    <x v="0"/>
    <x v="1"/>
    <n v="57"/>
    <x v="12"/>
    <x v="322"/>
    <x v="1"/>
    <x v="0"/>
  </r>
  <r>
    <x v="797"/>
    <x v="0"/>
    <x v="1"/>
    <n v="58"/>
    <x v="4"/>
    <x v="13"/>
    <x v="0"/>
    <x v="8"/>
  </r>
  <r>
    <x v="798"/>
    <x v="0"/>
    <x v="1"/>
    <n v="60"/>
    <x v="16"/>
    <x v="323"/>
    <x v="0"/>
    <x v="0"/>
  </r>
  <r>
    <x v="799"/>
    <x v="0"/>
    <x v="1"/>
    <n v="54"/>
    <x v="15"/>
    <x v="76"/>
    <x v="0"/>
    <x v="16"/>
  </r>
  <r>
    <x v="800"/>
    <x v="0"/>
    <x v="1"/>
    <n v="56"/>
    <x v="16"/>
    <x v="89"/>
    <x v="0"/>
    <x v="11"/>
  </r>
  <r>
    <x v="564"/>
    <x v="2"/>
    <x v="0"/>
    <n v="60"/>
    <x v="0"/>
    <x v="40"/>
    <x v="0"/>
    <x v="20"/>
  </r>
  <r>
    <x v="801"/>
    <x v="1"/>
    <x v="1"/>
    <n v="60"/>
    <x v="4"/>
    <x v="135"/>
    <x v="1"/>
    <x v="1"/>
  </r>
  <r>
    <x v="802"/>
    <x v="2"/>
    <x v="1"/>
    <n v="60"/>
    <x v="16"/>
    <x v="29"/>
    <x v="0"/>
    <x v="17"/>
  </r>
  <r>
    <x v="803"/>
    <x v="2"/>
    <x v="1"/>
    <n v="57"/>
    <x v="3"/>
    <x v="235"/>
    <x v="1"/>
    <x v="1"/>
  </r>
  <r>
    <x v="804"/>
    <x v="0"/>
    <x v="1"/>
    <n v="58"/>
    <x v="5"/>
    <x v="62"/>
    <x v="0"/>
    <x v="6"/>
  </r>
  <r>
    <x v="805"/>
    <x v="2"/>
    <x v="0"/>
    <n v="64"/>
    <x v="0"/>
    <x v="324"/>
    <x v="1"/>
    <x v="1"/>
  </r>
  <r>
    <x v="806"/>
    <x v="0"/>
    <x v="1"/>
    <n v="54"/>
    <x v="15"/>
    <x v="39"/>
    <x v="0"/>
    <x v="15"/>
  </r>
  <r>
    <x v="807"/>
    <x v="0"/>
    <x v="1"/>
    <n v="57"/>
    <x v="11"/>
    <x v="325"/>
    <x v="0"/>
    <x v="14"/>
  </r>
  <r>
    <x v="808"/>
    <x v="0"/>
    <x v="1"/>
    <n v="58"/>
    <x v="16"/>
    <x v="234"/>
    <x v="0"/>
    <x v="8"/>
  </r>
  <r>
    <x v="809"/>
    <x v="2"/>
    <x v="0"/>
    <n v="62"/>
    <x v="5"/>
    <x v="38"/>
    <x v="0"/>
    <x v="12"/>
  </r>
  <r>
    <x v="810"/>
    <x v="0"/>
    <x v="1"/>
    <n v="60"/>
    <x v="4"/>
    <x v="89"/>
    <x v="0"/>
    <x v="1"/>
  </r>
  <r>
    <x v="811"/>
    <x v="0"/>
    <x v="1"/>
    <n v="59"/>
    <x v="3"/>
    <x v="38"/>
    <x v="0"/>
    <x v="1"/>
  </r>
  <r>
    <x v="812"/>
    <x v="0"/>
    <x v="1"/>
    <n v="54"/>
    <x v="15"/>
    <x v="326"/>
    <x v="1"/>
    <x v="6"/>
  </r>
  <r>
    <x v="813"/>
    <x v="2"/>
    <x v="1"/>
    <n v="62"/>
    <x v="4"/>
    <x v="327"/>
    <x v="1"/>
    <x v="1"/>
  </r>
  <r>
    <x v="814"/>
    <x v="1"/>
    <x v="2"/>
    <n v="44"/>
    <x v="22"/>
    <x v="328"/>
    <x v="1"/>
    <x v="1"/>
  </r>
  <r>
    <x v="64"/>
    <x v="0"/>
    <x v="1"/>
    <n v="60"/>
    <x v="16"/>
    <x v="208"/>
    <x v="0"/>
    <x v="9"/>
  </r>
  <r>
    <x v="815"/>
    <x v="0"/>
    <x v="1"/>
    <n v="58"/>
    <x v="16"/>
    <x v="239"/>
    <x v="0"/>
    <x v="9"/>
  </r>
  <r>
    <x v="816"/>
    <x v="2"/>
    <x v="1"/>
    <n v="58"/>
    <x v="5"/>
    <x v="262"/>
    <x v="0"/>
    <x v="0"/>
  </r>
  <r>
    <x v="817"/>
    <x v="2"/>
    <x v="0"/>
    <n v="64"/>
    <x v="2"/>
    <x v="47"/>
    <x v="0"/>
    <x v="12"/>
  </r>
  <r>
    <x v="818"/>
    <x v="2"/>
    <x v="1"/>
    <n v="57"/>
    <x v="10"/>
    <x v="39"/>
    <x v="0"/>
    <x v="1"/>
  </r>
  <r>
    <x v="819"/>
    <x v="2"/>
    <x v="1"/>
    <n v="60"/>
    <x v="12"/>
    <x v="155"/>
    <x v="0"/>
    <x v="11"/>
  </r>
  <r>
    <x v="535"/>
    <x v="0"/>
    <x v="0"/>
    <n v="62"/>
    <x v="5"/>
    <x v="17"/>
    <x v="0"/>
    <x v="11"/>
  </r>
  <r>
    <x v="66"/>
    <x v="0"/>
    <x v="1"/>
    <n v="60"/>
    <x v="5"/>
    <x v="4"/>
    <x v="1"/>
    <x v="8"/>
  </r>
  <r>
    <x v="820"/>
    <x v="1"/>
    <x v="1"/>
    <n v="59"/>
    <x v="3"/>
    <x v="329"/>
    <x v="9"/>
    <x v="12"/>
  </r>
  <r>
    <x v="821"/>
    <x v="0"/>
    <x v="1"/>
    <n v="57"/>
    <x v="3"/>
    <x v="40"/>
    <x v="0"/>
    <x v="8"/>
  </r>
  <r>
    <x v="822"/>
    <x v="0"/>
    <x v="0"/>
    <n v="62"/>
    <x v="5"/>
    <x v="210"/>
    <x v="1"/>
    <x v="1"/>
  </r>
  <r>
    <x v="823"/>
    <x v="0"/>
    <x v="0"/>
    <n v="64"/>
    <x v="6"/>
    <x v="241"/>
    <x v="0"/>
    <x v="12"/>
  </r>
  <r>
    <x v="824"/>
    <x v="0"/>
    <x v="1"/>
    <n v="62"/>
    <x v="4"/>
    <x v="25"/>
    <x v="0"/>
    <x v="9"/>
  </r>
  <r>
    <x v="825"/>
    <x v="2"/>
    <x v="1"/>
    <n v="58"/>
    <x v="16"/>
    <x v="13"/>
    <x v="0"/>
    <x v="6"/>
  </r>
  <r>
    <x v="826"/>
    <x v="1"/>
    <x v="1"/>
    <n v="60"/>
    <x v="4"/>
    <x v="330"/>
    <x v="0"/>
    <x v="1"/>
  </r>
  <r>
    <x v="827"/>
    <x v="0"/>
    <x v="1"/>
    <n v="58"/>
    <x v="16"/>
    <x v="18"/>
    <x v="0"/>
    <x v="1"/>
  </r>
  <r>
    <x v="828"/>
    <x v="0"/>
    <x v="0"/>
    <n v="60"/>
    <x v="0"/>
    <x v="258"/>
    <x v="1"/>
    <x v="1"/>
  </r>
  <r>
    <x v="829"/>
    <x v="2"/>
    <x v="1"/>
    <n v="58"/>
    <x v="5"/>
    <x v="208"/>
    <x v="0"/>
    <x v="12"/>
  </r>
  <r>
    <x v="830"/>
    <x v="1"/>
    <x v="1"/>
    <n v="59"/>
    <x v="8"/>
    <x v="331"/>
    <x v="1"/>
    <x v="12"/>
  </r>
  <r>
    <x v="831"/>
    <x v="2"/>
    <x v="1"/>
    <n v="58"/>
    <x v="3"/>
    <x v="82"/>
    <x v="1"/>
    <x v="12"/>
  </r>
  <r>
    <x v="832"/>
    <x v="0"/>
    <x v="0"/>
    <n v="60"/>
    <x v="6"/>
    <x v="82"/>
    <x v="1"/>
    <x v="12"/>
  </r>
  <r>
    <x v="833"/>
    <x v="0"/>
    <x v="1"/>
    <n v="58"/>
    <x v="4"/>
    <x v="332"/>
    <x v="6"/>
    <x v="0"/>
  </r>
  <r>
    <x v="834"/>
    <x v="2"/>
    <x v="1"/>
    <n v="58"/>
    <x v="0"/>
    <x v="333"/>
    <x v="6"/>
    <x v="12"/>
  </r>
  <r>
    <x v="835"/>
    <x v="0"/>
    <x v="1"/>
    <n v="56"/>
    <x v="5"/>
    <x v="302"/>
    <x v="0"/>
    <x v="17"/>
  </r>
  <r>
    <x v="836"/>
    <x v="0"/>
    <x v="1"/>
    <n v="58"/>
    <x v="16"/>
    <x v="334"/>
    <x v="0"/>
    <x v="8"/>
  </r>
  <r>
    <x v="423"/>
    <x v="2"/>
    <x v="1"/>
    <n v="57"/>
    <x v="4"/>
    <x v="335"/>
    <x v="0"/>
    <x v="9"/>
  </r>
  <r>
    <x v="395"/>
    <x v="2"/>
    <x v="1"/>
    <n v="56"/>
    <x v="4"/>
    <x v="319"/>
    <x v="0"/>
    <x v="9"/>
  </r>
  <r>
    <x v="837"/>
    <x v="0"/>
    <x v="1"/>
    <n v="58"/>
    <x v="5"/>
    <x v="336"/>
    <x v="0"/>
    <x v="1"/>
  </r>
  <r>
    <x v="838"/>
    <x v="0"/>
    <x v="1"/>
    <n v="58"/>
    <x v="5"/>
    <x v="175"/>
    <x v="1"/>
    <x v="1"/>
  </r>
  <r>
    <x v="839"/>
    <x v="1"/>
    <x v="0"/>
    <n v="64"/>
    <x v="0"/>
    <x v="337"/>
    <x v="1"/>
    <x v="1"/>
  </r>
  <r>
    <x v="840"/>
    <x v="0"/>
    <x v="1"/>
    <n v="56"/>
    <x v="15"/>
    <x v="175"/>
    <x v="1"/>
    <x v="18"/>
  </r>
  <r>
    <x v="446"/>
    <x v="1"/>
    <x v="1"/>
    <n v="58"/>
    <x v="5"/>
    <x v="319"/>
    <x v="0"/>
    <x v="17"/>
  </r>
  <r>
    <x v="841"/>
    <x v="3"/>
    <x v="1"/>
    <n v="57"/>
    <x v="10"/>
    <x v="134"/>
    <x v="0"/>
    <x v="12"/>
  </r>
  <r>
    <x v="842"/>
    <x v="1"/>
    <x v="0"/>
    <n v="62"/>
    <x v="5"/>
    <x v="115"/>
    <x v="0"/>
    <x v="1"/>
  </r>
  <r>
    <x v="354"/>
    <x v="1"/>
    <x v="1"/>
    <n v="60"/>
    <x v="4"/>
    <x v="302"/>
    <x v="0"/>
    <x v="17"/>
  </r>
  <r>
    <x v="843"/>
    <x v="2"/>
    <x v="0"/>
    <n v="64"/>
    <x v="5"/>
    <x v="207"/>
    <x v="0"/>
    <x v="1"/>
  </r>
  <r>
    <x v="844"/>
    <x v="2"/>
    <x v="1"/>
    <n v="60"/>
    <x v="4"/>
    <x v="239"/>
    <x v="0"/>
    <x v="17"/>
  </r>
  <r>
    <x v="845"/>
    <x v="2"/>
    <x v="1"/>
    <n v="56"/>
    <x v="4"/>
    <x v="302"/>
    <x v="0"/>
    <x v="9"/>
  </r>
  <r>
    <x v="846"/>
    <x v="0"/>
    <x v="1"/>
    <n v="58"/>
    <x v="4"/>
    <x v="32"/>
    <x v="0"/>
    <x v="0"/>
  </r>
  <r>
    <x v="847"/>
    <x v="2"/>
    <x v="1"/>
    <n v="60"/>
    <x v="16"/>
    <x v="13"/>
    <x v="0"/>
    <x v="1"/>
  </r>
  <r>
    <x v="848"/>
    <x v="0"/>
    <x v="0"/>
    <n v="65"/>
    <x v="14"/>
    <x v="39"/>
    <x v="0"/>
    <x v="1"/>
  </r>
  <r>
    <x v="424"/>
    <x v="0"/>
    <x v="2"/>
    <n v="56"/>
    <x v="13"/>
    <x v="76"/>
    <x v="0"/>
    <x v="1"/>
  </r>
  <r>
    <x v="849"/>
    <x v="0"/>
    <x v="0"/>
    <n v="64"/>
    <x v="5"/>
    <x v="13"/>
    <x v="0"/>
    <x v="1"/>
  </r>
  <r>
    <x v="850"/>
    <x v="1"/>
    <x v="0"/>
    <n v="76"/>
    <x v="21"/>
    <x v="338"/>
    <x v="4"/>
    <x v="0"/>
  </r>
  <r>
    <x v="851"/>
    <x v="0"/>
    <x v="1"/>
    <n v="57"/>
    <x v="3"/>
    <x v="39"/>
    <x v="0"/>
    <x v="0"/>
  </r>
  <r>
    <x v="852"/>
    <x v="1"/>
    <x v="1"/>
    <n v="60"/>
    <x v="4"/>
    <x v="339"/>
    <x v="0"/>
    <x v="0"/>
  </r>
  <r>
    <x v="853"/>
    <x v="1"/>
    <x v="0"/>
    <n v="62"/>
    <x v="2"/>
    <x v="340"/>
    <x v="1"/>
    <x v="11"/>
  </r>
  <r>
    <x v="854"/>
    <x v="2"/>
    <x v="0"/>
    <n v="62"/>
    <x v="5"/>
    <x v="239"/>
    <x v="0"/>
    <x v="0"/>
  </r>
  <r>
    <x v="855"/>
    <x v="2"/>
    <x v="1"/>
    <n v="62"/>
    <x v="4"/>
    <x v="102"/>
    <x v="0"/>
    <x v="4"/>
  </r>
  <r>
    <x v="856"/>
    <x v="0"/>
    <x v="1"/>
    <n v="56"/>
    <x v="15"/>
    <x v="173"/>
    <x v="0"/>
    <x v="0"/>
  </r>
  <r>
    <x v="857"/>
    <x v="0"/>
    <x v="1"/>
    <n v="59"/>
    <x v="3"/>
    <x v="311"/>
    <x v="1"/>
    <x v="3"/>
  </r>
  <r>
    <x v="858"/>
    <x v="0"/>
    <x v="0"/>
    <n v="62"/>
    <x v="5"/>
    <x v="160"/>
    <x v="1"/>
    <x v="11"/>
  </r>
  <r>
    <x v="859"/>
    <x v="0"/>
    <x v="1"/>
    <n v="58"/>
    <x v="5"/>
    <x v="38"/>
    <x v="0"/>
    <x v="6"/>
  </r>
  <r>
    <x v="860"/>
    <x v="2"/>
    <x v="1"/>
    <n v="58"/>
    <x v="5"/>
    <x v="89"/>
    <x v="0"/>
    <x v="1"/>
  </r>
  <r>
    <x v="861"/>
    <x v="2"/>
    <x v="1"/>
    <n v="60"/>
    <x v="3"/>
    <x v="18"/>
    <x v="0"/>
    <x v="16"/>
  </r>
  <r>
    <x v="862"/>
    <x v="0"/>
    <x v="0"/>
    <n v="62"/>
    <x v="5"/>
    <x v="179"/>
    <x v="0"/>
    <x v="1"/>
  </r>
  <r>
    <x v="863"/>
    <x v="2"/>
    <x v="1"/>
    <n v="58"/>
    <x v="4"/>
    <x v="62"/>
    <x v="0"/>
    <x v="1"/>
  </r>
  <r>
    <x v="864"/>
    <x v="0"/>
    <x v="1"/>
    <n v="58"/>
    <x v="16"/>
    <x v="341"/>
    <x v="0"/>
    <x v="0"/>
  </r>
  <r>
    <x v="865"/>
    <x v="0"/>
    <x v="1"/>
    <n v="62"/>
    <x v="4"/>
    <x v="40"/>
    <x v="0"/>
    <x v="1"/>
  </r>
  <r>
    <x v="866"/>
    <x v="0"/>
    <x v="0"/>
    <n v="64"/>
    <x v="0"/>
    <x v="342"/>
    <x v="1"/>
    <x v="1"/>
  </r>
  <r>
    <x v="867"/>
    <x v="2"/>
    <x v="1"/>
    <n v="52"/>
    <x v="16"/>
    <x v="343"/>
    <x v="1"/>
    <x v="8"/>
  </r>
  <r>
    <x v="868"/>
    <x v="0"/>
    <x v="1"/>
    <n v="60"/>
    <x v="16"/>
    <x v="8"/>
    <x v="1"/>
    <x v="11"/>
  </r>
  <r>
    <x v="869"/>
    <x v="0"/>
    <x v="1"/>
    <n v="58"/>
    <x v="4"/>
    <x v="258"/>
    <x v="1"/>
    <x v="11"/>
  </r>
  <r>
    <x v="870"/>
    <x v="0"/>
    <x v="1"/>
    <n v="58"/>
    <x v="5"/>
    <x v="301"/>
    <x v="1"/>
    <x v="1"/>
  </r>
  <r>
    <x v="871"/>
    <x v="0"/>
    <x v="1"/>
    <n v="58"/>
    <x v="16"/>
    <x v="133"/>
    <x v="1"/>
    <x v="1"/>
  </r>
  <r>
    <x v="872"/>
    <x v="0"/>
    <x v="1"/>
    <n v="52"/>
    <x v="15"/>
    <x v="176"/>
    <x v="1"/>
    <x v="11"/>
  </r>
  <r>
    <x v="873"/>
    <x v="2"/>
    <x v="0"/>
    <n v="62"/>
    <x v="5"/>
    <x v="9"/>
    <x v="1"/>
    <x v="11"/>
  </r>
  <r>
    <x v="874"/>
    <x v="1"/>
    <x v="1"/>
    <n v="60"/>
    <x v="16"/>
    <x v="201"/>
    <x v="0"/>
    <x v="8"/>
  </r>
  <r>
    <x v="875"/>
    <x v="2"/>
    <x v="0"/>
    <n v="62"/>
    <x v="5"/>
    <x v="155"/>
    <x v="0"/>
    <x v="1"/>
  </r>
  <r>
    <x v="424"/>
    <x v="0"/>
    <x v="1"/>
    <n v="59"/>
    <x v="3"/>
    <x v="309"/>
    <x v="0"/>
    <x v="1"/>
  </r>
  <r>
    <x v="876"/>
    <x v="0"/>
    <x v="2"/>
    <n v="46"/>
    <x v="22"/>
    <x v="328"/>
    <x v="1"/>
    <x v="8"/>
  </r>
  <r>
    <x v="877"/>
    <x v="0"/>
    <x v="1"/>
    <n v="54"/>
    <x v="12"/>
    <x v="65"/>
    <x v="0"/>
    <x v="0"/>
  </r>
  <r>
    <x v="878"/>
    <x v="0"/>
    <x v="0"/>
    <n v="64"/>
    <x v="7"/>
    <x v="39"/>
    <x v="0"/>
    <x v="1"/>
  </r>
  <r>
    <x v="398"/>
    <x v="2"/>
    <x v="1"/>
    <n v="60"/>
    <x v="4"/>
    <x v="344"/>
    <x v="0"/>
    <x v="8"/>
  </r>
  <r>
    <x v="879"/>
    <x v="0"/>
    <x v="0"/>
    <n v="64"/>
    <x v="6"/>
    <x v="310"/>
    <x v="1"/>
    <x v="1"/>
  </r>
  <r>
    <x v="880"/>
    <x v="0"/>
    <x v="1"/>
    <n v="55"/>
    <x v="37"/>
    <x v="201"/>
    <x v="0"/>
    <x v="12"/>
  </r>
  <r>
    <x v="881"/>
    <x v="0"/>
    <x v="1"/>
    <n v="57"/>
    <x v="35"/>
    <x v="16"/>
    <x v="0"/>
    <x v="12"/>
  </r>
  <r>
    <x v="882"/>
    <x v="2"/>
    <x v="1"/>
    <n v="56"/>
    <x v="4"/>
    <x v="242"/>
    <x v="1"/>
    <x v="14"/>
  </r>
  <r>
    <x v="883"/>
    <x v="0"/>
    <x v="1"/>
    <n v="58"/>
    <x v="16"/>
    <x v="345"/>
    <x v="0"/>
    <x v="14"/>
  </r>
  <r>
    <x v="884"/>
    <x v="0"/>
    <x v="1"/>
    <n v="57"/>
    <x v="11"/>
    <x v="179"/>
    <x v="0"/>
    <x v="0"/>
  </r>
  <r>
    <x v="885"/>
    <x v="2"/>
    <x v="0"/>
    <n v="62"/>
    <x v="0"/>
    <x v="346"/>
    <x v="0"/>
    <x v="12"/>
  </r>
  <r>
    <x v="886"/>
    <x v="0"/>
    <x v="1"/>
    <n v="56"/>
    <x v="0"/>
    <x v="344"/>
    <x v="0"/>
    <x v="1"/>
  </r>
  <r>
    <x v="887"/>
    <x v="0"/>
    <x v="1"/>
    <n v="56"/>
    <x v="16"/>
    <x v="346"/>
    <x v="0"/>
    <x v="9"/>
  </r>
  <r>
    <x v="888"/>
    <x v="2"/>
    <x v="0"/>
    <n v="62"/>
    <x v="5"/>
    <x v="197"/>
    <x v="0"/>
    <x v="6"/>
  </r>
  <r>
    <x v="889"/>
    <x v="2"/>
    <x v="1"/>
    <n v="58"/>
    <x v="5"/>
    <x v="18"/>
    <x v="0"/>
    <x v="8"/>
  </r>
  <r>
    <x v="890"/>
    <x v="2"/>
    <x v="0"/>
    <n v="64"/>
    <x v="7"/>
    <x v="89"/>
    <x v="0"/>
    <x v="1"/>
  </r>
  <r>
    <x v="891"/>
    <x v="0"/>
    <x v="1"/>
    <n v="60"/>
    <x v="3"/>
    <x v="62"/>
    <x v="0"/>
    <x v="0"/>
  </r>
  <r>
    <x v="892"/>
    <x v="0"/>
    <x v="1"/>
    <n v="60"/>
    <x v="4"/>
    <x v="32"/>
    <x v="0"/>
    <x v="1"/>
  </r>
  <r>
    <x v="893"/>
    <x v="2"/>
    <x v="0"/>
    <n v="62"/>
    <x v="5"/>
    <x v="155"/>
    <x v="0"/>
    <x v="1"/>
  </r>
  <r>
    <x v="841"/>
    <x v="2"/>
    <x v="1"/>
    <n v="54"/>
    <x v="15"/>
    <x v="71"/>
    <x v="0"/>
    <x v="12"/>
  </r>
  <r>
    <x v="894"/>
    <x v="0"/>
    <x v="1"/>
    <n v="56"/>
    <x v="12"/>
    <x v="59"/>
    <x v="0"/>
    <x v="8"/>
  </r>
  <r>
    <x v="895"/>
    <x v="0"/>
    <x v="1"/>
    <n v="58"/>
    <x v="3"/>
    <x v="255"/>
    <x v="0"/>
    <x v="16"/>
  </r>
  <r>
    <x v="896"/>
    <x v="0"/>
    <x v="0"/>
    <n v="62"/>
    <x v="0"/>
    <x v="347"/>
    <x v="1"/>
    <x v="12"/>
  </r>
  <r>
    <x v="897"/>
    <x v="1"/>
    <x v="1"/>
    <n v="60"/>
    <x v="5"/>
    <x v="348"/>
    <x v="1"/>
    <x v="11"/>
  </r>
  <r>
    <x v="898"/>
    <x v="0"/>
    <x v="1"/>
    <n v="58"/>
    <x v="16"/>
    <x v="18"/>
    <x v="0"/>
    <x v="11"/>
  </r>
  <r>
    <x v="899"/>
    <x v="0"/>
    <x v="1"/>
    <n v="59"/>
    <x v="3"/>
    <x v="27"/>
    <x v="6"/>
    <x v="0"/>
  </r>
  <r>
    <x v="900"/>
    <x v="2"/>
    <x v="0"/>
    <n v="64"/>
    <x v="6"/>
    <x v="344"/>
    <x v="0"/>
    <x v="1"/>
  </r>
  <r>
    <x v="901"/>
    <x v="2"/>
    <x v="1"/>
    <n v="58"/>
    <x v="5"/>
    <x v="349"/>
    <x v="0"/>
    <x v="0"/>
  </r>
  <r>
    <x v="536"/>
    <x v="0"/>
    <x v="1"/>
    <n v="56"/>
    <x v="16"/>
    <x v="61"/>
    <x v="0"/>
    <x v="8"/>
  </r>
  <r>
    <x v="902"/>
    <x v="0"/>
    <x v="0"/>
    <n v="64"/>
    <x v="7"/>
    <x v="350"/>
    <x v="0"/>
    <x v="21"/>
  </r>
  <r>
    <x v="903"/>
    <x v="0"/>
    <x v="1"/>
    <n v="60"/>
    <x v="16"/>
    <x v="346"/>
    <x v="0"/>
    <x v="9"/>
  </r>
  <r>
    <x v="904"/>
    <x v="2"/>
    <x v="1"/>
    <n v="58"/>
    <x v="4"/>
    <x v="61"/>
    <x v="0"/>
    <x v="8"/>
  </r>
  <r>
    <x v="905"/>
    <x v="0"/>
    <x v="0"/>
    <n v="64"/>
    <x v="7"/>
    <x v="351"/>
    <x v="1"/>
    <x v="1"/>
  </r>
  <r>
    <x v="906"/>
    <x v="0"/>
    <x v="1"/>
    <n v="59"/>
    <x v="10"/>
    <x v="68"/>
    <x v="1"/>
    <x v="1"/>
  </r>
  <r>
    <x v="907"/>
    <x v="2"/>
    <x v="1"/>
    <n v="57"/>
    <x v="12"/>
    <x v="262"/>
    <x v="0"/>
    <x v="0"/>
  </r>
  <r>
    <x v="908"/>
    <x v="3"/>
    <x v="0"/>
    <n v="64"/>
    <x v="7"/>
    <x v="352"/>
    <x v="0"/>
    <x v="1"/>
  </r>
  <r>
    <x v="909"/>
    <x v="0"/>
    <x v="1"/>
    <n v="58"/>
    <x v="4"/>
    <x v="89"/>
    <x v="0"/>
    <x v="0"/>
  </r>
  <r>
    <x v="753"/>
    <x v="0"/>
    <x v="0"/>
    <n v="62"/>
    <x v="5"/>
    <x v="40"/>
    <x v="0"/>
    <x v="1"/>
  </r>
  <r>
    <x v="910"/>
    <x v="0"/>
    <x v="2"/>
    <n v="51"/>
    <x v="13"/>
    <x v="191"/>
    <x v="1"/>
    <x v="17"/>
  </r>
  <r>
    <x v="911"/>
    <x v="0"/>
    <x v="3"/>
    <n v="36"/>
    <x v="45"/>
    <x v="191"/>
    <x v="1"/>
    <x v="0"/>
  </r>
  <r>
    <x v="912"/>
    <x v="0"/>
    <x v="3"/>
    <n v="39"/>
    <x v="46"/>
    <x v="353"/>
    <x v="1"/>
    <x v="0"/>
  </r>
  <r>
    <x v="913"/>
    <x v="2"/>
    <x v="2"/>
    <n v="50"/>
    <x v="30"/>
    <x v="235"/>
    <x v="1"/>
    <x v="1"/>
  </r>
  <r>
    <x v="914"/>
    <x v="1"/>
    <x v="3"/>
    <n v="35"/>
    <x v="45"/>
    <x v="210"/>
    <x v="1"/>
    <x v="1"/>
  </r>
  <r>
    <x v="915"/>
    <x v="2"/>
    <x v="0"/>
    <n v="62"/>
    <x v="5"/>
    <x v="354"/>
    <x v="0"/>
    <x v="4"/>
  </r>
  <r>
    <x v="916"/>
    <x v="2"/>
    <x v="0"/>
    <n v="64"/>
    <x v="6"/>
    <x v="258"/>
    <x v="1"/>
    <x v="1"/>
  </r>
  <r>
    <x v="917"/>
    <x v="2"/>
    <x v="0"/>
    <n v="62"/>
    <x v="5"/>
    <x v="129"/>
    <x v="1"/>
    <x v="1"/>
  </r>
  <r>
    <x v="918"/>
    <x v="0"/>
    <x v="1"/>
    <n v="58"/>
    <x v="16"/>
    <x v="301"/>
    <x v="1"/>
    <x v="6"/>
  </r>
  <r>
    <x v="919"/>
    <x v="0"/>
    <x v="1"/>
    <n v="58"/>
    <x v="16"/>
    <x v="355"/>
    <x v="1"/>
    <x v="1"/>
  </r>
  <r>
    <x v="920"/>
    <x v="0"/>
    <x v="0"/>
    <n v="64"/>
    <x v="5"/>
    <x v="37"/>
    <x v="1"/>
    <x v="1"/>
  </r>
  <r>
    <x v="921"/>
    <x v="2"/>
    <x v="1"/>
    <n v="54"/>
    <x v="4"/>
    <x v="134"/>
    <x v="1"/>
    <x v="6"/>
  </r>
  <r>
    <x v="922"/>
    <x v="0"/>
    <x v="1"/>
    <n v="60"/>
    <x v="5"/>
    <x v="115"/>
    <x v="1"/>
    <x v="1"/>
  </r>
  <r>
    <x v="923"/>
    <x v="0"/>
    <x v="1"/>
    <n v="60"/>
    <x v="4"/>
    <x v="356"/>
    <x v="1"/>
    <x v="14"/>
  </r>
  <r>
    <x v="924"/>
    <x v="0"/>
    <x v="0"/>
    <n v="64"/>
    <x v="6"/>
    <x v="319"/>
    <x v="0"/>
    <x v="12"/>
  </r>
  <r>
    <x v="564"/>
    <x v="0"/>
    <x v="0"/>
    <n v="60"/>
    <x v="0"/>
    <x v="76"/>
    <x v="0"/>
    <x v="20"/>
  </r>
  <r>
    <x v="925"/>
    <x v="0"/>
    <x v="1"/>
    <n v="60"/>
    <x v="4"/>
    <x v="175"/>
    <x v="1"/>
    <x v="1"/>
  </r>
  <r>
    <x v="926"/>
    <x v="2"/>
    <x v="1"/>
    <n v="58"/>
    <x v="4"/>
    <x v="40"/>
    <x v="0"/>
    <x v="0"/>
  </r>
  <r>
    <x v="927"/>
    <x v="0"/>
    <x v="0"/>
    <n v="63"/>
    <x v="14"/>
    <x v="116"/>
    <x v="0"/>
    <x v="14"/>
  </r>
  <r>
    <x v="928"/>
    <x v="0"/>
    <x v="0"/>
    <n v="62"/>
    <x v="5"/>
    <x v="45"/>
    <x v="1"/>
    <x v="6"/>
  </r>
  <r>
    <x v="929"/>
    <x v="0"/>
    <x v="2"/>
    <n v="56"/>
    <x v="13"/>
    <x v="62"/>
    <x v="0"/>
    <x v="0"/>
  </r>
  <r>
    <x v="930"/>
    <x v="0"/>
    <x v="0"/>
    <n v="82"/>
    <x v="47"/>
    <x v="357"/>
    <x v="4"/>
    <x v="7"/>
  </r>
  <r>
    <x v="931"/>
    <x v="0"/>
    <x v="3"/>
    <n v="42"/>
    <x v="42"/>
    <x v="135"/>
    <x v="1"/>
    <x v="10"/>
  </r>
  <r>
    <x v="932"/>
    <x v="2"/>
    <x v="1"/>
    <n v="58"/>
    <x v="4"/>
    <x v="40"/>
    <x v="0"/>
    <x v="1"/>
  </r>
  <r>
    <x v="933"/>
    <x v="2"/>
    <x v="1"/>
    <n v="60"/>
    <x v="4"/>
    <x v="61"/>
    <x v="0"/>
    <x v="6"/>
  </r>
  <r>
    <x v="934"/>
    <x v="0"/>
    <x v="1"/>
    <n v="60"/>
    <x v="4"/>
    <x v="182"/>
    <x v="0"/>
    <x v="12"/>
  </r>
  <r>
    <x v="935"/>
    <x v="0"/>
    <x v="1"/>
    <n v="60"/>
    <x v="3"/>
    <x v="19"/>
    <x v="0"/>
    <x v="0"/>
  </r>
  <r>
    <x v="936"/>
    <x v="2"/>
    <x v="1"/>
    <n v="58"/>
    <x v="5"/>
    <x v="208"/>
    <x v="0"/>
    <x v="9"/>
  </r>
  <r>
    <x v="937"/>
    <x v="0"/>
    <x v="0"/>
    <n v="62"/>
    <x v="5"/>
    <x v="262"/>
    <x v="0"/>
    <x v="5"/>
  </r>
  <r>
    <x v="232"/>
    <x v="2"/>
    <x v="1"/>
    <n v="58"/>
    <x v="5"/>
    <x v="255"/>
    <x v="0"/>
    <x v="8"/>
  </r>
  <r>
    <x v="938"/>
    <x v="2"/>
    <x v="1"/>
    <n v="56"/>
    <x v="16"/>
    <x v="18"/>
    <x v="0"/>
    <x v="5"/>
  </r>
  <r>
    <x v="75"/>
    <x v="0"/>
    <x v="1"/>
    <n v="56"/>
    <x v="12"/>
    <x v="358"/>
    <x v="0"/>
    <x v="15"/>
  </r>
  <r>
    <x v="939"/>
    <x v="0"/>
    <x v="1"/>
    <n v="58"/>
    <x v="4"/>
    <x v="29"/>
    <x v="0"/>
    <x v="0"/>
  </r>
  <r>
    <x v="940"/>
    <x v="0"/>
    <x v="0"/>
    <n v="62"/>
    <x v="5"/>
    <x v="359"/>
    <x v="0"/>
    <x v="21"/>
  </r>
  <r>
    <x v="941"/>
    <x v="2"/>
    <x v="1"/>
    <n v="52"/>
    <x v="33"/>
    <x v="61"/>
    <x v="1"/>
    <x v="1"/>
  </r>
  <r>
    <x v="942"/>
    <x v="0"/>
    <x v="0"/>
    <n v="62"/>
    <x v="5"/>
    <x v="29"/>
    <x v="1"/>
    <x v="1"/>
  </r>
  <r>
    <x v="943"/>
    <x v="0"/>
    <x v="1"/>
    <n v="56"/>
    <x v="12"/>
    <x v="29"/>
    <x v="0"/>
    <x v="22"/>
  </r>
  <r>
    <x v="944"/>
    <x v="0"/>
    <x v="1"/>
    <n v="60"/>
    <x v="4"/>
    <x v="240"/>
    <x v="0"/>
    <x v="10"/>
  </r>
  <r>
    <x v="945"/>
    <x v="0"/>
    <x v="1"/>
    <n v="58"/>
    <x v="4"/>
    <x v="234"/>
    <x v="0"/>
    <x v="4"/>
  </r>
  <r>
    <x v="946"/>
    <x v="0"/>
    <x v="1"/>
    <n v="58"/>
    <x v="4"/>
    <x v="180"/>
    <x v="0"/>
    <x v="10"/>
  </r>
  <r>
    <x v="947"/>
    <x v="0"/>
    <x v="1"/>
    <n v="53"/>
    <x v="37"/>
    <x v="360"/>
    <x v="0"/>
    <x v="4"/>
  </r>
  <r>
    <x v="948"/>
    <x v="2"/>
    <x v="0"/>
    <n v="60"/>
    <x v="6"/>
    <x v="344"/>
    <x v="0"/>
    <x v="4"/>
  </r>
  <r>
    <x v="949"/>
    <x v="1"/>
    <x v="1"/>
    <n v="60"/>
    <x v="4"/>
    <x v="115"/>
    <x v="1"/>
    <x v="1"/>
  </r>
  <r>
    <x v="950"/>
    <x v="2"/>
    <x v="1"/>
    <n v="58"/>
    <x v="4"/>
    <x v="361"/>
    <x v="0"/>
    <x v="1"/>
  </r>
  <r>
    <x v="951"/>
    <x v="2"/>
    <x v="1"/>
    <n v="58"/>
    <x v="4"/>
    <x v="88"/>
    <x v="1"/>
    <x v="2"/>
  </r>
  <r>
    <x v="952"/>
    <x v="2"/>
    <x v="0"/>
    <n v="60"/>
    <x v="0"/>
    <x v="145"/>
    <x v="1"/>
    <x v="1"/>
  </r>
  <r>
    <x v="953"/>
    <x v="0"/>
    <x v="1"/>
    <n v="58"/>
    <x v="16"/>
    <x v="145"/>
    <x v="1"/>
    <x v="8"/>
  </r>
  <r>
    <x v="954"/>
    <x v="2"/>
    <x v="1"/>
    <n v="60"/>
    <x v="4"/>
    <x v="221"/>
    <x v="1"/>
    <x v="1"/>
  </r>
  <r>
    <x v="955"/>
    <x v="0"/>
    <x v="1"/>
    <n v="58"/>
    <x v="16"/>
    <x v="14"/>
    <x v="1"/>
    <x v="8"/>
  </r>
  <r>
    <x v="956"/>
    <x v="0"/>
    <x v="1"/>
    <n v="56"/>
    <x v="16"/>
    <x v="220"/>
    <x v="1"/>
    <x v="1"/>
  </r>
  <r>
    <x v="957"/>
    <x v="0"/>
    <x v="1"/>
    <n v="60"/>
    <x v="3"/>
    <x v="2"/>
    <x v="0"/>
    <x v="1"/>
  </r>
  <r>
    <x v="958"/>
    <x v="0"/>
    <x v="1"/>
    <n v="58"/>
    <x v="4"/>
    <x v="362"/>
    <x v="0"/>
    <x v="1"/>
  </r>
  <r>
    <x v="959"/>
    <x v="2"/>
    <x v="1"/>
    <n v="56"/>
    <x v="16"/>
    <x v="13"/>
    <x v="0"/>
    <x v="8"/>
  </r>
  <r>
    <x v="960"/>
    <x v="0"/>
    <x v="0"/>
    <n v="62"/>
    <x v="5"/>
    <x v="39"/>
    <x v="0"/>
    <x v="0"/>
  </r>
  <r>
    <x v="961"/>
    <x v="0"/>
    <x v="1"/>
    <n v="57"/>
    <x v="11"/>
    <x v="39"/>
    <x v="0"/>
    <x v="1"/>
  </r>
  <r>
    <x v="962"/>
    <x v="0"/>
    <x v="1"/>
    <n v="56"/>
    <x v="15"/>
    <x v="39"/>
    <x v="10"/>
    <x v="0"/>
  </r>
  <r>
    <x v="963"/>
    <x v="0"/>
    <x v="1"/>
    <n v="58"/>
    <x v="5"/>
    <x v="62"/>
    <x v="0"/>
    <x v="0"/>
  </r>
  <r>
    <x v="964"/>
    <x v="0"/>
    <x v="1"/>
    <n v="57"/>
    <x v="3"/>
    <x v="39"/>
    <x v="0"/>
    <x v="0"/>
  </r>
  <r>
    <x v="965"/>
    <x v="1"/>
    <x v="1"/>
    <n v="58"/>
    <x v="5"/>
    <x v="37"/>
    <x v="1"/>
    <x v="6"/>
  </r>
  <r>
    <x v="966"/>
    <x v="2"/>
    <x v="1"/>
    <n v="54"/>
    <x v="12"/>
    <x v="363"/>
    <x v="1"/>
    <x v="13"/>
  </r>
  <r>
    <x v="967"/>
    <x v="0"/>
    <x v="1"/>
    <n v="60"/>
    <x v="4"/>
    <x v="167"/>
    <x v="1"/>
    <x v="1"/>
  </r>
  <r>
    <x v="968"/>
    <x v="2"/>
    <x v="1"/>
    <n v="59"/>
    <x v="3"/>
    <x v="256"/>
    <x v="0"/>
    <x v="0"/>
  </r>
  <r>
    <x v="969"/>
    <x v="2"/>
    <x v="1"/>
    <n v="57"/>
    <x v="3"/>
    <x v="364"/>
    <x v="1"/>
    <x v="1"/>
  </r>
  <r>
    <x v="970"/>
    <x v="2"/>
    <x v="1"/>
    <n v="58"/>
    <x v="3"/>
    <x v="344"/>
    <x v="0"/>
    <x v="1"/>
  </r>
  <r>
    <x v="971"/>
    <x v="0"/>
    <x v="1"/>
    <n v="60"/>
    <x v="4"/>
    <x v="39"/>
    <x v="0"/>
    <x v="0"/>
  </r>
  <r>
    <x v="972"/>
    <x v="0"/>
    <x v="1"/>
    <n v="58"/>
    <x v="16"/>
    <x v="365"/>
    <x v="0"/>
    <x v="12"/>
  </r>
  <r>
    <x v="973"/>
    <x v="0"/>
    <x v="1"/>
    <n v="56"/>
    <x v="16"/>
    <x v="98"/>
    <x v="1"/>
    <x v="1"/>
  </r>
  <r>
    <x v="974"/>
    <x v="1"/>
    <x v="1"/>
    <n v="59"/>
    <x v="3"/>
    <x v="288"/>
    <x v="0"/>
    <x v="12"/>
  </r>
  <r>
    <x v="975"/>
    <x v="0"/>
    <x v="1"/>
    <n v="58"/>
    <x v="0"/>
    <x v="359"/>
    <x v="0"/>
    <x v="9"/>
  </r>
  <r>
    <x v="976"/>
    <x v="2"/>
    <x v="1"/>
    <n v="56"/>
    <x v="4"/>
    <x v="235"/>
    <x v="1"/>
    <x v="8"/>
  </r>
  <r>
    <x v="977"/>
    <x v="2"/>
    <x v="0"/>
    <n v="62"/>
    <x v="6"/>
    <x v="258"/>
    <x v="1"/>
    <x v="1"/>
  </r>
  <r>
    <x v="978"/>
    <x v="0"/>
    <x v="1"/>
    <n v="59"/>
    <x v="3"/>
    <x v="366"/>
    <x v="1"/>
    <x v="1"/>
  </r>
  <r>
    <x v="979"/>
    <x v="0"/>
    <x v="1"/>
    <n v="56"/>
    <x v="16"/>
    <x v="235"/>
    <x v="1"/>
    <x v="1"/>
  </r>
  <r>
    <x v="980"/>
    <x v="0"/>
    <x v="1"/>
    <n v="52"/>
    <x v="33"/>
    <x v="3"/>
    <x v="1"/>
    <x v="6"/>
  </r>
  <r>
    <x v="981"/>
    <x v="0"/>
    <x v="0"/>
    <n v="62"/>
    <x v="5"/>
    <x v="367"/>
    <x v="1"/>
    <x v="1"/>
  </r>
  <r>
    <x v="982"/>
    <x v="0"/>
    <x v="1"/>
    <n v="60"/>
    <x v="4"/>
    <x v="204"/>
    <x v="1"/>
    <x v="8"/>
  </r>
  <r>
    <x v="983"/>
    <x v="2"/>
    <x v="1"/>
    <n v="60"/>
    <x v="5"/>
    <x v="79"/>
    <x v="0"/>
    <x v="0"/>
  </r>
  <r>
    <x v="710"/>
    <x v="2"/>
    <x v="1"/>
    <n v="60"/>
    <x v="4"/>
    <x v="13"/>
    <x v="0"/>
    <x v="8"/>
  </r>
  <r>
    <x v="816"/>
    <x v="2"/>
    <x v="0"/>
    <n v="62"/>
    <x v="5"/>
    <x v="65"/>
    <x v="0"/>
    <x v="0"/>
  </r>
  <r>
    <x v="984"/>
    <x v="0"/>
    <x v="1"/>
    <n v="58"/>
    <x v="5"/>
    <x v="368"/>
    <x v="0"/>
    <x v="9"/>
  </r>
  <r>
    <x v="985"/>
    <x v="2"/>
    <x v="1"/>
    <n v="58"/>
    <x v="0"/>
    <x v="369"/>
    <x v="0"/>
    <x v="14"/>
  </r>
  <r>
    <x v="423"/>
    <x v="1"/>
    <x v="1"/>
    <n v="56"/>
    <x v="12"/>
    <x v="370"/>
    <x v="0"/>
    <x v="9"/>
  </r>
  <r>
    <x v="986"/>
    <x v="2"/>
    <x v="0"/>
    <n v="62"/>
    <x v="6"/>
    <x v="239"/>
    <x v="0"/>
    <x v="12"/>
  </r>
  <r>
    <x v="987"/>
    <x v="0"/>
    <x v="1"/>
    <n v="56"/>
    <x v="16"/>
    <x v="65"/>
    <x v="0"/>
    <x v="9"/>
  </r>
  <r>
    <x v="988"/>
    <x v="0"/>
    <x v="0"/>
    <n v="60"/>
    <x v="0"/>
    <x v="79"/>
    <x v="0"/>
    <x v="12"/>
  </r>
  <r>
    <x v="989"/>
    <x v="0"/>
    <x v="1"/>
    <n v="56"/>
    <x v="16"/>
    <x v="95"/>
    <x v="0"/>
    <x v="17"/>
  </r>
  <r>
    <x v="990"/>
    <x v="0"/>
    <x v="1"/>
    <n v="58"/>
    <x v="16"/>
    <x v="371"/>
    <x v="0"/>
    <x v="17"/>
  </r>
  <r>
    <x v="991"/>
    <x v="0"/>
    <x v="0"/>
    <n v="64"/>
    <x v="0"/>
    <x v="372"/>
    <x v="1"/>
    <x v="1"/>
  </r>
  <r>
    <x v="742"/>
    <x v="0"/>
    <x v="1"/>
    <n v="58"/>
    <x v="4"/>
    <x v="346"/>
    <x v="0"/>
    <x v="14"/>
  </r>
  <r>
    <x v="992"/>
    <x v="2"/>
    <x v="1"/>
    <n v="58"/>
    <x v="12"/>
    <x v="297"/>
    <x v="0"/>
    <x v="17"/>
  </r>
  <r>
    <x v="993"/>
    <x v="1"/>
    <x v="1"/>
    <n v="54"/>
    <x v="16"/>
    <x v="81"/>
    <x v="1"/>
    <x v="12"/>
  </r>
  <r>
    <x v="994"/>
    <x v="0"/>
    <x v="0"/>
    <n v="62"/>
    <x v="6"/>
    <x v="40"/>
    <x v="0"/>
    <x v="1"/>
  </r>
  <r>
    <x v="995"/>
    <x v="0"/>
    <x v="0"/>
    <n v="64"/>
    <x v="0"/>
    <x v="106"/>
    <x v="0"/>
    <x v="0"/>
  </r>
  <r>
    <x v="996"/>
    <x v="0"/>
    <x v="0"/>
    <n v="64"/>
    <x v="6"/>
    <x v="245"/>
    <x v="1"/>
    <x v="1"/>
  </r>
  <r>
    <x v="997"/>
    <x v="0"/>
    <x v="1"/>
    <n v="52"/>
    <x v="33"/>
    <x v="66"/>
    <x v="1"/>
    <x v="6"/>
  </r>
  <r>
    <x v="998"/>
    <x v="0"/>
    <x v="1"/>
    <n v="54"/>
    <x v="12"/>
    <x v="373"/>
    <x v="0"/>
    <x v="17"/>
  </r>
  <r>
    <x v="999"/>
    <x v="0"/>
    <x v="2"/>
    <n v="45"/>
    <x v="48"/>
    <x v="179"/>
    <x v="0"/>
    <x v="15"/>
  </r>
  <r>
    <x v="1000"/>
    <x v="0"/>
    <x v="1"/>
    <n v="60"/>
    <x v="5"/>
    <x v="359"/>
    <x v="0"/>
    <x v="9"/>
  </r>
  <r>
    <x v="1001"/>
    <x v="0"/>
    <x v="0"/>
    <n v="64"/>
    <x v="0"/>
    <x v="350"/>
    <x v="0"/>
    <x v="0"/>
  </r>
  <r>
    <x v="1002"/>
    <x v="0"/>
    <x v="1"/>
    <n v="58"/>
    <x v="4"/>
    <x v="29"/>
    <x v="0"/>
    <x v="1"/>
  </r>
  <r>
    <x v="1003"/>
    <x v="0"/>
    <x v="1"/>
    <n v="60"/>
    <x v="4"/>
    <x v="11"/>
    <x v="0"/>
    <x v="3"/>
  </r>
  <r>
    <x v="1004"/>
    <x v="0"/>
    <x v="1"/>
    <n v="60"/>
    <x v="4"/>
    <x v="29"/>
    <x v="0"/>
    <x v="12"/>
  </r>
  <r>
    <x v="1005"/>
    <x v="0"/>
    <x v="1"/>
    <n v="58"/>
    <x v="4"/>
    <x v="366"/>
    <x v="1"/>
    <x v="11"/>
  </r>
  <r>
    <x v="1006"/>
    <x v="0"/>
    <x v="1"/>
    <n v="58"/>
    <x v="4"/>
    <x v="89"/>
    <x v="0"/>
    <x v="1"/>
  </r>
  <r>
    <x v="1007"/>
    <x v="1"/>
    <x v="0"/>
    <n v="85"/>
    <x v="49"/>
    <x v="219"/>
    <x v="4"/>
    <x v="0"/>
  </r>
  <r>
    <x v="1008"/>
    <x v="0"/>
    <x v="0"/>
    <n v="79"/>
    <x v="21"/>
    <x v="374"/>
    <x v="4"/>
    <x v="2"/>
  </r>
  <r>
    <x v="1009"/>
    <x v="0"/>
    <x v="1"/>
    <n v="60"/>
    <x v="4"/>
    <x v="243"/>
    <x v="1"/>
    <x v="8"/>
  </r>
  <r>
    <x v="1010"/>
    <x v="0"/>
    <x v="1"/>
    <n v="54"/>
    <x v="12"/>
    <x v="234"/>
    <x v="0"/>
    <x v="8"/>
  </r>
  <r>
    <x v="1011"/>
    <x v="0"/>
    <x v="1"/>
    <n v="54"/>
    <x v="12"/>
    <x v="240"/>
    <x v="0"/>
    <x v="15"/>
  </r>
  <r>
    <x v="1012"/>
    <x v="2"/>
    <x v="1"/>
    <n v="58"/>
    <x v="4"/>
    <x v="375"/>
    <x v="1"/>
    <x v="1"/>
  </r>
  <r>
    <x v="1013"/>
    <x v="2"/>
    <x v="1"/>
    <n v="60"/>
    <x v="4"/>
    <x v="376"/>
    <x v="1"/>
    <x v="1"/>
  </r>
  <r>
    <x v="1014"/>
    <x v="1"/>
    <x v="2"/>
    <n v="44"/>
    <x v="28"/>
    <x v="220"/>
    <x v="1"/>
    <x v="15"/>
  </r>
  <r>
    <x v="1015"/>
    <x v="2"/>
    <x v="1"/>
    <n v="54"/>
    <x v="15"/>
    <x v="201"/>
    <x v="0"/>
    <x v="8"/>
  </r>
  <r>
    <x v="1016"/>
    <x v="0"/>
    <x v="1"/>
    <n v="52"/>
    <x v="15"/>
    <x v="89"/>
    <x v="0"/>
    <x v="1"/>
  </r>
  <r>
    <x v="1017"/>
    <x v="0"/>
    <x v="1"/>
    <n v="58"/>
    <x v="5"/>
    <x v="89"/>
    <x v="0"/>
    <x v="1"/>
  </r>
  <r>
    <x v="1018"/>
    <x v="0"/>
    <x v="1"/>
    <n v="52"/>
    <x v="33"/>
    <x v="377"/>
    <x v="7"/>
    <x v="12"/>
  </r>
  <r>
    <x v="1019"/>
    <x v="0"/>
    <x v="0"/>
    <n v="64"/>
    <x v="6"/>
    <x v="346"/>
    <x v="0"/>
    <x v="9"/>
  </r>
  <r>
    <x v="1020"/>
    <x v="0"/>
    <x v="0"/>
    <n v="64"/>
    <x v="7"/>
    <x v="359"/>
    <x v="0"/>
    <x v="9"/>
  </r>
  <r>
    <x v="1021"/>
    <x v="2"/>
    <x v="1"/>
    <n v="54"/>
    <x v="15"/>
    <x v="134"/>
    <x v="1"/>
    <x v="15"/>
  </r>
  <r>
    <x v="1022"/>
    <x v="2"/>
    <x v="1"/>
    <n v="56"/>
    <x v="16"/>
    <x v="378"/>
    <x v="1"/>
    <x v="8"/>
  </r>
  <r>
    <x v="1023"/>
    <x v="2"/>
    <x v="1"/>
    <n v="58"/>
    <x v="5"/>
    <x v="230"/>
    <x v="1"/>
    <x v="1"/>
  </r>
  <r>
    <x v="826"/>
    <x v="2"/>
    <x v="0"/>
    <n v="64"/>
    <x v="0"/>
    <x v="330"/>
    <x v="0"/>
    <x v="1"/>
  </r>
  <r>
    <x v="1024"/>
    <x v="1"/>
    <x v="0"/>
    <n v="64"/>
    <x v="6"/>
    <x v="379"/>
    <x v="0"/>
    <x v="0"/>
  </r>
  <r>
    <x v="1025"/>
    <x v="2"/>
    <x v="0"/>
    <n v="62"/>
    <x v="5"/>
    <x v="380"/>
    <x v="0"/>
    <x v="0"/>
  </r>
  <r>
    <x v="1026"/>
    <x v="2"/>
    <x v="1"/>
    <n v="60"/>
    <x v="5"/>
    <x v="152"/>
    <x v="1"/>
    <x v="0"/>
  </r>
  <r>
    <x v="1027"/>
    <x v="0"/>
    <x v="0"/>
    <n v="64"/>
    <x v="6"/>
    <x v="381"/>
    <x v="1"/>
    <x v="0"/>
  </r>
  <r>
    <x v="1028"/>
    <x v="0"/>
    <x v="1"/>
    <n v="58"/>
    <x v="16"/>
    <x v="382"/>
    <x v="6"/>
    <x v="0"/>
  </r>
  <r>
    <x v="1029"/>
    <x v="0"/>
    <x v="1"/>
    <n v="58"/>
    <x v="5"/>
    <x v="16"/>
    <x v="0"/>
    <x v="0"/>
  </r>
  <r>
    <x v="1030"/>
    <x v="0"/>
    <x v="0"/>
    <n v="62"/>
    <x v="5"/>
    <x v="383"/>
    <x v="1"/>
    <x v="0"/>
  </r>
  <r>
    <x v="1031"/>
    <x v="0"/>
    <x v="1"/>
    <n v="60"/>
    <x v="4"/>
    <x v="29"/>
    <x v="0"/>
    <x v="5"/>
  </r>
  <r>
    <x v="1032"/>
    <x v="2"/>
    <x v="1"/>
    <n v="52"/>
    <x v="33"/>
    <x v="384"/>
    <x v="1"/>
    <x v="1"/>
  </r>
  <r>
    <x v="92"/>
    <x v="2"/>
    <x v="0"/>
    <n v="64"/>
    <x v="6"/>
    <x v="354"/>
    <x v="0"/>
    <x v="9"/>
  </r>
  <r>
    <x v="1033"/>
    <x v="2"/>
    <x v="0"/>
    <n v="64"/>
    <x v="6"/>
    <x v="180"/>
    <x v="0"/>
    <x v="1"/>
  </r>
  <r>
    <x v="1034"/>
    <x v="2"/>
    <x v="0"/>
    <n v="64"/>
    <x v="6"/>
    <x v="177"/>
    <x v="1"/>
    <x v="1"/>
  </r>
  <r>
    <x v="1035"/>
    <x v="0"/>
    <x v="1"/>
    <n v="60"/>
    <x v="4"/>
    <x v="385"/>
    <x v="0"/>
    <x v="9"/>
  </r>
  <r>
    <x v="1036"/>
    <x v="2"/>
    <x v="1"/>
    <n v="58"/>
    <x v="16"/>
    <x v="152"/>
    <x v="1"/>
    <x v="1"/>
  </r>
  <r>
    <x v="1037"/>
    <x v="0"/>
    <x v="1"/>
    <n v="58"/>
    <x v="16"/>
    <x v="29"/>
    <x v="0"/>
    <x v="10"/>
  </r>
  <r>
    <x v="1038"/>
    <x v="0"/>
    <x v="1"/>
    <n v="58"/>
    <x v="4"/>
    <x v="258"/>
    <x v="1"/>
    <x v="1"/>
  </r>
  <r>
    <x v="1039"/>
    <x v="0"/>
    <x v="0"/>
    <n v="62"/>
    <x v="5"/>
    <x v="7"/>
    <x v="1"/>
    <x v="8"/>
  </r>
  <r>
    <x v="1040"/>
    <x v="2"/>
    <x v="1"/>
    <n v="56"/>
    <x v="12"/>
    <x v="386"/>
    <x v="6"/>
    <x v="8"/>
  </r>
  <r>
    <x v="1041"/>
    <x v="0"/>
    <x v="1"/>
    <n v="56"/>
    <x v="16"/>
    <x v="45"/>
    <x v="1"/>
    <x v="1"/>
  </r>
  <r>
    <x v="1042"/>
    <x v="0"/>
    <x v="1"/>
    <n v="57"/>
    <x v="11"/>
    <x v="179"/>
    <x v="0"/>
    <x v="1"/>
  </r>
  <r>
    <x v="1043"/>
    <x v="0"/>
    <x v="0"/>
    <n v="64"/>
    <x v="5"/>
    <x v="387"/>
    <x v="1"/>
    <x v="11"/>
  </r>
  <r>
    <x v="1044"/>
    <x v="0"/>
    <x v="1"/>
    <n v="58"/>
    <x v="4"/>
    <x v="374"/>
    <x v="2"/>
    <x v="3"/>
  </r>
  <r>
    <x v="1045"/>
    <x v="2"/>
    <x v="0"/>
    <n v="64"/>
    <x v="0"/>
    <x v="128"/>
    <x v="1"/>
    <x v="1"/>
  </r>
  <r>
    <x v="1046"/>
    <x v="0"/>
    <x v="1"/>
    <n v="60"/>
    <x v="5"/>
    <x v="134"/>
    <x v="1"/>
    <x v="1"/>
  </r>
  <r>
    <x v="823"/>
    <x v="1"/>
    <x v="1"/>
    <n v="58"/>
    <x v="4"/>
    <x v="388"/>
    <x v="0"/>
    <x v="12"/>
  </r>
  <r>
    <x v="1047"/>
    <x v="2"/>
    <x v="0"/>
    <n v="68"/>
    <x v="20"/>
    <x v="389"/>
    <x v="0"/>
    <x v="1"/>
  </r>
  <r>
    <x v="1048"/>
    <x v="2"/>
    <x v="1"/>
    <n v="58"/>
    <x v="16"/>
    <x v="30"/>
    <x v="0"/>
    <x v="1"/>
  </r>
  <r>
    <x v="1049"/>
    <x v="0"/>
    <x v="0"/>
    <n v="64"/>
    <x v="0"/>
    <x v="344"/>
    <x v="0"/>
    <x v="1"/>
  </r>
  <r>
    <x v="1050"/>
    <x v="0"/>
    <x v="1"/>
    <n v="56"/>
    <x v="4"/>
    <x v="390"/>
    <x v="1"/>
    <x v="8"/>
  </r>
  <r>
    <x v="1051"/>
    <x v="0"/>
    <x v="0"/>
    <n v="62"/>
    <x v="5"/>
    <x v="13"/>
    <x v="0"/>
    <x v="1"/>
  </r>
  <r>
    <x v="1052"/>
    <x v="2"/>
    <x v="2"/>
    <n v="47"/>
    <x v="11"/>
    <x v="292"/>
    <x v="1"/>
    <x v="1"/>
  </r>
  <r>
    <x v="1053"/>
    <x v="0"/>
    <x v="2"/>
    <n v="46"/>
    <x v="13"/>
    <x v="292"/>
    <x v="1"/>
    <x v="2"/>
  </r>
  <r>
    <x v="1054"/>
    <x v="0"/>
    <x v="1"/>
    <n v="60"/>
    <x v="4"/>
    <x v="84"/>
    <x v="0"/>
    <x v="1"/>
  </r>
  <r>
    <x v="1055"/>
    <x v="0"/>
    <x v="0"/>
    <n v="62"/>
    <x v="5"/>
    <x v="288"/>
    <x v="0"/>
    <x v="12"/>
  </r>
  <r>
    <x v="1056"/>
    <x v="0"/>
    <x v="1"/>
    <n v="61"/>
    <x v="10"/>
    <x v="205"/>
    <x v="1"/>
    <x v="3"/>
  </r>
  <r>
    <x v="1057"/>
    <x v="2"/>
    <x v="1"/>
    <n v="58"/>
    <x v="16"/>
    <x v="98"/>
    <x v="1"/>
    <x v="1"/>
  </r>
  <r>
    <x v="1009"/>
    <x v="0"/>
    <x v="1"/>
    <n v="57"/>
    <x v="3"/>
    <x v="191"/>
    <x v="1"/>
    <x v="8"/>
  </r>
  <r>
    <x v="1058"/>
    <x v="2"/>
    <x v="1"/>
    <n v="58"/>
    <x v="12"/>
    <x v="359"/>
    <x v="0"/>
    <x v="9"/>
  </r>
  <r>
    <x v="1059"/>
    <x v="2"/>
    <x v="0"/>
    <n v="60"/>
    <x v="0"/>
    <x v="18"/>
    <x v="0"/>
    <x v="1"/>
  </r>
  <r>
    <x v="1060"/>
    <x v="2"/>
    <x v="1"/>
    <n v="56"/>
    <x v="12"/>
    <x v="391"/>
    <x v="0"/>
    <x v="17"/>
  </r>
  <r>
    <x v="1061"/>
    <x v="0"/>
    <x v="1"/>
    <n v="55"/>
    <x v="37"/>
    <x v="95"/>
    <x v="0"/>
    <x v="17"/>
  </r>
  <r>
    <x v="1062"/>
    <x v="1"/>
    <x v="1"/>
    <n v="58"/>
    <x v="16"/>
    <x v="270"/>
    <x v="1"/>
    <x v="12"/>
  </r>
  <r>
    <x v="1063"/>
    <x v="2"/>
    <x v="1"/>
    <n v="60"/>
    <x v="3"/>
    <x v="32"/>
    <x v="0"/>
    <x v="1"/>
  </r>
  <r>
    <x v="1064"/>
    <x v="2"/>
    <x v="1"/>
    <n v="46"/>
    <x v="16"/>
    <x v="9"/>
    <x v="1"/>
    <x v="12"/>
  </r>
  <r>
    <x v="1065"/>
    <x v="0"/>
    <x v="0"/>
    <n v="62"/>
    <x v="5"/>
    <x v="362"/>
    <x v="0"/>
    <x v="4"/>
  </r>
  <r>
    <x v="1066"/>
    <x v="2"/>
    <x v="1"/>
    <n v="59"/>
    <x v="3"/>
    <x v="145"/>
    <x v="1"/>
    <x v="1"/>
  </r>
  <r>
    <x v="1067"/>
    <x v="0"/>
    <x v="1"/>
    <n v="52"/>
    <x v="12"/>
    <x v="145"/>
    <x v="1"/>
    <x v="8"/>
  </r>
  <r>
    <x v="1068"/>
    <x v="0"/>
    <x v="1"/>
    <n v="60"/>
    <x v="4"/>
    <x v="392"/>
    <x v="1"/>
    <x v="1"/>
  </r>
  <r>
    <x v="1069"/>
    <x v="0"/>
    <x v="1"/>
    <n v="60"/>
    <x v="5"/>
    <x v="152"/>
    <x v="1"/>
    <x v="1"/>
  </r>
  <r>
    <x v="1070"/>
    <x v="4"/>
    <x v="1"/>
    <n v="58"/>
    <x v="16"/>
    <x v="47"/>
    <x v="0"/>
    <x v="12"/>
  </r>
  <r>
    <x v="1071"/>
    <x v="2"/>
    <x v="1"/>
    <n v="53"/>
    <x v="11"/>
    <x v="393"/>
    <x v="0"/>
    <x v="0"/>
  </r>
  <r>
    <x v="1072"/>
    <x v="0"/>
    <x v="0"/>
    <n v="62"/>
    <x v="5"/>
    <x v="89"/>
    <x v="0"/>
    <x v="1"/>
  </r>
  <r>
    <x v="1073"/>
    <x v="0"/>
    <x v="1"/>
    <n v="60"/>
    <x v="3"/>
    <x v="394"/>
    <x v="1"/>
    <x v="8"/>
  </r>
  <r>
    <x v="1074"/>
    <x v="3"/>
    <x v="1"/>
    <n v="57"/>
    <x v="3"/>
    <x v="116"/>
    <x v="0"/>
    <x v="1"/>
  </r>
  <r>
    <x v="423"/>
    <x v="1"/>
    <x v="1"/>
    <n v="52"/>
    <x v="33"/>
    <x v="395"/>
    <x v="0"/>
    <x v="9"/>
  </r>
  <r>
    <x v="446"/>
    <x v="0"/>
    <x v="1"/>
    <n v="54"/>
    <x v="12"/>
    <x v="396"/>
    <x v="0"/>
    <x v="17"/>
  </r>
  <r>
    <x v="1075"/>
    <x v="0"/>
    <x v="1"/>
    <n v="60"/>
    <x v="4"/>
    <x v="297"/>
    <x v="0"/>
    <x v="1"/>
  </r>
  <r>
    <x v="1076"/>
    <x v="1"/>
    <x v="2"/>
    <n v="44"/>
    <x v="22"/>
    <x v="91"/>
    <x v="1"/>
    <x v="8"/>
  </r>
  <r>
    <x v="1077"/>
    <x v="4"/>
    <x v="1"/>
    <n v="58"/>
    <x v="16"/>
    <x v="377"/>
    <x v="1"/>
    <x v="12"/>
  </r>
  <r>
    <x v="1078"/>
    <x v="0"/>
    <x v="1"/>
    <n v="54"/>
    <x v="33"/>
    <x v="234"/>
    <x v="0"/>
    <x v="0"/>
  </r>
  <r>
    <x v="1079"/>
    <x v="0"/>
    <x v="0"/>
    <n v="62"/>
    <x v="5"/>
    <x v="397"/>
    <x v="0"/>
    <x v="2"/>
  </r>
  <r>
    <x v="1080"/>
    <x v="2"/>
    <x v="1"/>
    <n v="60"/>
    <x v="4"/>
    <x v="393"/>
    <x v="0"/>
    <x v="12"/>
  </r>
  <r>
    <x v="1081"/>
    <x v="2"/>
    <x v="1"/>
    <n v="54"/>
    <x v="33"/>
    <x v="244"/>
    <x v="0"/>
    <x v="12"/>
  </r>
  <r>
    <x v="1082"/>
    <x v="0"/>
    <x v="1"/>
    <n v="58"/>
    <x v="4"/>
    <x v="28"/>
    <x v="1"/>
    <x v="1"/>
  </r>
  <r>
    <x v="1083"/>
    <x v="0"/>
    <x v="1"/>
    <n v="59"/>
    <x v="12"/>
    <x v="39"/>
    <x v="1"/>
    <x v="1"/>
  </r>
  <r>
    <x v="622"/>
    <x v="0"/>
    <x v="1"/>
    <n v="55"/>
    <x v="11"/>
    <x v="264"/>
    <x v="3"/>
    <x v="11"/>
  </r>
  <r>
    <x v="1084"/>
    <x v="0"/>
    <x v="1"/>
    <n v="56"/>
    <x v="15"/>
    <x v="264"/>
    <x v="3"/>
    <x v="11"/>
  </r>
  <r>
    <x v="1085"/>
    <x v="3"/>
    <x v="1"/>
    <n v="60"/>
    <x v="16"/>
    <x v="4"/>
    <x v="1"/>
    <x v="1"/>
  </r>
  <r>
    <x v="1086"/>
    <x v="0"/>
    <x v="1"/>
    <n v="58"/>
    <x v="12"/>
    <x v="202"/>
    <x v="1"/>
    <x v="12"/>
  </r>
  <r>
    <x v="1087"/>
    <x v="0"/>
    <x v="1"/>
    <n v="58"/>
    <x v="16"/>
    <x v="17"/>
    <x v="0"/>
    <x v="6"/>
  </r>
  <r>
    <x v="1088"/>
    <x v="0"/>
    <x v="1"/>
    <n v="58"/>
    <x v="16"/>
    <x v="39"/>
    <x v="0"/>
    <x v="1"/>
  </r>
  <r>
    <x v="1089"/>
    <x v="0"/>
    <x v="1"/>
    <n v="52"/>
    <x v="33"/>
    <x v="234"/>
    <x v="0"/>
    <x v="1"/>
  </r>
  <r>
    <x v="1090"/>
    <x v="2"/>
    <x v="0"/>
    <n v="64"/>
    <x v="6"/>
    <x v="389"/>
    <x v="0"/>
    <x v="11"/>
  </r>
  <r>
    <x v="1091"/>
    <x v="0"/>
    <x v="1"/>
    <n v="58"/>
    <x v="16"/>
    <x v="389"/>
    <x v="0"/>
    <x v="9"/>
  </r>
  <r>
    <x v="1092"/>
    <x v="0"/>
    <x v="1"/>
    <n v="62"/>
    <x v="4"/>
    <x v="29"/>
    <x v="7"/>
    <x v="0"/>
  </r>
  <r>
    <x v="1093"/>
    <x v="0"/>
    <x v="1"/>
    <n v="58"/>
    <x v="4"/>
    <x v="301"/>
    <x v="1"/>
    <x v="1"/>
  </r>
  <r>
    <x v="1094"/>
    <x v="0"/>
    <x v="1"/>
    <n v="52"/>
    <x v="33"/>
    <x v="3"/>
    <x v="1"/>
    <x v="6"/>
  </r>
  <r>
    <x v="1095"/>
    <x v="2"/>
    <x v="1"/>
    <n v="55"/>
    <x v="35"/>
    <x v="358"/>
    <x v="0"/>
    <x v="6"/>
  </r>
  <r>
    <x v="1096"/>
    <x v="0"/>
    <x v="1"/>
    <n v="60"/>
    <x v="4"/>
    <x v="298"/>
    <x v="0"/>
    <x v="1"/>
  </r>
  <r>
    <x v="1097"/>
    <x v="0"/>
    <x v="1"/>
    <n v="58"/>
    <x v="12"/>
    <x v="65"/>
    <x v="0"/>
    <x v="0"/>
  </r>
  <r>
    <x v="1098"/>
    <x v="2"/>
    <x v="2"/>
    <n v="48"/>
    <x v="36"/>
    <x v="13"/>
    <x v="0"/>
    <x v="8"/>
  </r>
  <r>
    <x v="1099"/>
    <x v="2"/>
    <x v="1"/>
    <n v="60"/>
    <x v="5"/>
    <x v="240"/>
    <x v="0"/>
    <x v="8"/>
  </r>
  <r>
    <x v="1100"/>
    <x v="2"/>
    <x v="1"/>
    <n v="54"/>
    <x v="12"/>
    <x v="398"/>
    <x v="1"/>
    <x v="8"/>
  </r>
  <r>
    <x v="1101"/>
    <x v="2"/>
    <x v="1"/>
    <n v="58"/>
    <x v="12"/>
    <x v="105"/>
    <x v="1"/>
    <x v="8"/>
  </r>
  <r>
    <x v="1102"/>
    <x v="0"/>
    <x v="1"/>
    <n v="54"/>
    <x v="15"/>
    <x v="98"/>
    <x v="1"/>
    <x v="8"/>
  </r>
  <r>
    <x v="1103"/>
    <x v="0"/>
    <x v="1"/>
    <n v="60"/>
    <x v="4"/>
    <x v="145"/>
    <x v="1"/>
    <x v="8"/>
  </r>
  <r>
    <x v="1104"/>
    <x v="0"/>
    <x v="1"/>
    <n v="58"/>
    <x v="5"/>
    <x v="274"/>
    <x v="0"/>
    <x v="8"/>
  </r>
  <r>
    <x v="1105"/>
    <x v="0"/>
    <x v="1"/>
    <n v="60"/>
    <x v="4"/>
    <x v="399"/>
    <x v="7"/>
    <x v="8"/>
  </r>
  <r>
    <x v="1106"/>
    <x v="0"/>
    <x v="1"/>
    <n v="57"/>
    <x v="3"/>
    <x v="221"/>
    <x v="1"/>
    <x v="8"/>
  </r>
  <r>
    <x v="1107"/>
    <x v="0"/>
    <x v="1"/>
    <n v="56"/>
    <x v="15"/>
    <x v="30"/>
    <x v="0"/>
    <x v="8"/>
  </r>
  <r>
    <x v="1108"/>
    <x v="0"/>
    <x v="1"/>
    <n v="54"/>
    <x v="15"/>
    <x v="40"/>
    <x v="0"/>
    <x v="8"/>
  </r>
  <r>
    <x v="1109"/>
    <x v="0"/>
    <x v="2"/>
    <n v="50"/>
    <x v="33"/>
    <x v="40"/>
    <x v="0"/>
    <x v="1"/>
  </r>
  <r>
    <x v="383"/>
    <x v="0"/>
    <x v="1"/>
    <n v="57"/>
    <x v="3"/>
    <x v="29"/>
    <x v="0"/>
    <x v="1"/>
  </r>
  <r>
    <x v="1110"/>
    <x v="0"/>
    <x v="1"/>
    <n v="58"/>
    <x v="4"/>
    <x v="29"/>
    <x v="0"/>
    <x v="1"/>
  </r>
  <r>
    <x v="383"/>
    <x v="0"/>
    <x v="1"/>
    <n v="60"/>
    <x v="4"/>
    <x v="309"/>
    <x v="0"/>
    <x v="1"/>
  </r>
  <r>
    <x v="1111"/>
    <x v="0"/>
    <x v="1"/>
    <n v="58"/>
    <x v="12"/>
    <x v="98"/>
    <x v="1"/>
    <x v="0"/>
  </r>
  <r>
    <x v="354"/>
    <x v="2"/>
    <x v="1"/>
    <n v="60"/>
    <x v="4"/>
    <x v="302"/>
    <x v="0"/>
    <x v="17"/>
  </r>
  <r>
    <x v="365"/>
    <x v="0"/>
    <x v="1"/>
    <n v="60"/>
    <x v="16"/>
    <x v="255"/>
    <x v="0"/>
    <x v="1"/>
  </r>
  <r>
    <x v="1112"/>
    <x v="0"/>
    <x v="0"/>
    <n v="62"/>
    <x v="6"/>
    <x v="76"/>
    <x v="0"/>
    <x v="0"/>
  </r>
  <r>
    <x v="1113"/>
    <x v="0"/>
    <x v="1"/>
    <n v="52"/>
    <x v="15"/>
    <x v="400"/>
    <x v="1"/>
    <x v="1"/>
  </r>
  <r>
    <x v="1114"/>
    <x v="0"/>
    <x v="0"/>
    <n v="62"/>
    <x v="5"/>
    <x v="401"/>
    <x v="1"/>
    <x v="12"/>
  </r>
  <r>
    <x v="1115"/>
    <x v="0"/>
    <x v="1"/>
    <n v="56"/>
    <x v="33"/>
    <x v="262"/>
    <x v="0"/>
    <x v="17"/>
  </r>
  <r>
    <x v="1116"/>
    <x v="1"/>
    <x v="1"/>
    <n v="58"/>
    <x v="16"/>
    <x v="359"/>
    <x v="0"/>
    <x v="9"/>
  </r>
  <r>
    <x v="1117"/>
    <x v="0"/>
    <x v="1"/>
    <n v="58"/>
    <x v="4"/>
    <x v="346"/>
    <x v="0"/>
    <x v="9"/>
  </r>
  <r>
    <x v="87"/>
    <x v="0"/>
    <x v="1"/>
    <n v="60"/>
    <x v="4"/>
    <x v="32"/>
    <x v="0"/>
    <x v="1"/>
  </r>
  <r>
    <x v="1118"/>
    <x v="0"/>
    <x v="1"/>
    <n v="60"/>
    <x v="4"/>
    <x v="298"/>
    <x v="0"/>
    <x v="1"/>
  </r>
  <r>
    <x v="1119"/>
    <x v="0"/>
    <x v="1"/>
    <n v="54"/>
    <x v="33"/>
    <x v="221"/>
    <x v="1"/>
    <x v="16"/>
  </r>
  <r>
    <x v="1120"/>
    <x v="2"/>
    <x v="1"/>
    <n v="58"/>
    <x v="15"/>
    <x v="344"/>
    <x v="0"/>
    <x v="1"/>
  </r>
  <r>
    <x v="1121"/>
    <x v="0"/>
    <x v="1"/>
    <n v="54"/>
    <x v="33"/>
    <x v="42"/>
    <x v="1"/>
    <x v="1"/>
  </r>
  <r>
    <x v="1122"/>
    <x v="0"/>
    <x v="1"/>
    <n v="58"/>
    <x v="4"/>
    <x v="191"/>
    <x v="1"/>
    <x v="15"/>
  </r>
  <r>
    <x v="1123"/>
    <x v="0"/>
    <x v="1"/>
    <n v="58"/>
    <x v="16"/>
    <x v="13"/>
    <x v="0"/>
    <x v="1"/>
  </r>
  <r>
    <x v="1124"/>
    <x v="0"/>
    <x v="1"/>
    <n v="58"/>
    <x v="16"/>
    <x v="61"/>
    <x v="0"/>
    <x v="8"/>
  </r>
  <r>
    <x v="1125"/>
    <x v="0"/>
    <x v="1"/>
    <n v="60"/>
    <x v="16"/>
    <x v="106"/>
    <x v="0"/>
    <x v="0"/>
  </r>
  <r>
    <x v="1126"/>
    <x v="2"/>
    <x v="1"/>
    <n v="56"/>
    <x v="12"/>
    <x v="18"/>
    <x v="0"/>
    <x v="8"/>
  </r>
  <r>
    <x v="1127"/>
    <x v="2"/>
    <x v="1"/>
    <n v="58"/>
    <x v="4"/>
    <x v="13"/>
    <x v="0"/>
    <x v="0"/>
  </r>
  <r>
    <x v="1128"/>
    <x v="0"/>
    <x v="1"/>
    <n v="55"/>
    <x v="11"/>
    <x v="18"/>
    <x v="0"/>
    <x v="8"/>
  </r>
  <r>
    <x v="992"/>
    <x v="0"/>
    <x v="1"/>
    <n v="58"/>
    <x v="5"/>
    <x v="286"/>
    <x v="0"/>
    <x v="1"/>
  </r>
  <r>
    <x v="1129"/>
    <x v="0"/>
    <x v="1"/>
    <n v="58"/>
    <x v="4"/>
    <x v="59"/>
    <x v="0"/>
    <x v="8"/>
  </r>
  <r>
    <x v="1130"/>
    <x v="0"/>
    <x v="0"/>
    <n v="64"/>
    <x v="21"/>
    <x v="297"/>
    <x v="0"/>
    <x v="1"/>
  </r>
  <r>
    <x v="1131"/>
    <x v="0"/>
    <x v="0"/>
    <n v="62"/>
    <x v="2"/>
    <x v="286"/>
    <x v="0"/>
    <x v="1"/>
  </r>
  <r>
    <x v="321"/>
    <x v="2"/>
    <x v="1"/>
    <n v="60"/>
    <x v="16"/>
    <x v="76"/>
    <x v="0"/>
    <x v="1"/>
  </r>
  <r>
    <x v="1132"/>
    <x v="1"/>
    <x v="1"/>
    <n v="58"/>
    <x v="4"/>
    <x v="4"/>
    <x v="1"/>
    <x v="8"/>
  </r>
  <r>
    <x v="1133"/>
    <x v="0"/>
    <x v="1"/>
    <n v="58"/>
    <x v="16"/>
    <x v="115"/>
    <x v="1"/>
    <x v="1"/>
  </r>
  <r>
    <x v="1134"/>
    <x v="0"/>
    <x v="0"/>
    <n v="62"/>
    <x v="5"/>
    <x v="29"/>
    <x v="0"/>
    <x v="1"/>
  </r>
  <r>
    <x v="1135"/>
    <x v="0"/>
    <x v="1"/>
    <n v="58"/>
    <x v="4"/>
    <x v="382"/>
    <x v="0"/>
    <x v="9"/>
  </r>
  <r>
    <x v="1136"/>
    <x v="2"/>
    <x v="1"/>
    <n v="60"/>
    <x v="12"/>
    <x v="40"/>
    <x v="0"/>
    <x v="1"/>
  </r>
  <r>
    <x v="1137"/>
    <x v="2"/>
    <x v="1"/>
    <n v="60"/>
    <x v="16"/>
    <x v="29"/>
    <x v="0"/>
    <x v="19"/>
  </r>
  <r>
    <x v="1138"/>
    <x v="0"/>
    <x v="0"/>
    <n v="64"/>
    <x v="14"/>
    <x v="40"/>
    <x v="0"/>
    <x v="1"/>
  </r>
  <r>
    <x v="1139"/>
    <x v="0"/>
    <x v="0"/>
    <n v="67"/>
    <x v="50"/>
    <x v="76"/>
    <x v="0"/>
    <x v="1"/>
  </r>
  <r>
    <x v="1140"/>
    <x v="0"/>
    <x v="1"/>
    <n v="60"/>
    <x v="10"/>
    <x v="201"/>
    <x v="0"/>
    <x v="21"/>
  </r>
  <r>
    <x v="1141"/>
    <x v="0"/>
    <x v="0"/>
    <n v="66"/>
    <x v="9"/>
    <x v="300"/>
    <x v="0"/>
    <x v="1"/>
  </r>
  <r>
    <x v="1142"/>
    <x v="0"/>
    <x v="1"/>
    <n v="60"/>
    <x v="16"/>
    <x v="402"/>
    <x v="0"/>
    <x v="0"/>
  </r>
  <r>
    <x v="256"/>
    <x v="0"/>
    <x v="1"/>
    <n v="58"/>
    <x v="12"/>
    <x v="89"/>
    <x v="0"/>
    <x v="11"/>
  </r>
  <r>
    <x v="1143"/>
    <x v="0"/>
    <x v="1"/>
    <n v="54"/>
    <x v="33"/>
    <x v="300"/>
    <x v="0"/>
    <x v="1"/>
  </r>
  <r>
    <x v="1144"/>
    <x v="2"/>
    <x v="0"/>
    <n v="64"/>
    <x v="5"/>
    <x v="359"/>
    <x v="0"/>
    <x v="17"/>
  </r>
  <r>
    <x v="1145"/>
    <x v="0"/>
    <x v="0"/>
    <n v="62"/>
    <x v="5"/>
    <x v="403"/>
    <x v="0"/>
    <x v="21"/>
  </r>
  <r>
    <x v="1146"/>
    <x v="0"/>
    <x v="0"/>
    <n v="62"/>
    <x v="0"/>
    <x v="404"/>
    <x v="0"/>
    <x v="0"/>
  </r>
  <r>
    <x v="1147"/>
    <x v="0"/>
    <x v="0"/>
    <n v="62"/>
    <x v="5"/>
    <x v="4"/>
    <x v="1"/>
    <x v="1"/>
  </r>
  <r>
    <x v="1148"/>
    <x v="2"/>
    <x v="1"/>
    <n v="60"/>
    <x v="4"/>
    <x v="8"/>
    <x v="1"/>
    <x v="8"/>
  </r>
  <r>
    <x v="1149"/>
    <x v="0"/>
    <x v="1"/>
    <n v="62"/>
    <x v="16"/>
    <x v="281"/>
    <x v="1"/>
    <x v="0"/>
  </r>
  <r>
    <x v="1150"/>
    <x v="1"/>
    <x v="1"/>
    <n v="58"/>
    <x v="16"/>
    <x v="18"/>
    <x v="0"/>
    <x v="8"/>
  </r>
  <r>
    <x v="1151"/>
    <x v="2"/>
    <x v="1"/>
    <n v="58"/>
    <x v="16"/>
    <x v="18"/>
    <x v="0"/>
    <x v="8"/>
  </r>
  <r>
    <x v="1152"/>
    <x v="0"/>
    <x v="1"/>
    <n v="56"/>
    <x v="15"/>
    <x v="89"/>
    <x v="0"/>
    <x v="0"/>
  </r>
  <r>
    <x v="1153"/>
    <x v="0"/>
    <x v="1"/>
    <n v="58"/>
    <x v="16"/>
    <x v="18"/>
    <x v="0"/>
    <x v="22"/>
  </r>
  <r>
    <x v="1154"/>
    <x v="2"/>
    <x v="1"/>
    <n v="59"/>
    <x v="3"/>
    <x v="18"/>
    <x v="0"/>
    <x v="0"/>
  </r>
  <r>
    <x v="1155"/>
    <x v="0"/>
    <x v="1"/>
    <n v="58"/>
    <x v="12"/>
    <x v="380"/>
    <x v="0"/>
    <x v="16"/>
  </r>
  <r>
    <x v="1156"/>
    <x v="2"/>
    <x v="1"/>
    <n v="58"/>
    <x v="16"/>
    <x v="301"/>
    <x v="1"/>
    <x v="1"/>
  </r>
  <r>
    <x v="1157"/>
    <x v="0"/>
    <x v="1"/>
    <n v="56"/>
    <x v="15"/>
    <x v="82"/>
    <x v="1"/>
    <x v="2"/>
  </r>
  <r>
    <x v="1158"/>
    <x v="0"/>
    <x v="1"/>
    <n v="54"/>
    <x v="15"/>
    <x v="29"/>
    <x v="0"/>
    <x v="22"/>
  </r>
  <r>
    <x v="1159"/>
    <x v="0"/>
    <x v="1"/>
    <n v="52"/>
    <x v="33"/>
    <x v="306"/>
    <x v="1"/>
    <x v="6"/>
  </r>
  <r>
    <x v="907"/>
    <x v="0"/>
    <x v="0"/>
    <n v="62"/>
    <x v="5"/>
    <x v="27"/>
    <x v="0"/>
    <x v="0"/>
  </r>
  <r>
    <x v="1160"/>
    <x v="0"/>
    <x v="1"/>
    <n v="60"/>
    <x v="16"/>
    <x v="39"/>
    <x v="0"/>
    <x v="1"/>
  </r>
  <r>
    <x v="1161"/>
    <x v="2"/>
    <x v="1"/>
    <n v="58"/>
    <x v="16"/>
    <x v="25"/>
    <x v="0"/>
    <x v="9"/>
  </r>
  <r>
    <x v="1162"/>
    <x v="0"/>
    <x v="2"/>
    <n v="52"/>
    <x v="51"/>
    <x v="18"/>
    <x v="0"/>
    <x v="1"/>
  </r>
  <r>
    <x v="346"/>
    <x v="0"/>
    <x v="1"/>
    <n v="58"/>
    <x v="12"/>
    <x v="18"/>
    <x v="0"/>
    <x v="15"/>
  </r>
  <r>
    <x v="1163"/>
    <x v="0"/>
    <x v="2"/>
    <n v="52"/>
    <x v="51"/>
    <x v="405"/>
    <x v="0"/>
    <x v="9"/>
  </r>
  <r>
    <x v="1164"/>
    <x v="0"/>
    <x v="1"/>
    <n v="58"/>
    <x v="16"/>
    <x v="29"/>
    <x v="0"/>
    <x v="1"/>
  </r>
  <r>
    <x v="1165"/>
    <x v="0"/>
    <x v="1"/>
    <n v="60"/>
    <x v="4"/>
    <x v="40"/>
    <x v="0"/>
    <x v="0"/>
  </r>
  <r>
    <x v="346"/>
    <x v="0"/>
    <x v="1"/>
    <n v="54"/>
    <x v="15"/>
    <x v="344"/>
    <x v="0"/>
    <x v="15"/>
  </r>
  <r>
    <x v="1166"/>
    <x v="0"/>
    <x v="1"/>
    <n v="56"/>
    <x v="12"/>
    <x v="176"/>
    <x v="1"/>
    <x v="15"/>
  </r>
  <r>
    <x v="1167"/>
    <x v="1"/>
    <x v="1"/>
    <n v="56"/>
    <x v="12"/>
    <x v="298"/>
    <x v="0"/>
    <x v="1"/>
  </r>
  <r>
    <x v="1168"/>
    <x v="2"/>
    <x v="1"/>
    <n v="58"/>
    <x v="4"/>
    <x v="40"/>
    <x v="0"/>
    <x v="0"/>
  </r>
  <r>
    <x v="34"/>
    <x v="0"/>
    <x v="1"/>
    <n v="54"/>
    <x v="51"/>
    <x v="65"/>
    <x v="0"/>
    <x v="9"/>
  </r>
  <r>
    <x v="1169"/>
    <x v="0"/>
    <x v="1"/>
    <n v="58"/>
    <x v="12"/>
    <x v="406"/>
    <x v="0"/>
    <x v="1"/>
  </r>
  <r>
    <x v="1170"/>
    <x v="0"/>
    <x v="1"/>
    <n v="58"/>
    <x v="4"/>
    <x v="407"/>
    <x v="0"/>
    <x v="15"/>
  </r>
  <r>
    <x v="1171"/>
    <x v="2"/>
    <x v="1"/>
    <n v="58"/>
    <x v="12"/>
    <x v="408"/>
    <x v="1"/>
    <x v="8"/>
  </r>
  <r>
    <x v="1172"/>
    <x v="0"/>
    <x v="0"/>
    <n v="62"/>
    <x v="5"/>
    <x v="344"/>
    <x v="0"/>
    <x v="0"/>
  </r>
  <r>
    <x v="1173"/>
    <x v="1"/>
    <x v="2"/>
    <n v="52"/>
    <x v="51"/>
    <x v="409"/>
    <x v="0"/>
    <x v="1"/>
  </r>
  <r>
    <x v="422"/>
    <x v="1"/>
    <x v="1"/>
    <n v="60"/>
    <x v="4"/>
    <x v="18"/>
    <x v="0"/>
    <x v="1"/>
  </r>
  <r>
    <x v="1174"/>
    <x v="2"/>
    <x v="1"/>
    <n v="56"/>
    <x v="12"/>
    <x v="89"/>
    <x v="0"/>
    <x v="1"/>
  </r>
  <r>
    <x v="1175"/>
    <x v="2"/>
    <x v="1"/>
    <n v="56"/>
    <x v="15"/>
    <x v="134"/>
    <x v="1"/>
    <x v="8"/>
  </r>
  <r>
    <x v="395"/>
    <x v="0"/>
    <x v="1"/>
    <n v="58"/>
    <x v="5"/>
    <x v="117"/>
    <x v="0"/>
    <x v="9"/>
  </r>
  <r>
    <x v="1176"/>
    <x v="0"/>
    <x v="1"/>
    <n v="58"/>
    <x v="4"/>
    <x v="410"/>
    <x v="0"/>
    <x v="12"/>
  </r>
  <r>
    <x v="1177"/>
    <x v="0"/>
    <x v="1"/>
    <n v="55"/>
    <x v="11"/>
    <x v="27"/>
    <x v="0"/>
    <x v="0"/>
  </r>
  <r>
    <x v="1178"/>
    <x v="0"/>
    <x v="1"/>
    <n v="60"/>
    <x v="4"/>
    <x v="199"/>
    <x v="0"/>
    <x v="5"/>
  </r>
  <r>
    <x v="1179"/>
    <x v="0"/>
    <x v="1"/>
    <n v="58"/>
    <x v="12"/>
    <x v="262"/>
    <x v="6"/>
    <x v="1"/>
  </r>
  <r>
    <x v="1180"/>
    <x v="0"/>
    <x v="1"/>
    <n v="58"/>
    <x v="12"/>
    <x v="79"/>
    <x v="0"/>
    <x v="0"/>
  </r>
  <r>
    <x v="1181"/>
    <x v="0"/>
    <x v="1"/>
    <n v="57"/>
    <x v="11"/>
    <x v="79"/>
    <x v="0"/>
    <x v="0"/>
  </r>
  <r>
    <x v="1182"/>
    <x v="0"/>
    <x v="2"/>
    <n v="46"/>
    <x v="13"/>
    <x v="411"/>
    <x v="0"/>
    <x v="17"/>
  </r>
  <r>
    <x v="1183"/>
    <x v="2"/>
    <x v="1"/>
    <n v="54"/>
    <x v="15"/>
    <x v="412"/>
    <x v="0"/>
    <x v="14"/>
  </r>
  <r>
    <x v="1184"/>
    <x v="0"/>
    <x v="1"/>
    <n v="57"/>
    <x v="11"/>
    <x v="406"/>
    <x v="0"/>
    <x v="5"/>
  </r>
  <r>
    <x v="1185"/>
    <x v="0"/>
    <x v="1"/>
    <n v="56"/>
    <x v="16"/>
    <x v="134"/>
    <x v="1"/>
    <x v="1"/>
  </r>
  <r>
    <x v="1186"/>
    <x v="1"/>
    <x v="0"/>
    <n v="62"/>
    <x v="5"/>
    <x v="46"/>
    <x v="0"/>
    <x v="1"/>
  </r>
  <r>
    <x v="1187"/>
    <x v="0"/>
    <x v="1"/>
    <n v="58"/>
    <x v="12"/>
    <x v="201"/>
    <x v="0"/>
    <x v="1"/>
  </r>
  <r>
    <x v="1188"/>
    <x v="0"/>
    <x v="1"/>
    <n v="58"/>
    <x v="16"/>
    <x v="30"/>
    <x v="0"/>
    <x v="6"/>
  </r>
  <r>
    <x v="1189"/>
    <x v="0"/>
    <x v="1"/>
    <n v="60"/>
    <x v="12"/>
    <x v="59"/>
    <x v="0"/>
    <x v="0"/>
  </r>
  <r>
    <x v="1190"/>
    <x v="0"/>
    <x v="1"/>
    <n v="58"/>
    <x v="16"/>
    <x v="402"/>
    <x v="0"/>
    <x v="0"/>
  </r>
  <r>
    <x v="1191"/>
    <x v="0"/>
    <x v="1"/>
    <n v="58"/>
    <x v="16"/>
    <x v="134"/>
    <x v="1"/>
    <x v="8"/>
  </r>
  <r>
    <x v="1192"/>
    <x v="2"/>
    <x v="1"/>
    <n v="54"/>
    <x v="33"/>
    <x v="29"/>
    <x v="0"/>
    <x v="12"/>
  </r>
  <r>
    <x v="1193"/>
    <x v="0"/>
    <x v="1"/>
    <n v="56"/>
    <x v="33"/>
    <x v="371"/>
    <x v="0"/>
    <x v="9"/>
  </r>
  <r>
    <x v="1194"/>
    <x v="0"/>
    <x v="2"/>
    <n v="52"/>
    <x v="51"/>
    <x v="60"/>
    <x v="1"/>
    <x v="11"/>
  </r>
  <r>
    <x v="1195"/>
    <x v="2"/>
    <x v="1"/>
    <n v="58"/>
    <x v="0"/>
    <x v="18"/>
    <x v="0"/>
    <x v="1"/>
  </r>
  <r>
    <x v="1196"/>
    <x v="0"/>
    <x v="1"/>
    <n v="58"/>
    <x v="4"/>
    <x v="413"/>
    <x v="0"/>
    <x v="1"/>
  </r>
  <r>
    <x v="1197"/>
    <x v="0"/>
    <x v="1"/>
    <n v="56"/>
    <x v="12"/>
    <x v="89"/>
    <x v="0"/>
    <x v="8"/>
  </r>
  <r>
    <x v="1198"/>
    <x v="0"/>
    <x v="2"/>
    <n v="48"/>
    <x v="36"/>
    <x v="45"/>
    <x v="1"/>
    <x v="1"/>
  </r>
  <r>
    <x v="1199"/>
    <x v="2"/>
    <x v="1"/>
    <n v="52"/>
    <x v="4"/>
    <x v="145"/>
    <x v="1"/>
    <x v="8"/>
  </r>
  <r>
    <x v="1200"/>
    <x v="2"/>
    <x v="2"/>
    <n v="50"/>
    <x v="51"/>
    <x v="86"/>
    <x v="1"/>
    <x v="6"/>
  </r>
  <r>
    <x v="845"/>
    <x v="2"/>
    <x v="1"/>
    <n v="53"/>
    <x v="35"/>
    <x v="302"/>
    <x v="0"/>
    <x v="9"/>
  </r>
  <r>
    <x v="1201"/>
    <x v="0"/>
    <x v="1"/>
    <n v="54"/>
    <x v="15"/>
    <x v="414"/>
    <x v="1"/>
    <x v="12"/>
  </r>
  <r>
    <x v="1202"/>
    <x v="0"/>
    <x v="1"/>
    <n v="58"/>
    <x v="4"/>
    <x v="30"/>
    <x v="0"/>
    <x v="16"/>
  </r>
  <r>
    <x v="1203"/>
    <x v="0"/>
    <x v="1"/>
    <n v="57"/>
    <x v="3"/>
    <x v="358"/>
    <x v="0"/>
    <x v="1"/>
  </r>
  <r>
    <x v="1204"/>
    <x v="0"/>
    <x v="2"/>
    <n v="48"/>
    <x v="22"/>
    <x v="415"/>
    <x v="0"/>
    <x v="17"/>
  </r>
  <r>
    <x v="1205"/>
    <x v="2"/>
    <x v="1"/>
    <n v="60"/>
    <x v="4"/>
    <x v="14"/>
    <x v="1"/>
    <x v="1"/>
  </r>
  <r>
    <x v="1206"/>
    <x v="0"/>
    <x v="1"/>
    <n v="59"/>
    <x v="3"/>
    <x v="160"/>
    <x v="1"/>
    <x v="1"/>
  </r>
  <r>
    <x v="1207"/>
    <x v="0"/>
    <x v="1"/>
    <n v="55"/>
    <x v="11"/>
    <x v="49"/>
    <x v="0"/>
    <x v="5"/>
  </r>
  <r>
    <x v="1208"/>
    <x v="1"/>
    <x v="1"/>
    <n v="56"/>
    <x v="12"/>
    <x v="389"/>
    <x v="0"/>
    <x v="12"/>
  </r>
  <r>
    <x v="1209"/>
    <x v="2"/>
    <x v="1"/>
    <n v="52"/>
    <x v="33"/>
    <x v="413"/>
    <x v="0"/>
    <x v="1"/>
  </r>
  <r>
    <x v="1210"/>
    <x v="0"/>
    <x v="2"/>
    <n v="50"/>
    <x v="30"/>
    <x v="219"/>
    <x v="1"/>
    <x v="8"/>
  </r>
  <r>
    <x v="1211"/>
    <x v="0"/>
    <x v="1"/>
    <n v="54"/>
    <x v="15"/>
    <x v="63"/>
    <x v="11"/>
    <x v="15"/>
  </r>
  <r>
    <x v="1212"/>
    <x v="0"/>
    <x v="2"/>
    <n v="50"/>
    <x v="36"/>
    <x v="63"/>
    <x v="11"/>
    <x v="15"/>
  </r>
  <r>
    <x v="1213"/>
    <x v="0"/>
    <x v="1"/>
    <n v="54"/>
    <x v="12"/>
    <x v="416"/>
    <x v="6"/>
    <x v="1"/>
  </r>
  <r>
    <x v="1214"/>
    <x v="0"/>
    <x v="2"/>
    <n v="47"/>
    <x v="30"/>
    <x v="298"/>
    <x v="0"/>
    <x v="11"/>
  </r>
  <r>
    <x v="1215"/>
    <x v="2"/>
    <x v="1"/>
    <n v="56"/>
    <x v="12"/>
    <x v="417"/>
    <x v="1"/>
    <x v="8"/>
  </r>
  <r>
    <x v="1216"/>
    <x v="1"/>
    <x v="2"/>
    <n v="44"/>
    <x v="32"/>
    <x v="301"/>
    <x v="1"/>
    <x v="15"/>
  </r>
  <r>
    <x v="1217"/>
    <x v="0"/>
    <x v="1"/>
    <n v="59"/>
    <x v="3"/>
    <x v="418"/>
    <x v="0"/>
    <x v="12"/>
  </r>
  <r>
    <x v="1218"/>
    <x v="0"/>
    <x v="2"/>
    <n v="50"/>
    <x v="51"/>
    <x v="134"/>
    <x v="1"/>
    <x v="8"/>
  </r>
  <r>
    <x v="1219"/>
    <x v="0"/>
    <x v="1"/>
    <n v="52"/>
    <x v="33"/>
    <x v="134"/>
    <x v="1"/>
    <x v="8"/>
  </r>
  <r>
    <x v="1220"/>
    <x v="0"/>
    <x v="1"/>
    <n v="56"/>
    <x v="4"/>
    <x v="134"/>
    <x v="1"/>
    <x v="1"/>
  </r>
  <r>
    <x v="1221"/>
    <x v="2"/>
    <x v="1"/>
    <n v="56"/>
    <x v="12"/>
    <x v="18"/>
    <x v="0"/>
    <x v="1"/>
  </r>
  <r>
    <x v="1222"/>
    <x v="3"/>
    <x v="1"/>
    <n v="54"/>
    <x v="12"/>
    <x v="419"/>
    <x v="0"/>
    <x v="12"/>
  </r>
  <r>
    <x v="1223"/>
    <x v="3"/>
    <x v="2"/>
    <n v="44"/>
    <x v="42"/>
    <x v="63"/>
    <x v="6"/>
    <x v="14"/>
  </r>
  <r>
    <x v="1224"/>
    <x v="2"/>
    <x v="1"/>
    <n v="58"/>
    <x v="4"/>
    <x v="274"/>
    <x v="0"/>
    <x v="12"/>
  </r>
  <r>
    <x v="1225"/>
    <x v="2"/>
    <x v="1"/>
    <n v="52"/>
    <x v="33"/>
    <x v="420"/>
    <x v="1"/>
    <x v="1"/>
  </r>
  <r>
    <x v="1011"/>
    <x v="1"/>
    <x v="1"/>
    <n v="52"/>
    <x v="33"/>
    <x v="421"/>
    <x v="0"/>
    <x v="15"/>
  </r>
  <r>
    <x v="1226"/>
    <x v="0"/>
    <x v="1"/>
    <n v="56"/>
    <x v="15"/>
    <x v="422"/>
    <x v="0"/>
    <x v="8"/>
  </r>
  <r>
    <x v="1227"/>
    <x v="2"/>
    <x v="2"/>
    <n v="44"/>
    <x v="22"/>
    <x v="205"/>
    <x v="1"/>
    <x v="1"/>
  </r>
  <r>
    <x v="1228"/>
    <x v="2"/>
    <x v="3"/>
    <n v="38"/>
    <x v="52"/>
    <x v="205"/>
    <x v="1"/>
    <x v="6"/>
  </r>
  <r>
    <x v="1229"/>
    <x v="3"/>
    <x v="1"/>
    <n v="56"/>
    <x v="16"/>
    <x v="3"/>
    <x v="0"/>
    <x v="12"/>
  </r>
  <r>
    <x v="1230"/>
    <x v="1"/>
    <x v="1"/>
    <n v="52"/>
    <x v="15"/>
    <x v="239"/>
    <x v="0"/>
    <x v="12"/>
  </r>
  <r>
    <x v="1231"/>
    <x v="4"/>
    <x v="1"/>
    <n v="54"/>
    <x v="4"/>
    <x v="423"/>
    <x v="0"/>
    <x v="12"/>
  </r>
  <r>
    <x v="1232"/>
    <x v="2"/>
    <x v="2"/>
    <n v="47"/>
    <x v="30"/>
    <x v="105"/>
    <x v="1"/>
    <x v="8"/>
  </r>
  <r>
    <x v="1233"/>
    <x v="1"/>
    <x v="1"/>
    <n v="54"/>
    <x v="4"/>
    <x v="420"/>
    <x v="12"/>
    <x v="12"/>
  </r>
  <r>
    <x v="1234"/>
    <x v="0"/>
    <x v="1"/>
    <n v="56"/>
    <x v="4"/>
    <x v="18"/>
    <x v="7"/>
    <x v="8"/>
  </r>
  <r>
    <x v="1235"/>
    <x v="0"/>
    <x v="1"/>
    <n v="58"/>
    <x v="5"/>
    <x v="424"/>
    <x v="0"/>
    <x v="8"/>
  </r>
  <r>
    <x v="1236"/>
    <x v="2"/>
    <x v="1"/>
    <n v="54"/>
    <x v="15"/>
    <x v="396"/>
    <x v="0"/>
    <x v="1"/>
  </r>
  <r>
    <x v="1237"/>
    <x v="0"/>
    <x v="1"/>
    <n v="52"/>
    <x v="33"/>
    <x v="145"/>
    <x v="1"/>
    <x v="1"/>
  </r>
  <r>
    <x v="1238"/>
    <x v="0"/>
    <x v="4"/>
    <n v="36"/>
    <x v="40"/>
    <x v="425"/>
    <x v="1"/>
    <x v="15"/>
  </r>
  <r>
    <x v="1239"/>
    <x v="0"/>
    <x v="1"/>
    <n v="54"/>
    <x v="12"/>
    <x v="309"/>
    <x v="0"/>
    <x v="1"/>
  </r>
  <r>
    <x v="1240"/>
    <x v="3"/>
    <x v="1"/>
    <n v="55"/>
    <x v="11"/>
    <x v="426"/>
    <x v="0"/>
    <x v="12"/>
  </r>
  <r>
    <x v="1241"/>
    <x v="1"/>
    <x v="2"/>
    <n v="54"/>
    <x v="28"/>
    <x v="239"/>
    <x v="0"/>
    <x v="0"/>
  </r>
  <r>
    <x v="1242"/>
    <x v="1"/>
    <x v="1"/>
    <n v="57"/>
    <x v="12"/>
    <x v="427"/>
    <x v="0"/>
    <x v="0"/>
  </r>
  <r>
    <x v="1243"/>
    <x v="1"/>
    <x v="1"/>
    <n v="55"/>
    <x v="10"/>
    <x v="202"/>
    <x v="1"/>
    <x v="12"/>
  </r>
  <r>
    <x v="1244"/>
    <x v="2"/>
    <x v="1"/>
    <n v="51"/>
    <x v="37"/>
    <x v="239"/>
    <x v="0"/>
    <x v="12"/>
  </r>
  <r>
    <x v="1245"/>
    <x v="0"/>
    <x v="1"/>
    <n v="53"/>
    <x v="37"/>
    <x v="173"/>
    <x v="0"/>
    <x v="12"/>
  </r>
  <r>
    <x v="1246"/>
    <x v="0"/>
    <x v="1"/>
    <n v="52"/>
    <x v="33"/>
    <x v="428"/>
    <x v="1"/>
    <x v="0"/>
  </r>
  <r>
    <x v="1247"/>
    <x v="0"/>
    <x v="1"/>
    <n v="58"/>
    <x v="5"/>
    <x v="271"/>
    <x v="1"/>
    <x v="1"/>
  </r>
  <r>
    <x v="1248"/>
    <x v="0"/>
    <x v="1"/>
    <n v="60"/>
    <x v="4"/>
    <x v="208"/>
    <x v="0"/>
    <x v="1"/>
  </r>
  <r>
    <x v="1249"/>
    <x v="0"/>
    <x v="1"/>
    <n v="59"/>
    <x v="15"/>
    <x v="89"/>
    <x v="0"/>
    <x v="1"/>
  </r>
  <r>
    <x v="1250"/>
    <x v="0"/>
    <x v="1"/>
    <n v="52"/>
    <x v="33"/>
    <x v="429"/>
    <x v="0"/>
    <x v="1"/>
  </r>
  <r>
    <x v="1251"/>
    <x v="0"/>
    <x v="1"/>
    <n v="53"/>
    <x v="37"/>
    <x v="430"/>
    <x v="0"/>
    <x v="12"/>
  </r>
  <r>
    <x v="1252"/>
    <x v="0"/>
    <x v="0"/>
    <n v="62"/>
    <x v="14"/>
    <x v="7"/>
    <x v="1"/>
    <x v="1"/>
  </r>
  <r>
    <x v="1253"/>
    <x v="2"/>
    <x v="2"/>
    <n v="52"/>
    <x v="51"/>
    <x v="7"/>
    <x v="1"/>
    <x v="8"/>
  </r>
  <r>
    <x v="1254"/>
    <x v="0"/>
    <x v="1"/>
    <n v="53"/>
    <x v="37"/>
    <x v="42"/>
    <x v="1"/>
    <x v="1"/>
  </r>
  <r>
    <x v="1255"/>
    <x v="0"/>
    <x v="1"/>
    <n v="55"/>
    <x v="3"/>
    <x v="301"/>
    <x v="1"/>
    <x v="1"/>
  </r>
  <r>
    <x v="1256"/>
    <x v="0"/>
    <x v="2"/>
    <n v="47"/>
    <x v="53"/>
    <x v="431"/>
    <x v="6"/>
    <x v="16"/>
  </r>
  <r>
    <x v="1257"/>
    <x v="0"/>
    <x v="2"/>
    <n v="50"/>
    <x v="33"/>
    <x v="18"/>
    <x v="0"/>
    <x v="1"/>
  </r>
  <r>
    <x v="1258"/>
    <x v="0"/>
    <x v="1"/>
    <n v="57"/>
    <x v="35"/>
    <x v="134"/>
    <x v="1"/>
    <x v="1"/>
  </r>
  <r>
    <x v="1259"/>
    <x v="0"/>
    <x v="1"/>
    <n v="52"/>
    <x v="35"/>
    <x v="432"/>
    <x v="0"/>
    <x v="1"/>
  </r>
  <r>
    <x v="1260"/>
    <x v="1"/>
    <x v="1"/>
    <n v="58"/>
    <x v="0"/>
    <x v="40"/>
    <x v="0"/>
    <x v="1"/>
  </r>
  <r>
    <x v="1261"/>
    <x v="0"/>
    <x v="1"/>
    <n v="54"/>
    <x v="15"/>
    <x v="30"/>
    <x v="0"/>
    <x v="8"/>
  </r>
  <r>
    <x v="1262"/>
    <x v="0"/>
    <x v="2"/>
    <n v="53"/>
    <x v="29"/>
    <x v="89"/>
    <x v="0"/>
    <x v="8"/>
  </r>
  <r>
    <x v="1263"/>
    <x v="1"/>
    <x v="2"/>
    <n v="48"/>
    <x v="30"/>
    <x v="433"/>
    <x v="0"/>
    <x v="0"/>
  </r>
  <r>
    <x v="1264"/>
    <x v="0"/>
    <x v="1"/>
    <n v="56"/>
    <x v="4"/>
    <x v="116"/>
    <x v="13"/>
    <x v="13"/>
  </r>
  <r>
    <x v="1265"/>
    <x v="0"/>
    <x v="1"/>
    <n v="53"/>
    <x v="35"/>
    <x v="170"/>
    <x v="0"/>
    <x v="8"/>
  </r>
  <r>
    <x v="1266"/>
    <x v="3"/>
    <x v="1"/>
    <n v="54"/>
    <x v="4"/>
    <x v="434"/>
    <x v="0"/>
    <x v="8"/>
  </r>
  <r>
    <x v="1267"/>
    <x v="3"/>
    <x v="1"/>
    <n v="54"/>
    <x v="4"/>
    <x v="434"/>
    <x v="0"/>
    <x v="8"/>
  </r>
  <r>
    <x v="1268"/>
    <x v="0"/>
    <x v="2"/>
    <n v="45"/>
    <x v="30"/>
    <x v="435"/>
    <x v="0"/>
    <x v="17"/>
  </r>
  <r>
    <x v="1269"/>
    <x v="0"/>
    <x v="2"/>
    <n v="46"/>
    <x v="51"/>
    <x v="234"/>
    <x v="0"/>
    <x v="1"/>
  </r>
  <r>
    <x v="1270"/>
    <x v="0"/>
    <x v="2"/>
    <n v="46"/>
    <x v="51"/>
    <x v="179"/>
    <x v="0"/>
    <x v="0"/>
  </r>
  <r>
    <x v="1271"/>
    <x v="2"/>
    <x v="1"/>
    <n v="60"/>
    <x v="4"/>
    <x v="436"/>
    <x v="1"/>
    <x v="1"/>
  </r>
  <r>
    <x v="1272"/>
    <x v="0"/>
    <x v="1"/>
    <n v="57"/>
    <x v="10"/>
    <x v="309"/>
    <x v="0"/>
    <x v="0"/>
  </r>
  <r>
    <x v="558"/>
    <x v="0"/>
    <x v="1"/>
    <n v="56"/>
    <x v="12"/>
    <x v="344"/>
    <x v="0"/>
    <x v="0"/>
  </r>
  <r>
    <x v="1273"/>
    <x v="0"/>
    <x v="1"/>
    <n v="60"/>
    <x v="4"/>
    <x v="29"/>
    <x v="0"/>
    <x v="0"/>
  </r>
  <r>
    <x v="1274"/>
    <x v="0"/>
    <x v="1"/>
    <n v="55"/>
    <x v="35"/>
    <x v="143"/>
    <x v="1"/>
    <x v="8"/>
  </r>
  <r>
    <x v="1275"/>
    <x v="0"/>
    <x v="1"/>
    <n v="55"/>
    <x v="12"/>
    <x v="437"/>
    <x v="0"/>
    <x v="12"/>
  </r>
  <r>
    <x v="1276"/>
    <x v="1"/>
    <x v="1"/>
    <n v="57"/>
    <x v="14"/>
    <x v="239"/>
    <x v="0"/>
    <x v="0"/>
  </r>
  <r>
    <x v="1277"/>
    <x v="0"/>
    <x v="0"/>
    <n v="58"/>
    <x v="6"/>
    <x v="389"/>
    <x v="0"/>
    <x v="9"/>
  </r>
  <r>
    <x v="1278"/>
    <x v="0"/>
    <x v="1"/>
    <n v="51"/>
    <x v="11"/>
    <x v="438"/>
    <x v="0"/>
    <x v="17"/>
  </r>
  <r>
    <x v="1279"/>
    <x v="2"/>
    <x v="1"/>
    <n v="51"/>
    <x v="11"/>
    <x v="439"/>
    <x v="6"/>
    <x v="1"/>
  </r>
  <r>
    <x v="1280"/>
    <x v="0"/>
    <x v="2"/>
    <n v="53"/>
    <x v="13"/>
    <x v="440"/>
    <x v="1"/>
    <x v="0"/>
  </r>
  <r>
    <x v="1281"/>
    <x v="0"/>
    <x v="1"/>
    <n v="60"/>
    <x v="10"/>
    <x v="441"/>
    <x v="1"/>
    <x v="1"/>
  </r>
  <r>
    <x v="1282"/>
    <x v="0"/>
    <x v="1"/>
    <n v="53"/>
    <x v="35"/>
    <x v="442"/>
    <x v="1"/>
    <x v="8"/>
  </r>
  <r>
    <x v="1283"/>
    <x v="2"/>
    <x v="1"/>
    <n v="58"/>
    <x v="0"/>
    <x v="89"/>
    <x v="0"/>
    <x v="1"/>
  </r>
  <r>
    <x v="1284"/>
    <x v="2"/>
    <x v="1"/>
    <n v="58"/>
    <x v="5"/>
    <x v="7"/>
    <x v="1"/>
    <x v="1"/>
  </r>
  <r>
    <x v="1285"/>
    <x v="2"/>
    <x v="2"/>
    <n v="51"/>
    <x v="23"/>
    <x v="391"/>
    <x v="0"/>
    <x v="0"/>
  </r>
  <r>
    <x v="1286"/>
    <x v="0"/>
    <x v="1"/>
    <n v="53"/>
    <x v="35"/>
    <x v="40"/>
    <x v="7"/>
    <x v="15"/>
  </r>
  <r>
    <x v="1287"/>
    <x v="0"/>
    <x v="1"/>
    <n v="55"/>
    <x v="51"/>
    <x v="40"/>
    <x v="0"/>
    <x v="15"/>
  </r>
  <r>
    <x v="1288"/>
    <x v="2"/>
    <x v="2"/>
    <n v="51"/>
    <x v="51"/>
    <x v="240"/>
    <x v="0"/>
    <x v="15"/>
  </r>
  <r>
    <x v="1289"/>
    <x v="2"/>
    <x v="1"/>
    <n v="51"/>
    <x v="11"/>
    <x v="145"/>
    <x v="1"/>
    <x v="1"/>
  </r>
  <r>
    <x v="1290"/>
    <x v="0"/>
    <x v="1"/>
    <n v="56"/>
    <x v="5"/>
    <x v="240"/>
    <x v="0"/>
    <x v="4"/>
  </r>
  <r>
    <x v="1291"/>
    <x v="0"/>
    <x v="1"/>
    <n v="50"/>
    <x v="12"/>
    <x v="120"/>
    <x v="1"/>
    <x v="16"/>
  </r>
  <r>
    <x v="1292"/>
    <x v="0"/>
    <x v="1"/>
    <n v="52"/>
    <x v="12"/>
    <x v="292"/>
    <x v="1"/>
    <x v="12"/>
  </r>
  <r>
    <x v="992"/>
    <x v="0"/>
    <x v="1"/>
    <n v="54"/>
    <x v="4"/>
    <x v="40"/>
    <x v="0"/>
    <x v="1"/>
  </r>
  <r>
    <x v="1293"/>
    <x v="0"/>
    <x v="1"/>
    <n v="52"/>
    <x v="16"/>
    <x v="89"/>
    <x v="0"/>
    <x v="8"/>
  </r>
  <r>
    <x v="537"/>
    <x v="0"/>
    <x v="1"/>
    <n v="54"/>
    <x v="4"/>
    <x v="40"/>
    <x v="0"/>
    <x v="1"/>
  </r>
  <r>
    <x v="1294"/>
    <x v="0"/>
    <x v="0"/>
    <n v="58"/>
    <x v="6"/>
    <x v="443"/>
    <x v="1"/>
    <x v="1"/>
  </r>
  <r>
    <x v="1295"/>
    <x v="3"/>
    <x v="1"/>
    <n v="54"/>
    <x v="4"/>
    <x v="40"/>
    <x v="0"/>
    <x v="8"/>
  </r>
  <r>
    <x v="1296"/>
    <x v="0"/>
    <x v="1"/>
    <n v="55"/>
    <x v="3"/>
    <x v="61"/>
    <x v="0"/>
    <x v="10"/>
  </r>
  <r>
    <x v="1297"/>
    <x v="0"/>
    <x v="1"/>
    <n v="52"/>
    <x v="12"/>
    <x v="40"/>
    <x v="0"/>
    <x v="1"/>
  </r>
  <r>
    <x v="1298"/>
    <x v="0"/>
    <x v="2"/>
    <n v="42"/>
    <x v="13"/>
    <x v="13"/>
    <x v="0"/>
    <x v="8"/>
  </r>
  <r>
    <x v="1287"/>
    <x v="2"/>
    <x v="1"/>
    <n v="54"/>
    <x v="16"/>
    <x v="18"/>
    <x v="0"/>
    <x v="15"/>
  </r>
  <r>
    <x v="1299"/>
    <x v="0"/>
    <x v="1"/>
    <n v="54"/>
    <x v="4"/>
    <x v="199"/>
    <x v="0"/>
    <x v="10"/>
  </r>
  <r>
    <x v="1300"/>
    <x v="0"/>
    <x v="1"/>
    <n v="52"/>
    <x v="16"/>
    <x v="117"/>
    <x v="0"/>
    <x v="1"/>
  </r>
  <r>
    <x v="656"/>
    <x v="0"/>
    <x v="2"/>
    <n v="47"/>
    <x v="23"/>
    <x v="40"/>
    <x v="0"/>
    <x v="8"/>
  </r>
  <r>
    <x v="1301"/>
    <x v="2"/>
    <x v="1"/>
    <n v="55"/>
    <x v="10"/>
    <x v="76"/>
    <x v="0"/>
    <x v="4"/>
  </r>
  <r>
    <x v="845"/>
    <x v="2"/>
    <x v="1"/>
    <n v="52"/>
    <x v="12"/>
    <x v="444"/>
    <x v="0"/>
    <x v="9"/>
  </r>
  <r>
    <x v="1302"/>
    <x v="0"/>
    <x v="1"/>
    <n v="50"/>
    <x v="15"/>
    <x v="201"/>
    <x v="0"/>
    <x v="1"/>
  </r>
  <r>
    <x v="1303"/>
    <x v="0"/>
    <x v="1"/>
    <n v="53"/>
    <x v="35"/>
    <x v="286"/>
    <x v="0"/>
    <x v="1"/>
  </r>
  <r>
    <x v="1304"/>
    <x v="2"/>
    <x v="2"/>
    <n v="48"/>
    <x v="15"/>
    <x v="89"/>
    <x v="0"/>
    <x v="8"/>
  </r>
  <r>
    <x v="1305"/>
    <x v="0"/>
    <x v="1"/>
    <n v="56"/>
    <x v="5"/>
    <x v="13"/>
    <x v="0"/>
    <x v="18"/>
  </r>
  <r>
    <x v="1306"/>
    <x v="0"/>
    <x v="1"/>
    <n v="56"/>
    <x v="4"/>
    <x v="445"/>
    <x v="0"/>
    <x v="22"/>
  </r>
  <r>
    <x v="1307"/>
    <x v="3"/>
    <x v="1"/>
    <n v="50"/>
    <x v="12"/>
    <x v="239"/>
    <x v="0"/>
    <x v="12"/>
  </r>
  <r>
    <x v="1308"/>
    <x v="0"/>
    <x v="1"/>
    <n v="58"/>
    <x v="5"/>
    <x v="201"/>
    <x v="1"/>
    <x v="0"/>
  </r>
  <r>
    <x v="672"/>
    <x v="0"/>
    <x v="1"/>
    <n v="53"/>
    <x v="3"/>
    <x v="446"/>
    <x v="0"/>
    <x v="0"/>
  </r>
  <r>
    <x v="1309"/>
    <x v="0"/>
    <x v="1"/>
    <n v="54"/>
    <x v="16"/>
    <x v="61"/>
    <x v="1"/>
    <x v="8"/>
  </r>
  <r>
    <x v="1310"/>
    <x v="0"/>
    <x v="1"/>
    <n v="60"/>
    <x v="5"/>
    <x v="40"/>
    <x v="0"/>
    <x v="1"/>
  </r>
  <r>
    <x v="1311"/>
    <x v="0"/>
    <x v="0"/>
    <n v="62"/>
    <x v="0"/>
    <x v="40"/>
    <x v="0"/>
    <x v="1"/>
  </r>
  <r>
    <x v="1312"/>
    <x v="2"/>
    <x v="1"/>
    <n v="56"/>
    <x v="15"/>
    <x v="424"/>
    <x v="0"/>
    <x v="8"/>
  </r>
  <r>
    <x v="1313"/>
    <x v="0"/>
    <x v="1"/>
    <n v="57"/>
    <x v="10"/>
    <x v="134"/>
    <x v="1"/>
    <x v="8"/>
  </r>
  <r>
    <x v="1314"/>
    <x v="2"/>
    <x v="1"/>
    <n v="57"/>
    <x v="10"/>
    <x v="115"/>
    <x v="1"/>
    <x v="1"/>
  </r>
  <r>
    <x v="1315"/>
    <x v="0"/>
    <x v="1"/>
    <n v="57"/>
    <x v="10"/>
    <x v="134"/>
    <x v="1"/>
    <x v="1"/>
  </r>
  <r>
    <x v="1316"/>
    <x v="0"/>
    <x v="1"/>
    <n v="54"/>
    <x v="16"/>
    <x v="33"/>
    <x v="0"/>
    <x v="0"/>
  </r>
  <r>
    <x v="1317"/>
    <x v="0"/>
    <x v="1"/>
    <n v="54"/>
    <x v="12"/>
    <x v="15"/>
    <x v="0"/>
    <x v="0"/>
  </r>
  <r>
    <x v="1318"/>
    <x v="2"/>
    <x v="1"/>
    <n v="60"/>
    <x v="5"/>
    <x v="62"/>
    <x v="1"/>
    <x v="1"/>
  </r>
  <r>
    <x v="1319"/>
    <x v="1"/>
    <x v="1"/>
    <n v="55"/>
    <x v="35"/>
    <x v="171"/>
    <x v="0"/>
    <x v="12"/>
  </r>
  <r>
    <x v="1080"/>
    <x v="0"/>
    <x v="1"/>
    <n v="54"/>
    <x v="4"/>
    <x v="228"/>
    <x v="0"/>
    <x v="12"/>
  </r>
  <r>
    <x v="1320"/>
    <x v="0"/>
    <x v="1"/>
    <n v="56"/>
    <x v="6"/>
    <x v="158"/>
    <x v="0"/>
    <x v="12"/>
  </r>
  <r>
    <x v="1321"/>
    <x v="0"/>
    <x v="1"/>
    <n v="55"/>
    <x v="15"/>
    <x v="134"/>
    <x v="1"/>
    <x v="8"/>
  </r>
  <r>
    <x v="1322"/>
    <x v="0"/>
    <x v="1"/>
    <n v="52"/>
    <x v="16"/>
    <x v="155"/>
    <x v="0"/>
    <x v="8"/>
  </r>
  <r>
    <x v="423"/>
    <x v="1"/>
    <x v="2"/>
    <n v="46"/>
    <x v="13"/>
    <x v="444"/>
    <x v="0"/>
    <x v="9"/>
  </r>
  <r>
    <x v="1323"/>
    <x v="2"/>
    <x v="1"/>
    <n v="54"/>
    <x v="12"/>
    <x v="32"/>
    <x v="0"/>
    <x v="8"/>
  </r>
  <r>
    <x v="1324"/>
    <x v="2"/>
    <x v="1"/>
    <n v="52"/>
    <x v="12"/>
    <x v="447"/>
    <x v="1"/>
    <x v="17"/>
  </r>
  <r>
    <x v="1325"/>
    <x v="0"/>
    <x v="1"/>
    <n v="56"/>
    <x v="12"/>
    <x v="309"/>
    <x v="0"/>
    <x v="8"/>
  </r>
  <r>
    <x v="1326"/>
    <x v="2"/>
    <x v="1"/>
    <n v="54"/>
    <x v="4"/>
    <x v="218"/>
    <x v="0"/>
    <x v="12"/>
  </r>
  <r>
    <x v="1327"/>
    <x v="0"/>
    <x v="1"/>
    <n v="50"/>
    <x v="16"/>
    <x v="228"/>
    <x v="0"/>
    <x v="6"/>
  </r>
  <r>
    <x v="1328"/>
    <x v="2"/>
    <x v="1"/>
    <n v="57"/>
    <x v="3"/>
    <x v="448"/>
    <x v="1"/>
    <x v="11"/>
  </r>
  <r>
    <x v="1329"/>
    <x v="0"/>
    <x v="1"/>
    <n v="56"/>
    <x v="4"/>
    <x v="18"/>
    <x v="0"/>
    <x v="11"/>
  </r>
  <r>
    <x v="1330"/>
    <x v="0"/>
    <x v="1"/>
    <n v="58"/>
    <x v="5"/>
    <x v="32"/>
    <x v="0"/>
    <x v="8"/>
  </r>
  <r>
    <x v="1331"/>
    <x v="2"/>
    <x v="1"/>
    <n v="57"/>
    <x v="8"/>
    <x v="309"/>
    <x v="0"/>
    <x v="8"/>
  </r>
  <r>
    <x v="1332"/>
    <x v="2"/>
    <x v="1"/>
    <n v="57"/>
    <x v="14"/>
    <x v="449"/>
    <x v="0"/>
    <x v="12"/>
  </r>
  <r>
    <x v="1333"/>
    <x v="1"/>
    <x v="1"/>
    <n v="56"/>
    <x v="16"/>
    <x v="228"/>
    <x v="0"/>
    <x v="12"/>
  </r>
  <r>
    <x v="1334"/>
    <x v="1"/>
    <x v="1"/>
    <n v="50"/>
    <x v="12"/>
    <x v="450"/>
    <x v="0"/>
    <x v="11"/>
  </r>
  <r>
    <x v="1335"/>
    <x v="0"/>
    <x v="1"/>
    <n v="55"/>
    <x v="35"/>
    <x v="309"/>
    <x v="0"/>
    <x v="8"/>
  </r>
  <r>
    <x v="1336"/>
    <x v="0"/>
    <x v="1"/>
    <n v="52"/>
    <x v="12"/>
    <x v="309"/>
    <x v="0"/>
    <x v="8"/>
  </r>
  <r>
    <x v="1337"/>
    <x v="0"/>
    <x v="1"/>
    <n v="56"/>
    <x v="35"/>
    <x v="309"/>
    <x v="0"/>
    <x v="8"/>
  </r>
  <r>
    <x v="1338"/>
    <x v="1"/>
    <x v="1"/>
    <n v="56"/>
    <x v="6"/>
    <x v="449"/>
    <x v="0"/>
    <x v="12"/>
  </r>
  <r>
    <x v="1339"/>
    <x v="0"/>
    <x v="1"/>
    <n v="53"/>
    <x v="8"/>
    <x v="451"/>
    <x v="0"/>
    <x v="8"/>
  </r>
  <r>
    <x v="1340"/>
    <x v="2"/>
    <x v="3"/>
    <n v="40"/>
    <x v="45"/>
    <x v="452"/>
    <x v="1"/>
    <x v="1"/>
  </r>
  <r>
    <x v="1341"/>
    <x v="0"/>
    <x v="3"/>
    <n v="39"/>
    <x v="54"/>
    <x v="453"/>
    <x v="1"/>
    <x v="8"/>
  </r>
  <r>
    <x v="1342"/>
    <x v="1"/>
    <x v="1"/>
    <n v="53"/>
    <x v="8"/>
    <x v="258"/>
    <x v="1"/>
    <x v="8"/>
  </r>
  <r>
    <x v="1343"/>
    <x v="2"/>
    <x v="0"/>
    <n v="56"/>
    <x v="7"/>
    <x v="115"/>
    <x v="1"/>
    <x v="1"/>
  </r>
  <r>
    <x v="1344"/>
    <x v="0"/>
    <x v="1"/>
    <n v="56"/>
    <x v="0"/>
    <x v="40"/>
    <x v="0"/>
    <x v="1"/>
  </r>
  <r>
    <x v="1345"/>
    <x v="0"/>
    <x v="1"/>
    <n v="58"/>
    <x v="0"/>
    <x v="224"/>
    <x v="0"/>
    <x v="1"/>
  </r>
  <r>
    <x v="1346"/>
    <x v="0"/>
    <x v="1"/>
    <n v="54"/>
    <x v="5"/>
    <x v="255"/>
    <x v="0"/>
    <x v="8"/>
  </r>
  <r>
    <x v="1347"/>
    <x v="2"/>
    <x v="1"/>
    <n v="56"/>
    <x v="5"/>
    <x v="298"/>
    <x v="0"/>
    <x v="1"/>
  </r>
  <r>
    <x v="1348"/>
    <x v="2"/>
    <x v="1"/>
    <n v="58"/>
    <x v="0"/>
    <x v="454"/>
    <x v="0"/>
    <x v="4"/>
  </r>
  <r>
    <x v="1349"/>
    <x v="1"/>
    <x v="1"/>
    <n v="56"/>
    <x v="6"/>
    <x v="170"/>
    <x v="0"/>
    <x v="12"/>
  </r>
  <r>
    <x v="1350"/>
    <x v="2"/>
    <x v="0"/>
    <n v="58"/>
    <x v="7"/>
    <x v="170"/>
    <x v="0"/>
    <x v="8"/>
  </r>
  <r>
    <x v="1351"/>
    <x v="0"/>
    <x v="1"/>
    <n v="51"/>
    <x v="12"/>
    <x v="40"/>
    <x v="0"/>
    <x v="1"/>
  </r>
  <r>
    <x v="1352"/>
    <x v="0"/>
    <x v="1"/>
    <n v="55"/>
    <x v="5"/>
    <x v="40"/>
    <x v="0"/>
    <x v="1"/>
  </r>
  <r>
    <x v="1353"/>
    <x v="0"/>
    <x v="1"/>
    <n v="52"/>
    <x v="12"/>
    <x v="301"/>
    <x v="1"/>
    <x v="11"/>
  </r>
  <r>
    <x v="1354"/>
    <x v="0"/>
    <x v="1"/>
    <n v="50"/>
    <x v="12"/>
    <x v="282"/>
    <x v="1"/>
    <x v="17"/>
  </r>
  <r>
    <x v="1355"/>
    <x v="2"/>
    <x v="1"/>
    <n v="52"/>
    <x v="4"/>
    <x v="201"/>
    <x v="0"/>
    <x v="11"/>
  </r>
  <r>
    <x v="1356"/>
    <x v="0"/>
    <x v="1"/>
    <n v="57"/>
    <x v="14"/>
    <x v="301"/>
    <x v="1"/>
    <x v="1"/>
  </r>
  <r>
    <x v="1357"/>
    <x v="2"/>
    <x v="2"/>
    <n v="46"/>
    <x v="15"/>
    <x v="212"/>
    <x v="1"/>
    <x v="1"/>
  </r>
  <r>
    <x v="1358"/>
    <x v="0"/>
    <x v="1"/>
    <n v="49"/>
    <x v="12"/>
    <x v="455"/>
    <x v="1"/>
    <x v="8"/>
  </r>
  <r>
    <x v="1359"/>
    <x v="0"/>
    <x v="1"/>
    <n v="56"/>
    <x v="5"/>
    <x v="18"/>
    <x v="7"/>
    <x v="1"/>
  </r>
  <r>
    <x v="1360"/>
    <x v="0"/>
    <x v="1"/>
    <n v="51"/>
    <x v="11"/>
    <x v="309"/>
    <x v="0"/>
    <x v="8"/>
  </r>
  <r>
    <x v="1361"/>
    <x v="0"/>
    <x v="1"/>
    <n v="54"/>
    <x v="11"/>
    <x v="456"/>
    <x v="0"/>
    <x v="1"/>
  </r>
  <r>
    <x v="1362"/>
    <x v="0"/>
    <x v="1"/>
    <n v="59"/>
    <x v="10"/>
    <x v="40"/>
    <x v="0"/>
    <x v="6"/>
  </r>
  <r>
    <x v="1363"/>
    <x v="0"/>
    <x v="0"/>
    <n v="59"/>
    <x v="9"/>
    <x v="42"/>
    <x v="1"/>
    <x v="1"/>
  </r>
  <r>
    <x v="166"/>
    <x v="0"/>
    <x v="1"/>
    <n v="55"/>
    <x v="35"/>
    <x v="49"/>
    <x v="0"/>
    <x v="14"/>
  </r>
  <r>
    <x v="1364"/>
    <x v="2"/>
    <x v="3"/>
    <n v="41"/>
    <x v="46"/>
    <x v="457"/>
    <x v="1"/>
    <x v="1"/>
  </r>
  <r>
    <x v="1365"/>
    <x v="2"/>
    <x v="1"/>
    <n v="52"/>
    <x v="35"/>
    <x v="202"/>
    <x v="1"/>
    <x v="1"/>
  </r>
  <r>
    <x v="1366"/>
    <x v="2"/>
    <x v="2"/>
    <n v="50"/>
    <x v="29"/>
    <x v="234"/>
    <x v="0"/>
    <x v="6"/>
  </r>
  <r>
    <x v="1367"/>
    <x v="0"/>
    <x v="2"/>
    <n v="50"/>
    <x v="33"/>
    <x v="40"/>
    <x v="0"/>
    <x v="1"/>
  </r>
  <r>
    <x v="87"/>
    <x v="0"/>
    <x v="0"/>
    <n v="60"/>
    <x v="2"/>
    <x v="297"/>
    <x v="0"/>
    <x v="1"/>
  </r>
  <r>
    <x v="1368"/>
    <x v="0"/>
    <x v="1"/>
    <n v="58"/>
    <x v="35"/>
    <x v="286"/>
    <x v="0"/>
    <x v="15"/>
  </r>
  <r>
    <x v="1369"/>
    <x v="2"/>
    <x v="2"/>
    <n v="47"/>
    <x v="23"/>
    <x v="128"/>
    <x v="1"/>
    <x v="11"/>
  </r>
  <r>
    <x v="1370"/>
    <x v="0"/>
    <x v="1"/>
    <n v="56"/>
    <x v="5"/>
    <x v="7"/>
    <x v="1"/>
    <x v="8"/>
  </r>
  <r>
    <x v="1371"/>
    <x v="0"/>
    <x v="1"/>
    <n v="50"/>
    <x v="12"/>
    <x v="40"/>
    <x v="0"/>
    <x v="22"/>
  </r>
  <r>
    <x v="1348"/>
    <x v="2"/>
    <x v="1"/>
    <n v="56"/>
    <x v="5"/>
    <x v="422"/>
    <x v="0"/>
    <x v="4"/>
  </r>
  <r>
    <x v="1372"/>
    <x v="2"/>
    <x v="1"/>
    <n v="54"/>
    <x v="4"/>
    <x v="458"/>
    <x v="0"/>
    <x v="17"/>
  </r>
  <r>
    <x v="1373"/>
    <x v="2"/>
    <x v="1"/>
    <n v="52"/>
    <x v="4"/>
    <x v="116"/>
    <x v="0"/>
    <x v="0"/>
  </r>
  <r>
    <x v="1374"/>
    <x v="0"/>
    <x v="1"/>
    <n v="55"/>
    <x v="3"/>
    <x v="301"/>
    <x v="1"/>
    <x v="15"/>
  </r>
  <r>
    <x v="1375"/>
    <x v="0"/>
    <x v="0"/>
    <n v="60"/>
    <x v="6"/>
    <x v="7"/>
    <x v="1"/>
    <x v="1"/>
  </r>
  <r>
    <x v="1376"/>
    <x v="1"/>
    <x v="0"/>
    <n v="58"/>
    <x v="6"/>
    <x v="449"/>
    <x v="0"/>
    <x v="14"/>
  </r>
  <r>
    <x v="1377"/>
    <x v="2"/>
    <x v="1"/>
    <n v="54"/>
    <x v="4"/>
    <x v="449"/>
    <x v="0"/>
    <x v="12"/>
  </r>
  <r>
    <x v="1378"/>
    <x v="2"/>
    <x v="1"/>
    <n v="52"/>
    <x v="15"/>
    <x v="459"/>
    <x v="0"/>
    <x v="12"/>
  </r>
  <r>
    <x v="1379"/>
    <x v="0"/>
    <x v="1"/>
    <n v="58"/>
    <x v="5"/>
    <x v="460"/>
    <x v="0"/>
    <x v="9"/>
  </r>
  <r>
    <x v="1380"/>
    <x v="0"/>
    <x v="2"/>
    <n v="45"/>
    <x v="35"/>
    <x v="362"/>
    <x v="0"/>
    <x v="8"/>
  </r>
  <r>
    <x v="1381"/>
    <x v="0"/>
    <x v="1"/>
    <n v="56"/>
    <x v="4"/>
    <x v="57"/>
    <x v="1"/>
    <x v="8"/>
  </r>
  <r>
    <x v="1287"/>
    <x v="0"/>
    <x v="1"/>
    <n v="53"/>
    <x v="3"/>
    <x v="18"/>
    <x v="0"/>
    <x v="15"/>
  </r>
  <r>
    <x v="1287"/>
    <x v="0"/>
    <x v="1"/>
    <n v="55"/>
    <x v="3"/>
    <x v="240"/>
    <x v="0"/>
    <x v="15"/>
  </r>
  <r>
    <x v="1382"/>
    <x v="0"/>
    <x v="1"/>
    <n v="50"/>
    <x v="16"/>
    <x v="461"/>
    <x v="0"/>
    <x v="14"/>
  </r>
  <r>
    <x v="1030"/>
    <x v="2"/>
    <x v="1"/>
    <n v="55"/>
    <x v="10"/>
    <x v="157"/>
    <x v="0"/>
    <x v="0"/>
  </r>
  <r>
    <x v="1383"/>
    <x v="0"/>
    <x v="0"/>
    <n v="60"/>
    <x v="6"/>
    <x v="57"/>
    <x v="1"/>
    <x v="1"/>
  </r>
  <r>
    <x v="1384"/>
    <x v="2"/>
    <x v="2"/>
    <n v="50"/>
    <x v="33"/>
    <x v="391"/>
    <x v="0"/>
    <x v="0"/>
  </r>
  <r>
    <x v="1385"/>
    <x v="0"/>
    <x v="1"/>
    <n v="51"/>
    <x v="12"/>
    <x v="298"/>
    <x v="0"/>
    <x v="1"/>
  </r>
  <r>
    <x v="1386"/>
    <x v="0"/>
    <x v="1"/>
    <n v="56"/>
    <x v="4"/>
    <x v="91"/>
    <x v="1"/>
    <x v="12"/>
  </r>
  <r>
    <x v="1387"/>
    <x v="0"/>
    <x v="1"/>
    <n v="58"/>
    <x v="5"/>
    <x v="90"/>
    <x v="1"/>
    <x v="12"/>
  </r>
  <r>
    <x v="1388"/>
    <x v="0"/>
    <x v="1"/>
    <n v="54"/>
    <x v="4"/>
    <x v="117"/>
    <x v="0"/>
    <x v="19"/>
  </r>
  <r>
    <x v="1389"/>
    <x v="1"/>
    <x v="0"/>
    <n v="60"/>
    <x v="6"/>
    <x v="462"/>
    <x v="0"/>
    <x v="1"/>
  </r>
  <r>
    <x v="1390"/>
    <x v="0"/>
    <x v="1"/>
    <n v="58"/>
    <x v="0"/>
    <x v="3"/>
    <x v="1"/>
    <x v="1"/>
  </r>
  <r>
    <x v="66"/>
    <x v="0"/>
    <x v="0"/>
    <n v="65"/>
    <x v="26"/>
    <x v="117"/>
    <x v="0"/>
    <x v="8"/>
  </r>
  <r>
    <x v="1391"/>
    <x v="0"/>
    <x v="2"/>
    <n v="49"/>
    <x v="37"/>
    <x v="463"/>
    <x v="0"/>
    <x v="15"/>
  </r>
  <r>
    <x v="1392"/>
    <x v="0"/>
    <x v="1"/>
    <n v="52"/>
    <x v="11"/>
    <x v="464"/>
    <x v="0"/>
    <x v="8"/>
  </r>
  <r>
    <x v="1393"/>
    <x v="2"/>
    <x v="1"/>
    <n v="52"/>
    <x v="4"/>
    <x v="458"/>
    <x v="0"/>
    <x v="19"/>
  </r>
  <r>
    <x v="423"/>
    <x v="2"/>
    <x v="2"/>
    <n v="46"/>
    <x v="28"/>
    <x v="444"/>
    <x v="0"/>
    <x v="9"/>
  </r>
  <r>
    <x v="1209"/>
    <x v="0"/>
    <x v="1"/>
    <n v="58"/>
    <x v="0"/>
    <x v="362"/>
    <x v="0"/>
    <x v="1"/>
  </r>
  <r>
    <x v="1394"/>
    <x v="0"/>
    <x v="3"/>
    <n v="42"/>
    <x v="55"/>
    <x v="301"/>
    <x v="1"/>
    <x v="1"/>
  </r>
  <r>
    <x v="1375"/>
    <x v="0"/>
    <x v="0"/>
    <n v="60"/>
    <x v="2"/>
    <x v="145"/>
    <x v="1"/>
    <x v="1"/>
  </r>
  <r>
    <x v="1395"/>
    <x v="0"/>
    <x v="1"/>
    <n v="56"/>
    <x v="0"/>
    <x v="300"/>
    <x v="0"/>
    <x v="15"/>
  </r>
  <r>
    <x v="1396"/>
    <x v="0"/>
    <x v="1"/>
    <n v="57"/>
    <x v="33"/>
    <x v="373"/>
    <x v="0"/>
    <x v="11"/>
  </r>
  <r>
    <x v="1397"/>
    <x v="0"/>
    <x v="1"/>
    <n v="53"/>
    <x v="9"/>
    <x v="465"/>
    <x v="1"/>
    <x v="8"/>
  </r>
  <r>
    <x v="1398"/>
    <x v="2"/>
    <x v="1"/>
    <n v="58"/>
    <x v="0"/>
    <x v="298"/>
    <x v="0"/>
    <x v="1"/>
  </r>
  <r>
    <x v="1399"/>
    <x v="2"/>
    <x v="1"/>
    <n v="56"/>
    <x v="35"/>
    <x v="465"/>
    <x v="1"/>
    <x v="1"/>
  </r>
  <r>
    <x v="383"/>
    <x v="0"/>
    <x v="0"/>
    <n v="65"/>
    <x v="18"/>
    <x v="33"/>
    <x v="0"/>
    <x v="1"/>
  </r>
  <r>
    <x v="1400"/>
    <x v="2"/>
    <x v="1"/>
    <n v="53"/>
    <x v="8"/>
    <x v="157"/>
    <x v="0"/>
    <x v="12"/>
  </r>
  <r>
    <x v="1401"/>
    <x v="2"/>
    <x v="0"/>
    <n v="60"/>
    <x v="6"/>
    <x v="466"/>
    <x v="0"/>
    <x v="12"/>
  </r>
  <r>
    <x v="1402"/>
    <x v="2"/>
    <x v="3"/>
    <n v="40"/>
    <x v="22"/>
    <x v="195"/>
    <x v="1"/>
    <x v="1"/>
  </r>
  <r>
    <x v="1403"/>
    <x v="0"/>
    <x v="1"/>
    <n v="56"/>
    <x v="15"/>
    <x v="300"/>
    <x v="0"/>
    <x v="17"/>
  </r>
  <r>
    <x v="1404"/>
    <x v="1"/>
    <x v="1"/>
    <n v="54"/>
    <x v="16"/>
    <x v="179"/>
    <x v="0"/>
    <x v="15"/>
  </r>
  <r>
    <x v="1405"/>
    <x v="2"/>
    <x v="1"/>
    <n v="53"/>
    <x v="9"/>
    <x v="239"/>
    <x v="0"/>
    <x v="12"/>
  </r>
  <r>
    <x v="1406"/>
    <x v="1"/>
    <x v="0"/>
    <n v="58"/>
    <x v="6"/>
    <x v="424"/>
    <x v="0"/>
    <x v="8"/>
  </r>
  <r>
    <x v="1407"/>
    <x v="0"/>
    <x v="0"/>
    <n v="61"/>
    <x v="18"/>
    <x v="362"/>
    <x v="0"/>
    <x v="21"/>
  </r>
  <r>
    <x v="1408"/>
    <x v="2"/>
    <x v="1"/>
    <n v="50"/>
    <x v="16"/>
    <x v="29"/>
    <x v="0"/>
    <x v="8"/>
  </r>
  <r>
    <x v="1409"/>
    <x v="2"/>
    <x v="1"/>
    <n v="55"/>
    <x v="3"/>
    <x v="272"/>
    <x v="0"/>
    <x v="8"/>
  </r>
  <r>
    <x v="1410"/>
    <x v="0"/>
    <x v="1"/>
    <n v="56"/>
    <x v="5"/>
    <x v="117"/>
    <x v="0"/>
    <x v="8"/>
  </r>
  <r>
    <x v="1411"/>
    <x v="2"/>
    <x v="1"/>
    <n v="54"/>
    <x v="4"/>
    <x v="13"/>
    <x v="0"/>
    <x v="8"/>
  </r>
  <r>
    <x v="1412"/>
    <x v="0"/>
    <x v="0"/>
    <n v="58"/>
    <x v="7"/>
    <x v="467"/>
    <x v="1"/>
    <x v="1"/>
  </r>
  <r>
    <x v="1413"/>
    <x v="1"/>
    <x v="1"/>
    <n v="56"/>
    <x v="5"/>
    <x v="154"/>
    <x v="0"/>
    <x v="12"/>
  </r>
  <r>
    <x v="1414"/>
    <x v="2"/>
    <x v="1"/>
    <n v="56"/>
    <x v="5"/>
    <x v="39"/>
    <x v="0"/>
    <x v="16"/>
  </r>
  <r>
    <x v="1415"/>
    <x v="0"/>
    <x v="1"/>
    <n v="53"/>
    <x v="3"/>
    <x v="468"/>
    <x v="0"/>
    <x v="12"/>
  </r>
  <r>
    <x v="1416"/>
    <x v="1"/>
    <x v="1"/>
    <n v="55"/>
    <x v="16"/>
    <x v="469"/>
    <x v="0"/>
    <x v="8"/>
  </r>
  <r>
    <x v="1417"/>
    <x v="2"/>
    <x v="1"/>
    <n v="56"/>
    <x v="5"/>
    <x v="38"/>
    <x v="0"/>
    <x v="12"/>
  </r>
  <r>
    <x v="845"/>
    <x v="2"/>
    <x v="1"/>
    <n v="52"/>
    <x v="16"/>
    <x v="444"/>
    <x v="0"/>
    <x v="9"/>
  </r>
  <r>
    <x v="1418"/>
    <x v="2"/>
    <x v="1"/>
    <n v="55"/>
    <x v="35"/>
    <x v="32"/>
    <x v="0"/>
    <x v="8"/>
  </r>
  <r>
    <x v="1419"/>
    <x v="2"/>
    <x v="1"/>
    <n v="54"/>
    <x v="4"/>
    <x v="156"/>
    <x v="12"/>
    <x v="12"/>
  </r>
  <r>
    <x v="1420"/>
    <x v="3"/>
    <x v="1"/>
    <n v="56"/>
    <x v="4"/>
    <x v="395"/>
    <x v="0"/>
    <x v="9"/>
  </r>
  <r>
    <x v="1421"/>
    <x v="2"/>
    <x v="1"/>
    <n v="54"/>
    <x v="16"/>
    <x v="145"/>
    <x v="1"/>
    <x v="8"/>
  </r>
  <r>
    <x v="1422"/>
    <x v="2"/>
    <x v="1"/>
    <n v="56"/>
    <x v="4"/>
    <x v="301"/>
    <x v="1"/>
    <x v="1"/>
  </r>
  <r>
    <x v="1423"/>
    <x v="0"/>
    <x v="1"/>
    <n v="52"/>
    <x v="12"/>
    <x v="40"/>
    <x v="7"/>
    <x v="1"/>
  </r>
  <r>
    <x v="1424"/>
    <x v="0"/>
    <x v="1"/>
    <n v="54"/>
    <x v="5"/>
    <x v="18"/>
    <x v="7"/>
    <x v="8"/>
  </r>
  <r>
    <x v="1425"/>
    <x v="0"/>
    <x v="2"/>
    <n v="48"/>
    <x v="33"/>
    <x v="402"/>
    <x v="0"/>
    <x v="1"/>
  </r>
  <r>
    <x v="1426"/>
    <x v="0"/>
    <x v="2"/>
    <n v="47"/>
    <x v="15"/>
    <x v="240"/>
    <x v="7"/>
    <x v="1"/>
  </r>
  <r>
    <x v="1427"/>
    <x v="2"/>
    <x v="2"/>
    <n v="47"/>
    <x v="29"/>
    <x v="186"/>
    <x v="0"/>
    <x v="8"/>
  </r>
  <r>
    <x v="1428"/>
    <x v="0"/>
    <x v="1"/>
    <n v="54"/>
    <x v="3"/>
    <x v="470"/>
    <x v="6"/>
    <x v="17"/>
  </r>
  <r>
    <x v="1429"/>
    <x v="2"/>
    <x v="1"/>
    <n v="50"/>
    <x v="11"/>
    <x v="471"/>
    <x v="6"/>
    <x v="1"/>
  </r>
  <r>
    <x v="1430"/>
    <x v="2"/>
    <x v="1"/>
    <n v="54"/>
    <x v="4"/>
    <x v="472"/>
    <x v="6"/>
    <x v="23"/>
  </r>
  <r>
    <x v="1431"/>
    <x v="0"/>
    <x v="1"/>
    <n v="54"/>
    <x v="35"/>
    <x v="358"/>
    <x v="0"/>
    <x v="16"/>
  </r>
  <r>
    <x v="1432"/>
    <x v="0"/>
    <x v="1"/>
    <n v="56"/>
    <x v="0"/>
    <x v="157"/>
    <x v="0"/>
    <x v="11"/>
  </r>
  <r>
    <x v="1433"/>
    <x v="0"/>
    <x v="1"/>
    <n v="56"/>
    <x v="16"/>
    <x v="40"/>
    <x v="0"/>
    <x v="8"/>
  </r>
  <r>
    <x v="992"/>
    <x v="2"/>
    <x v="1"/>
    <n v="56"/>
    <x v="5"/>
    <x v="402"/>
    <x v="0"/>
    <x v="8"/>
  </r>
  <r>
    <x v="1434"/>
    <x v="2"/>
    <x v="1"/>
    <n v="56"/>
    <x v="16"/>
    <x v="12"/>
    <x v="1"/>
    <x v="1"/>
  </r>
  <r>
    <x v="1435"/>
    <x v="0"/>
    <x v="1"/>
    <n v="55"/>
    <x v="10"/>
    <x v="40"/>
    <x v="0"/>
    <x v="8"/>
  </r>
  <r>
    <x v="1436"/>
    <x v="0"/>
    <x v="1"/>
    <n v="53"/>
    <x v="4"/>
    <x v="179"/>
    <x v="0"/>
    <x v="21"/>
  </r>
  <r>
    <x v="1437"/>
    <x v="0"/>
    <x v="1"/>
    <n v="56"/>
    <x v="8"/>
    <x v="33"/>
    <x v="0"/>
    <x v="21"/>
  </r>
  <r>
    <x v="1438"/>
    <x v="2"/>
    <x v="1"/>
    <n v="58"/>
    <x v="0"/>
    <x v="179"/>
    <x v="0"/>
    <x v="1"/>
  </r>
  <r>
    <x v="1439"/>
    <x v="0"/>
    <x v="1"/>
    <n v="53"/>
    <x v="3"/>
    <x v="358"/>
    <x v="0"/>
    <x v="1"/>
  </r>
  <r>
    <x v="1440"/>
    <x v="0"/>
    <x v="1"/>
    <n v="60"/>
    <x v="4"/>
    <x v="402"/>
    <x v="0"/>
    <x v="1"/>
  </r>
  <r>
    <x v="1441"/>
    <x v="2"/>
    <x v="2"/>
    <n v="45"/>
    <x v="32"/>
    <x v="240"/>
    <x v="0"/>
    <x v="1"/>
  </r>
  <r>
    <x v="1442"/>
    <x v="0"/>
    <x v="1"/>
    <n v="54"/>
    <x v="51"/>
    <x v="463"/>
    <x v="0"/>
    <x v="0"/>
  </r>
  <r>
    <x v="1443"/>
    <x v="0"/>
    <x v="0"/>
    <n v="61"/>
    <x v="6"/>
    <x v="473"/>
    <x v="1"/>
    <x v="16"/>
  </r>
  <r>
    <x v="1444"/>
    <x v="2"/>
    <x v="1"/>
    <n v="59"/>
    <x v="3"/>
    <x v="134"/>
    <x v="1"/>
    <x v="8"/>
  </r>
  <r>
    <x v="1445"/>
    <x v="0"/>
    <x v="1"/>
    <n v="56"/>
    <x v="16"/>
    <x v="301"/>
    <x v="1"/>
    <x v="11"/>
  </r>
  <r>
    <x v="1446"/>
    <x v="0"/>
    <x v="0"/>
    <n v="60"/>
    <x v="0"/>
    <x v="474"/>
    <x v="5"/>
    <x v="1"/>
  </r>
  <r>
    <x v="1447"/>
    <x v="0"/>
    <x v="1"/>
    <n v="53"/>
    <x v="16"/>
    <x v="76"/>
    <x v="0"/>
    <x v="8"/>
  </r>
  <r>
    <x v="1448"/>
    <x v="0"/>
    <x v="1"/>
    <n v="55"/>
    <x v="3"/>
    <x v="475"/>
    <x v="0"/>
    <x v="0"/>
  </r>
  <r>
    <x v="1449"/>
    <x v="0"/>
    <x v="1"/>
    <n v="54"/>
    <x v="16"/>
    <x v="33"/>
    <x v="0"/>
    <x v="8"/>
  </r>
  <r>
    <x v="896"/>
    <x v="0"/>
    <x v="3"/>
    <n v="34"/>
    <x v="39"/>
    <x v="16"/>
    <x v="0"/>
    <x v="12"/>
  </r>
  <r>
    <x v="1450"/>
    <x v="0"/>
    <x v="1"/>
    <n v="54"/>
    <x v="4"/>
    <x v="208"/>
    <x v="0"/>
    <x v="12"/>
  </r>
  <r>
    <x v="1451"/>
    <x v="2"/>
    <x v="1"/>
    <n v="54"/>
    <x v="4"/>
    <x v="449"/>
    <x v="0"/>
    <x v="1"/>
  </r>
  <r>
    <x v="1452"/>
    <x v="2"/>
    <x v="1"/>
    <n v="56"/>
    <x v="3"/>
    <x v="476"/>
    <x v="1"/>
    <x v="1"/>
  </r>
  <r>
    <x v="1453"/>
    <x v="2"/>
    <x v="0"/>
    <n v="64"/>
    <x v="7"/>
    <x v="468"/>
    <x v="1"/>
    <x v="1"/>
  </r>
  <r>
    <x v="1454"/>
    <x v="2"/>
    <x v="1"/>
    <n v="54"/>
    <x v="12"/>
    <x v="477"/>
    <x v="7"/>
    <x v="1"/>
  </r>
  <r>
    <x v="1455"/>
    <x v="1"/>
    <x v="1"/>
    <n v="54"/>
    <x v="4"/>
    <x v="208"/>
    <x v="0"/>
    <x v="12"/>
  </r>
  <r>
    <x v="1456"/>
    <x v="2"/>
    <x v="1"/>
    <n v="53"/>
    <x v="3"/>
    <x v="179"/>
    <x v="0"/>
    <x v="8"/>
  </r>
  <r>
    <x v="1457"/>
    <x v="0"/>
    <x v="1"/>
    <n v="51"/>
    <x v="11"/>
    <x v="435"/>
    <x v="0"/>
    <x v="1"/>
  </r>
  <r>
    <x v="1458"/>
    <x v="2"/>
    <x v="1"/>
    <n v="53"/>
    <x v="16"/>
    <x v="179"/>
    <x v="0"/>
    <x v="8"/>
  </r>
  <r>
    <x v="1459"/>
    <x v="2"/>
    <x v="2"/>
    <n v="46"/>
    <x v="13"/>
    <x v="396"/>
    <x v="0"/>
    <x v="0"/>
  </r>
  <r>
    <x v="1460"/>
    <x v="0"/>
    <x v="3"/>
    <n v="41"/>
    <x v="56"/>
    <x v="439"/>
    <x v="5"/>
    <x v="8"/>
  </r>
  <r>
    <x v="1461"/>
    <x v="2"/>
    <x v="1"/>
    <n v="58"/>
    <x v="0"/>
    <x v="210"/>
    <x v="1"/>
    <x v="1"/>
  </r>
  <r>
    <x v="1462"/>
    <x v="0"/>
    <x v="1"/>
    <n v="55"/>
    <x v="3"/>
    <x v="234"/>
    <x v="0"/>
    <x v="15"/>
  </r>
  <r>
    <x v="1463"/>
    <x v="0"/>
    <x v="0"/>
    <n v="60"/>
    <x v="6"/>
    <x v="179"/>
    <x v="0"/>
    <x v="8"/>
  </r>
  <r>
    <x v="1464"/>
    <x v="2"/>
    <x v="1"/>
    <n v="58"/>
    <x v="5"/>
    <x v="301"/>
    <x v="1"/>
    <x v="1"/>
  </r>
  <r>
    <x v="1465"/>
    <x v="3"/>
    <x v="0"/>
    <n v="67"/>
    <x v="25"/>
    <x v="478"/>
    <x v="0"/>
    <x v="12"/>
  </r>
  <r>
    <x v="1368"/>
    <x v="2"/>
    <x v="1"/>
    <n v="54"/>
    <x v="5"/>
    <x v="402"/>
    <x v="0"/>
    <x v="15"/>
  </r>
  <r>
    <x v="1466"/>
    <x v="0"/>
    <x v="0"/>
    <n v="62"/>
    <x v="6"/>
    <x v="300"/>
    <x v="0"/>
    <x v="8"/>
  </r>
  <r>
    <x v="1467"/>
    <x v="0"/>
    <x v="1"/>
    <n v="54"/>
    <x v="35"/>
    <x v="76"/>
    <x v="0"/>
    <x v="0"/>
  </r>
  <r>
    <x v="1468"/>
    <x v="0"/>
    <x v="1"/>
    <n v="54"/>
    <x v="16"/>
    <x v="29"/>
    <x v="0"/>
    <x v="8"/>
  </r>
  <r>
    <x v="1469"/>
    <x v="0"/>
    <x v="1"/>
    <n v="54"/>
    <x v="4"/>
    <x v="49"/>
    <x v="0"/>
    <x v="16"/>
  </r>
  <r>
    <x v="1470"/>
    <x v="1"/>
    <x v="1"/>
    <n v="53"/>
    <x v="16"/>
    <x v="479"/>
    <x v="0"/>
    <x v="8"/>
  </r>
  <r>
    <x v="1471"/>
    <x v="0"/>
    <x v="1"/>
    <n v="53"/>
    <x v="35"/>
    <x v="373"/>
    <x v="0"/>
    <x v="17"/>
  </r>
  <r>
    <x v="1472"/>
    <x v="2"/>
    <x v="2"/>
    <n v="50"/>
    <x v="37"/>
    <x v="49"/>
    <x v="0"/>
    <x v="16"/>
  </r>
  <r>
    <x v="1473"/>
    <x v="0"/>
    <x v="1"/>
    <n v="54"/>
    <x v="12"/>
    <x v="55"/>
    <x v="0"/>
    <x v="9"/>
  </r>
  <r>
    <x v="1474"/>
    <x v="0"/>
    <x v="0"/>
    <n v="62"/>
    <x v="6"/>
    <x v="480"/>
    <x v="0"/>
    <x v="0"/>
  </r>
  <r>
    <x v="1475"/>
    <x v="0"/>
    <x v="1"/>
    <n v="54"/>
    <x v="5"/>
    <x v="319"/>
    <x v="0"/>
    <x v="9"/>
  </r>
  <r>
    <x v="765"/>
    <x v="0"/>
    <x v="1"/>
    <n v="54"/>
    <x v="5"/>
    <x v="117"/>
    <x v="7"/>
    <x v="15"/>
  </r>
  <r>
    <x v="1476"/>
    <x v="2"/>
    <x v="1"/>
    <n v="55"/>
    <x v="4"/>
    <x v="116"/>
    <x v="0"/>
    <x v="1"/>
  </r>
  <r>
    <x v="1477"/>
    <x v="0"/>
    <x v="1"/>
    <n v="55"/>
    <x v="16"/>
    <x v="16"/>
    <x v="0"/>
    <x v="8"/>
  </r>
  <r>
    <x v="1478"/>
    <x v="0"/>
    <x v="1"/>
    <n v="53"/>
    <x v="11"/>
    <x v="40"/>
    <x v="0"/>
    <x v="15"/>
  </r>
  <r>
    <x v="1479"/>
    <x v="0"/>
    <x v="1"/>
    <n v="51"/>
    <x v="15"/>
    <x v="3"/>
    <x v="1"/>
    <x v="0"/>
  </r>
  <r>
    <x v="992"/>
    <x v="0"/>
    <x v="1"/>
    <n v="56"/>
    <x v="5"/>
    <x v="409"/>
    <x v="0"/>
    <x v="1"/>
  </r>
  <r>
    <x v="1480"/>
    <x v="1"/>
    <x v="1"/>
    <n v="56"/>
    <x v="3"/>
    <x v="409"/>
    <x v="0"/>
    <x v="8"/>
  </r>
  <r>
    <x v="1481"/>
    <x v="0"/>
    <x v="1"/>
    <n v="56"/>
    <x v="3"/>
    <x v="481"/>
    <x v="0"/>
    <x v="1"/>
  </r>
  <r>
    <x v="1482"/>
    <x v="0"/>
    <x v="1"/>
    <n v="58"/>
    <x v="0"/>
    <x v="32"/>
    <x v="0"/>
    <x v="1"/>
  </r>
  <r>
    <x v="1483"/>
    <x v="2"/>
    <x v="1"/>
    <n v="50"/>
    <x v="12"/>
    <x v="176"/>
    <x v="1"/>
    <x v="11"/>
  </r>
  <r>
    <x v="1484"/>
    <x v="0"/>
    <x v="1"/>
    <n v="56"/>
    <x v="16"/>
    <x v="40"/>
    <x v="0"/>
    <x v="1"/>
  </r>
  <r>
    <x v="1485"/>
    <x v="0"/>
    <x v="1"/>
    <n v="56"/>
    <x v="16"/>
    <x v="482"/>
    <x v="0"/>
    <x v="8"/>
  </r>
  <r>
    <x v="845"/>
    <x v="1"/>
    <x v="1"/>
    <n v="56"/>
    <x v="16"/>
    <x v="319"/>
    <x v="0"/>
    <x v="9"/>
  </r>
  <r>
    <x v="1486"/>
    <x v="2"/>
    <x v="1"/>
    <n v="56"/>
    <x v="16"/>
    <x v="483"/>
    <x v="1"/>
    <x v="1"/>
  </r>
  <r>
    <x v="1487"/>
    <x v="3"/>
    <x v="2"/>
    <n v="47"/>
    <x v="51"/>
    <x v="484"/>
    <x v="0"/>
    <x v="14"/>
  </r>
  <r>
    <x v="1488"/>
    <x v="0"/>
    <x v="1"/>
    <n v="59"/>
    <x v="4"/>
    <x v="89"/>
    <x v="0"/>
    <x v="0"/>
  </r>
  <r>
    <x v="1489"/>
    <x v="0"/>
    <x v="1"/>
    <n v="56"/>
    <x v="33"/>
    <x v="485"/>
    <x v="0"/>
    <x v="20"/>
  </r>
  <r>
    <x v="1490"/>
    <x v="2"/>
    <x v="1"/>
    <n v="57"/>
    <x v="14"/>
    <x v="486"/>
    <x v="0"/>
    <x v="12"/>
  </r>
  <r>
    <x v="1491"/>
    <x v="2"/>
    <x v="1"/>
    <n v="54"/>
    <x v="4"/>
    <x v="435"/>
    <x v="0"/>
    <x v="10"/>
  </r>
  <r>
    <x v="1492"/>
    <x v="0"/>
    <x v="1"/>
    <n v="54"/>
    <x v="16"/>
    <x v="453"/>
    <x v="1"/>
    <x v="1"/>
  </r>
  <r>
    <x v="1493"/>
    <x v="3"/>
    <x v="1"/>
    <n v="57"/>
    <x v="16"/>
    <x v="487"/>
    <x v="0"/>
    <x v="15"/>
  </r>
  <r>
    <x v="1494"/>
    <x v="0"/>
    <x v="2"/>
    <n v="50"/>
    <x v="13"/>
    <x v="488"/>
    <x v="1"/>
    <x v="1"/>
  </r>
  <r>
    <x v="1495"/>
    <x v="2"/>
    <x v="1"/>
    <n v="56"/>
    <x v="4"/>
    <x v="28"/>
    <x v="0"/>
    <x v="12"/>
  </r>
  <r>
    <x v="1496"/>
    <x v="2"/>
    <x v="1"/>
    <n v="54"/>
    <x v="12"/>
    <x v="116"/>
    <x v="0"/>
    <x v="1"/>
  </r>
  <r>
    <x v="1497"/>
    <x v="0"/>
    <x v="1"/>
    <n v="58"/>
    <x v="4"/>
    <x v="415"/>
    <x v="1"/>
    <x v="1"/>
  </r>
  <r>
    <x v="1498"/>
    <x v="0"/>
    <x v="1"/>
    <n v="58"/>
    <x v="4"/>
    <x v="319"/>
    <x v="0"/>
    <x v="12"/>
  </r>
  <r>
    <x v="1499"/>
    <x v="0"/>
    <x v="1"/>
    <n v="52"/>
    <x v="37"/>
    <x v="309"/>
    <x v="0"/>
    <x v="8"/>
  </r>
  <r>
    <x v="1500"/>
    <x v="1"/>
    <x v="1"/>
    <n v="59"/>
    <x v="0"/>
    <x v="345"/>
    <x v="0"/>
    <x v="9"/>
  </r>
  <r>
    <x v="1501"/>
    <x v="2"/>
    <x v="1"/>
    <n v="60"/>
    <x v="5"/>
    <x v="40"/>
    <x v="0"/>
    <x v="1"/>
  </r>
  <r>
    <x v="1417"/>
    <x v="2"/>
    <x v="0"/>
    <n v="65"/>
    <x v="0"/>
    <x v="38"/>
    <x v="0"/>
    <x v="12"/>
  </r>
  <r>
    <x v="1502"/>
    <x v="2"/>
    <x v="1"/>
    <n v="58"/>
    <x v="4"/>
    <x v="489"/>
    <x v="0"/>
    <x v="12"/>
  </r>
  <r>
    <x v="1503"/>
    <x v="0"/>
    <x v="0"/>
    <n v="62"/>
    <x v="6"/>
    <x v="16"/>
    <x v="0"/>
    <x v="8"/>
  </r>
  <r>
    <x v="1504"/>
    <x v="0"/>
    <x v="0"/>
    <n v="66"/>
    <x v="0"/>
    <x v="15"/>
    <x v="0"/>
    <x v="12"/>
  </r>
  <r>
    <x v="1505"/>
    <x v="0"/>
    <x v="3"/>
    <n v="43"/>
    <x v="39"/>
    <x v="81"/>
    <x v="1"/>
    <x v="13"/>
  </r>
  <r>
    <x v="1506"/>
    <x v="0"/>
    <x v="0"/>
    <n v="63"/>
    <x v="6"/>
    <x v="276"/>
    <x v="0"/>
    <x v="1"/>
  </r>
  <r>
    <x v="1507"/>
    <x v="2"/>
    <x v="2"/>
    <n v="47"/>
    <x v="33"/>
    <x v="452"/>
    <x v="1"/>
    <x v="1"/>
  </r>
  <r>
    <x v="1508"/>
    <x v="0"/>
    <x v="2"/>
    <n v="52"/>
    <x v="13"/>
    <x v="490"/>
    <x v="0"/>
    <x v="8"/>
  </r>
  <r>
    <x v="1509"/>
    <x v="2"/>
    <x v="1"/>
    <n v="52"/>
    <x v="12"/>
    <x v="195"/>
    <x v="1"/>
    <x v="1"/>
  </r>
  <r>
    <x v="1510"/>
    <x v="3"/>
    <x v="1"/>
    <n v="56"/>
    <x v="4"/>
    <x v="61"/>
    <x v="0"/>
    <x v="8"/>
  </r>
  <r>
    <x v="1287"/>
    <x v="2"/>
    <x v="1"/>
    <n v="55"/>
    <x v="3"/>
    <x v="18"/>
    <x v="0"/>
    <x v="15"/>
  </r>
  <r>
    <x v="1511"/>
    <x v="0"/>
    <x v="1"/>
    <n v="60"/>
    <x v="16"/>
    <x v="29"/>
    <x v="0"/>
    <x v="21"/>
  </r>
  <r>
    <x v="1323"/>
    <x v="0"/>
    <x v="1"/>
    <n v="60"/>
    <x v="4"/>
    <x v="362"/>
    <x v="0"/>
    <x v="8"/>
  </r>
  <r>
    <x v="1512"/>
    <x v="0"/>
    <x v="1"/>
    <n v="56"/>
    <x v="4"/>
    <x v="61"/>
    <x v="0"/>
    <x v="0"/>
  </r>
  <r>
    <x v="1513"/>
    <x v="2"/>
    <x v="1"/>
    <n v="54"/>
    <x v="16"/>
    <x v="396"/>
    <x v="0"/>
    <x v="9"/>
  </r>
  <r>
    <x v="1514"/>
    <x v="2"/>
    <x v="1"/>
    <n v="60"/>
    <x v="5"/>
    <x v="362"/>
    <x v="0"/>
    <x v="8"/>
  </r>
  <r>
    <x v="1515"/>
    <x v="0"/>
    <x v="1"/>
    <n v="55"/>
    <x v="4"/>
    <x v="309"/>
    <x v="0"/>
    <x v="16"/>
  </r>
  <r>
    <x v="1516"/>
    <x v="2"/>
    <x v="1"/>
    <n v="56"/>
    <x v="4"/>
    <x v="40"/>
    <x v="0"/>
    <x v="8"/>
  </r>
  <r>
    <x v="1517"/>
    <x v="1"/>
    <x v="1"/>
    <n v="57"/>
    <x v="5"/>
    <x v="208"/>
    <x v="0"/>
    <x v="12"/>
  </r>
  <r>
    <x v="1518"/>
    <x v="2"/>
    <x v="1"/>
    <n v="56"/>
    <x v="4"/>
    <x v="491"/>
    <x v="6"/>
    <x v="1"/>
  </r>
  <r>
    <x v="1519"/>
    <x v="0"/>
    <x v="1"/>
    <n v="57"/>
    <x v="3"/>
    <x v="76"/>
    <x v="0"/>
    <x v="8"/>
  </r>
  <r>
    <x v="1520"/>
    <x v="2"/>
    <x v="1"/>
    <n v="56"/>
    <x v="0"/>
    <x v="492"/>
    <x v="12"/>
    <x v="7"/>
  </r>
  <r>
    <x v="1521"/>
    <x v="1"/>
    <x v="1"/>
    <n v="56"/>
    <x v="0"/>
    <x v="444"/>
    <x v="0"/>
    <x v="9"/>
  </r>
  <r>
    <x v="1522"/>
    <x v="0"/>
    <x v="0"/>
    <n v="58"/>
    <x v="6"/>
    <x v="201"/>
    <x v="0"/>
    <x v="12"/>
  </r>
  <r>
    <x v="1523"/>
    <x v="1"/>
    <x v="1"/>
    <n v="56"/>
    <x v="4"/>
    <x v="424"/>
    <x v="0"/>
    <x v="8"/>
  </r>
  <r>
    <x v="1524"/>
    <x v="2"/>
    <x v="1"/>
    <n v="54"/>
    <x v="12"/>
    <x v="424"/>
    <x v="0"/>
    <x v="1"/>
  </r>
  <r>
    <x v="1525"/>
    <x v="0"/>
    <x v="1"/>
    <n v="54"/>
    <x v="51"/>
    <x v="38"/>
    <x v="0"/>
    <x v="6"/>
  </r>
  <r>
    <x v="1526"/>
    <x v="0"/>
    <x v="1"/>
    <n v="52"/>
    <x v="33"/>
    <x v="13"/>
    <x v="0"/>
    <x v="6"/>
  </r>
  <r>
    <x v="1527"/>
    <x v="1"/>
    <x v="2"/>
    <n v="45"/>
    <x v="42"/>
    <x v="493"/>
    <x v="1"/>
    <x v="12"/>
  </r>
  <r>
    <x v="1528"/>
    <x v="0"/>
    <x v="3"/>
    <n v="44"/>
    <x v="43"/>
    <x v="494"/>
    <x v="1"/>
    <x v="6"/>
  </r>
  <r>
    <x v="1529"/>
    <x v="0"/>
    <x v="1"/>
    <n v="58"/>
    <x v="5"/>
    <x v="373"/>
    <x v="1"/>
    <x v="1"/>
  </r>
  <r>
    <x v="756"/>
    <x v="0"/>
    <x v="1"/>
    <n v="57"/>
    <x v="4"/>
    <x v="40"/>
    <x v="0"/>
    <x v="8"/>
  </r>
  <r>
    <x v="1530"/>
    <x v="0"/>
    <x v="1"/>
    <n v="58"/>
    <x v="3"/>
    <x v="240"/>
    <x v="0"/>
    <x v="1"/>
  </r>
  <r>
    <x v="1287"/>
    <x v="2"/>
    <x v="2"/>
    <n v="51"/>
    <x v="28"/>
    <x v="495"/>
    <x v="0"/>
    <x v="15"/>
  </r>
  <r>
    <x v="1531"/>
    <x v="2"/>
    <x v="1"/>
    <n v="56"/>
    <x v="4"/>
    <x v="39"/>
    <x v="0"/>
    <x v="8"/>
  </r>
  <r>
    <x v="1532"/>
    <x v="1"/>
    <x v="0"/>
    <n v="58"/>
    <x v="6"/>
    <x v="18"/>
    <x v="0"/>
    <x v="8"/>
  </r>
  <r>
    <x v="1533"/>
    <x v="1"/>
    <x v="1"/>
    <n v="55"/>
    <x v="12"/>
    <x v="179"/>
    <x v="0"/>
    <x v="8"/>
  </r>
  <r>
    <x v="1192"/>
    <x v="0"/>
    <x v="1"/>
    <n v="55"/>
    <x v="35"/>
    <x v="40"/>
    <x v="0"/>
    <x v="12"/>
  </r>
  <r>
    <x v="1534"/>
    <x v="2"/>
    <x v="1"/>
    <n v="58"/>
    <x v="4"/>
    <x v="298"/>
    <x v="0"/>
    <x v="1"/>
  </r>
  <r>
    <x v="1535"/>
    <x v="0"/>
    <x v="1"/>
    <n v="52"/>
    <x v="12"/>
    <x v="18"/>
    <x v="0"/>
    <x v="15"/>
  </r>
  <r>
    <x v="1536"/>
    <x v="0"/>
    <x v="0"/>
    <n v="65"/>
    <x v="4"/>
    <x v="76"/>
    <x v="0"/>
    <x v="1"/>
  </r>
  <r>
    <x v="1537"/>
    <x v="1"/>
    <x v="1"/>
    <n v="56"/>
    <x v="5"/>
    <x v="402"/>
    <x v="1"/>
    <x v="8"/>
  </r>
  <r>
    <x v="1538"/>
    <x v="2"/>
    <x v="1"/>
    <n v="56"/>
    <x v="4"/>
    <x v="40"/>
    <x v="0"/>
    <x v="8"/>
  </r>
  <r>
    <x v="1539"/>
    <x v="2"/>
    <x v="1"/>
    <n v="56"/>
    <x v="4"/>
    <x v="415"/>
    <x v="1"/>
    <x v="1"/>
  </r>
  <r>
    <x v="1540"/>
    <x v="0"/>
    <x v="1"/>
    <n v="54"/>
    <x v="35"/>
    <x v="117"/>
    <x v="0"/>
    <x v="8"/>
  </r>
  <r>
    <x v="1541"/>
    <x v="0"/>
    <x v="0"/>
    <n v="69"/>
    <x v="6"/>
    <x v="496"/>
    <x v="1"/>
    <x v="1"/>
  </r>
  <r>
    <x v="1542"/>
    <x v="0"/>
    <x v="1"/>
    <n v="54"/>
    <x v="11"/>
    <x v="76"/>
    <x v="0"/>
    <x v="8"/>
  </r>
  <r>
    <x v="1543"/>
    <x v="0"/>
    <x v="1"/>
    <n v="57"/>
    <x v="5"/>
    <x v="402"/>
    <x v="0"/>
    <x v="1"/>
  </r>
  <r>
    <x v="1544"/>
    <x v="0"/>
    <x v="1"/>
    <n v="52"/>
    <x v="16"/>
    <x v="119"/>
    <x v="1"/>
    <x v="1"/>
  </r>
  <r>
    <x v="1545"/>
    <x v="0"/>
    <x v="2"/>
    <n v="50"/>
    <x v="23"/>
    <x v="374"/>
    <x v="5"/>
    <x v="15"/>
  </r>
  <r>
    <x v="1546"/>
    <x v="0"/>
    <x v="1"/>
    <n v="54"/>
    <x v="12"/>
    <x v="409"/>
    <x v="0"/>
    <x v="15"/>
  </r>
  <r>
    <x v="1547"/>
    <x v="0"/>
    <x v="0"/>
    <n v="58"/>
    <x v="20"/>
    <x v="362"/>
    <x v="0"/>
    <x v="1"/>
  </r>
  <r>
    <x v="1548"/>
    <x v="0"/>
    <x v="1"/>
    <n v="54"/>
    <x v="10"/>
    <x v="76"/>
    <x v="0"/>
    <x v="1"/>
  </r>
  <r>
    <x v="1549"/>
    <x v="1"/>
    <x v="1"/>
    <n v="56"/>
    <x v="4"/>
    <x v="497"/>
    <x v="0"/>
    <x v="1"/>
  </r>
  <r>
    <x v="1550"/>
    <x v="2"/>
    <x v="0"/>
    <n v="58"/>
    <x v="6"/>
    <x v="498"/>
    <x v="0"/>
    <x v="12"/>
  </r>
  <r>
    <x v="1551"/>
    <x v="0"/>
    <x v="1"/>
    <n v="54"/>
    <x v="4"/>
    <x v="499"/>
    <x v="6"/>
    <x v="1"/>
  </r>
  <r>
    <x v="1552"/>
    <x v="0"/>
    <x v="1"/>
    <n v="56"/>
    <x v="5"/>
    <x v="497"/>
    <x v="0"/>
    <x v="1"/>
  </r>
  <r>
    <x v="1553"/>
    <x v="0"/>
    <x v="1"/>
    <n v="56"/>
    <x v="5"/>
    <x v="362"/>
    <x v="0"/>
    <x v="11"/>
  </r>
  <r>
    <x v="1554"/>
    <x v="0"/>
    <x v="1"/>
    <n v="54"/>
    <x v="16"/>
    <x v="492"/>
    <x v="12"/>
    <x v="1"/>
  </r>
  <r>
    <x v="1373"/>
    <x v="2"/>
    <x v="1"/>
    <n v="50"/>
    <x v="11"/>
    <x v="20"/>
    <x v="0"/>
    <x v="0"/>
  </r>
  <r>
    <x v="1555"/>
    <x v="1"/>
    <x v="1"/>
    <n v="54"/>
    <x v="16"/>
    <x v="309"/>
    <x v="0"/>
    <x v="1"/>
  </r>
  <r>
    <x v="1556"/>
    <x v="2"/>
    <x v="1"/>
    <n v="60"/>
    <x v="5"/>
    <x v="255"/>
    <x v="0"/>
    <x v="6"/>
  </r>
  <r>
    <x v="1557"/>
    <x v="0"/>
    <x v="0"/>
    <n v="65"/>
    <x v="8"/>
    <x v="240"/>
    <x v="0"/>
    <x v="0"/>
  </r>
  <r>
    <x v="1521"/>
    <x v="0"/>
    <x v="1"/>
    <n v="58"/>
    <x v="14"/>
    <x v="396"/>
    <x v="0"/>
    <x v="9"/>
  </r>
  <r>
    <x v="1558"/>
    <x v="0"/>
    <x v="0"/>
    <n v="66"/>
    <x v="14"/>
    <x v="500"/>
    <x v="0"/>
    <x v="7"/>
  </r>
  <r>
    <x v="1559"/>
    <x v="0"/>
    <x v="1"/>
    <n v="55"/>
    <x v="8"/>
    <x v="501"/>
    <x v="0"/>
    <x v="7"/>
  </r>
  <r>
    <x v="1560"/>
    <x v="0"/>
    <x v="0"/>
    <n v="60"/>
    <x v="6"/>
    <x v="3"/>
    <x v="1"/>
    <x v="8"/>
  </r>
  <r>
    <x v="1561"/>
    <x v="2"/>
    <x v="1"/>
    <n v="53"/>
    <x v="5"/>
    <x v="208"/>
    <x v="0"/>
    <x v="12"/>
  </r>
  <r>
    <x v="1562"/>
    <x v="0"/>
    <x v="1"/>
    <n v="48"/>
    <x v="4"/>
    <x v="18"/>
    <x v="0"/>
    <x v="1"/>
  </r>
  <r>
    <x v="1563"/>
    <x v="0"/>
    <x v="1"/>
    <n v="52"/>
    <x v="5"/>
    <x v="179"/>
    <x v="0"/>
    <x v="5"/>
  </r>
  <r>
    <x v="1564"/>
    <x v="0"/>
    <x v="1"/>
    <n v="57"/>
    <x v="6"/>
    <x v="407"/>
    <x v="0"/>
    <x v="1"/>
  </r>
  <r>
    <x v="1565"/>
    <x v="0"/>
    <x v="1"/>
    <n v="54"/>
    <x v="12"/>
    <x v="362"/>
    <x v="0"/>
    <x v="22"/>
  </r>
  <r>
    <x v="1566"/>
    <x v="2"/>
    <x v="1"/>
    <n v="54"/>
    <x v="7"/>
    <x v="207"/>
    <x v="0"/>
    <x v="12"/>
  </r>
  <r>
    <x v="1567"/>
    <x v="0"/>
    <x v="0"/>
    <n v="62"/>
    <x v="6"/>
    <x v="33"/>
    <x v="0"/>
    <x v="1"/>
  </r>
  <r>
    <x v="1568"/>
    <x v="0"/>
    <x v="1"/>
    <n v="60"/>
    <x v="5"/>
    <x v="89"/>
    <x v="0"/>
    <x v="1"/>
  </r>
  <r>
    <x v="1569"/>
    <x v="1"/>
    <x v="1"/>
    <n v="57"/>
    <x v="0"/>
    <x v="502"/>
    <x v="0"/>
    <x v="1"/>
  </r>
  <r>
    <x v="1570"/>
    <x v="0"/>
    <x v="1"/>
    <n v="57"/>
    <x v="0"/>
    <x v="503"/>
    <x v="6"/>
    <x v="1"/>
  </r>
  <r>
    <x v="1571"/>
    <x v="0"/>
    <x v="0"/>
    <n v="64"/>
    <x v="4"/>
    <x v="416"/>
    <x v="0"/>
    <x v="5"/>
  </r>
  <r>
    <x v="1572"/>
    <x v="0"/>
    <x v="1"/>
    <n v="55"/>
    <x v="5"/>
    <x v="454"/>
    <x v="0"/>
    <x v="8"/>
  </r>
  <r>
    <x v="1573"/>
    <x v="0"/>
    <x v="0"/>
    <n v="64"/>
    <x v="6"/>
    <x v="456"/>
    <x v="0"/>
    <x v="1"/>
  </r>
  <r>
    <x v="1574"/>
    <x v="0"/>
    <x v="1"/>
    <n v="54"/>
    <x v="4"/>
    <x v="224"/>
    <x v="0"/>
    <x v="8"/>
  </r>
  <r>
    <x v="845"/>
    <x v="0"/>
    <x v="1"/>
    <n v="56"/>
    <x v="4"/>
    <x v="323"/>
    <x v="0"/>
    <x v="9"/>
  </r>
  <r>
    <x v="1575"/>
    <x v="2"/>
    <x v="0"/>
    <n v="60"/>
    <x v="0"/>
    <x v="286"/>
    <x v="0"/>
    <x v="6"/>
  </r>
  <r>
    <x v="1576"/>
    <x v="2"/>
    <x v="1"/>
    <n v="56"/>
    <x v="15"/>
    <x v="224"/>
    <x v="0"/>
    <x v="1"/>
  </r>
  <r>
    <x v="1577"/>
    <x v="0"/>
    <x v="1"/>
    <n v="60"/>
    <x v="5"/>
    <x v="373"/>
    <x v="14"/>
    <x v="16"/>
  </r>
  <r>
    <x v="1578"/>
    <x v="2"/>
    <x v="0"/>
    <n v="62"/>
    <x v="6"/>
    <x v="134"/>
    <x v="1"/>
    <x v="1"/>
  </r>
  <r>
    <x v="1579"/>
    <x v="0"/>
    <x v="1"/>
    <n v="53"/>
    <x v="8"/>
    <x v="3"/>
    <x v="1"/>
    <x v="1"/>
  </r>
  <r>
    <x v="1580"/>
    <x v="2"/>
    <x v="1"/>
    <n v="52"/>
    <x v="4"/>
    <x v="116"/>
    <x v="0"/>
    <x v="0"/>
  </r>
  <r>
    <x v="1581"/>
    <x v="0"/>
    <x v="1"/>
    <n v="54"/>
    <x v="0"/>
    <x v="224"/>
    <x v="0"/>
    <x v="1"/>
  </r>
  <r>
    <x v="703"/>
    <x v="0"/>
    <x v="1"/>
    <n v="55"/>
    <x v="4"/>
    <x v="504"/>
    <x v="0"/>
    <x v="1"/>
  </r>
  <r>
    <x v="1582"/>
    <x v="2"/>
    <x v="1"/>
    <n v="58"/>
    <x v="5"/>
    <x v="224"/>
    <x v="0"/>
    <x v="12"/>
  </r>
  <r>
    <x v="1583"/>
    <x v="0"/>
    <x v="0"/>
    <n v="60"/>
    <x v="6"/>
    <x v="505"/>
    <x v="0"/>
    <x v="8"/>
  </r>
  <r>
    <x v="1584"/>
    <x v="0"/>
    <x v="1"/>
    <n v="53"/>
    <x v="3"/>
    <x v="402"/>
    <x v="0"/>
    <x v="6"/>
  </r>
  <r>
    <x v="1585"/>
    <x v="2"/>
    <x v="1"/>
    <n v="60"/>
    <x v="16"/>
    <x v="506"/>
    <x v="1"/>
    <x v="12"/>
  </r>
  <r>
    <x v="1586"/>
    <x v="3"/>
    <x v="1"/>
    <n v="59"/>
    <x v="0"/>
    <x v="507"/>
    <x v="0"/>
    <x v="12"/>
  </r>
  <r>
    <x v="1587"/>
    <x v="2"/>
    <x v="1"/>
    <n v="54"/>
    <x v="16"/>
    <x v="407"/>
    <x v="0"/>
    <x v="1"/>
  </r>
  <r>
    <x v="1588"/>
    <x v="0"/>
    <x v="1"/>
    <n v="60"/>
    <x v="3"/>
    <x v="508"/>
    <x v="0"/>
    <x v="0"/>
  </r>
  <r>
    <x v="1589"/>
    <x v="2"/>
    <x v="1"/>
    <n v="59"/>
    <x v="4"/>
    <x v="509"/>
    <x v="0"/>
    <x v="11"/>
  </r>
  <r>
    <x v="1590"/>
    <x v="0"/>
    <x v="0"/>
    <n v="62"/>
    <x v="1"/>
    <x v="510"/>
    <x v="0"/>
    <x v="1"/>
  </r>
  <r>
    <x v="1591"/>
    <x v="0"/>
    <x v="1"/>
    <n v="50"/>
    <x v="10"/>
    <x v="511"/>
    <x v="0"/>
    <x v="1"/>
  </r>
  <r>
    <x v="1592"/>
    <x v="2"/>
    <x v="2"/>
    <n v="49"/>
    <x v="51"/>
    <x v="309"/>
    <x v="0"/>
    <x v="8"/>
  </r>
  <r>
    <x v="1593"/>
    <x v="0"/>
    <x v="1"/>
    <n v="54"/>
    <x v="51"/>
    <x v="40"/>
    <x v="0"/>
    <x v="8"/>
  </r>
  <r>
    <x v="1594"/>
    <x v="2"/>
    <x v="3"/>
    <n v="44"/>
    <x v="57"/>
    <x v="91"/>
    <x v="1"/>
    <x v="8"/>
  </r>
  <r>
    <x v="1595"/>
    <x v="0"/>
    <x v="2"/>
    <n v="48"/>
    <x v="22"/>
    <x v="135"/>
    <x v="1"/>
    <x v="1"/>
  </r>
  <r>
    <x v="1596"/>
    <x v="0"/>
    <x v="2"/>
    <n v="45"/>
    <x v="55"/>
    <x v="281"/>
    <x v="1"/>
    <x v="1"/>
  </r>
  <r>
    <x v="1597"/>
    <x v="0"/>
    <x v="3"/>
    <n v="44"/>
    <x v="57"/>
    <x v="281"/>
    <x v="1"/>
    <x v="15"/>
  </r>
  <r>
    <x v="1598"/>
    <x v="0"/>
    <x v="3"/>
    <n v="45"/>
    <x v="43"/>
    <x v="91"/>
    <x v="1"/>
    <x v="8"/>
  </r>
  <r>
    <x v="1599"/>
    <x v="2"/>
    <x v="0"/>
    <n v="63"/>
    <x v="7"/>
    <x v="416"/>
    <x v="0"/>
    <x v="12"/>
  </r>
  <r>
    <x v="1600"/>
    <x v="2"/>
    <x v="1"/>
    <n v="55"/>
    <x v="35"/>
    <x v="40"/>
    <x v="0"/>
    <x v="17"/>
  </r>
  <r>
    <x v="1601"/>
    <x v="0"/>
    <x v="0"/>
    <n v="61"/>
    <x v="9"/>
    <x v="416"/>
    <x v="0"/>
    <x v="6"/>
  </r>
  <r>
    <x v="1602"/>
    <x v="1"/>
    <x v="1"/>
    <n v="53"/>
    <x v="33"/>
    <x v="27"/>
    <x v="0"/>
    <x v="12"/>
  </r>
  <r>
    <x v="1603"/>
    <x v="2"/>
    <x v="1"/>
    <n v="55"/>
    <x v="35"/>
    <x v="512"/>
    <x v="0"/>
    <x v="12"/>
  </r>
  <r>
    <x v="1213"/>
    <x v="2"/>
    <x v="1"/>
    <n v="54"/>
    <x v="3"/>
    <x v="495"/>
    <x v="0"/>
    <x v="17"/>
  </r>
  <r>
    <x v="1213"/>
    <x v="2"/>
    <x v="0"/>
    <n v="66"/>
    <x v="0"/>
    <x v="38"/>
    <x v="1"/>
    <x v="17"/>
  </r>
  <r>
    <x v="1604"/>
    <x v="2"/>
    <x v="0"/>
    <n v="68"/>
    <x v="0"/>
    <x v="416"/>
    <x v="0"/>
    <x v="21"/>
  </r>
  <r>
    <x v="1605"/>
    <x v="0"/>
    <x v="0"/>
    <n v="64"/>
    <x v="6"/>
    <x v="228"/>
    <x v="0"/>
    <x v="12"/>
  </r>
  <r>
    <x v="1213"/>
    <x v="0"/>
    <x v="1"/>
    <n v="59"/>
    <x v="33"/>
    <x v="513"/>
    <x v="0"/>
    <x v="1"/>
  </r>
  <r>
    <x v="1606"/>
    <x v="0"/>
    <x v="0"/>
    <n v="66"/>
    <x v="20"/>
    <x v="208"/>
    <x v="0"/>
    <x v="12"/>
  </r>
  <r>
    <x v="1607"/>
    <x v="0"/>
    <x v="1"/>
    <n v="58"/>
    <x v="3"/>
    <x v="298"/>
    <x v="0"/>
    <x v="16"/>
  </r>
  <r>
    <x v="1608"/>
    <x v="2"/>
    <x v="0"/>
    <n v="63"/>
    <x v="7"/>
    <x v="40"/>
    <x v="0"/>
    <x v="1"/>
  </r>
  <r>
    <x v="1609"/>
    <x v="0"/>
    <x v="0"/>
    <n v="65"/>
    <x v="2"/>
    <x v="16"/>
    <x v="0"/>
    <x v="12"/>
  </r>
  <r>
    <x v="1610"/>
    <x v="1"/>
    <x v="1"/>
    <n v="63"/>
    <x v="12"/>
    <x v="514"/>
    <x v="6"/>
    <x v="1"/>
  </r>
  <r>
    <x v="1611"/>
    <x v="0"/>
    <x v="0"/>
    <n v="64"/>
    <x v="9"/>
    <x v="345"/>
    <x v="0"/>
    <x v="12"/>
  </r>
  <r>
    <x v="1612"/>
    <x v="2"/>
    <x v="1"/>
    <n v="52"/>
    <x v="11"/>
    <x v="319"/>
    <x v="0"/>
    <x v="12"/>
  </r>
  <r>
    <x v="1613"/>
    <x v="0"/>
    <x v="1"/>
    <n v="59"/>
    <x v="10"/>
    <x v="298"/>
    <x v="0"/>
    <x v="16"/>
  </r>
  <r>
    <x v="1614"/>
    <x v="2"/>
    <x v="1"/>
    <n v="57"/>
    <x v="33"/>
    <x v="18"/>
    <x v="0"/>
    <x v="8"/>
  </r>
  <r>
    <x v="1615"/>
    <x v="0"/>
    <x v="0"/>
    <n v="63"/>
    <x v="9"/>
    <x v="286"/>
    <x v="0"/>
    <x v="6"/>
  </r>
  <r>
    <x v="1616"/>
    <x v="2"/>
    <x v="0"/>
    <n v="63"/>
    <x v="26"/>
    <x v="40"/>
    <x v="0"/>
    <x v="21"/>
  </r>
  <r>
    <x v="1617"/>
    <x v="0"/>
    <x v="1"/>
    <n v="60"/>
    <x v="4"/>
    <x v="362"/>
    <x v="0"/>
    <x v="8"/>
  </r>
  <r>
    <x v="1618"/>
    <x v="1"/>
    <x v="2"/>
    <n v="49"/>
    <x v="15"/>
    <x v="319"/>
    <x v="0"/>
    <x v="12"/>
  </r>
  <r>
    <x v="1619"/>
    <x v="0"/>
    <x v="2"/>
    <n v="52"/>
    <x v="22"/>
    <x v="117"/>
    <x v="0"/>
    <x v="17"/>
  </r>
  <r>
    <x v="1620"/>
    <x v="0"/>
    <x v="1"/>
    <n v="52"/>
    <x v="15"/>
    <x v="515"/>
    <x v="0"/>
    <x v="1"/>
  </r>
  <r>
    <x v="1621"/>
    <x v="0"/>
    <x v="1"/>
    <n v="58"/>
    <x v="16"/>
    <x v="234"/>
    <x v="0"/>
    <x v="1"/>
  </r>
  <r>
    <x v="1622"/>
    <x v="1"/>
    <x v="2"/>
    <n v="48"/>
    <x v="53"/>
    <x v="309"/>
    <x v="0"/>
    <x v="12"/>
  </r>
  <r>
    <x v="430"/>
    <x v="0"/>
    <x v="1"/>
    <n v="56"/>
    <x v="12"/>
    <x v="516"/>
    <x v="0"/>
    <x v="8"/>
  </r>
  <r>
    <x v="1623"/>
    <x v="2"/>
    <x v="1"/>
    <n v="57"/>
    <x v="4"/>
    <x v="517"/>
    <x v="0"/>
    <x v="6"/>
  </r>
  <r>
    <x v="1624"/>
    <x v="0"/>
    <x v="0"/>
    <n v="62"/>
    <x v="1"/>
    <x v="416"/>
    <x v="5"/>
    <x v="16"/>
  </r>
  <r>
    <x v="1625"/>
    <x v="2"/>
    <x v="0"/>
    <n v="66"/>
    <x v="1"/>
    <x v="29"/>
    <x v="0"/>
    <x v="1"/>
  </r>
  <r>
    <x v="1626"/>
    <x v="2"/>
    <x v="3"/>
    <n v="43"/>
    <x v="39"/>
    <x v="518"/>
    <x v="1"/>
    <x v="10"/>
  </r>
  <r>
    <x v="1627"/>
    <x v="0"/>
    <x v="3"/>
    <n v="44"/>
    <x v="44"/>
    <x v="205"/>
    <x v="1"/>
    <x v="5"/>
  </r>
  <r>
    <x v="1628"/>
    <x v="0"/>
    <x v="1"/>
    <n v="55"/>
    <x v="4"/>
    <x v="179"/>
    <x v="0"/>
    <x v="1"/>
  </r>
  <r>
    <x v="1629"/>
    <x v="2"/>
    <x v="1"/>
    <n v="55"/>
    <x v="16"/>
    <x v="519"/>
    <x v="0"/>
    <x v="8"/>
  </r>
  <r>
    <x v="1630"/>
    <x v="1"/>
    <x v="0"/>
    <n v="67"/>
    <x v="2"/>
    <x v="157"/>
    <x v="0"/>
    <x v="12"/>
  </r>
  <r>
    <x v="1631"/>
    <x v="0"/>
    <x v="1"/>
    <n v="58"/>
    <x v="37"/>
    <x v="520"/>
    <x v="0"/>
    <x v="1"/>
  </r>
  <r>
    <x v="1632"/>
    <x v="0"/>
    <x v="1"/>
    <n v="60"/>
    <x v="35"/>
    <x v="495"/>
    <x v="0"/>
    <x v="8"/>
  </r>
  <r>
    <x v="1633"/>
    <x v="2"/>
    <x v="1"/>
    <n v="54"/>
    <x v="33"/>
    <x v="224"/>
    <x v="0"/>
    <x v="8"/>
  </r>
  <r>
    <x v="1634"/>
    <x v="2"/>
    <x v="1"/>
    <n v="59"/>
    <x v="35"/>
    <x v="360"/>
    <x v="0"/>
    <x v="8"/>
  </r>
  <r>
    <x v="1635"/>
    <x v="0"/>
    <x v="1"/>
    <n v="57"/>
    <x v="16"/>
    <x v="201"/>
    <x v="0"/>
    <x v="1"/>
  </r>
  <r>
    <x v="1636"/>
    <x v="1"/>
    <x v="1"/>
    <n v="58"/>
    <x v="15"/>
    <x v="27"/>
    <x v="0"/>
    <x v="12"/>
  </r>
  <r>
    <x v="1637"/>
    <x v="0"/>
    <x v="2"/>
    <n v="48"/>
    <x v="22"/>
    <x v="463"/>
    <x v="0"/>
    <x v="17"/>
  </r>
  <r>
    <x v="1638"/>
    <x v="3"/>
    <x v="2"/>
    <n v="52"/>
    <x v="36"/>
    <x v="521"/>
    <x v="0"/>
    <x v="12"/>
  </r>
  <r>
    <x v="1639"/>
    <x v="0"/>
    <x v="2"/>
    <n v="47"/>
    <x v="22"/>
    <x v="475"/>
    <x v="0"/>
    <x v="7"/>
  </r>
  <r>
    <x v="1640"/>
    <x v="0"/>
    <x v="1"/>
    <n v="55"/>
    <x v="23"/>
    <x v="300"/>
    <x v="0"/>
    <x v="17"/>
  </r>
  <r>
    <x v="1641"/>
    <x v="1"/>
    <x v="1"/>
    <n v="54"/>
    <x v="16"/>
    <x v="344"/>
    <x v="0"/>
    <x v="8"/>
  </r>
  <r>
    <x v="1642"/>
    <x v="0"/>
    <x v="1"/>
    <n v="54"/>
    <x v="12"/>
    <x v="18"/>
    <x v="0"/>
    <x v="19"/>
  </r>
  <r>
    <x v="1643"/>
    <x v="0"/>
    <x v="0"/>
    <n v="65"/>
    <x v="1"/>
    <x v="117"/>
    <x v="0"/>
    <x v="1"/>
  </r>
  <r>
    <x v="1644"/>
    <x v="0"/>
    <x v="1"/>
    <n v="54"/>
    <x v="12"/>
    <x v="75"/>
    <x v="0"/>
    <x v="14"/>
  </r>
  <r>
    <x v="1645"/>
    <x v="0"/>
    <x v="0"/>
    <n v="78"/>
    <x v="41"/>
    <x v="297"/>
    <x v="0"/>
    <x v="16"/>
  </r>
  <r>
    <x v="890"/>
    <x v="2"/>
    <x v="1"/>
    <n v="57"/>
    <x v="4"/>
    <x v="89"/>
    <x v="0"/>
    <x v="1"/>
  </r>
  <r>
    <x v="1646"/>
    <x v="0"/>
    <x v="1"/>
    <n v="61"/>
    <x v="10"/>
    <x v="522"/>
    <x v="1"/>
    <x v="1"/>
  </r>
  <r>
    <x v="1647"/>
    <x v="0"/>
    <x v="0"/>
    <n v="62"/>
    <x v="2"/>
    <x v="40"/>
    <x v="0"/>
    <x v="1"/>
  </r>
  <r>
    <x v="1423"/>
    <x v="0"/>
    <x v="1"/>
    <n v="55"/>
    <x v="15"/>
    <x v="430"/>
    <x v="7"/>
    <x v="17"/>
  </r>
  <r>
    <x v="1648"/>
    <x v="0"/>
    <x v="2"/>
    <n v="47"/>
    <x v="57"/>
    <x v="205"/>
    <x v="1"/>
    <x v="0"/>
  </r>
  <r>
    <x v="1649"/>
    <x v="0"/>
    <x v="0"/>
    <n v="68"/>
    <x v="21"/>
    <x v="89"/>
    <x v="0"/>
    <x v="6"/>
  </r>
  <r>
    <x v="1650"/>
    <x v="0"/>
    <x v="0"/>
    <n v="66"/>
    <x v="41"/>
    <x v="97"/>
    <x v="1"/>
    <x v="17"/>
  </r>
  <r>
    <x v="1651"/>
    <x v="2"/>
    <x v="0"/>
    <n v="63"/>
    <x v="8"/>
    <x v="224"/>
    <x v="0"/>
    <x v="12"/>
  </r>
  <r>
    <x v="1652"/>
    <x v="0"/>
    <x v="1"/>
    <n v="54"/>
    <x v="33"/>
    <x v="40"/>
    <x v="0"/>
    <x v="15"/>
  </r>
  <r>
    <x v="910"/>
    <x v="0"/>
    <x v="2"/>
    <n v="52"/>
    <x v="51"/>
    <x v="523"/>
    <x v="1"/>
    <x v="17"/>
  </r>
  <r>
    <x v="1653"/>
    <x v="1"/>
    <x v="1"/>
    <n v="59"/>
    <x v="5"/>
    <x v="524"/>
    <x v="6"/>
    <x v="17"/>
  </r>
  <r>
    <x v="1654"/>
    <x v="0"/>
    <x v="1"/>
    <n v="60"/>
    <x v="12"/>
    <x v="525"/>
    <x v="6"/>
    <x v="17"/>
  </r>
  <r>
    <x v="1655"/>
    <x v="2"/>
    <x v="1"/>
    <n v="60"/>
    <x v="10"/>
    <x v="80"/>
    <x v="0"/>
    <x v="8"/>
  </r>
  <r>
    <x v="1656"/>
    <x v="0"/>
    <x v="1"/>
    <n v="58"/>
    <x v="15"/>
    <x v="526"/>
    <x v="0"/>
    <x v="1"/>
  </r>
  <r>
    <x v="1657"/>
    <x v="2"/>
    <x v="0"/>
    <n v="64"/>
    <x v="17"/>
    <x v="409"/>
    <x v="0"/>
    <x v="1"/>
  </r>
  <r>
    <x v="1333"/>
    <x v="2"/>
    <x v="0"/>
    <n v="62"/>
    <x v="2"/>
    <x v="527"/>
    <x v="0"/>
    <x v="17"/>
  </r>
  <r>
    <x v="1658"/>
    <x v="0"/>
    <x v="2"/>
    <n v="47"/>
    <x v="29"/>
    <x v="40"/>
    <x v="0"/>
    <x v="15"/>
  </r>
  <r>
    <x v="1652"/>
    <x v="0"/>
    <x v="1"/>
    <n v="56"/>
    <x v="33"/>
    <x v="435"/>
    <x v="0"/>
    <x v="15"/>
  </r>
  <r>
    <x v="1659"/>
    <x v="0"/>
    <x v="2"/>
    <n v="49"/>
    <x v="28"/>
    <x v="528"/>
    <x v="1"/>
    <x v="1"/>
  </r>
  <r>
    <x v="1660"/>
    <x v="0"/>
    <x v="0"/>
    <n v="65"/>
    <x v="7"/>
    <x v="529"/>
    <x v="0"/>
    <x v="0"/>
  </r>
  <r>
    <x v="1661"/>
    <x v="1"/>
    <x v="1"/>
    <n v="57"/>
    <x v="14"/>
    <x v="530"/>
    <x v="0"/>
    <x v="12"/>
  </r>
  <r>
    <x v="1662"/>
    <x v="0"/>
    <x v="0"/>
    <n v="65"/>
    <x v="9"/>
    <x v="40"/>
    <x v="0"/>
    <x v="1"/>
  </r>
  <r>
    <x v="1638"/>
    <x v="1"/>
    <x v="1"/>
    <n v="57"/>
    <x v="8"/>
    <x v="531"/>
    <x v="0"/>
    <x v="12"/>
  </r>
  <r>
    <x v="1663"/>
    <x v="0"/>
    <x v="1"/>
    <n v="58"/>
    <x v="8"/>
    <x v="40"/>
    <x v="0"/>
    <x v="8"/>
  </r>
  <r>
    <x v="1664"/>
    <x v="2"/>
    <x v="1"/>
    <n v="56"/>
    <x v="3"/>
    <x v="224"/>
    <x v="0"/>
    <x v="8"/>
  </r>
  <r>
    <x v="1665"/>
    <x v="0"/>
    <x v="1"/>
    <n v="56"/>
    <x v="15"/>
    <x v="424"/>
    <x v="5"/>
    <x v="17"/>
  </r>
  <r>
    <x v="1666"/>
    <x v="0"/>
    <x v="2"/>
    <n v="50"/>
    <x v="28"/>
    <x v="3"/>
    <x v="1"/>
    <x v="17"/>
  </r>
  <r>
    <x v="1667"/>
    <x v="2"/>
    <x v="1"/>
    <n v="55"/>
    <x v="35"/>
    <x v="451"/>
    <x v="0"/>
    <x v="1"/>
  </r>
  <r>
    <x v="1668"/>
    <x v="0"/>
    <x v="0"/>
    <n v="60"/>
    <x v="14"/>
    <x v="456"/>
    <x v="0"/>
    <x v="1"/>
  </r>
  <r>
    <x v="1669"/>
    <x v="0"/>
    <x v="0"/>
    <n v="65"/>
    <x v="2"/>
    <x v="360"/>
    <x v="1"/>
    <x v="1"/>
  </r>
  <r>
    <x v="1670"/>
    <x v="0"/>
    <x v="2"/>
    <n v="53"/>
    <x v="51"/>
    <x v="40"/>
    <x v="0"/>
    <x v="8"/>
  </r>
  <r>
    <x v="1671"/>
    <x v="0"/>
    <x v="2"/>
    <n v="49"/>
    <x v="29"/>
    <x v="309"/>
    <x v="0"/>
    <x v="8"/>
  </r>
  <r>
    <x v="1672"/>
    <x v="0"/>
    <x v="1"/>
    <n v="58"/>
    <x v="14"/>
    <x v="40"/>
    <x v="0"/>
    <x v="1"/>
  </r>
  <r>
    <x v="1673"/>
    <x v="2"/>
    <x v="1"/>
    <n v="56"/>
    <x v="10"/>
    <x v="81"/>
    <x v="1"/>
    <x v="8"/>
  </r>
  <r>
    <x v="1674"/>
    <x v="2"/>
    <x v="2"/>
    <n v="52"/>
    <x v="29"/>
    <x v="463"/>
    <x v="0"/>
    <x v="1"/>
  </r>
  <r>
    <x v="1675"/>
    <x v="0"/>
    <x v="2"/>
    <n v="48"/>
    <x v="43"/>
    <x v="115"/>
    <x v="1"/>
    <x v="17"/>
  </r>
  <r>
    <x v="1676"/>
    <x v="1"/>
    <x v="0"/>
    <n v="71"/>
    <x v="19"/>
    <x v="228"/>
    <x v="0"/>
    <x v="17"/>
  </r>
  <r>
    <x v="1677"/>
    <x v="0"/>
    <x v="2"/>
    <n v="53"/>
    <x v="36"/>
    <x v="240"/>
    <x v="0"/>
    <x v="1"/>
  </r>
  <r>
    <x v="1678"/>
    <x v="2"/>
    <x v="0"/>
    <n v="64"/>
    <x v="9"/>
    <x v="39"/>
    <x v="0"/>
    <x v="1"/>
  </r>
  <r>
    <x v="1521"/>
    <x v="0"/>
    <x v="2"/>
    <n v="53"/>
    <x v="51"/>
    <x v="532"/>
    <x v="0"/>
    <x v="17"/>
  </r>
  <r>
    <x v="1679"/>
    <x v="2"/>
    <x v="0"/>
    <n v="66"/>
    <x v="6"/>
    <x v="533"/>
    <x v="0"/>
    <x v="1"/>
  </r>
  <r>
    <x v="1680"/>
    <x v="2"/>
    <x v="2"/>
    <n v="49"/>
    <x v="36"/>
    <x v="117"/>
    <x v="1"/>
    <x v="8"/>
  </r>
  <r>
    <x v="1681"/>
    <x v="2"/>
    <x v="0"/>
    <n v="62"/>
    <x v="2"/>
    <x v="27"/>
    <x v="0"/>
    <x v="17"/>
  </r>
  <r>
    <x v="1213"/>
    <x v="2"/>
    <x v="1"/>
    <n v="59"/>
    <x v="4"/>
    <x v="435"/>
    <x v="0"/>
    <x v="17"/>
  </r>
  <r>
    <x v="1682"/>
    <x v="2"/>
    <x v="1"/>
    <n v="55"/>
    <x v="11"/>
    <x v="40"/>
    <x v="0"/>
    <x v="1"/>
  </r>
  <r>
    <x v="1683"/>
    <x v="2"/>
    <x v="0"/>
    <n v="67"/>
    <x v="2"/>
    <x v="96"/>
    <x v="0"/>
    <x v="12"/>
  </r>
  <r>
    <x v="1684"/>
    <x v="0"/>
    <x v="2"/>
    <n v="50"/>
    <x v="29"/>
    <x v="507"/>
    <x v="0"/>
    <x v="12"/>
  </r>
  <r>
    <x v="1685"/>
    <x v="0"/>
    <x v="2"/>
    <n v="46"/>
    <x v="13"/>
    <x v="534"/>
    <x v="0"/>
    <x v="17"/>
  </r>
  <r>
    <x v="1686"/>
    <x v="0"/>
    <x v="1"/>
    <n v="57"/>
    <x v="11"/>
    <x v="40"/>
    <x v="0"/>
    <x v="21"/>
  </r>
  <r>
    <x v="1687"/>
    <x v="0"/>
    <x v="2"/>
    <n v="49"/>
    <x v="13"/>
    <x v="535"/>
    <x v="0"/>
    <x v="8"/>
  </r>
  <r>
    <x v="1688"/>
    <x v="2"/>
    <x v="2"/>
    <n v="51"/>
    <x v="30"/>
    <x v="16"/>
    <x v="0"/>
    <x v="1"/>
  </r>
  <r>
    <x v="1689"/>
    <x v="2"/>
    <x v="0"/>
    <n v="74"/>
    <x v="58"/>
    <x v="536"/>
    <x v="0"/>
    <x v="12"/>
  </r>
  <r>
    <x v="1690"/>
    <x v="0"/>
    <x v="2"/>
    <n v="54"/>
    <x v="36"/>
    <x v="264"/>
    <x v="0"/>
    <x v="8"/>
  </r>
  <r>
    <x v="1691"/>
    <x v="0"/>
    <x v="0"/>
    <n v="64"/>
    <x v="19"/>
    <x v="526"/>
    <x v="0"/>
    <x v="1"/>
  </r>
  <r>
    <x v="1692"/>
    <x v="0"/>
    <x v="2"/>
    <n v="52"/>
    <x v="23"/>
    <x v="234"/>
    <x v="0"/>
    <x v="1"/>
  </r>
  <r>
    <x v="1493"/>
    <x v="2"/>
    <x v="1"/>
    <n v="54"/>
    <x v="4"/>
    <x v="286"/>
    <x v="0"/>
    <x v="15"/>
  </r>
  <r>
    <x v="1693"/>
    <x v="0"/>
    <x v="1"/>
    <n v="56"/>
    <x v="16"/>
    <x v="234"/>
    <x v="0"/>
    <x v="1"/>
  </r>
  <r>
    <x v="1694"/>
    <x v="2"/>
    <x v="2"/>
    <n v="47"/>
    <x v="28"/>
    <x v="537"/>
    <x v="1"/>
    <x v="8"/>
  </r>
  <r>
    <x v="1695"/>
    <x v="0"/>
    <x v="2"/>
    <n v="52"/>
    <x v="51"/>
    <x v="81"/>
    <x v="1"/>
    <x v="1"/>
  </r>
  <r>
    <x v="1696"/>
    <x v="2"/>
    <x v="2"/>
    <n v="42"/>
    <x v="48"/>
    <x v="538"/>
    <x v="0"/>
    <x v="12"/>
  </r>
  <r>
    <x v="1697"/>
    <x v="2"/>
    <x v="1"/>
    <n v="61"/>
    <x v="3"/>
    <x v="323"/>
    <x v="0"/>
    <x v="17"/>
  </r>
  <r>
    <x v="1686"/>
    <x v="0"/>
    <x v="1"/>
    <n v="56"/>
    <x v="11"/>
    <x v="40"/>
    <x v="0"/>
    <x v="21"/>
  </r>
  <r>
    <x v="1698"/>
    <x v="0"/>
    <x v="0"/>
    <n v="61"/>
    <x v="8"/>
    <x v="539"/>
    <x v="0"/>
    <x v="12"/>
  </r>
  <r>
    <x v="535"/>
    <x v="0"/>
    <x v="0"/>
    <n v="72"/>
    <x v="1"/>
    <x v="46"/>
    <x v="0"/>
    <x v="11"/>
  </r>
  <r>
    <x v="1699"/>
    <x v="0"/>
    <x v="1"/>
    <n v="53"/>
    <x v="33"/>
    <x v="32"/>
    <x v="0"/>
    <x v="8"/>
  </r>
  <r>
    <x v="1700"/>
    <x v="2"/>
    <x v="1"/>
    <n v="62"/>
    <x v="35"/>
    <x v="540"/>
    <x v="0"/>
    <x v="1"/>
  </r>
  <r>
    <x v="1701"/>
    <x v="2"/>
    <x v="1"/>
    <n v="53"/>
    <x v="16"/>
    <x v="541"/>
    <x v="0"/>
    <x v="0"/>
  </r>
  <r>
    <x v="1702"/>
    <x v="0"/>
    <x v="1"/>
    <n v="61"/>
    <x v="10"/>
    <x v="362"/>
    <x v="0"/>
    <x v="8"/>
  </r>
  <r>
    <x v="1703"/>
    <x v="0"/>
    <x v="1"/>
    <n v="59"/>
    <x v="35"/>
    <x v="451"/>
    <x v="0"/>
    <x v="1"/>
  </r>
  <r>
    <x v="1009"/>
    <x v="0"/>
    <x v="2"/>
    <n v="52"/>
    <x v="28"/>
    <x v="40"/>
    <x v="0"/>
    <x v="8"/>
  </r>
  <r>
    <x v="1704"/>
    <x v="0"/>
    <x v="0"/>
    <n v="62"/>
    <x v="6"/>
    <x v="542"/>
    <x v="0"/>
    <x v="1"/>
  </r>
  <r>
    <x v="1705"/>
    <x v="0"/>
    <x v="1"/>
    <n v="53"/>
    <x v="37"/>
    <x v="543"/>
    <x v="0"/>
    <x v="8"/>
  </r>
  <r>
    <x v="1706"/>
    <x v="0"/>
    <x v="2"/>
    <n v="52"/>
    <x v="51"/>
    <x v="300"/>
    <x v="0"/>
    <x v="1"/>
  </r>
  <r>
    <x v="1707"/>
    <x v="0"/>
    <x v="1"/>
    <n v="56"/>
    <x v="36"/>
    <x v="224"/>
    <x v="0"/>
    <x v="1"/>
  </r>
  <r>
    <x v="1708"/>
    <x v="0"/>
    <x v="1"/>
    <n v="56"/>
    <x v="15"/>
    <x v="508"/>
    <x v="0"/>
    <x v="17"/>
  </r>
  <r>
    <x v="1709"/>
    <x v="2"/>
    <x v="2"/>
    <n v="50"/>
    <x v="59"/>
    <x v="18"/>
    <x v="0"/>
    <x v="8"/>
  </r>
  <r>
    <x v="1710"/>
    <x v="0"/>
    <x v="1"/>
    <n v="55"/>
    <x v="4"/>
    <x v="514"/>
    <x v="6"/>
    <x v="17"/>
  </r>
  <r>
    <x v="1711"/>
    <x v="0"/>
    <x v="1"/>
    <n v="59"/>
    <x v="12"/>
    <x v="2"/>
    <x v="5"/>
    <x v="1"/>
  </r>
  <r>
    <x v="1287"/>
    <x v="0"/>
    <x v="2"/>
    <n v="54"/>
    <x v="36"/>
    <x v="224"/>
    <x v="0"/>
    <x v="15"/>
  </r>
  <r>
    <x v="1712"/>
    <x v="3"/>
    <x v="1"/>
    <n v="58"/>
    <x v="5"/>
    <x v="319"/>
    <x v="0"/>
    <x v="12"/>
  </r>
  <r>
    <x v="1713"/>
    <x v="0"/>
    <x v="1"/>
    <n v="58"/>
    <x v="5"/>
    <x v="40"/>
    <x v="0"/>
    <x v="12"/>
  </r>
  <r>
    <x v="1714"/>
    <x v="0"/>
    <x v="0"/>
    <n v="64"/>
    <x v="5"/>
    <x v="402"/>
    <x v="0"/>
    <x v="21"/>
  </r>
  <r>
    <x v="1715"/>
    <x v="0"/>
    <x v="0"/>
    <n v="72"/>
    <x v="1"/>
    <x v="62"/>
    <x v="0"/>
    <x v="12"/>
  </r>
  <r>
    <x v="1716"/>
    <x v="0"/>
    <x v="1"/>
    <n v="57"/>
    <x v="12"/>
    <x v="358"/>
    <x v="0"/>
    <x v="6"/>
  </r>
  <r>
    <x v="1717"/>
    <x v="0"/>
    <x v="1"/>
    <n v="56"/>
    <x v="16"/>
    <x v="24"/>
    <x v="1"/>
    <x v="12"/>
  </r>
  <r>
    <x v="1718"/>
    <x v="0"/>
    <x v="1"/>
    <n v="57"/>
    <x v="10"/>
    <x v="544"/>
    <x v="6"/>
    <x v="6"/>
  </r>
  <r>
    <x v="1719"/>
    <x v="0"/>
    <x v="1"/>
    <n v="59"/>
    <x v="3"/>
    <x v="377"/>
    <x v="5"/>
    <x v="12"/>
  </r>
  <r>
    <x v="1720"/>
    <x v="0"/>
    <x v="3"/>
    <n v="44"/>
    <x v="44"/>
    <x v="545"/>
    <x v="0"/>
    <x v="16"/>
  </r>
  <r>
    <x v="1721"/>
    <x v="0"/>
    <x v="1"/>
    <n v="58"/>
    <x v="11"/>
    <x v="32"/>
    <x v="0"/>
    <x v="8"/>
  </r>
  <r>
    <x v="1722"/>
    <x v="2"/>
    <x v="1"/>
    <n v="57"/>
    <x v="0"/>
    <x v="240"/>
    <x v="0"/>
    <x v="1"/>
  </r>
  <r>
    <x v="1723"/>
    <x v="0"/>
    <x v="0"/>
    <n v="62"/>
    <x v="1"/>
    <x v="546"/>
    <x v="5"/>
    <x v="1"/>
  </r>
  <r>
    <x v="1724"/>
    <x v="0"/>
    <x v="1"/>
    <n v="56"/>
    <x v="12"/>
    <x v="286"/>
    <x v="0"/>
    <x v="8"/>
  </r>
  <r>
    <x v="1725"/>
    <x v="2"/>
    <x v="1"/>
    <n v="57"/>
    <x v="12"/>
    <x v="155"/>
    <x v="0"/>
    <x v="12"/>
  </r>
  <r>
    <x v="1726"/>
    <x v="0"/>
    <x v="2"/>
    <n v="49"/>
    <x v="37"/>
    <x v="409"/>
    <x v="0"/>
    <x v="8"/>
  </r>
  <r>
    <x v="1652"/>
    <x v="1"/>
    <x v="2"/>
    <n v="53"/>
    <x v="51"/>
    <x v="40"/>
    <x v="0"/>
    <x v="15"/>
  </r>
  <r>
    <x v="1727"/>
    <x v="0"/>
    <x v="1"/>
    <n v="54"/>
    <x v="16"/>
    <x v="297"/>
    <x v="0"/>
    <x v="1"/>
  </r>
  <r>
    <x v="1728"/>
    <x v="2"/>
    <x v="1"/>
    <n v="57"/>
    <x v="3"/>
    <x v="456"/>
    <x v="0"/>
    <x v="8"/>
  </r>
  <r>
    <x v="1729"/>
    <x v="0"/>
    <x v="1"/>
    <n v="59"/>
    <x v="16"/>
    <x v="409"/>
    <x v="0"/>
    <x v="1"/>
  </r>
  <r>
    <x v="1730"/>
    <x v="0"/>
    <x v="2"/>
    <n v="54"/>
    <x v="36"/>
    <x v="475"/>
    <x v="0"/>
    <x v="7"/>
  </r>
  <r>
    <x v="1731"/>
    <x v="0"/>
    <x v="0"/>
    <n v="64"/>
    <x v="0"/>
    <x v="402"/>
    <x v="0"/>
    <x v="20"/>
  </r>
  <r>
    <x v="890"/>
    <x v="0"/>
    <x v="2"/>
    <n v="52"/>
    <x v="32"/>
    <x v="240"/>
    <x v="0"/>
    <x v="1"/>
  </r>
  <r>
    <x v="1732"/>
    <x v="0"/>
    <x v="1"/>
    <n v="57"/>
    <x v="11"/>
    <x v="402"/>
    <x v="0"/>
    <x v="1"/>
  </r>
  <r>
    <x v="1733"/>
    <x v="2"/>
    <x v="1"/>
    <n v="57"/>
    <x v="11"/>
    <x v="402"/>
    <x v="0"/>
    <x v="1"/>
  </r>
  <r>
    <x v="1734"/>
    <x v="0"/>
    <x v="1"/>
    <n v="57"/>
    <x v="3"/>
    <x v="309"/>
    <x v="0"/>
    <x v="1"/>
  </r>
  <r>
    <x v="1735"/>
    <x v="0"/>
    <x v="1"/>
    <n v="58"/>
    <x v="5"/>
    <x v="547"/>
    <x v="1"/>
    <x v="1"/>
  </r>
  <r>
    <x v="1736"/>
    <x v="0"/>
    <x v="0"/>
    <n v="65"/>
    <x v="20"/>
    <x v="435"/>
    <x v="1"/>
    <x v="1"/>
  </r>
  <r>
    <x v="1737"/>
    <x v="2"/>
    <x v="1"/>
    <n v="55"/>
    <x v="15"/>
    <x v="547"/>
    <x v="1"/>
    <x v="8"/>
  </r>
  <r>
    <x v="1738"/>
    <x v="2"/>
    <x v="1"/>
    <n v="59"/>
    <x v="3"/>
    <x v="40"/>
    <x v="0"/>
    <x v="1"/>
  </r>
  <r>
    <x v="598"/>
    <x v="2"/>
    <x v="2"/>
    <n v="52"/>
    <x v="48"/>
    <x v="548"/>
    <x v="0"/>
    <x v="0"/>
  </r>
  <r>
    <x v="645"/>
    <x v="0"/>
    <x v="1"/>
    <n v="60"/>
    <x v="10"/>
    <x v="549"/>
    <x v="0"/>
    <x v="0"/>
  </r>
  <r>
    <x v="1739"/>
    <x v="0"/>
    <x v="1"/>
    <n v="58"/>
    <x v="11"/>
    <x v="309"/>
    <x v="0"/>
    <x v="0"/>
  </r>
  <r>
    <x v="1740"/>
    <x v="0"/>
    <x v="2"/>
    <n v="50"/>
    <x v="22"/>
    <x v="373"/>
    <x v="0"/>
    <x v="17"/>
  </r>
  <r>
    <x v="1741"/>
    <x v="0"/>
    <x v="1"/>
    <n v="60"/>
    <x v="8"/>
    <x v="360"/>
    <x v="0"/>
    <x v="1"/>
  </r>
  <r>
    <x v="1742"/>
    <x v="0"/>
    <x v="0"/>
    <n v="63"/>
    <x v="9"/>
    <x v="550"/>
    <x v="0"/>
    <x v="1"/>
  </r>
  <r>
    <x v="1743"/>
    <x v="0"/>
    <x v="1"/>
    <n v="53"/>
    <x v="37"/>
    <x v="409"/>
    <x v="0"/>
    <x v="10"/>
  </r>
  <r>
    <x v="1744"/>
    <x v="1"/>
    <x v="0"/>
    <n v="63"/>
    <x v="8"/>
    <x v="469"/>
    <x v="0"/>
    <x v="1"/>
  </r>
  <r>
    <x v="1745"/>
    <x v="2"/>
    <x v="0"/>
    <n v="66"/>
    <x v="2"/>
    <x v="117"/>
    <x v="0"/>
    <x v="1"/>
  </r>
  <r>
    <x v="1746"/>
    <x v="1"/>
    <x v="2"/>
    <n v="54"/>
    <x v="30"/>
    <x v="234"/>
    <x v="0"/>
    <x v="8"/>
  </r>
  <r>
    <x v="1747"/>
    <x v="2"/>
    <x v="0"/>
    <n v="64"/>
    <x v="6"/>
    <x v="409"/>
    <x v="0"/>
    <x v="8"/>
  </r>
  <r>
    <x v="1748"/>
    <x v="0"/>
    <x v="1"/>
    <n v="55"/>
    <x v="51"/>
    <x v="89"/>
    <x v="0"/>
    <x v="16"/>
  </r>
  <r>
    <x v="1746"/>
    <x v="2"/>
    <x v="2"/>
    <n v="51"/>
    <x v="53"/>
    <x v="76"/>
    <x v="0"/>
    <x v="8"/>
  </r>
  <r>
    <x v="1749"/>
    <x v="0"/>
    <x v="1"/>
    <n v="56"/>
    <x v="37"/>
    <x v="240"/>
    <x v="0"/>
    <x v="1"/>
  </r>
  <r>
    <x v="1750"/>
    <x v="2"/>
    <x v="0"/>
    <n v="66"/>
    <x v="9"/>
    <x v="551"/>
    <x v="5"/>
    <x v="1"/>
  </r>
  <r>
    <x v="1751"/>
    <x v="0"/>
    <x v="0"/>
    <n v="64"/>
    <x v="5"/>
    <x v="145"/>
    <x v="1"/>
    <x v="1"/>
  </r>
  <r>
    <x v="1752"/>
    <x v="1"/>
    <x v="2"/>
    <n v="50"/>
    <x v="29"/>
    <x v="81"/>
    <x v="1"/>
    <x v="1"/>
  </r>
  <r>
    <x v="1753"/>
    <x v="1"/>
    <x v="1"/>
    <n v="57"/>
    <x v="4"/>
    <x v="239"/>
    <x v="0"/>
    <x v="12"/>
  </r>
  <r>
    <x v="1754"/>
    <x v="2"/>
    <x v="2"/>
    <n v="52"/>
    <x v="28"/>
    <x v="409"/>
    <x v="0"/>
    <x v="8"/>
  </r>
  <r>
    <x v="1755"/>
    <x v="1"/>
    <x v="0"/>
    <n v="66"/>
    <x v="2"/>
    <x v="536"/>
    <x v="0"/>
    <x v="12"/>
  </r>
  <r>
    <x v="1756"/>
    <x v="0"/>
    <x v="1"/>
    <n v="59"/>
    <x v="12"/>
    <x v="373"/>
    <x v="0"/>
    <x v="1"/>
  </r>
  <r>
    <x v="1213"/>
    <x v="2"/>
    <x v="1"/>
    <n v="56"/>
    <x v="4"/>
    <x v="522"/>
    <x v="0"/>
    <x v="17"/>
  </r>
  <r>
    <x v="1757"/>
    <x v="0"/>
    <x v="1"/>
    <n v="60"/>
    <x v="35"/>
    <x v="319"/>
    <x v="0"/>
    <x v="12"/>
  </r>
  <r>
    <x v="448"/>
    <x v="0"/>
    <x v="1"/>
    <n v="56"/>
    <x v="15"/>
    <x v="240"/>
    <x v="0"/>
    <x v="8"/>
  </r>
  <r>
    <x v="1758"/>
    <x v="0"/>
    <x v="2"/>
    <n v="50"/>
    <x v="28"/>
    <x v="81"/>
    <x v="1"/>
    <x v="1"/>
  </r>
  <r>
    <x v="1759"/>
    <x v="0"/>
    <x v="1"/>
    <n v="59"/>
    <x v="11"/>
    <x v="464"/>
    <x v="0"/>
    <x v="1"/>
  </r>
  <r>
    <x v="1760"/>
    <x v="0"/>
    <x v="2"/>
    <n v="49"/>
    <x v="53"/>
    <x v="501"/>
    <x v="0"/>
    <x v="17"/>
  </r>
  <r>
    <x v="1761"/>
    <x v="0"/>
    <x v="1"/>
    <n v="56"/>
    <x v="51"/>
    <x v="76"/>
    <x v="0"/>
    <x v="8"/>
  </r>
  <r>
    <x v="1762"/>
    <x v="2"/>
    <x v="2"/>
    <n v="49"/>
    <x v="36"/>
    <x v="552"/>
    <x v="0"/>
    <x v="1"/>
  </r>
  <r>
    <x v="1763"/>
    <x v="0"/>
    <x v="1"/>
    <n v="53"/>
    <x v="10"/>
    <x v="553"/>
    <x v="0"/>
    <x v="1"/>
  </r>
  <r>
    <x v="1764"/>
    <x v="0"/>
    <x v="1"/>
    <n v="58"/>
    <x v="35"/>
    <x v="554"/>
    <x v="0"/>
    <x v="1"/>
  </r>
  <r>
    <x v="1765"/>
    <x v="0"/>
    <x v="1"/>
    <n v="57"/>
    <x v="37"/>
    <x v="40"/>
    <x v="0"/>
    <x v="8"/>
  </r>
  <r>
    <x v="1766"/>
    <x v="0"/>
    <x v="1"/>
    <n v="58"/>
    <x v="35"/>
    <x v="521"/>
    <x v="0"/>
    <x v="12"/>
  </r>
  <r>
    <x v="1767"/>
    <x v="0"/>
    <x v="1"/>
    <n v="53"/>
    <x v="15"/>
    <x v="465"/>
    <x v="5"/>
    <x v="12"/>
  </r>
  <r>
    <x v="1768"/>
    <x v="0"/>
    <x v="1"/>
    <n v="55"/>
    <x v="35"/>
    <x v="532"/>
    <x v="0"/>
    <x v="9"/>
  </r>
  <r>
    <x v="1769"/>
    <x v="0"/>
    <x v="2"/>
    <n v="53"/>
    <x v="51"/>
    <x v="402"/>
    <x v="0"/>
    <x v="15"/>
  </r>
  <r>
    <x v="1770"/>
    <x v="2"/>
    <x v="2"/>
    <n v="52"/>
    <x v="51"/>
    <x v="552"/>
    <x v="0"/>
    <x v="12"/>
  </r>
  <r>
    <x v="1771"/>
    <x v="0"/>
    <x v="0"/>
    <n v="63"/>
    <x v="0"/>
    <x v="555"/>
    <x v="0"/>
    <x v="16"/>
  </r>
  <r>
    <x v="1772"/>
    <x v="0"/>
    <x v="1"/>
    <n v="55"/>
    <x v="51"/>
    <x v="240"/>
    <x v="0"/>
    <x v="13"/>
  </r>
  <r>
    <x v="1773"/>
    <x v="0"/>
    <x v="2"/>
    <n v="55"/>
    <x v="36"/>
    <x v="556"/>
    <x v="1"/>
    <x v="12"/>
  </r>
  <r>
    <x v="1774"/>
    <x v="0"/>
    <x v="0"/>
    <n v="65"/>
    <x v="6"/>
    <x v="557"/>
    <x v="1"/>
    <x v="17"/>
  </r>
  <r>
    <x v="1775"/>
    <x v="0"/>
    <x v="1"/>
    <n v="58"/>
    <x v="37"/>
    <x v="465"/>
    <x v="5"/>
    <x v="12"/>
  </r>
  <r>
    <x v="1776"/>
    <x v="0"/>
    <x v="2"/>
    <n v="52"/>
    <x v="36"/>
    <x v="360"/>
    <x v="0"/>
    <x v="1"/>
  </r>
  <r>
    <x v="1777"/>
    <x v="2"/>
    <x v="2"/>
    <n v="52"/>
    <x v="36"/>
    <x v="409"/>
    <x v="0"/>
    <x v="8"/>
  </r>
  <r>
    <x v="1506"/>
    <x v="0"/>
    <x v="0"/>
    <n v="59"/>
    <x v="6"/>
    <x v="117"/>
    <x v="0"/>
    <x v="1"/>
  </r>
  <r>
    <x v="1778"/>
    <x v="0"/>
    <x v="1"/>
    <n v="56"/>
    <x v="0"/>
    <x v="558"/>
    <x v="0"/>
    <x v="12"/>
  </r>
  <r>
    <x v="535"/>
    <x v="2"/>
    <x v="2"/>
    <n v="50"/>
    <x v="29"/>
    <x v="16"/>
    <x v="0"/>
    <x v="11"/>
  </r>
  <r>
    <x v="1779"/>
    <x v="0"/>
    <x v="2"/>
    <n v="51"/>
    <x v="59"/>
    <x v="504"/>
    <x v="0"/>
    <x v="8"/>
  </r>
  <r>
    <x v="1780"/>
    <x v="0"/>
    <x v="2"/>
    <n v="52"/>
    <x v="22"/>
    <x v="170"/>
    <x v="0"/>
    <x v="9"/>
  </r>
  <r>
    <x v="1781"/>
    <x v="0"/>
    <x v="1"/>
    <n v="57"/>
    <x v="35"/>
    <x v="252"/>
    <x v="0"/>
    <x v="9"/>
  </r>
  <r>
    <x v="1782"/>
    <x v="0"/>
    <x v="1"/>
    <n v="58"/>
    <x v="12"/>
    <x v="504"/>
    <x v="0"/>
    <x v="1"/>
  </r>
  <r>
    <x v="1783"/>
    <x v="1"/>
    <x v="1"/>
    <n v="60"/>
    <x v="8"/>
    <x v="559"/>
    <x v="0"/>
    <x v="0"/>
  </r>
  <r>
    <x v="1784"/>
    <x v="0"/>
    <x v="1"/>
    <n v="55"/>
    <x v="51"/>
    <x v="117"/>
    <x v="0"/>
    <x v="8"/>
  </r>
  <r>
    <x v="1785"/>
    <x v="0"/>
    <x v="0"/>
    <n v="64"/>
    <x v="8"/>
    <x v="407"/>
    <x v="7"/>
    <x v="1"/>
  </r>
  <r>
    <x v="1786"/>
    <x v="0"/>
    <x v="2"/>
    <n v="49"/>
    <x v="28"/>
    <x v="537"/>
    <x v="1"/>
    <x v="8"/>
  </r>
  <r>
    <x v="1787"/>
    <x v="2"/>
    <x v="2"/>
    <n v="53"/>
    <x v="29"/>
    <x v="76"/>
    <x v="0"/>
    <x v="8"/>
  </r>
  <r>
    <x v="1788"/>
    <x v="0"/>
    <x v="1"/>
    <n v="57"/>
    <x v="15"/>
    <x v="117"/>
    <x v="0"/>
    <x v="1"/>
  </r>
  <r>
    <x v="1789"/>
    <x v="0"/>
    <x v="2"/>
    <n v="51"/>
    <x v="28"/>
    <x v="560"/>
    <x v="0"/>
    <x v="1"/>
  </r>
  <r>
    <x v="1790"/>
    <x v="0"/>
    <x v="1"/>
    <n v="54"/>
    <x v="3"/>
    <x v="402"/>
    <x v="0"/>
    <x v="15"/>
  </r>
  <r>
    <x v="1368"/>
    <x v="0"/>
    <x v="1"/>
    <n v="54"/>
    <x v="11"/>
    <x v="464"/>
    <x v="0"/>
    <x v="15"/>
  </r>
  <r>
    <x v="1791"/>
    <x v="0"/>
    <x v="1"/>
    <n v="56"/>
    <x v="16"/>
    <x v="240"/>
    <x v="0"/>
    <x v="17"/>
  </r>
  <r>
    <x v="1792"/>
    <x v="0"/>
    <x v="1"/>
    <n v="58"/>
    <x v="35"/>
    <x v="402"/>
    <x v="0"/>
    <x v="1"/>
  </r>
  <r>
    <x v="1793"/>
    <x v="0"/>
    <x v="1"/>
    <n v="51"/>
    <x v="35"/>
    <x v="561"/>
    <x v="0"/>
    <x v="9"/>
  </r>
  <r>
    <x v="1493"/>
    <x v="2"/>
    <x v="2"/>
    <n v="52"/>
    <x v="51"/>
    <x v="117"/>
    <x v="0"/>
    <x v="15"/>
  </r>
  <r>
    <x v="1794"/>
    <x v="0"/>
    <x v="2"/>
    <n v="49"/>
    <x v="29"/>
    <x v="195"/>
    <x v="1"/>
    <x v="1"/>
  </r>
  <r>
    <x v="1795"/>
    <x v="0"/>
    <x v="1"/>
    <n v="59"/>
    <x v="15"/>
    <x v="128"/>
    <x v="1"/>
    <x v="1"/>
  </r>
  <r>
    <x v="1796"/>
    <x v="0"/>
    <x v="3"/>
    <n v="46"/>
    <x v="46"/>
    <x v="195"/>
    <x v="1"/>
    <x v="8"/>
  </r>
  <r>
    <x v="1797"/>
    <x v="0"/>
    <x v="0"/>
    <n v="61"/>
    <x v="18"/>
    <x v="562"/>
    <x v="6"/>
    <x v="12"/>
  </r>
  <r>
    <x v="1798"/>
    <x v="0"/>
    <x v="1"/>
    <n v="59"/>
    <x v="16"/>
    <x v="360"/>
    <x v="0"/>
    <x v="15"/>
  </r>
  <r>
    <x v="1799"/>
    <x v="0"/>
    <x v="1"/>
    <n v="56"/>
    <x v="14"/>
    <x v="563"/>
    <x v="6"/>
    <x v="12"/>
  </r>
  <r>
    <x v="1800"/>
    <x v="2"/>
    <x v="1"/>
    <n v="56"/>
    <x v="8"/>
    <x v="160"/>
    <x v="1"/>
    <x v="1"/>
  </r>
  <r>
    <x v="1801"/>
    <x v="1"/>
    <x v="0"/>
    <n v="64"/>
    <x v="14"/>
    <x v="504"/>
    <x v="0"/>
    <x v="1"/>
  </r>
  <r>
    <x v="1802"/>
    <x v="0"/>
    <x v="2"/>
    <n v="53"/>
    <x v="36"/>
    <x v="564"/>
    <x v="0"/>
    <x v="17"/>
  </r>
  <r>
    <x v="1803"/>
    <x v="1"/>
    <x v="1"/>
    <n v="52"/>
    <x v="11"/>
    <x v="40"/>
    <x v="0"/>
    <x v="1"/>
  </r>
  <r>
    <x v="1804"/>
    <x v="0"/>
    <x v="1"/>
    <n v="55"/>
    <x v="10"/>
    <x v="234"/>
    <x v="0"/>
    <x v="16"/>
  </r>
  <r>
    <x v="1805"/>
    <x v="2"/>
    <x v="1"/>
    <n v="56"/>
    <x v="11"/>
    <x v="300"/>
    <x v="0"/>
    <x v="10"/>
  </r>
  <r>
    <x v="1806"/>
    <x v="2"/>
    <x v="2"/>
    <n v="45"/>
    <x v="30"/>
    <x v="264"/>
    <x v="0"/>
    <x v="8"/>
  </r>
  <r>
    <x v="1807"/>
    <x v="0"/>
    <x v="1"/>
    <n v="56"/>
    <x v="4"/>
    <x v="117"/>
    <x v="0"/>
    <x v="1"/>
  </r>
  <r>
    <x v="1808"/>
    <x v="0"/>
    <x v="1"/>
    <n v="57"/>
    <x v="15"/>
    <x v="18"/>
    <x v="0"/>
    <x v="1"/>
  </r>
  <r>
    <x v="1809"/>
    <x v="2"/>
    <x v="2"/>
    <n v="49"/>
    <x v="23"/>
    <x v="76"/>
    <x v="0"/>
    <x v="8"/>
  </r>
  <r>
    <x v="1810"/>
    <x v="0"/>
    <x v="3"/>
    <n v="46"/>
    <x v="59"/>
    <x v="464"/>
    <x v="0"/>
    <x v="19"/>
  </r>
  <r>
    <x v="1811"/>
    <x v="1"/>
    <x v="0"/>
    <n v="66"/>
    <x v="7"/>
    <x v="565"/>
    <x v="0"/>
    <x v="12"/>
  </r>
  <r>
    <x v="1812"/>
    <x v="0"/>
    <x v="1"/>
    <n v="59"/>
    <x v="23"/>
    <x v="566"/>
    <x v="0"/>
    <x v="15"/>
  </r>
  <r>
    <x v="1587"/>
    <x v="0"/>
    <x v="1"/>
    <n v="56"/>
    <x v="11"/>
    <x v="117"/>
    <x v="0"/>
    <x v="1"/>
  </r>
  <r>
    <x v="1813"/>
    <x v="0"/>
    <x v="2"/>
    <n v="53"/>
    <x v="48"/>
    <x v="40"/>
    <x v="0"/>
    <x v="8"/>
  </r>
  <r>
    <x v="1814"/>
    <x v="0"/>
    <x v="1"/>
    <n v="58"/>
    <x v="16"/>
    <x v="81"/>
    <x v="1"/>
    <x v="17"/>
  </r>
  <r>
    <x v="1727"/>
    <x v="0"/>
    <x v="0"/>
    <n v="61"/>
    <x v="8"/>
    <x v="4"/>
    <x v="1"/>
    <x v="1"/>
  </r>
  <r>
    <x v="1815"/>
    <x v="0"/>
    <x v="1"/>
    <n v="55"/>
    <x v="35"/>
    <x v="288"/>
    <x v="6"/>
    <x v="17"/>
  </r>
  <r>
    <x v="1816"/>
    <x v="2"/>
    <x v="1"/>
    <n v="58"/>
    <x v="10"/>
    <x v="29"/>
    <x v="0"/>
    <x v="13"/>
  </r>
  <r>
    <x v="1817"/>
    <x v="0"/>
    <x v="1"/>
    <n v="54"/>
    <x v="11"/>
    <x v="485"/>
    <x v="0"/>
    <x v="1"/>
  </r>
  <r>
    <x v="1818"/>
    <x v="2"/>
    <x v="1"/>
    <n v="52"/>
    <x v="33"/>
    <x v="117"/>
    <x v="0"/>
    <x v="1"/>
  </r>
  <r>
    <x v="1819"/>
    <x v="0"/>
    <x v="1"/>
    <n v="53"/>
    <x v="23"/>
    <x v="463"/>
    <x v="0"/>
    <x v="1"/>
  </r>
  <r>
    <x v="1820"/>
    <x v="0"/>
    <x v="1"/>
    <n v="54"/>
    <x v="37"/>
    <x v="567"/>
    <x v="0"/>
    <x v="12"/>
  </r>
  <r>
    <x v="1689"/>
    <x v="3"/>
    <x v="2"/>
    <n v="52"/>
    <x v="30"/>
    <x v="568"/>
    <x v="0"/>
    <x v="12"/>
  </r>
  <r>
    <x v="1821"/>
    <x v="1"/>
    <x v="0"/>
    <n v="62"/>
    <x v="7"/>
    <x v="569"/>
    <x v="0"/>
    <x v="12"/>
  </r>
  <r>
    <x v="1822"/>
    <x v="2"/>
    <x v="2"/>
    <n v="52"/>
    <x v="32"/>
    <x v="402"/>
    <x v="0"/>
    <x v="8"/>
  </r>
  <r>
    <x v="1823"/>
    <x v="2"/>
    <x v="1"/>
    <n v="57"/>
    <x v="12"/>
    <x v="570"/>
    <x v="0"/>
    <x v="12"/>
  </r>
  <r>
    <x v="1824"/>
    <x v="2"/>
    <x v="0"/>
    <n v="58"/>
    <x v="6"/>
    <x v="117"/>
    <x v="1"/>
    <x v="1"/>
  </r>
  <r>
    <x v="1825"/>
    <x v="0"/>
    <x v="1"/>
    <n v="58"/>
    <x v="0"/>
    <x v="454"/>
    <x v="0"/>
    <x v="10"/>
  </r>
  <r>
    <x v="1826"/>
    <x v="0"/>
    <x v="0"/>
    <n v="63"/>
    <x v="10"/>
    <x v="538"/>
    <x v="0"/>
    <x v="1"/>
  </r>
  <r>
    <x v="1827"/>
    <x v="0"/>
    <x v="1"/>
    <n v="59"/>
    <x v="4"/>
    <x v="199"/>
    <x v="0"/>
    <x v="11"/>
  </r>
  <r>
    <x v="672"/>
    <x v="0"/>
    <x v="2"/>
    <n v="46"/>
    <x v="51"/>
    <x v="106"/>
    <x v="0"/>
    <x v="0"/>
  </r>
  <r>
    <x v="1828"/>
    <x v="1"/>
    <x v="1"/>
    <n v="58"/>
    <x v="8"/>
    <x v="116"/>
    <x v="0"/>
    <x v="0"/>
  </r>
  <r>
    <x v="1829"/>
    <x v="0"/>
    <x v="2"/>
    <n v="53"/>
    <x v="13"/>
    <x v="571"/>
    <x v="1"/>
    <x v="1"/>
  </r>
  <r>
    <x v="1830"/>
    <x v="0"/>
    <x v="2"/>
    <n v="47"/>
    <x v="53"/>
    <x v="518"/>
    <x v="1"/>
    <x v="17"/>
  </r>
  <r>
    <x v="1831"/>
    <x v="2"/>
    <x v="1"/>
    <n v="56"/>
    <x v="37"/>
    <x v="572"/>
    <x v="0"/>
    <x v="12"/>
  </r>
  <r>
    <x v="1832"/>
    <x v="0"/>
    <x v="2"/>
    <n v="53"/>
    <x v="30"/>
    <x v="33"/>
    <x v="0"/>
    <x v="8"/>
  </r>
  <r>
    <x v="1833"/>
    <x v="1"/>
    <x v="1"/>
    <n v="61"/>
    <x v="16"/>
    <x v="39"/>
    <x v="0"/>
    <x v="8"/>
  </r>
  <r>
    <x v="1834"/>
    <x v="0"/>
    <x v="2"/>
    <n v="49"/>
    <x v="28"/>
    <x v="179"/>
    <x v="0"/>
    <x v="8"/>
  </r>
  <r>
    <x v="1835"/>
    <x v="2"/>
    <x v="1"/>
    <n v="56"/>
    <x v="16"/>
    <x v="547"/>
    <x v="1"/>
    <x v="8"/>
  </r>
  <r>
    <x v="1836"/>
    <x v="2"/>
    <x v="1"/>
    <n v="60"/>
    <x v="4"/>
    <x v="228"/>
    <x v="0"/>
    <x v="12"/>
  </r>
  <r>
    <x v="1837"/>
    <x v="0"/>
    <x v="1"/>
    <n v="58"/>
    <x v="12"/>
    <x v="38"/>
    <x v="0"/>
    <x v="1"/>
  </r>
  <r>
    <x v="1838"/>
    <x v="0"/>
    <x v="1"/>
    <n v="56"/>
    <x v="35"/>
    <x v="117"/>
    <x v="0"/>
    <x v="17"/>
  </r>
  <r>
    <x v="1839"/>
    <x v="3"/>
    <x v="2"/>
    <n v="52"/>
    <x v="36"/>
    <x v="106"/>
    <x v="0"/>
    <x v="12"/>
  </r>
  <r>
    <x v="1821"/>
    <x v="0"/>
    <x v="1"/>
    <n v="61"/>
    <x v="3"/>
    <x v="569"/>
    <x v="0"/>
    <x v="12"/>
  </r>
  <r>
    <x v="1840"/>
    <x v="0"/>
    <x v="2"/>
    <n v="53"/>
    <x v="36"/>
    <x v="234"/>
    <x v="0"/>
    <x v="1"/>
  </r>
  <r>
    <x v="1841"/>
    <x v="1"/>
    <x v="1"/>
    <n v="52"/>
    <x v="11"/>
    <x v="396"/>
    <x v="0"/>
    <x v="12"/>
  </r>
  <r>
    <x v="1821"/>
    <x v="0"/>
    <x v="1"/>
    <n v="55"/>
    <x v="4"/>
    <x v="521"/>
    <x v="0"/>
    <x v="12"/>
  </r>
  <r>
    <x v="1842"/>
    <x v="0"/>
    <x v="0"/>
    <n v="66"/>
    <x v="2"/>
    <x v="117"/>
    <x v="0"/>
    <x v="1"/>
  </r>
  <r>
    <x v="1404"/>
    <x v="0"/>
    <x v="1"/>
    <n v="57"/>
    <x v="0"/>
    <x v="117"/>
    <x v="0"/>
    <x v="15"/>
  </r>
  <r>
    <x v="1843"/>
    <x v="2"/>
    <x v="3"/>
    <n v="42"/>
    <x v="59"/>
    <x v="17"/>
    <x v="0"/>
    <x v="9"/>
  </r>
  <r>
    <x v="1844"/>
    <x v="0"/>
    <x v="2"/>
    <n v="53"/>
    <x v="48"/>
    <x v="6"/>
    <x v="1"/>
    <x v="9"/>
  </r>
  <r>
    <x v="1845"/>
    <x v="0"/>
    <x v="2"/>
    <n v="51"/>
    <x v="32"/>
    <x v="309"/>
    <x v="0"/>
    <x v="12"/>
  </r>
  <r>
    <x v="1833"/>
    <x v="2"/>
    <x v="1"/>
    <n v="58"/>
    <x v="16"/>
    <x v="79"/>
    <x v="0"/>
    <x v="8"/>
  </r>
  <r>
    <x v="1846"/>
    <x v="0"/>
    <x v="1"/>
    <n v="58"/>
    <x v="11"/>
    <x v="573"/>
    <x v="0"/>
    <x v="0"/>
  </r>
  <r>
    <x v="1847"/>
    <x v="0"/>
    <x v="1"/>
    <n v="60"/>
    <x v="15"/>
    <x v="574"/>
    <x v="0"/>
    <x v="0"/>
  </r>
  <r>
    <x v="1848"/>
    <x v="3"/>
    <x v="1"/>
    <n v="61"/>
    <x v="35"/>
    <x v="402"/>
    <x v="0"/>
    <x v="11"/>
  </r>
  <r>
    <x v="1849"/>
    <x v="0"/>
    <x v="3"/>
    <n v="45"/>
    <x v="39"/>
    <x v="61"/>
    <x v="0"/>
    <x v="8"/>
  </r>
  <r>
    <x v="1850"/>
    <x v="0"/>
    <x v="2"/>
    <n v="54"/>
    <x v="48"/>
    <x v="415"/>
    <x v="0"/>
    <x v="0"/>
  </r>
  <r>
    <x v="1851"/>
    <x v="0"/>
    <x v="2"/>
    <n v="48"/>
    <x v="53"/>
    <x v="456"/>
    <x v="0"/>
    <x v="0"/>
  </r>
  <r>
    <x v="1852"/>
    <x v="1"/>
    <x v="2"/>
    <n v="47"/>
    <x v="53"/>
    <x v="452"/>
    <x v="1"/>
    <x v="8"/>
  </r>
  <r>
    <x v="1853"/>
    <x v="0"/>
    <x v="1"/>
    <n v="56"/>
    <x v="5"/>
    <x v="575"/>
    <x v="0"/>
    <x v="16"/>
  </r>
  <r>
    <x v="1854"/>
    <x v="0"/>
    <x v="1"/>
    <n v="54"/>
    <x v="15"/>
    <x v="29"/>
    <x v="0"/>
    <x v="8"/>
  </r>
  <r>
    <x v="1855"/>
    <x v="0"/>
    <x v="0"/>
    <n v="59"/>
    <x v="19"/>
    <x v="576"/>
    <x v="0"/>
    <x v="1"/>
  </r>
  <r>
    <x v="1856"/>
    <x v="0"/>
    <x v="2"/>
    <n v="55"/>
    <x v="13"/>
    <x v="153"/>
    <x v="0"/>
    <x v="9"/>
  </r>
  <r>
    <x v="618"/>
    <x v="2"/>
    <x v="2"/>
    <n v="54"/>
    <x v="13"/>
    <x v="577"/>
    <x v="0"/>
    <x v="11"/>
  </r>
  <r>
    <x v="1857"/>
    <x v="0"/>
    <x v="1"/>
    <n v="53"/>
    <x v="33"/>
    <x v="504"/>
    <x v="0"/>
    <x v="11"/>
  </r>
  <r>
    <x v="1858"/>
    <x v="0"/>
    <x v="1"/>
    <n v="55"/>
    <x v="12"/>
    <x v="76"/>
    <x v="0"/>
    <x v="17"/>
  </r>
  <r>
    <x v="1173"/>
    <x v="2"/>
    <x v="2"/>
    <n v="47"/>
    <x v="28"/>
    <x v="578"/>
    <x v="0"/>
    <x v="17"/>
  </r>
  <r>
    <x v="1859"/>
    <x v="1"/>
    <x v="2"/>
    <n v="52"/>
    <x v="48"/>
    <x v="38"/>
    <x v="1"/>
    <x v="11"/>
  </r>
  <r>
    <x v="1860"/>
    <x v="2"/>
    <x v="2"/>
    <n v="49"/>
    <x v="37"/>
    <x v="383"/>
    <x v="1"/>
    <x v="12"/>
  </r>
  <r>
    <x v="1861"/>
    <x v="1"/>
    <x v="2"/>
    <n v="54"/>
    <x v="30"/>
    <x v="579"/>
    <x v="0"/>
    <x v="17"/>
  </r>
  <r>
    <x v="1862"/>
    <x v="3"/>
    <x v="2"/>
    <n v="45"/>
    <x v="22"/>
    <x v="402"/>
    <x v="0"/>
    <x v="8"/>
  </r>
  <r>
    <x v="1863"/>
    <x v="2"/>
    <x v="2"/>
    <n v="50"/>
    <x v="57"/>
    <x v="117"/>
    <x v="0"/>
    <x v="0"/>
  </r>
  <r>
    <x v="1864"/>
    <x v="0"/>
    <x v="2"/>
    <n v="48"/>
    <x v="33"/>
    <x v="580"/>
    <x v="0"/>
    <x v="1"/>
  </r>
  <r>
    <x v="1865"/>
    <x v="0"/>
    <x v="1"/>
    <n v="53"/>
    <x v="11"/>
    <x v="300"/>
    <x v="0"/>
    <x v="16"/>
  </r>
  <r>
    <x v="1866"/>
    <x v="2"/>
    <x v="1"/>
    <n v="54"/>
    <x v="5"/>
    <x v="300"/>
    <x v="0"/>
    <x v="12"/>
  </r>
  <r>
    <x v="1867"/>
    <x v="0"/>
    <x v="1"/>
    <n v="52"/>
    <x v="16"/>
    <x v="300"/>
    <x v="0"/>
    <x v="12"/>
  </r>
  <r>
    <x v="1868"/>
    <x v="0"/>
    <x v="1"/>
    <n v="57"/>
    <x v="8"/>
    <x v="534"/>
    <x v="0"/>
    <x v="1"/>
  </r>
  <r>
    <x v="1869"/>
    <x v="2"/>
    <x v="2"/>
    <n v="52"/>
    <x v="30"/>
    <x v="29"/>
    <x v="0"/>
    <x v="8"/>
  </r>
  <r>
    <x v="1870"/>
    <x v="2"/>
    <x v="2"/>
    <n v="50"/>
    <x v="51"/>
    <x v="199"/>
    <x v="0"/>
    <x v="8"/>
  </r>
  <r>
    <x v="1871"/>
    <x v="0"/>
    <x v="1"/>
    <n v="51"/>
    <x v="35"/>
    <x v="406"/>
    <x v="0"/>
    <x v="8"/>
  </r>
  <r>
    <x v="1872"/>
    <x v="0"/>
    <x v="2"/>
    <n v="47"/>
    <x v="57"/>
    <x v="522"/>
    <x v="0"/>
    <x v="8"/>
  </r>
  <r>
    <x v="1873"/>
    <x v="2"/>
    <x v="1"/>
    <n v="54"/>
    <x v="8"/>
    <x v="30"/>
    <x v="0"/>
    <x v="8"/>
  </r>
  <r>
    <x v="1874"/>
    <x v="0"/>
    <x v="3"/>
    <n v="37"/>
    <x v="56"/>
    <x v="581"/>
    <x v="0"/>
    <x v="8"/>
  </r>
  <r>
    <x v="1875"/>
    <x v="0"/>
    <x v="2"/>
    <n v="49"/>
    <x v="57"/>
    <x v="373"/>
    <x v="0"/>
    <x v="15"/>
  </r>
  <r>
    <x v="1876"/>
    <x v="2"/>
    <x v="3"/>
    <n v="39"/>
    <x v="43"/>
    <x v="475"/>
    <x v="0"/>
    <x v="17"/>
  </r>
  <r>
    <x v="1877"/>
    <x v="0"/>
    <x v="2"/>
    <n v="50"/>
    <x v="32"/>
    <x v="430"/>
    <x v="0"/>
    <x v="21"/>
  </r>
  <r>
    <x v="1878"/>
    <x v="2"/>
    <x v="1"/>
    <n v="53"/>
    <x v="23"/>
    <x v="582"/>
    <x v="0"/>
    <x v="6"/>
  </r>
  <r>
    <x v="1879"/>
    <x v="0"/>
    <x v="2"/>
    <n v="53"/>
    <x v="51"/>
    <x v="35"/>
    <x v="0"/>
    <x v="12"/>
  </r>
  <r>
    <x v="1880"/>
    <x v="2"/>
    <x v="1"/>
    <n v="58"/>
    <x v="10"/>
    <x v="583"/>
    <x v="0"/>
    <x v="11"/>
  </r>
  <r>
    <x v="1881"/>
    <x v="2"/>
    <x v="1"/>
    <n v="57"/>
    <x v="11"/>
    <x v="18"/>
    <x v="0"/>
    <x v="8"/>
  </r>
  <r>
    <x v="1882"/>
    <x v="0"/>
    <x v="2"/>
    <n v="51"/>
    <x v="23"/>
    <x v="584"/>
    <x v="0"/>
    <x v="8"/>
  </r>
  <r>
    <x v="1883"/>
    <x v="2"/>
    <x v="1"/>
    <n v="57"/>
    <x v="51"/>
    <x v="75"/>
    <x v="0"/>
    <x v="0"/>
  </r>
  <r>
    <x v="1884"/>
    <x v="0"/>
    <x v="3"/>
    <n v="46"/>
    <x v="46"/>
    <x v="585"/>
    <x v="7"/>
    <x v="21"/>
  </r>
  <r>
    <x v="1885"/>
    <x v="0"/>
    <x v="2"/>
    <n v="50"/>
    <x v="53"/>
    <x v="76"/>
    <x v="0"/>
    <x v="1"/>
  </r>
  <r>
    <x v="1886"/>
    <x v="0"/>
    <x v="3"/>
    <n v="43"/>
    <x v="59"/>
    <x v="415"/>
    <x v="0"/>
    <x v="24"/>
  </r>
  <r>
    <x v="1887"/>
    <x v="0"/>
    <x v="2"/>
    <n v="52"/>
    <x v="51"/>
    <x v="286"/>
    <x v="0"/>
    <x v="8"/>
  </r>
  <r>
    <x v="1888"/>
    <x v="2"/>
    <x v="2"/>
    <n v="53"/>
    <x v="53"/>
    <x v="234"/>
    <x v="0"/>
    <x v="11"/>
  </r>
  <r>
    <x v="1889"/>
    <x v="2"/>
    <x v="1"/>
    <n v="57"/>
    <x v="29"/>
    <x v="586"/>
    <x v="0"/>
    <x v="0"/>
  </r>
  <r>
    <x v="1890"/>
    <x v="2"/>
    <x v="2"/>
    <n v="54"/>
    <x v="13"/>
    <x v="442"/>
    <x v="0"/>
    <x v="8"/>
  </r>
  <r>
    <x v="1891"/>
    <x v="0"/>
    <x v="1"/>
    <n v="55"/>
    <x v="37"/>
    <x v="106"/>
    <x v="0"/>
    <x v="9"/>
  </r>
  <r>
    <x v="1892"/>
    <x v="0"/>
    <x v="2"/>
    <n v="55"/>
    <x v="32"/>
    <x v="373"/>
    <x v="0"/>
    <x v="16"/>
  </r>
  <r>
    <x v="1893"/>
    <x v="0"/>
    <x v="1"/>
    <n v="54"/>
    <x v="4"/>
    <x v="8"/>
    <x v="1"/>
    <x v="17"/>
  </r>
  <r>
    <x v="1894"/>
    <x v="2"/>
    <x v="2"/>
    <n v="45"/>
    <x v="53"/>
    <x v="89"/>
    <x v="0"/>
    <x v="8"/>
  </r>
  <r>
    <x v="1895"/>
    <x v="2"/>
    <x v="3"/>
    <n v="43"/>
    <x v="43"/>
    <x v="581"/>
    <x v="0"/>
    <x v="8"/>
  </r>
  <r>
    <x v="1896"/>
    <x v="2"/>
    <x v="2"/>
    <n v="50"/>
    <x v="36"/>
    <x v="18"/>
    <x v="0"/>
    <x v="8"/>
  </r>
  <r>
    <x v="1897"/>
    <x v="2"/>
    <x v="2"/>
    <n v="50"/>
    <x v="36"/>
    <x v="545"/>
    <x v="0"/>
    <x v="1"/>
  </r>
  <r>
    <x v="1898"/>
    <x v="0"/>
    <x v="1"/>
    <n v="57"/>
    <x v="11"/>
    <x v="587"/>
    <x v="0"/>
    <x v="18"/>
  </r>
  <r>
    <x v="1899"/>
    <x v="0"/>
    <x v="1"/>
    <n v="53"/>
    <x v="37"/>
    <x v="588"/>
    <x v="0"/>
    <x v="9"/>
  </r>
  <r>
    <x v="1900"/>
    <x v="0"/>
    <x v="2"/>
    <n v="48"/>
    <x v="57"/>
    <x v="589"/>
    <x v="0"/>
    <x v="1"/>
  </r>
  <r>
    <x v="1901"/>
    <x v="2"/>
    <x v="2"/>
    <n v="47"/>
    <x v="28"/>
    <x v="590"/>
    <x v="0"/>
    <x v="12"/>
  </r>
  <r>
    <x v="1902"/>
    <x v="0"/>
    <x v="1"/>
    <n v="58"/>
    <x v="4"/>
    <x v="463"/>
    <x v="0"/>
    <x v="16"/>
  </r>
  <r>
    <x v="1903"/>
    <x v="0"/>
    <x v="1"/>
    <n v="54"/>
    <x v="11"/>
    <x v="62"/>
    <x v="0"/>
    <x v="18"/>
  </r>
  <r>
    <x v="1904"/>
    <x v="0"/>
    <x v="3"/>
    <n v="40"/>
    <x v="56"/>
    <x v="52"/>
    <x v="7"/>
    <x v="17"/>
  </r>
  <r>
    <x v="1905"/>
    <x v="2"/>
    <x v="2"/>
    <n v="46"/>
    <x v="30"/>
    <x v="11"/>
    <x v="0"/>
    <x v="9"/>
  </r>
  <r>
    <x v="1906"/>
    <x v="1"/>
    <x v="2"/>
    <n v="46"/>
    <x v="22"/>
    <x v="8"/>
    <x v="1"/>
    <x v="17"/>
  </r>
  <r>
    <x v="1907"/>
    <x v="3"/>
    <x v="2"/>
    <n v="48"/>
    <x v="42"/>
    <x v="117"/>
    <x v="0"/>
    <x v="11"/>
  </r>
  <r>
    <x v="1908"/>
    <x v="0"/>
    <x v="1"/>
    <n v="55"/>
    <x v="14"/>
    <x v="8"/>
    <x v="1"/>
    <x v="8"/>
  </r>
  <r>
    <x v="1909"/>
    <x v="0"/>
    <x v="1"/>
    <n v="49"/>
    <x v="11"/>
    <x v="463"/>
    <x v="0"/>
    <x v="8"/>
  </r>
  <r>
    <x v="1910"/>
    <x v="0"/>
    <x v="1"/>
    <n v="56"/>
    <x v="23"/>
    <x v="591"/>
    <x v="0"/>
    <x v="16"/>
  </r>
  <r>
    <x v="1911"/>
    <x v="0"/>
    <x v="2"/>
    <n v="52"/>
    <x v="51"/>
    <x v="590"/>
    <x v="0"/>
    <x v="12"/>
  </r>
  <r>
    <x v="1912"/>
    <x v="0"/>
    <x v="2"/>
    <n v="49"/>
    <x v="28"/>
    <x v="65"/>
    <x v="0"/>
    <x v="12"/>
  </r>
  <r>
    <x v="1913"/>
    <x v="2"/>
    <x v="2"/>
    <n v="48"/>
    <x v="55"/>
    <x v="575"/>
    <x v="7"/>
    <x v="17"/>
  </r>
  <r>
    <x v="1826"/>
    <x v="1"/>
    <x v="2"/>
    <n v="50"/>
    <x v="29"/>
    <x v="589"/>
    <x v="0"/>
    <x v="1"/>
  </r>
  <r>
    <x v="1914"/>
    <x v="0"/>
    <x v="1"/>
    <n v="58"/>
    <x v="14"/>
    <x v="591"/>
    <x v="0"/>
    <x v="15"/>
  </r>
  <r>
    <x v="1915"/>
    <x v="2"/>
    <x v="1"/>
    <n v="57"/>
    <x v="16"/>
    <x v="475"/>
    <x v="0"/>
    <x v="1"/>
  </r>
  <r>
    <x v="1916"/>
    <x v="0"/>
    <x v="2"/>
    <n v="48"/>
    <x v="55"/>
    <x v="430"/>
    <x v="7"/>
    <x v="16"/>
  </r>
  <r>
    <x v="1917"/>
    <x v="0"/>
    <x v="2"/>
    <n v="47"/>
    <x v="28"/>
    <x v="592"/>
    <x v="7"/>
    <x v="4"/>
  </r>
  <r>
    <x v="1918"/>
    <x v="2"/>
    <x v="1"/>
    <n v="63"/>
    <x v="15"/>
    <x v="234"/>
    <x v="0"/>
    <x v="0"/>
  </r>
  <r>
    <x v="1919"/>
    <x v="0"/>
    <x v="1"/>
    <n v="53"/>
    <x v="15"/>
    <x v="593"/>
    <x v="0"/>
    <x v="1"/>
  </r>
  <r>
    <x v="890"/>
    <x v="2"/>
    <x v="1"/>
    <n v="54"/>
    <x v="16"/>
    <x v="594"/>
    <x v="0"/>
    <x v="1"/>
  </r>
  <r>
    <x v="1875"/>
    <x v="0"/>
    <x v="2"/>
    <n v="46"/>
    <x v="22"/>
    <x v="595"/>
    <x v="0"/>
    <x v="15"/>
  </r>
  <r>
    <x v="1506"/>
    <x v="0"/>
    <x v="1"/>
    <n v="59"/>
    <x v="0"/>
    <x v="264"/>
    <x v="0"/>
    <x v="1"/>
  </r>
  <r>
    <x v="1920"/>
    <x v="0"/>
    <x v="2"/>
    <n v="49"/>
    <x v="37"/>
    <x v="596"/>
    <x v="0"/>
    <x v="15"/>
  </r>
  <r>
    <x v="1921"/>
    <x v="0"/>
    <x v="3"/>
    <n v="39"/>
    <x v="46"/>
    <x v="597"/>
    <x v="0"/>
    <x v="15"/>
  </r>
  <r>
    <x v="1922"/>
    <x v="0"/>
    <x v="0"/>
    <n v="62"/>
    <x v="19"/>
    <x v="598"/>
    <x v="0"/>
    <x v="17"/>
  </r>
  <r>
    <x v="1923"/>
    <x v="3"/>
    <x v="1"/>
    <n v="49"/>
    <x v="4"/>
    <x v="599"/>
    <x v="1"/>
    <x v="1"/>
  </r>
  <r>
    <x v="1924"/>
    <x v="1"/>
    <x v="2"/>
    <n v="49"/>
    <x v="13"/>
    <x v="600"/>
    <x v="1"/>
    <x v="8"/>
  </r>
  <r>
    <x v="1925"/>
    <x v="2"/>
    <x v="1"/>
    <n v="55"/>
    <x v="3"/>
    <x v="601"/>
    <x v="0"/>
    <x v="6"/>
  </r>
  <r>
    <x v="1926"/>
    <x v="0"/>
    <x v="2"/>
    <n v="51"/>
    <x v="33"/>
    <x v="602"/>
    <x v="0"/>
    <x v="1"/>
  </r>
  <r>
    <x v="398"/>
    <x v="0"/>
    <x v="1"/>
    <n v="52"/>
    <x v="0"/>
    <x v="603"/>
    <x v="0"/>
    <x v="8"/>
  </r>
  <r>
    <x v="1927"/>
    <x v="2"/>
    <x v="1"/>
    <n v="55"/>
    <x v="0"/>
    <x v="604"/>
    <x v="0"/>
    <x v="12"/>
  </r>
  <r>
    <x v="1462"/>
    <x v="0"/>
    <x v="1"/>
    <n v="58"/>
    <x v="11"/>
    <x v="605"/>
    <x v="0"/>
    <x v="15"/>
  </r>
  <r>
    <x v="1928"/>
    <x v="2"/>
    <x v="1"/>
    <n v="53"/>
    <x v="35"/>
    <x v="606"/>
    <x v="0"/>
    <x v="8"/>
  </r>
  <r>
    <x v="1929"/>
    <x v="2"/>
    <x v="1"/>
    <n v="55"/>
    <x v="10"/>
    <x v="607"/>
    <x v="0"/>
    <x v="12"/>
  </r>
  <r>
    <x v="1930"/>
    <x v="0"/>
    <x v="2"/>
    <n v="45"/>
    <x v="32"/>
    <x v="608"/>
    <x v="0"/>
    <x v="1"/>
  </r>
  <r>
    <x v="1931"/>
    <x v="1"/>
    <x v="0"/>
    <n v="59"/>
    <x v="41"/>
    <x v="609"/>
    <x v="0"/>
    <x v="12"/>
  </r>
  <r>
    <x v="1932"/>
    <x v="0"/>
    <x v="2"/>
    <n v="44"/>
    <x v="11"/>
    <x v="610"/>
    <x v="0"/>
    <x v="12"/>
  </r>
  <r>
    <x v="1933"/>
    <x v="2"/>
    <x v="2"/>
    <n v="49"/>
    <x v="23"/>
    <x v="611"/>
    <x v="0"/>
    <x v="9"/>
  </r>
  <r>
    <x v="1934"/>
    <x v="1"/>
    <x v="0"/>
    <n v="57"/>
    <x v="20"/>
    <x v="612"/>
    <x v="0"/>
    <x v="8"/>
  </r>
  <r>
    <x v="1935"/>
    <x v="2"/>
    <x v="1"/>
    <n v="53"/>
    <x v="3"/>
    <x v="613"/>
    <x v="0"/>
    <x v="19"/>
  </r>
  <r>
    <x v="1936"/>
    <x v="0"/>
    <x v="3"/>
    <n v="37"/>
    <x v="60"/>
    <x v="614"/>
    <x v="0"/>
    <x v="17"/>
  </r>
  <r>
    <x v="1937"/>
    <x v="2"/>
    <x v="0"/>
    <n v="65"/>
    <x v="26"/>
    <x v="615"/>
    <x v="0"/>
    <x v="1"/>
  </r>
  <r>
    <x v="1922"/>
    <x v="2"/>
    <x v="2"/>
    <n v="51"/>
    <x v="36"/>
    <x v="616"/>
    <x v="0"/>
    <x v="17"/>
  </r>
  <r>
    <x v="1938"/>
    <x v="2"/>
    <x v="2"/>
    <n v="47"/>
    <x v="42"/>
    <x v="617"/>
    <x v="0"/>
    <x v="8"/>
  </r>
  <r>
    <x v="1939"/>
    <x v="3"/>
    <x v="0"/>
    <n v="62"/>
    <x v="14"/>
    <x v="618"/>
    <x v="0"/>
    <x v="9"/>
  </r>
  <r>
    <x v="1940"/>
    <x v="1"/>
    <x v="1"/>
    <n v="56"/>
    <x v="35"/>
    <x v="619"/>
    <x v="0"/>
    <x v="8"/>
  </r>
  <r>
    <x v="1941"/>
    <x v="2"/>
    <x v="2"/>
    <n v="52"/>
    <x v="23"/>
    <x v="620"/>
    <x v="0"/>
    <x v="8"/>
  </r>
  <r>
    <x v="1833"/>
    <x v="1"/>
    <x v="2"/>
    <n v="49"/>
    <x v="23"/>
    <x v="611"/>
    <x v="0"/>
    <x v="8"/>
  </r>
  <r>
    <x v="1288"/>
    <x v="0"/>
    <x v="1"/>
    <n v="55"/>
    <x v="35"/>
    <x v="208"/>
    <x v="0"/>
    <x v="15"/>
  </r>
  <r>
    <x v="1942"/>
    <x v="2"/>
    <x v="1"/>
    <n v="57"/>
    <x v="8"/>
    <x v="621"/>
    <x v="0"/>
    <x v="12"/>
  </r>
  <r>
    <x v="1462"/>
    <x v="0"/>
    <x v="1"/>
    <n v="50"/>
    <x v="12"/>
    <x v="622"/>
    <x v="0"/>
    <x v="15"/>
  </r>
  <r>
    <x v="1943"/>
    <x v="2"/>
    <x v="0"/>
    <n v="71"/>
    <x v="61"/>
    <x v="623"/>
    <x v="0"/>
    <x v="1"/>
  </r>
  <r>
    <x v="1414"/>
    <x v="2"/>
    <x v="0"/>
    <n v="71"/>
    <x v="41"/>
    <x v="624"/>
    <x v="0"/>
    <x v="16"/>
  </r>
  <r>
    <x v="1944"/>
    <x v="0"/>
    <x v="2"/>
    <n v="50"/>
    <x v="57"/>
    <x v="435"/>
    <x v="0"/>
    <x v="16"/>
  </r>
  <r>
    <x v="1945"/>
    <x v="0"/>
    <x v="0"/>
    <n v="57"/>
    <x v="7"/>
    <x v="625"/>
    <x v="0"/>
    <x v="12"/>
  </r>
  <r>
    <x v="1946"/>
    <x v="2"/>
    <x v="1"/>
    <n v="54"/>
    <x v="37"/>
    <x v="626"/>
    <x v="0"/>
    <x v="12"/>
  </r>
  <r>
    <x v="1947"/>
    <x v="0"/>
    <x v="1"/>
    <n v="54"/>
    <x v="10"/>
    <x v="627"/>
    <x v="0"/>
    <x v="12"/>
  </r>
  <r>
    <x v="1948"/>
    <x v="0"/>
    <x v="0"/>
    <n v="57"/>
    <x v="9"/>
    <x v="628"/>
    <x v="0"/>
    <x v="1"/>
  </r>
  <r>
    <x v="1949"/>
    <x v="0"/>
    <x v="2"/>
    <n v="48"/>
    <x v="48"/>
    <x v="629"/>
    <x v="0"/>
    <x v="8"/>
  </r>
  <r>
    <x v="1950"/>
    <x v="0"/>
    <x v="0"/>
    <n v="75"/>
    <x v="25"/>
    <x v="630"/>
    <x v="0"/>
    <x v="16"/>
  </r>
  <r>
    <x v="1951"/>
    <x v="2"/>
    <x v="2"/>
    <n v="44"/>
    <x v="48"/>
    <x v="631"/>
    <x v="0"/>
    <x v="4"/>
  </r>
  <r>
    <x v="1952"/>
    <x v="0"/>
    <x v="1"/>
    <n v="52"/>
    <x v="11"/>
    <x v="632"/>
    <x v="0"/>
    <x v="1"/>
  </r>
  <r>
    <x v="1953"/>
    <x v="0"/>
    <x v="3"/>
    <n v="42"/>
    <x v="52"/>
    <x v="633"/>
    <x v="0"/>
    <x v="8"/>
  </r>
  <r>
    <x v="1954"/>
    <x v="1"/>
    <x v="3"/>
    <n v="46"/>
    <x v="43"/>
    <x v="634"/>
    <x v="0"/>
    <x v="8"/>
  </r>
  <r>
    <x v="1955"/>
    <x v="0"/>
    <x v="2"/>
    <n v="55"/>
    <x v="29"/>
    <x v="635"/>
    <x v="0"/>
    <x v="7"/>
  </r>
  <r>
    <x v="1866"/>
    <x v="2"/>
    <x v="0"/>
    <n v="64"/>
    <x v="0"/>
    <x v="636"/>
    <x v="0"/>
    <x v="12"/>
  </r>
  <r>
    <x v="1956"/>
    <x v="0"/>
    <x v="2"/>
    <n v="49"/>
    <x v="29"/>
    <x v="637"/>
    <x v="0"/>
    <x v="1"/>
  </r>
  <r>
    <x v="1957"/>
    <x v="0"/>
    <x v="1"/>
    <n v="58"/>
    <x v="15"/>
    <x v="638"/>
    <x v="0"/>
    <x v="11"/>
  </r>
  <r>
    <x v="1833"/>
    <x v="3"/>
    <x v="2"/>
    <n v="53"/>
    <x v="29"/>
    <x v="639"/>
    <x v="0"/>
    <x v="8"/>
  </r>
  <r>
    <x v="1462"/>
    <x v="1"/>
    <x v="1"/>
    <n v="58"/>
    <x v="4"/>
    <x v="640"/>
    <x v="0"/>
    <x v="15"/>
  </r>
  <r>
    <x v="1958"/>
    <x v="2"/>
    <x v="2"/>
    <n v="51"/>
    <x v="28"/>
    <x v="641"/>
    <x v="0"/>
    <x v="0"/>
  </r>
  <r>
    <x v="1959"/>
    <x v="2"/>
    <x v="2"/>
    <n v="52"/>
    <x v="53"/>
    <x v="76"/>
    <x v="0"/>
    <x v="0"/>
  </r>
  <r>
    <x v="1960"/>
    <x v="0"/>
    <x v="1"/>
    <n v="56"/>
    <x v="36"/>
    <x v="642"/>
    <x v="0"/>
    <x v="0"/>
  </r>
  <r>
    <x v="1961"/>
    <x v="0"/>
    <x v="1"/>
    <n v="52"/>
    <x v="35"/>
    <x v="643"/>
    <x v="0"/>
    <x v="12"/>
  </r>
  <r>
    <x v="1962"/>
    <x v="0"/>
    <x v="1"/>
    <n v="59"/>
    <x v="10"/>
    <x v="644"/>
    <x v="0"/>
    <x v="6"/>
  </r>
  <r>
    <x v="1963"/>
    <x v="2"/>
    <x v="2"/>
    <n v="53"/>
    <x v="29"/>
    <x v="645"/>
    <x v="0"/>
    <x v="8"/>
  </r>
  <r>
    <x v="1964"/>
    <x v="0"/>
    <x v="1"/>
    <n v="54"/>
    <x v="16"/>
    <x v="646"/>
    <x v="0"/>
    <x v="12"/>
  </r>
  <r>
    <x v="1965"/>
    <x v="0"/>
    <x v="2"/>
    <n v="50"/>
    <x v="53"/>
    <x v="647"/>
    <x v="0"/>
    <x v="8"/>
  </r>
  <r>
    <x v="1875"/>
    <x v="2"/>
    <x v="2"/>
    <n v="48"/>
    <x v="48"/>
    <x v="648"/>
    <x v="0"/>
    <x v="15"/>
  </r>
  <r>
    <x v="1966"/>
    <x v="1"/>
    <x v="3"/>
    <n v="44"/>
    <x v="57"/>
    <x v="649"/>
    <x v="0"/>
    <x v="8"/>
  </r>
  <r>
    <x v="1967"/>
    <x v="3"/>
    <x v="2"/>
    <n v="44"/>
    <x v="42"/>
    <x v="650"/>
    <x v="0"/>
    <x v="12"/>
  </r>
  <r>
    <x v="1968"/>
    <x v="0"/>
    <x v="2"/>
    <n v="51"/>
    <x v="36"/>
    <x v="651"/>
    <x v="0"/>
    <x v="12"/>
  </r>
  <r>
    <x v="1969"/>
    <x v="1"/>
    <x v="1"/>
    <n v="53"/>
    <x v="23"/>
    <x v="526"/>
    <x v="0"/>
    <x v="10"/>
  </r>
  <r>
    <x v="1970"/>
    <x v="1"/>
    <x v="1"/>
    <n v="52"/>
    <x v="37"/>
    <x v="652"/>
    <x v="0"/>
    <x v="8"/>
  </r>
  <r>
    <x v="823"/>
    <x v="1"/>
    <x v="2"/>
    <n v="51"/>
    <x v="23"/>
    <x v="653"/>
    <x v="0"/>
    <x v="12"/>
  </r>
  <r>
    <x v="1945"/>
    <x v="3"/>
    <x v="2"/>
    <n v="51"/>
    <x v="29"/>
    <x v="654"/>
    <x v="0"/>
    <x v="12"/>
  </r>
  <r>
    <x v="1971"/>
    <x v="3"/>
    <x v="2"/>
    <n v="45"/>
    <x v="33"/>
    <x v="655"/>
    <x v="0"/>
    <x v="8"/>
  </r>
  <r>
    <x v="1972"/>
    <x v="2"/>
    <x v="0"/>
    <n v="63"/>
    <x v="7"/>
    <x v="656"/>
    <x v="0"/>
    <x v="1"/>
  </r>
  <r>
    <x v="1973"/>
    <x v="2"/>
    <x v="2"/>
    <n v="44"/>
    <x v="42"/>
    <x v="657"/>
    <x v="0"/>
    <x v="8"/>
  </r>
  <r>
    <x v="1974"/>
    <x v="3"/>
    <x v="1"/>
    <n v="57"/>
    <x v="4"/>
    <x v="658"/>
    <x v="0"/>
    <x v="1"/>
  </r>
  <r>
    <x v="1975"/>
    <x v="0"/>
    <x v="2"/>
    <n v="55"/>
    <x v="36"/>
    <x v="659"/>
    <x v="0"/>
    <x v="0"/>
  </r>
  <r>
    <x v="1976"/>
    <x v="2"/>
    <x v="2"/>
    <n v="50"/>
    <x v="28"/>
    <x v="660"/>
    <x v="0"/>
    <x v="16"/>
  </r>
  <r>
    <x v="1977"/>
    <x v="0"/>
    <x v="4"/>
    <n v="30"/>
    <x v="40"/>
    <x v="195"/>
    <x v="0"/>
    <x v="17"/>
  </r>
  <r>
    <x v="1978"/>
    <x v="0"/>
    <x v="3"/>
    <n v="39"/>
    <x v="55"/>
    <x v="661"/>
    <x v="0"/>
    <x v="17"/>
  </r>
  <r>
    <x v="1979"/>
    <x v="0"/>
    <x v="2"/>
    <n v="46"/>
    <x v="42"/>
    <x v="662"/>
    <x v="0"/>
    <x v="0"/>
  </r>
  <r>
    <x v="1980"/>
    <x v="0"/>
    <x v="3"/>
    <n v="46"/>
    <x v="46"/>
    <x v="663"/>
    <x v="0"/>
    <x v="0"/>
  </r>
  <r>
    <x v="1981"/>
    <x v="0"/>
    <x v="2"/>
    <n v="49"/>
    <x v="29"/>
    <x v="637"/>
    <x v="0"/>
    <x v="0"/>
  </r>
  <r>
    <x v="1982"/>
    <x v="1"/>
    <x v="2"/>
    <n v="52"/>
    <x v="36"/>
    <x v="664"/>
    <x v="0"/>
    <x v="0"/>
  </r>
  <r>
    <x v="1983"/>
    <x v="0"/>
    <x v="1"/>
    <n v="57"/>
    <x v="51"/>
    <x v="665"/>
    <x v="0"/>
    <x v="0"/>
  </r>
  <r>
    <x v="1984"/>
    <x v="1"/>
    <x v="1"/>
    <n v="55"/>
    <x v="15"/>
    <x v="666"/>
    <x v="0"/>
    <x v="8"/>
  </r>
  <r>
    <x v="1985"/>
    <x v="1"/>
    <x v="1"/>
    <n v="58"/>
    <x v="37"/>
    <x v="667"/>
    <x v="0"/>
    <x v="16"/>
  </r>
  <r>
    <x v="1986"/>
    <x v="2"/>
    <x v="2"/>
    <n v="49"/>
    <x v="22"/>
    <x v="500"/>
    <x v="0"/>
    <x v="16"/>
  </r>
  <r>
    <x v="1945"/>
    <x v="2"/>
    <x v="1"/>
    <n v="56"/>
    <x v="23"/>
    <x v="155"/>
    <x v="0"/>
    <x v="12"/>
  </r>
  <r>
    <x v="1987"/>
    <x v="2"/>
    <x v="1"/>
    <n v="55"/>
    <x v="37"/>
    <x v="668"/>
    <x v="0"/>
    <x v="21"/>
  </r>
  <r>
    <x v="1988"/>
    <x v="1"/>
    <x v="2"/>
    <n v="52"/>
    <x v="29"/>
    <x v="669"/>
    <x v="0"/>
    <x v="8"/>
  </r>
  <r>
    <x v="1875"/>
    <x v="0"/>
    <x v="3"/>
    <n v="46"/>
    <x v="43"/>
    <x v="634"/>
    <x v="0"/>
    <x v="15"/>
  </r>
  <r>
    <x v="1875"/>
    <x v="0"/>
    <x v="3"/>
    <n v="42"/>
    <x v="38"/>
    <x v="670"/>
    <x v="0"/>
    <x v="15"/>
  </r>
  <r>
    <x v="1989"/>
    <x v="0"/>
    <x v="3"/>
    <n v="43"/>
    <x v="56"/>
    <x v="671"/>
    <x v="0"/>
    <x v="1"/>
  </r>
  <r>
    <x v="1990"/>
    <x v="0"/>
    <x v="2"/>
    <n v="56"/>
    <x v="48"/>
    <x v="672"/>
    <x v="0"/>
    <x v="0"/>
  </r>
  <r>
    <x v="1991"/>
    <x v="2"/>
    <x v="1"/>
    <n v="54"/>
    <x v="11"/>
    <x v="673"/>
    <x v="0"/>
    <x v="1"/>
  </r>
  <r>
    <x v="1992"/>
    <x v="0"/>
    <x v="2"/>
    <n v="51"/>
    <x v="51"/>
    <x v="674"/>
    <x v="0"/>
    <x v="15"/>
  </r>
  <r>
    <x v="1993"/>
    <x v="0"/>
    <x v="2"/>
    <n v="51"/>
    <x v="13"/>
    <x v="675"/>
    <x v="0"/>
    <x v="11"/>
  </r>
  <r>
    <x v="1994"/>
    <x v="0"/>
    <x v="4"/>
    <n v="35"/>
    <x v="62"/>
    <x v="676"/>
    <x v="0"/>
    <x v="8"/>
  </r>
  <r>
    <x v="1995"/>
    <x v="0"/>
    <x v="1"/>
    <n v="55"/>
    <x v="15"/>
    <x v="677"/>
    <x v="0"/>
    <x v="16"/>
  </r>
  <r>
    <x v="1996"/>
    <x v="0"/>
    <x v="2"/>
    <n v="53"/>
    <x v="13"/>
    <x v="678"/>
    <x v="0"/>
    <x v="16"/>
  </r>
  <r>
    <x v="1997"/>
    <x v="0"/>
    <x v="3"/>
    <n v="46"/>
    <x v="43"/>
    <x v="634"/>
    <x v="0"/>
    <x v="21"/>
  </r>
  <r>
    <x v="1998"/>
    <x v="2"/>
    <x v="2"/>
    <n v="49"/>
    <x v="36"/>
    <x v="2"/>
    <x v="0"/>
    <x v="8"/>
  </r>
  <r>
    <x v="1673"/>
    <x v="0"/>
    <x v="2"/>
    <n v="43"/>
    <x v="16"/>
    <x v="679"/>
    <x v="0"/>
    <x v="8"/>
  </r>
  <r>
    <x v="497"/>
    <x v="0"/>
    <x v="3"/>
    <n v="42"/>
    <x v="60"/>
    <x v="680"/>
    <x v="0"/>
    <x v="8"/>
  </r>
  <r>
    <x v="1999"/>
    <x v="0"/>
    <x v="5"/>
    <n v="0"/>
    <x v="36"/>
    <x v="681"/>
    <x v="0"/>
    <x v="11"/>
  </r>
  <r>
    <x v="2000"/>
    <x v="0"/>
    <x v="1"/>
    <n v="75"/>
    <x v="48"/>
    <x v="682"/>
    <x v="0"/>
    <x v="21"/>
  </r>
  <r>
    <x v="2001"/>
    <x v="0"/>
    <x v="4"/>
    <n v="38"/>
    <x v="62"/>
    <x v="683"/>
    <x v="0"/>
    <x v="17"/>
  </r>
  <r>
    <x v="2002"/>
    <x v="0"/>
    <x v="3"/>
    <n v="38"/>
    <x v="40"/>
    <x v="684"/>
    <x v="0"/>
    <x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8">
  <r>
    <x v="0"/>
    <x v="0"/>
    <n v="72"/>
  </r>
  <r>
    <x v="1"/>
    <x v="0"/>
    <n v="75"/>
  </r>
  <r>
    <x v="2"/>
    <x v="0"/>
    <n v="76"/>
  </r>
  <r>
    <x v="3"/>
    <x v="1"/>
    <n v="66"/>
  </r>
  <r>
    <x v="4"/>
    <x v="1"/>
    <n v="70"/>
  </r>
  <r>
    <x v="5"/>
    <x v="0"/>
    <n v="69"/>
  </r>
  <r>
    <x v="6"/>
    <x v="1"/>
    <n v="69"/>
  </r>
  <r>
    <x v="7"/>
    <x v="1"/>
    <n v="70"/>
  </r>
  <r>
    <x v="8"/>
    <x v="1"/>
    <n v="67.5"/>
  </r>
  <r>
    <x v="9"/>
    <x v="1"/>
    <n v="72"/>
  </r>
  <r>
    <x v="10"/>
    <x v="1"/>
    <n v="73"/>
  </r>
  <r>
    <x v="11"/>
    <x v="0"/>
    <n v="72"/>
  </r>
  <r>
    <x v="12"/>
    <x v="0"/>
    <n v="73"/>
  </r>
  <r>
    <x v="13"/>
    <x v="0"/>
    <n v="70"/>
  </r>
  <r>
    <x v="14"/>
    <x v="1"/>
    <n v="72"/>
  </r>
  <r>
    <x v="15"/>
    <x v="1"/>
    <n v="74"/>
  </r>
  <r>
    <x v="16"/>
    <x v="0"/>
    <n v="68.5"/>
  </r>
  <r>
    <x v="17"/>
    <x v="0"/>
    <n v="74"/>
  </r>
  <r>
    <x v="18"/>
    <x v="0"/>
    <n v="76"/>
  </r>
  <r>
    <x v="19"/>
    <x v="0"/>
    <n v="68"/>
  </r>
  <r>
    <x v="20"/>
    <x v="0"/>
    <n v="71.5"/>
  </r>
  <r>
    <x v="21"/>
    <x v="0"/>
    <n v="75"/>
  </r>
  <r>
    <x v="22"/>
    <x v="1"/>
    <n v="71"/>
  </r>
  <r>
    <x v="23"/>
    <x v="1"/>
    <n v="76"/>
  </r>
  <r>
    <x v="24"/>
    <x v="1"/>
    <n v="77"/>
  </r>
  <r>
    <x v="25"/>
    <x v="1"/>
    <n v="76"/>
  </r>
  <r>
    <x v="26"/>
    <x v="0"/>
    <n v="73"/>
  </r>
  <r>
    <x v="27"/>
    <x v="0"/>
    <n v="70"/>
  </r>
  <r>
    <x v="28"/>
    <x v="0"/>
    <n v="76"/>
  </r>
  <r>
    <x v="29"/>
    <x v="0"/>
    <n v="75"/>
  </r>
  <r>
    <x v="30"/>
    <x v="0"/>
    <n v="75"/>
  </r>
  <r>
    <x v="31"/>
    <x v="0"/>
    <n v="69.5"/>
  </r>
  <r>
    <x v="32"/>
    <x v="0"/>
    <n v="73"/>
  </r>
  <r>
    <x v="33"/>
    <x v="0"/>
    <n v="70"/>
  </r>
  <r>
    <x v="34"/>
    <x v="0"/>
    <n v="62.5"/>
  </r>
  <r>
    <x v="35"/>
    <x v="0"/>
    <n v="69"/>
  </r>
  <r>
    <x v="36"/>
    <x v="0"/>
    <n v="67.5"/>
  </r>
  <r>
    <x v="37"/>
    <x v="0"/>
    <n v="68"/>
  </r>
  <r>
    <x v="38"/>
    <x v="0"/>
    <n v="63"/>
  </r>
  <r>
    <x v="39"/>
    <x v="0"/>
    <n v="58"/>
  </r>
  <r>
    <x v="40"/>
    <x v="0"/>
    <n v="70"/>
  </r>
  <r>
    <x v="41"/>
    <x v="2"/>
    <n v="69.5"/>
  </r>
  <r>
    <x v="42"/>
    <x v="0"/>
    <n v="69"/>
  </r>
  <r>
    <x v="43"/>
    <x v="1"/>
    <n v="77.5"/>
  </r>
  <r>
    <x v="44"/>
    <x v="0"/>
    <n v="72"/>
  </r>
  <r>
    <x v="45"/>
    <x v="0"/>
    <n v="75"/>
  </r>
  <r>
    <x v="46"/>
    <x v="0"/>
    <n v="72"/>
  </r>
  <r>
    <x v="47"/>
    <x v="0"/>
    <n v="70"/>
  </r>
  <r>
    <x v="48"/>
    <x v="0"/>
    <n v="71"/>
  </r>
  <r>
    <x v="49"/>
    <x v="0"/>
    <n v="63"/>
  </r>
  <r>
    <x v="50"/>
    <x v="1"/>
    <n v="73"/>
  </r>
  <r>
    <x v="51"/>
    <x v="0"/>
    <n v="73"/>
  </r>
  <r>
    <x v="52"/>
    <x v="1"/>
    <n v="67.5"/>
  </r>
  <r>
    <x v="53"/>
    <x v="1"/>
    <n v="66"/>
  </r>
  <r>
    <x v="54"/>
    <x v="1"/>
    <n v="67"/>
  </r>
  <r>
    <x v="55"/>
    <x v="0"/>
    <n v="73"/>
  </r>
  <r>
    <x v="56"/>
    <x v="0"/>
    <n v="74"/>
  </r>
  <r>
    <x v="57"/>
    <x v="0"/>
    <n v="70"/>
  </r>
  <r>
    <x v="58"/>
    <x v="0"/>
    <n v="74"/>
  </r>
  <r>
    <x v="59"/>
    <x v="1"/>
    <n v="71"/>
  </r>
  <r>
    <x v="60"/>
    <x v="1"/>
    <n v="69"/>
  </r>
  <r>
    <x v="61"/>
    <x v="1"/>
    <n v="69"/>
  </r>
  <r>
    <x v="62"/>
    <x v="1"/>
    <n v="76"/>
  </r>
  <r>
    <x v="63"/>
    <x v="0"/>
    <n v="75.5"/>
  </r>
  <r>
    <x v="64"/>
    <x v="2"/>
    <n v="76"/>
  </r>
  <r>
    <x v="65"/>
    <x v="0"/>
    <n v="68"/>
  </r>
  <r>
    <x v="66"/>
    <x v="0"/>
    <n v="71"/>
  </r>
  <r>
    <x v="67"/>
    <x v="0"/>
    <n v="67"/>
  </r>
  <r>
    <x v="68"/>
    <x v="0"/>
    <n v="73"/>
  </r>
  <r>
    <x v="69"/>
    <x v="0"/>
    <n v="69"/>
  </r>
  <r>
    <x v="70"/>
    <x v="1"/>
    <n v="81"/>
  </r>
  <r>
    <x v="71"/>
    <x v="1"/>
    <n v="76"/>
  </r>
  <r>
    <x v="72"/>
    <x v="0"/>
    <n v="71"/>
  </r>
  <r>
    <x v="73"/>
    <x v="0"/>
    <n v="74"/>
  </r>
  <r>
    <x v="74"/>
    <x v="0"/>
    <n v="68"/>
  </r>
  <r>
    <x v="75"/>
    <x v="0"/>
    <n v="68.5"/>
  </r>
  <r>
    <x v="76"/>
    <x v="1"/>
    <n v="79"/>
  </r>
  <r>
    <x v="77"/>
    <x v="0"/>
    <n v="69"/>
  </r>
  <r>
    <x v="78"/>
    <x v="1"/>
    <n v="77"/>
  </r>
  <r>
    <x v="79"/>
    <x v="0"/>
    <n v="76"/>
  </r>
  <r>
    <x v="80"/>
    <x v="0"/>
    <n v="71"/>
  </r>
  <r>
    <x v="81"/>
    <x v="0"/>
    <n v="76"/>
  </r>
  <r>
    <x v="82"/>
    <x v="0"/>
    <n v="70"/>
  </r>
  <r>
    <x v="83"/>
    <x v="1"/>
    <n v="69"/>
  </r>
  <r>
    <x v="84"/>
    <x v="1"/>
    <n v="77.5"/>
  </r>
  <r>
    <x v="85"/>
    <x v="0"/>
    <n v="70"/>
  </r>
  <r>
    <x v="86"/>
    <x v="1"/>
    <n v="73"/>
  </r>
  <r>
    <x v="87"/>
    <x v="0"/>
    <n v="76"/>
  </r>
  <r>
    <x v="88"/>
    <x v="0"/>
    <n v="72"/>
  </r>
  <r>
    <x v="89"/>
    <x v="2"/>
    <n v="77.5"/>
  </r>
  <r>
    <x v="90"/>
    <x v="1"/>
    <n v="76"/>
  </r>
  <r>
    <x v="91"/>
    <x v="1"/>
    <n v="77.5"/>
  </r>
  <r>
    <x v="92"/>
    <x v="1"/>
    <n v="76"/>
  </r>
  <r>
    <x v="93"/>
    <x v="0"/>
    <n v="74"/>
  </r>
  <r>
    <x v="94"/>
    <x v="0"/>
    <n v="76"/>
  </r>
  <r>
    <x v="95"/>
    <x v="0"/>
    <n v="73"/>
  </r>
  <r>
    <x v="96"/>
    <x v="0"/>
    <n v="69"/>
  </r>
  <r>
    <x v="97"/>
    <x v="1"/>
    <n v="68.5"/>
  </r>
  <r>
    <x v="98"/>
    <x v="1"/>
    <n v="73"/>
  </r>
  <r>
    <x v="99"/>
    <x v="1"/>
    <n v="74"/>
  </r>
  <r>
    <x v="100"/>
    <x v="1"/>
    <n v="76"/>
  </r>
  <r>
    <x v="101"/>
    <x v="0"/>
    <n v="73"/>
  </r>
  <r>
    <x v="102"/>
    <x v="1"/>
    <n v="75"/>
  </r>
  <r>
    <x v="103"/>
    <x v="0"/>
    <n v="73"/>
  </r>
  <r>
    <x v="104"/>
    <x v="2"/>
    <n v="76"/>
  </r>
  <r>
    <x v="105"/>
    <x v="0"/>
    <n v="73"/>
  </r>
  <r>
    <x v="106"/>
    <x v="0"/>
    <n v="63.5"/>
  </r>
  <r>
    <x v="107"/>
    <x v="0"/>
    <n v="63"/>
  </r>
  <r>
    <x v="108"/>
    <x v="0"/>
    <n v="75"/>
  </r>
  <r>
    <x v="109"/>
    <x v="0"/>
    <n v="73"/>
  </r>
  <r>
    <x v="110"/>
    <x v="0"/>
    <n v="68"/>
  </r>
  <r>
    <x v="111"/>
    <x v="1"/>
    <n v="77"/>
  </r>
  <r>
    <x v="112"/>
    <x v="0"/>
    <n v="73"/>
  </r>
  <r>
    <x v="113"/>
    <x v="0"/>
    <n v="72"/>
  </r>
  <r>
    <x v="114"/>
    <x v="0"/>
    <n v="79"/>
  </r>
  <r>
    <x v="115"/>
    <x v="0"/>
    <n v="73"/>
  </r>
  <r>
    <x v="116"/>
    <x v="0"/>
    <n v="73"/>
  </r>
  <r>
    <x v="117"/>
    <x v="0"/>
    <n v="81"/>
  </r>
  <r>
    <x v="118"/>
    <x v="0"/>
    <n v="76"/>
  </r>
  <r>
    <x v="119"/>
    <x v="0"/>
    <n v="71"/>
  </r>
  <r>
    <x v="120"/>
    <x v="0"/>
    <n v="73"/>
  </r>
  <r>
    <x v="121"/>
    <x v="0"/>
    <n v="69"/>
  </r>
  <r>
    <x v="122"/>
    <x v="1"/>
    <n v="70"/>
  </r>
  <r>
    <x v="123"/>
    <x v="1"/>
    <n v="75"/>
  </r>
  <r>
    <x v="124"/>
    <x v="0"/>
    <n v="74"/>
  </r>
  <r>
    <x v="125"/>
    <x v="0"/>
    <n v="74"/>
  </r>
  <r>
    <x v="126"/>
    <x v="0"/>
    <n v="77"/>
  </r>
  <r>
    <x v="127"/>
    <x v="0"/>
    <n v="71"/>
  </r>
  <r>
    <x v="128"/>
    <x v="0"/>
    <n v="71"/>
  </r>
  <r>
    <x v="129"/>
    <x v="0"/>
    <n v="70"/>
  </r>
  <r>
    <x v="130"/>
    <x v="0"/>
    <n v="75"/>
  </r>
  <r>
    <x v="131"/>
    <x v="0"/>
    <n v="65"/>
  </r>
  <r>
    <x v="132"/>
    <x v="1"/>
    <n v="78"/>
  </r>
  <r>
    <x v="133"/>
    <x v="0"/>
    <n v="76"/>
  </r>
  <r>
    <x v="134"/>
    <x v="2"/>
    <n v="82"/>
  </r>
  <r>
    <x v="135"/>
    <x v="0"/>
    <n v="77"/>
  </r>
  <r>
    <x v="136"/>
    <x v="0"/>
    <n v="73"/>
  </r>
  <r>
    <x v="137"/>
    <x v="2"/>
    <n v="77"/>
  </r>
  <r>
    <x v="138"/>
    <x v="2"/>
    <n v="80.5"/>
  </r>
  <r>
    <x v="139"/>
    <x v="2"/>
    <n v="76"/>
  </r>
  <r>
    <x v="140"/>
    <x v="2"/>
    <n v="75"/>
  </r>
  <r>
    <x v="141"/>
    <x v="2"/>
    <n v="79"/>
  </r>
  <r>
    <x v="142"/>
    <x v="1"/>
    <n v="76"/>
  </r>
  <r>
    <x v="143"/>
    <x v="0"/>
    <n v="75"/>
  </r>
  <r>
    <x v="144"/>
    <x v="0"/>
    <n v="71"/>
  </r>
  <r>
    <x v="145"/>
    <x v="0"/>
    <n v="74"/>
  </r>
  <r>
    <x v="146"/>
    <x v="1"/>
    <n v="52"/>
  </r>
  <r>
    <x v="147"/>
    <x v="1"/>
    <n v="59"/>
  </r>
  <r>
    <x v="148"/>
    <x v="0"/>
    <n v="57"/>
  </r>
  <r>
    <x v="149"/>
    <x v="2"/>
    <n v="69"/>
  </r>
  <r>
    <x v="150"/>
    <x v="1"/>
    <n v="69"/>
  </r>
  <r>
    <x v="151"/>
    <x v="2"/>
    <n v="71"/>
  </r>
  <r>
    <x v="152"/>
    <x v="0"/>
    <n v="74"/>
  </r>
  <r>
    <x v="153"/>
    <x v="1"/>
    <n v="71"/>
  </r>
  <r>
    <x v="154"/>
    <x v="1"/>
    <n v="72.5"/>
  </r>
  <r>
    <x v="155"/>
    <x v="0"/>
    <n v="73"/>
  </r>
  <r>
    <x v="156"/>
    <x v="1"/>
    <n v="68"/>
  </r>
  <r>
    <x v="157"/>
    <x v="0"/>
    <n v="69"/>
  </r>
  <r>
    <x v="158"/>
    <x v="0"/>
    <n v="74"/>
  </r>
  <r>
    <x v="159"/>
    <x v="1"/>
    <n v="65"/>
  </r>
  <r>
    <x v="160"/>
    <x v="1"/>
    <n v="69"/>
  </r>
  <r>
    <x v="161"/>
    <x v="1"/>
    <n v="68.5"/>
  </r>
  <r>
    <x v="162"/>
    <x v="0"/>
    <n v="68.5"/>
  </r>
  <r>
    <x v="163"/>
    <x v="0"/>
    <n v="70"/>
  </r>
  <r>
    <x v="164"/>
    <x v="0"/>
    <n v="69.5"/>
  </r>
  <r>
    <x v="165"/>
    <x v="0"/>
    <n v="68"/>
  </r>
  <r>
    <x v="166"/>
    <x v="0"/>
    <n v="71"/>
  </r>
  <r>
    <x v="167"/>
    <x v="1"/>
    <n v="70"/>
  </r>
  <r>
    <x v="168"/>
    <x v="1"/>
    <n v="78"/>
  </r>
  <r>
    <x v="169"/>
    <x v="1"/>
    <n v="68.5"/>
  </r>
  <r>
    <x v="170"/>
    <x v="0"/>
    <n v="67"/>
  </r>
  <r>
    <x v="171"/>
    <x v="1"/>
    <n v="67"/>
  </r>
  <r>
    <x v="172"/>
    <x v="1"/>
    <n v="73"/>
  </r>
  <r>
    <x v="173"/>
    <x v="1"/>
    <n v="76"/>
  </r>
  <r>
    <x v="174"/>
    <x v="0"/>
    <n v="71.5"/>
  </r>
  <r>
    <x v="175"/>
    <x v="2"/>
    <n v="75"/>
  </r>
  <r>
    <x v="176"/>
    <x v="0"/>
    <n v="73"/>
  </r>
  <r>
    <x v="177"/>
    <x v="0"/>
    <n v="78"/>
  </r>
  <r>
    <x v="178"/>
    <x v="1"/>
    <n v="76"/>
  </r>
  <r>
    <x v="179"/>
    <x v="1"/>
    <n v="74"/>
  </r>
  <r>
    <x v="180"/>
    <x v="0"/>
    <n v="75"/>
  </r>
  <r>
    <x v="181"/>
    <x v="0"/>
    <n v="74"/>
  </r>
  <r>
    <x v="182"/>
    <x v="0"/>
    <n v="69"/>
  </r>
  <r>
    <x v="183"/>
    <x v="0"/>
    <n v="71"/>
  </r>
  <r>
    <x v="184"/>
    <x v="0"/>
    <n v="79.5"/>
  </r>
  <r>
    <x v="185"/>
    <x v="1"/>
    <n v="78.5"/>
  </r>
  <r>
    <x v="186"/>
    <x v="0"/>
    <n v="74"/>
  </r>
  <r>
    <x v="187"/>
    <x v="0"/>
    <n v="70"/>
  </r>
  <r>
    <x v="188"/>
    <x v="0"/>
    <n v="72"/>
  </r>
  <r>
    <x v="189"/>
    <x v="0"/>
    <n v="68"/>
  </r>
  <r>
    <x v="190"/>
    <x v="0"/>
    <n v="69.5"/>
  </r>
  <r>
    <x v="191"/>
    <x v="0"/>
    <n v="71"/>
  </r>
  <r>
    <x v="192"/>
    <x v="0"/>
    <n v="69.5"/>
  </r>
  <r>
    <x v="193"/>
    <x v="0"/>
    <n v="68.5"/>
  </r>
  <r>
    <x v="194"/>
    <x v="0"/>
    <n v="70"/>
  </r>
  <r>
    <x v="195"/>
    <x v="1"/>
    <n v="75"/>
  </r>
  <r>
    <x v="196"/>
    <x v="0"/>
    <n v="77"/>
  </r>
  <r>
    <x v="197"/>
    <x v="1"/>
    <n v="71"/>
  </r>
  <r>
    <x v="198"/>
    <x v="1"/>
    <n v="74"/>
  </r>
  <r>
    <x v="199"/>
    <x v="1"/>
    <n v="78"/>
  </r>
  <r>
    <x v="200"/>
    <x v="1"/>
    <n v="73"/>
  </r>
  <r>
    <x v="201"/>
    <x v="1"/>
    <n v="58"/>
  </r>
  <r>
    <x v="202"/>
    <x v="1"/>
    <n v="70"/>
  </r>
  <r>
    <x v="203"/>
    <x v="1"/>
    <n v="73"/>
  </r>
  <r>
    <x v="204"/>
    <x v="0"/>
    <n v="75"/>
  </r>
  <r>
    <x v="205"/>
    <x v="0"/>
    <n v="76"/>
  </r>
  <r>
    <x v="206"/>
    <x v="0"/>
    <n v="73"/>
  </r>
  <r>
    <x v="207"/>
    <x v="0"/>
    <n v="71"/>
  </r>
  <r>
    <x v="208"/>
    <x v="0"/>
    <n v="75"/>
  </r>
  <r>
    <x v="209"/>
    <x v="1"/>
    <n v="76"/>
  </r>
  <r>
    <x v="210"/>
    <x v="1"/>
    <n v="77"/>
  </r>
  <r>
    <x v="211"/>
    <x v="1"/>
    <n v="75"/>
  </r>
  <r>
    <x v="212"/>
    <x v="1"/>
    <n v="77"/>
  </r>
  <r>
    <x v="213"/>
    <x v="0"/>
    <n v="69"/>
  </r>
  <r>
    <x v="214"/>
    <x v="0"/>
    <n v="67"/>
  </r>
  <r>
    <x v="215"/>
    <x v="0"/>
    <n v="76"/>
  </r>
  <r>
    <x v="216"/>
    <x v="1"/>
    <n v="72.5"/>
  </r>
  <r>
    <x v="217"/>
    <x v="0"/>
    <n v="74"/>
  </r>
  <r>
    <x v="218"/>
    <x v="2"/>
    <n v="77"/>
  </r>
  <r>
    <x v="219"/>
    <x v="0"/>
    <n v="87"/>
  </r>
  <r>
    <x v="220"/>
    <x v="0"/>
    <n v="77"/>
  </r>
  <r>
    <x v="221"/>
    <x v="0"/>
    <n v="77.5"/>
  </r>
  <r>
    <x v="222"/>
    <x v="0"/>
    <n v="80"/>
  </r>
  <r>
    <x v="223"/>
    <x v="0"/>
    <n v="78.5"/>
  </r>
  <r>
    <x v="224"/>
    <x v="0"/>
    <n v="68"/>
  </r>
  <r>
    <x v="225"/>
    <x v="1"/>
    <n v="71"/>
  </r>
  <r>
    <x v="226"/>
    <x v="1"/>
    <n v="76"/>
  </r>
  <r>
    <x v="227"/>
    <x v="1"/>
    <n v="75"/>
  </r>
  <r>
    <x v="228"/>
    <x v="1"/>
    <n v="66.5"/>
  </r>
  <r>
    <x v="229"/>
    <x v="1"/>
    <n v="68.5"/>
  </r>
  <r>
    <x v="230"/>
    <x v="1"/>
    <n v="74"/>
  </r>
  <r>
    <x v="231"/>
    <x v="1"/>
    <n v="76"/>
  </r>
  <r>
    <x v="232"/>
    <x v="0"/>
    <n v="67"/>
  </r>
  <r>
    <x v="233"/>
    <x v="0"/>
    <n v="72"/>
  </r>
  <r>
    <x v="234"/>
    <x v="1"/>
    <n v="72"/>
  </r>
  <r>
    <x v="235"/>
    <x v="1"/>
    <n v="77"/>
  </r>
  <r>
    <x v="236"/>
    <x v="1"/>
    <n v="72"/>
  </r>
  <r>
    <x v="237"/>
    <x v="0"/>
    <n v="72"/>
  </r>
  <r>
    <x v="238"/>
    <x v="0"/>
    <n v="70"/>
  </r>
  <r>
    <x v="239"/>
    <x v="0"/>
    <n v="66"/>
  </r>
  <r>
    <x v="240"/>
    <x v="1"/>
    <n v="67.5"/>
  </r>
  <r>
    <x v="241"/>
    <x v="1"/>
    <n v="75"/>
  </r>
  <r>
    <x v="242"/>
    <x v="1"/>
    <n v="71"/>
  </r>
  <r>
    <x v="243"/>
    <x v="0"/>
    <n v="76"/>
  </r>
  <r>
    <x v="244"/>
    <x v="0"/>
    <n v="70"/>
  </r>
  <r>
    <x v="245"/>
    <x v="0"/>
    <n v="74.5"/>
  </r>
  <r>
    <x v="246"/>
    <x v="1"/>
    <n v="65.5"/>
  </r>
  <r>
    <x v="247"/>
    <x v="1"/>
    <n v="69"/>
  </r>
  <r>
    <x v="248"/>
    <x v="0"/>
    <n v="73"/>
  </r>
  <r>
    <x v="249"/>
    <x v="0"/>
    <n v="74"/>
  </r>
  <r>
    <x v="250"/>
    <x v="0"/>
    <n v="70.5"/>
  </r>
  <r>
    <x v="251"/>
    <x v="0"/>
    <n v="74.5"/>
  </r>
  <r>
    <x v="252"/>
    <x v="0"/>
    <n v="80.5"/>
  </r>
  <r>
    <x v="253"/>
    <x v="2"/>
    <n v="76.5"/>
  </r>
  <r>
    <x v="254"/>
    <x v="1"/>
    <n v="73"/>
  </r>
  <r>
    <x v="255"/>
    <x v="1"/>
    <n v="72"/>
  </r>
  <r>
    <x v="256"/>
    <x v="0"/>
    <n v="68"/>
  </r>
  <r>
    <x v="257"/>
    <x v="0"/>
    <n v="73"/>
  </r>
  <r>
    <x v="258"/>
    <x v="0"/>
    <n v="74"/>
  </r>
  <r>
    <x v="259"/>
    <x v="0"/>
    <n v="77"/>
  </r>
  <r>
    <x v="260"/>
    <x v="0"/>
    <n v="77"/>
  </r>
  <r>
    <x v="261"/>
    <x v="1"/>
    <n v="71"/>
  </r>
  <r>
    <x v="262"/>
    <x v="2"/>
    <n v="76"/>
  </r>
  <r>
    <x v="54"/>
    <x v="1"/>
    <n v="67"/>
  </r>
  <r>
    <x v="263"/>
    <x v="1"/>
    <n v="71"/>
  </r>
  <r>
    <x v="264"/>
    <x v="1"/>
    <n v="77"/>
  </r>
  <r>
    <x v="265"/>
    <x v="1"/>
    <n v="79.5"/>
  </r>
  <r>
    <x v="266"/>
    <x v="1"/>
    <n v="71.5"/>
  </r>
  <r>
    <x v="267"/>
    <x v="1"/>
    <n v="78.5"/>
  </r>
  <r>
    <x v="268"/>
    <x v="0"/>
    <n v="76"/>
  </r>
  <r>
    <x v="269"/>
    <x v="0"/>
    <n v="75.5"/>
  </r>
  <r>
    <x v="270"/>
    <x v="0"/>
    <n v="71"/>
  </r>
  <r>
    <x v="271"/>
    <x v="0"/>
    <n v="73"/>
  </r>
  <r>
    <x v="272"/>
    <x v="1"/>
    <n v="75"/>
  </r>
  <r>
    <x v="273"/>
    <x v="1"/>
    <n v="69.5"/>
  </r>
  <r>
    <x v="274"/>
    <x v="2"/>
    <n v="71.5"/>
  </r>
  <r>
    <x v="275"/>
    <x v="0"/>
    <n v="73"/>
  </r>
  <r>
    <x v="276"/>
    <x v="0"/>
    <n v="70"/>
  </r>
  <r>
    <x v="277"/>
    <x v="0"/>
    <n v="71"/>
  </r>
  <r>
    <x v="278"/>
    <x v="0"/>
    <n v="78.5"/>
  </r>
  <r>
    <x v="279"/>
    <x v="1"/>
    <n v="78.5"/>
  </r>
  <r>
    <x v="280"/>
    <x v="0"/>
    <n v="72"/>
  </r>
  <r>
    <x v="281"/>
    <x v="0"/>
    <n v="70"/>
  </r>
  <r>
    <x v="282"/>
    <x v="0"/>
    <n v="67.5"/>
  </r>
  <r>
    <x v="283"/>
    <x v="0"/>
    <n v="68"/>
  </r>
  <r>
    <x v="284"/>
    <x v="0"/>
    <n v="78"/>
  </r>
  <r>
    <x v="285"/>
    <x v="1"/>
    <n v="82.5"/>
  </r>
  <r>
    <x v="286"/>
    <x v="0"/>
    <n v="74.5"/>
  </r>
  <r>
    <x v="287"/>
    <x v="0"/>
    <n v="73"/>
  </r>
  <r>
    <x v="208"/>
    <x v="0"/>
    <n v="71"/>
  </r>
  <r>
    <x v="288"/>
    <x v="0"/>
    <n v="77"/>
  </r>
  <r>
    <x v="289"/>
    <x v="0"/>
    <n v="70.5"/>
  </r>
  <r>
    <x v="290"/>
    <x v="1"/>
    <n v="70"/>
  </r>
  <r>
    <x v="291"/>
    <x v="1"/>
    <n v="76"/>
  </r>
  <r>
    <x v="292"/>
    <x v="1"/>
    <n v="79"/>
  </r>
  <r>
    <x v="293"/>
    <x v="2"/>
    <n v="75"/>
  </r>
  <r>
    <x v="294"/>
    <x v="0"/>
    <n v="70"/>
  </r>
  <r>
    <x v="87"/>
    <x v="0"/>
    <n v="75.5"/>
  </r>
  <r>
    <x v="295"/>
    <x v="1"/>
    <n v="74"/>
  </r>
  <r>
    <x v="296"/>
    <x v="0"/>
    <n v="71"/>
  </r>
  <r>
    <x v="297"/>
    <x v="2"/>
    <n v="84.5"/>
  </r>
  <r>
    <x v="298"/>
    <x v="1"/>
    <n v="53.5"/>
  </r>
  <r>
    <x v="299"/>
    <x v="1"/>
    <n v="79"/>
  </r>
  <r>
    <x v="300"/>
    <x v="0"/>
    <n v="72"/>
  </r>
  <r>
    <x v="301"/>
    <x v="1"/>
    <n v="75"/>
  </r>
  <r>
    <x v="302"/>
    <x v="2"/>
    <n v="68"/>
  </r>
  <r>
    <x v="303"/>
    <x v="1"/>
    <n v="73"/>
  </r>
  <r>
    <x v="304"/>
    <x v="1"/>
    <n v="73"/>
  </r>
  <r>
    <x v="305"/>
    <x v="1"/>
    <n v="65"/>
  </r>
  <r>
    <x v="306"/>
    <x v="1"/>
    <n v="72"/>
  </r>
  <r>
    <x v="307"/>
    <x v="0"/>
    <n v="73"/>
  </r>
  <r>
    <x v="308"/>
    <x v="0"/>
    <n v="69"/>
  </r>
  <r>
    <x v="309"/>
    <x v="0"/>
    <n v="77.5"/>
  </r>
  <r>
    <x v="310"/>
    <x v="1"/>
    <n v="63"/>
  </r>
  <r>
    <x v="311"/>
    <x v="0"/>
    <n v="72"/>
  </r>
  <r>
    <x v="312"/>
    <x v="1"/>
    <n v="75"/>
  </r>
  <r>
    <x v="313"/>
    <x v="1"/>
    <n v="72.5"/>
  </r>
  <r>
    <x v="314"/>
    <x v="0"/>
    <n v="57.5"/>
  </r>
  <r>
    <x v="315"/>
    <x v="2"/>
    <n v="66"/>
  </r>
  <r>
    <x v="316"/>
    <x v="0"/>
    <n v="81.5"/>
  </r>
  <r>
    <x v="317"/>
    <x v="1"/>
    <n v="65.5"/>
  </r>
  <r>
    <x v="318"/>
    <x v="0"/>
    <n v="71.5"/>
  </r>
  <r>
    <x v="319"/>
    <x v="1"/>
    <n v="53.5"/>
  </r>
  <r>
    <x v="320"/>
    <x v="0"/>
    <n v="73"/>
  </r>
  <r>
    <x v="321"/>
    <x v="0"/>
    <n v="58.5"/>
  </r>
  <r>
    <x v="322"/>
    <x v="0"/>
    <n v="72.5"/>
  </r>
  <r>
    <x v="323"/>
    <x v="0"/>
    <n v="66"/>
  </r>
  <r>
    <x v="324"/>
    <x v="0"/>
    <n v="73"/>
  </r>
  <r>
    <x v="325"/>
    <x v="2"/>
    <n v="73"/>
  </r>
  <r>
    <x v="326"/>
    <x v="2"/>
    <n v="74"/>
  </r>
  <r>
    <x v="327"/>
    <x v="0"/>
    <n v="69"/>
  </r>
  <r>
    <x v="328"/>
    <x v="0"/>
    <n v="75"/>
  </r>
  <r>
    <x v="329"/>
    <x v="1"/>
    <n v="72"/>
  </r>
  <r>
    <x v="330"/>
    <x v="1"/>
    <n v="70"/>
  </r>
  <r>
    <x v="331"/>
    <x v="1"/>
    <n v="73"/>
  </r>
  <r>
    <x v="332"/>
    <x v="0"/>
    <n v="68"/>
  </r>
  <r>
    <x v="333"/>
    <x v="1"/>
    <n v="72"/>
  </r>
  <r>
    <x v="334"/>
    <x v="1"/>
    <n v="71"/>
  </r>
  <r>
    <x v="258"/>
    <x v="0"/>
    <n v="68"/>
  </r>
  <r>
    <x v="335"/>
    <x v="1"/>
    <n v="76.5"/>
  </r>
  <r>
    <x v="336"/>
    <x v="0"/>
    <n v="71"/>
  </r>
  <r>
    <x v="69"/>
    <x v="0"/>
    <n v="67.5"/>
  </r>
  <r>
    <x v="337"/>
    <x v="2"/>
    <n v="68"/>
  </r>
  <r>
    <x v="338"/>
    <x v="1"/>
    <n v="72"/>
  </r>
  <r>
    <x v="339"/>
    <x v="0"/>
    <n v="72"/>
  </r>
  <r>
    <x v="340"/>
    <x v="0"/>
    <n v="69"/>
  </r>
  <r>
    <x v="341"/>
    <x v="1"/>
    <n v="53"/>
  </r>
  <r>
    <x v="342"/>
    <x v="0"/>
    <n v="69"/>
  </r>
  <r>
    <x v="343"/>
    <x v="0"/>
    <n v="74"/>
  </r>
  <r>
    <x v="344"/>
    <x v="0"/>
    <n v="71"/>
  </r>
  <r>
    <x v="345"/>
    <x v="0"/>
    <n v="75"/>
  </r>
  <r>
    <x v="346"/>
    <x v="0"/>
    <n v="69"/>
  </r>
  <r>
    <x v="347"/>
    <x v="0"/>
    <n v="74"/>
  </r>
  <r>
    <x v="348"/>
    <x v="2"/>
    <n v="71"/>
  </r>
  <r>
    <x v="349"/>
    <x v="0"/>
    <n v="70.5"/>
  </r>
  <r>
    <x v="350"/>
    <x v="1"/>
    <n v="70"/>
  </r>
  <r>
    <x v="351"/>
    <x v="2"/>
    <n v="74.5"/>
  </r>
  <r>
    <x v="352"/>
    <x v="0"/>
    <n v="87"/>
  </r>
  <r>
    <x v="353"/>
    <x v="0"/>
    <n v="73"/>
  </r>
  <r>
    <x v="354"/>
    <x v="2"/>
    <n v="71"/>
  </r>
  <r>
    <x v="355"/>
    <x v="1"/>
    <n v="73"/>
  </r>
  <r>
    <x v="356"/>
    <x v="2"/>
    <n v="67"/>
  </r>
  <r>
    <x v="357"/>
    <x v="2"/>
    <n v="67.5"/>
  </r>
  <r>
    <x v="358"/>
    <x v="0"/>
    <n v="73"/>
  </r>
  <r>
    <x v="359"/>
    <x v="0"/>
    <n v="66"/>
  </r>
  <r>
    <x v="360"/>
    <x v="0"/>
    <n v="69"/>
  </r>
  <r>
    <x v="361"/>
    <x v="0"/>
    <n v="72"/>
  </r>
  <r>
    <x v="362"/>
    <x v="0"/>
    <n v="68"/>
  </r>
  <r>
    <x v="363"/>
    <x v="0"/>
    <n v="52"/>
  </r>
  <r>
    <x v="364"/>
    <x v="0"/>
    <n v="71"/>
  </r>
  <r>
    <x v="365"/>
    <x v="0"/>
    <n v="67"/>
  </r>
  <r>
    <x v="366"/>
    <x v="1"/>
    <n v="75"/>
  </r>
  <r>
    <x v="367"/>
    <x v="2"/>
    <n v="75"/>
  </r>
  <r>
    <x v="368"/>
    <x v="1"/>
    <n v="68"/>
  </r>
  <r>
    <x v="369"/>
    <x v="1"/>
    <n v="69"/>
  </r>
  <r>
    <x v="370"/>
    <x v="1"/>
    <n v="70"/>
  </r>
  <r>
    <x v="12"/>
    <x v="0"/>
    <n v="71"/>
  </r>
  <r>
    <x v="371"/>
    <x v="1"/>
    <n v="70"/>
  </r>
  <r>
    <x v="372"/>
    <x v="1"/>
    <n v="75"/>
  </r>
  <r>
    <x v="373"/>
    <x v="1"/>
    <n v="68"/>
  </r>
  <r>
    <x v="374"/>
    <x v="1"/>
    <n v="66"/>
  </r>
  <r>
    <x v="375"/>
    <x v="1"/>
    <n v="71"/>
  </r>
  <r>
    <x v="376"/>
    <x v="1"/>
    <n v="75"/>
  </r>
  <r>
    <x v="377"/>
    <x v="1"/>
    <n v="73"/>
  </r>
  <r>
    <x v="378"/>
    <x v="0"/>
    <n v="72"/>
  </r>
  <r>
    <x v="379"/>
    <x v="0"/>
    <n v="68"/>
  </r>
  <r>
    <x v="232"/>
    <x v="0"/>
    <n v="65"/>
  </r>
  <r>
    <x v="380"/>
    <x v="1"/>
    <n v="75"/>
  </r>
  <r>
    <x v="381"/>
    <x v="0"/>
    <n v="69"/>
  </r>
  <r>
    <x v="382"/>
    <x v="2"/>
    <n v="75"/>
  </r>
  <r>
    <x v="383"/>
    <x v="1"/>
    <n v="73"/>
  </r>
  <r>
    <x v="384"/>
    <x v="1"/>
    <n v="75"/>
  </r>
  <r>
    <x v="385"/>
    <x v="1"/>
    <n v="65"/>
  </r>
  <r>
    <x v="386"/>
    <x v="2"/>
    <n v="72"/>
  </r>
  <r>
    <x v="387"/>
    <x v="1"/>
    <n v="58"/>
  </r>
  <r>
    <x v="388"/>
    <x v="0"/>
    <n v="66"/>
  </r>
  <r>
    <x v="389"/>
    <x v="0"/>
    <n v="68"/>
  </r>
  <r>
    <x v="390"/>
    <x v="0"/>
    <n v="69"/>
  </r>
  <r>
    <x v="391"/>
    <x v="1"/>
    <n v="368.5"/>
  </r>
  <r>
    <x v="392"/>
    <x v="2"/>
    <n v="77.5"/>
  </r>
  <r>
    <x v="386"/>
    <x v="0"/>
    <n v="74"/>
  </r>
  <r>
    <x v="393"/>
    <x v="2"/>
    <n v="62"/>
  </r>
  <r>
    <x v="394"/>
    <x v="0"/>
    <n v="69"/>
  </r>
  <r>
    <x v="395"/>
    <x v="0"/>
    <n v="68"/>
  </r>
  <r>
    <x v="396"/>
    <x v="0"/>
    <n v="74"/>
  </r>
  <r>
    <x v="397"/>
    <x v="0"/>
    <n v="76"/>
  </r>
  <r>
    <x v="87"/>
    <x v="0"/>
    <n v="74"/>
  </r>
  <r>
    <x v="398"/>
    <x v="0"/>
    <n v="71"/>
  </r>
  <r>
    <x v="399"/>
    <x v="1"/>
    <n v="71"/>
  </r>
  <r>
    <x v="400"/>
    <x v="0"/>
    <n v="82"/>
  </r>
  <r>
    <x v="401"/>
    <x v="0"/>
    <n v="69"/>
  </r>
  <r>
    <x v="402"/>
    <x v="0"/>
    <n v="69"/>
  </r>
  <r>
    <x v="403"/>
    <x v="0"/>
    <n v="68"/>
  </r>
  <r>
    <x v="404"/>
    <x v="0"/>
    <n v="72"/>
  </r>
  <r>
    <x v="405"/>
    <x v="1"/>
    <n v="68.5"/>
  </r>
  <r>
    <x v="406"/>
    <x v="1"/>
    <n v="71"/>
  </r>
  <r>
    <x v="407"/>
    <x v="1"/>
    <n v="72"/>
  </r>
  <r>
    <x v="408"/>
    <x v="1"/>
    <n v="67.5"/>
  </r>
  <r>
    <x v="409"/>
    <x v="1"/>
    <n v="70"/>
  </r>
  <r>
    <x v="410"/>
    <x v="2"/>
    <n v="68.5"/>
  </r>
  <r>
    <x v="411"/>
    <x v="1"/>
    <n v="68"/>
  </r>
  <r>
    <x v="412"/>
    <x v="1"/>
    <n v="71"/>
  </r>
  <r>
    <x v="413"/>
    <x v="2"/>
    <n v="69"/>
  </r>
  <r>
    <x v="174"/>
    <x v="0"/>
    <n v="69"/>
  </r>
  <r>
    <x v="414"/>
    <x v="0"/>
    <n v="72"/>
  </r>
  <r>
    <x v="415"/>
    <x v="0"/>
    <n v="68.5"/>
  </r>
  <r>
    <x v="416"/>
    <x v="1"/>
    <n v="68"/>
  </r>
  <r>
    <x v="417"/>
    <x v="1"/>
    <n v="69"/>
  </r>
  <r>
    <x v="418"/>
    <x v="0"/>
    <n v="72"/>
  </r>
  <r>
    <x v="288"/>
    <x v="0"/>
    <n v="68"/>
  </r>
  <r>
    <x v="419"/>
    <x v="0"/>
    <n v="73.5"/>
  </r>
  <r>
    <x v="420"/>
    <x v="1"/>
    <n v="72"/>
  </r>
  <r>
    <x v="421"/>
    <x v="0"/>
    <n v="72"/>
  </r>
  <r>
    <x v="422"/>
    <x v="0"/>
    <n v="73"/>
  </r>
  <r>
    <x v="423"/>
    <x v="2"/>
    <n v="66"/>
  </r>
  <r>
    <x v="424"/>
    <x v="0"/>
    <n v="69"/>
  </r>
  <r>
    <x v="425"/>
    <x v="0"/>
    <n v="71"/>
  </r>
  <r>
    <x v="426"/>
    <x v="0"/>
    <n v="70"/>
  </r>
  <r>
    <x v="427"/>
    <x v="0"/>
    <n v="68.5"/>
  </r>
  <r>
    <x v="428"/>
    <x v="1"/>
    <n v="76"/>
  </r>
  <r>
    <x v="121"/>
    <x v="0"/>
    <n v="67"/>
  </r>
  <r>
    <x v="429"/>
    <x v="0"/>
    <n v="65"/>
  </r>
  <r>
    <x v="430"/>
    <x v="0"/>
    <n v="67"/>
  </r>
  <r>
    <x v="431"/>
    <x v="0"/>
    <n v="68"/>
  </r>
  <r>
    <x v="432"/>
    <x v="0"/>
    <n v="68"/>
  </r>
  <r>
    <x v="433"/>
    <x v="0"/>
    <n v="72"/>
  </r>
  <r>
    <x v="434"/>
    <x v="0"/>
    <n v="72.5"/>
  </r>
  <r>
    <x v="435"/>
    <x v="1"/>
    <n v="71.5"/>
  </r>
  <r>
    <x v="436"/>
    <x v="0"/>
    <n v="72"/>
  </r>
  <r>
    <x v="437"/>
    <x v="1"/>
    <n v="68"/>
  </r>
  <r>
    <x v="438"/>
    <x v="0"/>
    <n v="70.5"/>
  </r>
  <r>
    <x v="215"/>
    <x v="0"/>
    <n v="67"/>
  </r>
  <r>
    <x v="439"/>
    <x v="0"/>
    <n v="67"/>
  </r>
  <r>
    <x v="440"/>
    <x v="2"/>
    <n v="77.5"/>
  </r>
  <r>
    <x v="441"/>
    <x v="1"/>
    <n v="71"/>
  </r>
  <r>
    <x v="442"/>
    <x v="1"/>
    <n v="64"/>
  </r>
  <r>
    <x v="443"/>
    <x v="1"/>
    <n v="72"/>
  </r>
  <r>
    <x v="444"/>
    <x v="0"/>
    <n v="70"/>
  </r>
  <r>
    <x v="445"/>
    <x v="0"/>
    <n v="65.5"/>
  </r>
  <r>
    <x v="446"/>
    <x v="2"/>
    <n v="62"/>
  </r>
  <r>
    <x v="447"/>
    <x v="0"/>
    <n v="67.5"/>
  </r>
  <r>
    <x v="448"/>
    <x v="0"/>
    <n v="69"/>
  </r>
  <r>
    <x v="449"/>
    <x v="0"/>
    <n v="71"/>
  </r>
  <r>
    <x v="450"/>
    <x v="0"/>
    <n v="68"/>
  </r>
  <r>
    <x v="451"/>
    <x v="1"/>
    <n v="67.5"/>
  </r>
  <r>
    <x v="452"/>
    <x v="0"/>
    <n v="68"/>
  </r>
  <r>
    <x v="453"/>
    <x v="1"/>
    <n v="67"/>
  </r>
  <r>
    <x v="454"/>
    <x v="1"/>
    <n v="71"/>
  </r>
  <r>
    <x v="455"/>
    <x v="0"/>
    <n v="61"/>
  </r>
  <r>
    <x v="456"/>
    <x v="1"/>
    <n v="67"/>
  </r>
  <r>
    <x v="457"/>
    <x v="0"/>
    <n v="68"/>
  </r>
  <r>
    <x v="458"/>
    <x v="1"/>
    <n v="67"/>
  </r>
  <r>
    <x v="459"/>
    <x v="1"/>
    <n v="69"/>
  </r>
  <r>
    <x v="460"/>
    <x v="0"/>
    <n v="71"/>
  </r>
  <r>
    <x v="461"/>
    <x v="1"/>
    <n v="73"/>
  </r>
  <r>
    <x v="462"/>
    <x v="1"/>
    <n v="68.5"/>
  </r>
  <r>
    <x v="257"/>
    <x v="0"/>
    <n v="66"/>
  </r>
  <r>
    <x v="463"/>
    <x v="0"/>
    <n v="68.5"/>
  </r>
  <r>
    <x v="464"/>
    <x v="0"/>
    <n v="71"/>
  </r>
  <r>
    <x v="465"/>
    <x v="2"/>
    <n v="62"/>
  </r>
  <r>
    <x v="466"/>
    <x v="0"/>
    <n v="65"/>
  </r>
  <r>
    <x v="467"/>
    <x v="0"/>
    <n v="73"/>
  </r>
  <r>
    <x v="468"/>
    <x v="0"/>
    <n v="68.5"/>
  </r>
  <r>
    <x v="469"/>
    <x v="0"/>
    <n v="70"/>
  </r>
  <r>
    <x v="470"/>
    <x v="0"/>
    <n v="72"/>
  </r>
  <r>
    <x v="471"/>
    <x v="0"/>
    <n v="67"/>
  </r>
  <r>
    <x v="472"/>
    <x v="1"/>
    <n v="67.5"/>
  </r>
  <r>
    <x v="473"/>
    <x v="1"/>
    <n v="67.5"/>
  </r>
  <r>
    <x v="474"/>
    <x v="2"/>
    <n v="73.5"/>
  </r>
  <r>
    <x v="475"/>
    <x v="0"/>
    <n v="68"/>
  </r>
  <r>
    <x v="197"/>
    <x v="1"/>
    <n v="66"/>
  </r>
  <r>
    <x v="476"/>
    <x v="1"/>
    <n v="66.5"/>
  </r>
  <r>
    <x v="477"/>
    <x v="1"/>
    <n v="68.5"/>
  </r>
  <r>
    <x v="478"/>
    <x v="0"/>
    <n v="70"/>
  </r>
  <r>
    <x v="479"/>
    <x v="0"/>
    <n v="71"/>
  </r>
  <r>
    <x v="480"/>
    <x v="0"/>
    <n v="66"/>
  </r>
  <r>
    <x v="243"/>
    <x v="0"/>
    <n v="71"/>
  </r>
  <r>
    <x v="481"/>
    <x v="2"/>
    <n v="66"/>
  </r>
  <r>
    <x v="482"/>
    <x v="0"/>
    <n v="72"/>
  </r>
  <r>
    <x v="483"/>
    <x v="1"/>
    <n v="72"/>
  </r>
  <r>
    <x v="484"/>
    <x v="0"/>
    <n v="71"/>
  </r>
  <r>
    <x v="485"/>
    <x v="1"/>
    <n v="73"/>
  </r>
  <r>
    <x v="486"/>
    <x v="0"/>
    <n v="68.5"/>
  </r>
  <r>
    <x v="487"/>
    <x v="2"/>
    <n v="71"/>
  </r>
  <r>
    <x v="488"/>
    <x v="0"/>
    <n v="73"/>
  </r>
  <r>
    <x v="489"/>
    <x v="0"/>
    <n v="72"/>
  </r>
  <r>
    <x v="490"/>
    <x v="0"/>
    <n v="65"/>
  </r>
  <r>
    <x v="424"/>
    <x v="0"/>
    <n v="70"/>
  </r>
  <r>
    <x v="491"/>
    <x v="0"/>
    <n v="72"/>
  </r>
  <r>
    <x v="492"/>
    <x v="1"/>
    <n v="73"/>
  </r>
  <r>
    <x v="493"/>
    <x v="0"/>
    <n v="67"/>
  </r>
  <r>
    <x v="494"/>
    <x v="1"/>
    <n v="72"/>
  </r>
  <r>
    <x v="495"/>
    <x v="1"/>
    <n v="68.5"/>
  </r>
  <r>
    <x v="496"/>
    <x v="1"/>
    <n v="71"/>
  </r>
  <r>
    <x v="497"/>
    <x v="1"/>
    <n v="43"/>
  </r>
  <r>
    <x v="498"/>
    <x v="2"/>
    <n v="50"/>
  </r>
  <r>
    <x v="499"/>
    <x v="1"/>
    <n v="48.5"/>
  </r>
  <r>
    <x v="500"/>
    <x v="1"/>
    <n v="38.5"/>
  </r>
  <r>
    <x v="501"/>
    <x v="0"/>
    <n v="42.5"/>
  </r>
  <r>
    <x v="502"/>
    <x v="1"/>
    <n v="68"/>
  </r>
  <r>
    <x v="503"/>
    <x v="0"/>
    <n v="66"/>
  </r>
  <r>
    <x v="504"/>
    <x v="0"/>
    <n v="69.5"/>
  </r>
  <r>
    <x v="505"/>
    <x v="1"/>
    <n v="73.5"/>
  </r>
  <r>
    <x v="506"/>
    <x v="0"/>
    <n v="68.5"/>
  </r>
  <r>
    <x v="507"/>
    <x v="0"/>
    <n v="63"/>
  </r>
  <r>
    <x v="508"/>
    <x v="0"/>
    <n v="67"/>
  </r>
  <r>
    <x v="509"/>
    <x v="0"/>
    <n v="67.5"/>
  </r>
  <r>
    <x v="510"/>
    <x v="0"/>
    <n v="69"/>
  </r>
  <r>
    <x v="511"/>
    <x v="0"/>
    <n v="75"/>
  </r>
  <r>
    <x v="512"/>
    <x v="0"/>
    <n v="66.5"/>
  </r>
  <r>
    <x v="513"/>
    <x v="0"/>
    <n v="69"/>
  </r>
  <r>
    <x v="514"/>
    <x v="0"/>
    <n v="67.5"/>
  </r>
  <r>
    <x v="75"/>
    <x v="0"/>
    <n v="67"/>
  </r>
  <r>
    <x v="515"/>
    <x v="0"/>
    <n v="69"/>
  </r>
  <r>
    <x v="516"/>
    <x v="0"/>
    <n v="74"/>
  </r>
  <r>
    <x v="517"/>
    <x v="1"/>
    <n v="69"/>
  </r>
  <r>
    <x v="518"/>
    <x v="2"/>
    <n v="69"/>
  </r>
  <r>
    <x v="519"/>
    <x v="1"/>
    <n v="58"/>
  </r>
  <r>
    <x v="520"/>
    <x v="0"/>
    <n v="74"/>
  </r>
  <r>
    <x v="521"/>
    <x v="0"/>
    <n v="74"/>
  </r>
  <r>
    <x v="522"/>
    <x v="1"/>
    <n v="69"/>
  </r>
  <r>
    <x v="523"/>
    <x v="0"/>
    <n v="65"/>
  </r>
  <r>
    <x v="524"/>
    <x v="0"/>
    <n v="73"/>
  </r>
  <r>
    <x v="525"/>
    <x v="0"/>
    <n v="70.5"/>
  </r>
  <r>
    <x v="526"/>
    <x v="0"/>
    <n v="68"/>
  </r>
  <r>
    <x v="527"/>
    <x v="0"/>
    <n v="71"/>
  </r>
  <r>
    <x v="528"/>
    <x v="0"/>
    <n v="69"/>
  </r>
  <r>
    <x v="529"/>
    <x v="1"/>
    <n v="71"/>
  </r>
  <r>
    <x v="530"/>
    <x v="1"/>
    <n v="74"/>
  </r>
  <r>
    <x v="531"/>
    <x v="0"/>
    <n v="69"/>
  </r>
  <r>
    <x v="532"/>
    <x v="0"/>
    <n v="69"/>
  </r>
  <r>
    <x v="533"/>
    <x v="1"/>
    <n v="74"/>
  </r>
  <r>
    <x v="534"/>
    <x v="1"/>
    <n v="71"/>
  </r>
  <r>
    <x v="535"/>
    <x v="0"/>
    <n v="76.5"/>
  </r>
  <r>
    <x v="536"/>
    <x v="0"/>
    <n v="68"/>
  </r>
  <r>
    <x v="537"/>
    <x v="2"/>
    <n v="75.5"/>
  </r>
  <r>
    <x v="538"/>
    <x v="0"/>
    <n v="68.5"/>
  </r>
  <r>
    <x v="539"/>
    <x v="0"/>
    <n v="73"/>
  </r>
  <r>
    <x v="540"/>
    <x v="0"/>
    <n v="68.5"/>
  </r>
  <r>
    <x v="541"/>
    <x v="0"/>
    <n v="68.5"/>
  </r>
  <r>
    <x v="542"/>
    <x v="0"/>
    <n v="67.5"/>
  </r>
  <r>
    <x v="543"/>
    <x v="0"/>
    <n v="71"/>
  </r>
  <r>
    <x v="544"/>
    <x v="1"/>
    <n v="67"/>
  </r>
  <r>
    <x v="545"/>
    <x v="0"/>
    <n v="68"/>
  </r>
  <r>
    <x v="546"/>
    <x v="0"/>
    <n v="74"/>
  </r>
  <r>
    <x v="547"/>
    <x v="0"/>
    <n v="63"/>
  </r>
  <r>
    <x v="548"/>
    <x v="2"/>
    <n v="68"/>
  </r>
  <r>
    <x v="549"/>
    <x v="0"/>
    <n v="75.5"/>
  </r>
  <r>
    <x v="550"/>
    <x v="2"/>
    <n v="73"/>
  </r>
  <r>
    <x v="551"/>
    <x v="1"/>
    <n v="76"/>
  </r>
  <r>
    <x v="552"/>
    <x v="0"/>
    <n v="71"/>
  </r>
  <r>
    <x v="553"/>
    <x v="0"/>
    <n v="83"/>
  </r>
  <r>
    <x v="554"/>
    <x v="0"/>
    <n v="78.5"/>
  </r>
  <r>
    <x v="555"/>
    <x v="2"/>
    <n v="73"/>
  </r>
  <r>
    <x v="556"/>
    <x v="2"/>
    <n v="74"/>
  </r>
  <r>
    <x v="557"/>
    <x v="0"/>
    <n v="73"/>
  </r>
  <r>
    <x v="558"/>
    <x v="0"/>
    <n v="73"/>
  </r>
  <r>
    <x v="559"/>
    <x v="1"/>
    <n v="68.5"/>
  </r>
  <r>
    <x v="560"/>
    <x v="1"/>
    <n v="71"/>
  </r>
  <r>
    <x v="561"/>
    <x v="1"/>
    <n v="71"/>
  </r>
  <r>
    <x v="398"/>
    <x v="0"/>
    <n v="73"/>
  </r>
  <r>
    <x v="562"/>
    <x v="0"/>
    <n v="68.5"/>
  </r>
  <r>
    <x v="323"/>
    <x v="0"/>
    <n v="70.5"/>
  </r>
  <r>
    <x v="563"/>
    <x v="0"/>
    <n v="70"/>
  </r>
  <r>
    <x v="564"/>
    <x v="0"/>
    <n v="67.5"/>
  </r>
  <r>
    <x v="565"/>
    <x v="2"/>
    <n v="66.5"/>
  </r>
  <r>
    <x v="87"/>
    <x v="0"/>
    <n v="73"/>
  </r>
  <r>
    <x v="566"/>
    <x v="0"/>
    <n v="68.5"/>
  </r>
  <r>
    <x v="567"/>
    <x v="0"/>
    <n v="69"/>
  </r>
  <r>
    <x v="568"/>
    <x v="0"/>
    <n v="74.5"/>
  </r>
  <r>
    <x v="569"/>
    <x v="0"/>
    <n v="71.5"/>
  </r>
  <r>
    <x v="570"/>
    <x v="2"/>
    <n v="71"/>
  </r>
  <r>
    <x v="354"/>
    <x v="2"/>
    <n v="70"/>
  </r>
  <r>
    <x v="571"/>
    <x v="1"/>
    <n v="68"/>
  </r>
  <r>
    <x v="572"/>
    <x v="0"/>
    <n v="74"/>
  </r>
  <r>
    <x v="573"/>
    <x v="1"/>
    <n v="67"/>
  </r>
  <r>
    <x v="574"/>
    <x v="1"/>
    <n v="74.5"/>
  </r>
  <r>
    <x v="575"/>
    <x v="1"/>
    <n v="75"/>
  </r>
  <r>
    <x v="576"/>
    <x v="1"/>
    <n v="68"/>
  </r>
  <r>
    <x v="577"/>
    <x v="1"/>
    <n v="68"/>
  </r>
  <r>
    <x v="578"/>
    <x v="2"/>
    <n v="73"/>
  </r>
  <r>
    <x v="237"/>
    <x v="0"/>
    <n v="71"/>
  </r>
  <r>
    <x v="579"/>
    <x v="0"/>
    <n v="68"/>
  </r>
  <r>
    <x v="580"/>
    <x v="1"/>
    <n v="71"/>
  </r>
  <r>
    <x v="581"/>
    <x v="2"/>
    <n v="73"/>
  </r>
  <r>
    <x v="582"/>
    <x v="0"/>
    <n v="70"/>
  </r>
  <r>
    <x v="583"/>
    <x v="0"/>
    <n v="71.5"/>
  </r>
  <r>
    <x v="232"/>
    <x v="0"/>
    <n v="69"/>
  </r>
  <r>
    <x v="584"/>
    <x v="1"/>
    <n v="72.5"/>
  </r>
  <r>
    <x v="450"/>
    <x v="0"/>
    <n v="69"/>
  </r>
  <r>
    <x v="585"/>
    <x v="0"/>
    <n v="69"/>
  </r>
  <r>
    <x v="586"/>
    <x v="1"/>
    <n v="74"/>
  </r>
  <r>
    <x v="587"/>
    <x v="0"/>
    <n v="68"/>
  </r>
  <r>
    <x v="588"/>
    <x v="0"/>
    <n v="68"/>
  </r>
  <r>
    <x v="589"/>
    <x v="1"/>
    <n v="69"/>
  </r>
  <r>
    <x v="590"/>
    <x v="0"/>
    <n v="68"/>
  </r>
  <r>
    <x v="591"/>
    <x v="0"/>
    <n v="71"/>
  </r>
  <r>
    <x v="592"/>
    <x v="1"/>
    <n v="73.5"/>
  </r>
  <r>
    <x v="593"/>
    <x v="0"/>
    <n v="70"/>
  </r>
  <r>
    <x v="594"/>
    <x v="1"/>
    <n v="71"/>
  </r>
  <r>
    <x v="595"/>
    <x v="0"/>
    <n v="71"/>
  </r>
  <r>
    <x v="596"/>
    <x v="2"/>
    <n v="70"/>
  </r>
  <r>
    <x v="597"/>
    <x v="1"/>
    <n v="74"/>
  </r>
  <r>
    <x v="12"/>
    <x v="0"/>
    <n v="70"/>
  </r>
  <r>
    <x v="598"/>
    <x v="2"/>
    <n v="71"/>
  </r>
  <r>
    <x v="599"/>
    <x v="0"/>
    <n v="68.5"/>
  </r>
  <r>
    <x v="600"/>
    <x v="2"/>
    <n v="71"/>
  </r>
  <r>
    <x v="601"/>
    <x v="0"/>
    <n v="72"/>
  </r>
  <r>
    <x v="602"/>
    <x v="0"/>
    <n v="71.5"/>
  </r>
  <r>
    <x v="603"/>
    <x v="0"/>
    <n v="70.5"/>
  </r>
  <r>
    <x v="604"/>
    <x v="0"/>
    <n v="71"/>
  </r>
  <r>
    <x v="365"/>
    <x v="0"/>
    <n v="68"/>
  </r>
  <r>
    <x v="605"/>
    <x v="0"/>
    <n v="71"/>
  </r>
  <r>
    <x v="606"/>
    <x v="0"/>
    <n v="68.5"/>
  </r>
  <r>
    <x v="607"/>
    <x v="0"/>
    <n v="73.5"/>
  </r>
  <r>
    <x v="608"/>
    <x v="0"/>
    <n v="68.5"/>
  </r>
  <r>
    <x v="609"/>
    <x v="0"/>
    <n v="72"/>
  </r>
  <r>
    <x v="610"/>
    <x v="1"/>
    <n v="68"/>
  </r>
  <r>
    <x v="611"/>
    <x v="0"/>
    <n v="68.5"/>
  </r>
  <r>
    <x v="612"/>
    <x v="1"/>
    <n v="71"/>
  </r>
  <r>
    <x v="613"/>
    <x v="1"/>
    <n v="67.5"/>
  </r>
  <r>
    <x v="614"/>
    <x v="1"/>
    <n v="72.5"/>
  </r>
  <r>
    <x v="615"/>
    <x v="1"/>
    <n v="71"/>
  </r>
  <r>
    <x v="616"/>
    <x v="1"/>
    <n v="69"/>
  </r>
  <r>
    <x v="617"/>
    <x v="0"/>
    <n v="68.5"/>
  </r>
  <r>
    <x v="618"/>
    <x v="0"/>
    <n v="66"/>
  </r>
  <r>
    <x v="593"/>
    <x v="0"/>
    <n v="71"/>
  </r>
  <r>
    <x v="619"/>
    <x v="0"/>
    <n v="74"/>
  </r>
  <r>
    <x v="620"/>
    <x v="0"/>
    <n v="66"/>
  </r>
  <r>
    <x v="621"/>
    <x v="0"/>
    <n v="66"/>
  </r>
  <r>
    <x v="622"/>
    <x v="0"/>
    <n v="67"/>
  </r>
  <r>
    <x v="623"/>
    <x v="0"/>
    <n v="68"/>
  </r>
  <r>
    <x v="624"/>
    <x v="0"/>
    <n v="69.5"/>
  </r>
  <r>
    <x v="625"/>
    <x v="0"/>
    <n v="68.5"/>
  </r>
  <r>
    <x v="626"/>
    <x v="1"/>
    <n v="56"/>
  </r>
  <r>
    <x v="627"/>
    <x v="0"/>
    <n v="71"/>
  </r>
  <r>
    <x v="628"/>
    <x v="1"/>
    <n v="73"/>
  </r>
  <r>
    <x v="629"/>
    <x v="0"/>
    <n v="66"/>
  </r>
  <r>
    <x v="340"/>
    <x v="0"/>
    <n v="66.5"/>
  </r>
  <r>
    <x v="630"/>
    <x v="1"/>
    <n v="71"/>
  </r>
  <r>
    <x v="631"/>
    <x v="1"/>
    <n v="75"/>
  </r>
  <r>
    <x v="632"/>
    <x v="1"/>
    <n v="61"/>
  </r>
  <r>
    <x v="633"/>
    <x v="1"/>
    <n v="67"/>
  </r>
  <r>
    <x v="634"/>
    <x v="1"/>
    <n v="68.5"/>
  </r>
  <r>
    <x v="635"/>
    <x v="1"/>
    <n v="73"/>
  </r>
  <r>
    <x v="636"/>
    <x v="0"/>
    <n v="69"/>
  </r>
  <r>
    <x v="637"/>
    <x v="1"/>
    <n v="69"/>
  </r>
  <r>
    <x v="638"/>
    <x v="0"/>
    <n v="68.5"/>
  </r>
  <r>
    <x v="639"/>
    <x v="1"/>
    <n v="71"/>
  </r>
  <r>
    <x v="640"/>
    <x v="1"/>
    <n v="69"/>
  </r>
  <r>
    <x v="641"/>
    <x v="1"/>
    <n v="74"/>
  </r>
  <r>
    <x v="642"/>
    <x v="0"/>
    <n v="67"/>
  </r>
  <r>
    <x v="643"/>
    <x v="0"/>
    <n v="81"/>
  </r>
  <r>
    <x v="644"/>
    <x v="0"/>
    <n v="75"/>
  </r>
  <r>
    <x v="645"/>
    <x v="0"/>
    <n v="68.5"/>
  </r>
  <r>
    <x v="646"/>
    <x v="0"/>
    <n v="68"/>
  </r>
  <r>
    <x v="647"/>
    <x v="0"/>
    <n v="66"/>
  </r>
  <r>
    <x v="648"/>
    <x v="1"/>
    <n v="73.5"/>
  </r>
  <r>
    <x v="649"/>
    <x v="1"/>
    <n v="69.5"/>
  </r>
  <r>
    <x v="296"/>
    <x v="0"/>
    <n v="69"/>
  </r>
  <r>
    <x v="650"/>
    <x v="1"/>
    <n v="68.5"/>
  </r>
  <r>
    <x v="651"/>
    <x v="0"/>
    <n v="65"/>
  </r>
  <r>
    <x v="652"/>
    <x v="0"/>
    <n v="67.5"/>
  </r>
  <r>
    <x v="653"/>
    <x v="1"/>
    <n v="57.5"/>
  </r>
  <r>
    <x v="654"/>
    <x v="0"/>
    <n v="73"/>
  </r>
  <r>
    <x v="655"/>
    <x v="0"/>
    <n v="68.5"/>
  </r>
  <r>
    <x v="656"/>
    <x v="1"/>
    <n v="74"/>
  </r>
  <r>
    <x v="353"/>
    <x v="2"/>
    <n v="71"/>
  </r>
  <r>
    <x v="657"/>
    <x v="0"/>
    <n v="69"/>
  </r>
  <r>
    <x v="658"/>
    <x v="1"/>
    <n v="68.5"/>
  </r>
  <r>
    <x v="659"/>
    <x v="0"/>
    <n v="71"/>
  </r>
  <r>
    <x v="660"/>
    <x v="1"/>
    <n v="71"/>
  </r>
  <r>
    <x v="661"/>
    <x v="1"/>
    <n v="74"/>
  </r>
  <r>
    <x v="662"/>
    <x v="0"/>
    <n v="64"/>
  </r>
  <r>
    <x v="663"/>
    <x v="1"/>
    <n v="65"/>
  </r>
  <r>
    <x v="664"/>
    <x v="1"/>
    <n v="68"/>
  </r>
  <r>
    <x v="665"/>
    <x v="0"/>
    <n v="70"/>
  </r>
  <r>
    <x v="666"/>
    <x v="0"/>
    <n v="68"/>
  </r>
  <r>
    <x v="667"/>
    <x v="0"/>
    <n v="68"/>
  </r>
  <r>
    <x v="668"/>
    <x v="2"/>
    <n v="73"/>
  </r>
  <r>
    <x v="669"/>
    <x v="0"/>
    <n v="67"/>
  </r>
  <r>
    <x v="670"/>
    <x v="1"/>
    <n v="75"/>
  </r>
  <r>
    <x v="671"/>
    <x v="0"/>
    <n v="73"/>
  </r>
  <r>
    <x v="87"/>
    <x v="0"/>
    <n v="69"/>
  </r>
  <r>
    <x v="497"/>
    <x v="1"/>
    <n v="69.5"/>
  </r>
  <r>
    <x v="395"/>
    <x v="0"/>
    <n v="68"/>
  </r>
  <r>
    <x v="158"/>
    <x v="0"/>
    <n v="69"/>
  </r>
  <r>
    <x v="672"/>
    <x v="0"/>
    <n v="67"/>
  </r>
  <r>
    <x v="673"/>
    <x v="0"/>
    <n v="69"/>
  </r>
  <r>
    <x v="674"/>
    <x v="0"/>
    <n v="71"/>
  </r>
  <r>
    <x v="675"/>
    <x v="0"/>
    <n v="80"/>
  </r>
  <r>
    <x v="75"/>
    <x v="0"/>
    <n v="67"/>
  </r>
  <r>
    <x v="676"/>
    <x v="0"/>
    <n v="71"/>
  </r>
  <r>
    <x v="677"/>
    <x v="0"/>
    <n v="68"/>
  </r>
  <r>
    <x v="678"/>
    <x v="2"/>
    <n v="69"/>
  </r>
  <r>
    <x v="679"/>
    <x v="0"/>
    <n v="67"/>
  </r>
  <r>
    <x v="680"/>
    <x v="2"/>
    <n v="69"/>
  </r>
  <r>
    <x v="681"/>
    <x v="0"/>
    <n v="66"/>
  </r>
  <r>
    <x v="682"/>
    <x v="2"/>
    <n v="74"/>
  </r>
  <r>
    <x v="683"/>
    <x v="0"/>
    <n v="70"/>
  </r>
  <r>
    <x v="684"/>
    <x v="1"/>
    <n v="68.5"/>
  </r>
  <r>
    <x v="685"/>
    <x v="1"/>
    <n v="64"/>
  </r>
  <r>
    <x v="686"/>
    <x v="1"/>
    <n v="68"/>
  </r>
  <r>
    <x v="687"/>
    <x v="1"/>
    <n v="70"/>
  </r>
  <r>
    <x v="688"/>
    <x v="1"/>
    <n v="67"/>
  </r>
  <r>
    <x v="689"/>
    <x v="2"/>
    <n v="65.5"/>
  </r>
  <r>
    <x v="690"/>
    <x v="0"/>
    <n v="68"/>
  </r>
  <r>
    <x v="691"/>
    <x v="0"/>
    <n v="71"/>
  </r>
  <r>
    <x v="692"/>
    <x v="0"/>
    <n v="65"/>
  </r>
  <r>
    <x v="693"/>
    <x v="0"/>
    <n v="65"/>
  </r>
  <r>
    <x v="694"/>
    <x v="2"/>
    <n v="68"/>
  </r>
  <r>
    <x v="695"/>
    <x v="0"/>
    <n v="65"/>
  </r>
  <r>
    <x v="696"/>
    <x v="0"/>
    <n v="69"/>
  </r>
  <r>
    <x v="697"/>
    <x v="0"/>
    <n v="67.5"/>
  </r>
  <r>
    <x v="698"/>
    <x v="1"/>
    <n v="71"/>
  </r>
  <r>
    <x v="699"/>
    <x v="1"/>
    <n v="67"/>
  </r>
  <r>
    <x v="700"/>
    <x v="0"/>
    <n v="65.5"/>
  </r>
  <r>
    <x v="506"/>
    <x v="0"/>
    <n v="67"/>
  </r>
  <r>
    <x v="701"/>
    <x v="2"/>
    <n v="68.5"/>
  </r>
  <r>
    <x v="702"/>
    <x v="2"/>
    <n v="67"/>
  </r>
  <r>
    <x v="703"/>
    <x v="0"/>
    <n v="69"/>
  </r>
  <r>
    <x v="704"/>
    <x v="0"/>
    <n v="67"/>
  </r>
  <r>
    <x v="705"/>
    <x v="0"/>
    <n v="69"/>
  </r>
  <r>
    <x v="243"/>
    <x v="0"/>
    <n v="68.5"/>
  </r>
  <r>
    <x v="706"/>
    <x v="1"/>
    <n v="69"/>
  </r>
  <r>
    <x v="707"/>
    <x v="0"/>
    <n v="69"/>
  </r>
  <r>
    <x v="708"/>
    <x v="0"/>
    <n v="71"/>
  </r>
  <r>
    <x v="709"/>
    <x v="1"/>
    <n v="63"/>
  </r>
  <r>
    <x v="710"/>
    <x v="0"/>
    <n v="67"/>
  </r>
  <r>
    <x v="711"/>
    <x v="0"/>
    <n v="69"/>
  </r>
  <r>
    <x v="712"/>
    <x v="1"/>
    <n v="65"/>
  </r>
  <r>
    <x v="713"/>
    <x v="1"/>
    <n v="68"/>
  </r>
  <r>
    <x v="714"/>
    <x v="1"/>
    <n v="57.5"/>
  </r>
  <r>
    <x v="715"/>
    <x v="0"/>
    <n v="69"/>
  </r>
  <r>
    <x v="716"/>
    <x v="0"/>
    <n v="67"/>
  </r>
  <r>
    <x v="717"/>
    <x v="1"/>
    <n v="66"/>
  </r>
  <r>
    <x v="718"/>
    <x v="1"/>
    <n v="68"/>
  </r>
  <r>
    <x v="719"/>
    <x v="1"/>
    <n v="56"/>
  </r>
  <r>
    <x v="720"/>
    <x v="0"/>
    <n v="65"/>
  </r>
  <r>
    <x v="721"/>
    <x v="1"/>
    <n v="67.5"/>
  </r>
  <r>
    <x v="722"/>
    <x v="2"/>
    <n v="67"/>
  </r>
  <r>
    <x v="619"/>
    <x v="0"/>
    <n v="68"/>
  </r>
  <r>
    <x v="715"/>
    <x v="0"/>
    <n v="70"/>
  </r>
  <r>
    <x v="558"/>
    <x v="0"/>
    <n v="68.5"/>
  </r>
  <r>
    <x v="723"/>
    <x v="0"/>
    <n v="68.5"/>
  </r>
  <r>
    <x v="724"/>
    <x v="1"/>
    <n v="74"/>
  </r>
  <r>
    <x v="725"/>
    <x v="1"/>
    <n v="71"/>
  </r>
  <r>
    <x v="726"/>
    <x v="0"/>
    <n v="64"/>
  </r>
  <r>
    <x v="727"/>
    <x v="1"/>
    <n v="67.5"/>
  </r>
  <r>
    <x v="728"/>
    <x v="1"/>
    <n v="67.5"/>
  </r>
  <r>
    <x v="729"/>
    <x v="0"/>
    <n v="84"/>
  </r>
  <r>
    <x v="730"/>
    <x v="0"/>
    <n v="69"/>
  </r>
  <r>
    <x v="731"/>
    <x v="0"/>
    <n v="68.5"/>
  </r>
  <r>
    <x v="732"/>
    <x v="1"/>
    <n v="68"/>
  </r>
  <r>
    <x v="733"/>
    <x v="0"/>
    <n v="67"/>
  </r>
  <r>
    <x v="734"/>
    <x v="1"/>
    <n v="67"/>
  </r>
  <r>
    <x v="735"/>
    <x v="1"/>
    <n v="68.5"/>
  </r>
  <r>
    <x v="736"/>
    <x v="1"/>
    <n v="72"/>
  </r>
  <r>
    <x v="737"/>
    <x v="0"/>
    <n v="71"/>
  </r>
  <r>
    <x v="738"/>
    <x v="0"/>
    <n v="63"/>
  </r>
  <r>
    <x v="739"/>
    <x v="0"/>
    <n v="66"/>
  </r>
  <r>
    <x v="740"/>
    <x v="1"/>
    <n v="51.5"/>
  </r>
  <r>
    <x v="741"/>
    <x v="0"/>
    <n v="67"/>
  </r>
  <r>
    <x v="702"/>
    <x v="2"/>
    <n v="65.5"/>
  </r>
  <r>
    <x v="742"/>
    <x v="2"/>
    <n v="66"/>
  </r>
  <r>
    <x v="743"/>
    <x v="2"/>
    <n v="68.5"/>
  </r>
  <r>
    <x v="744"/>
    <x v="0"/>
    <n v="71"/>
  </r>
  <r>
    <x v="745"/>
    <x v="1"/>
    <n v="66"/>
  </r>
  <r>
    <x v="746"/>
    <x v="1"/>
    <n v="57"/>
  </r>
  <r>
    <x v="747"/>
    <x v="1"/>
    <n v="69"/>
  </r>
  <r>
    <x v="748"/>
    <x v="1"/>
    <n v="69"/>
  </r>
  <r>
    <x v="749"/>
    <x v="1"/>
    <n v="67.5"/>
  </r>
  <r>
    <x v="750"/>
    <x v="1"/>
    <n v="65"/>
  </r>
  <r>
    <x v="751"/>
    <x v="0"/>
    <n v="68"/>
  </r>
  <r>
    <x v="752"/>
    <x v="0"/>
    <n v="71"/>
  </r>
  <r>
    <x v="753"/>
    <x v="0"/>
    <n v="65"/>
  </r>
  <r>
    <x v="754"/>
    <x v="0"/>
    <n v="64"/>
  </r>
  <r>
    <x v="755"/>
    <x v="0"/>
    <n v="72"/>
  </r>
  <r>
    <x v="756"/>
    <x v="0"/>
    <n v="68"/>
  </r>
  <r>
    <x v="757"/>
    <x v="1"/>
    <n v="68.5"/>
  </r>
  <r>
    <x v="758"/>
    <x v="2"/>
    <n v="65.5"/>
  </r>
  <r>
    <x v="464"/>
    <x v="1"/>
    <n v="53"/>
  </r>
  <r>
    <x v="759"/>
    <x v="1"/>
    <n v="70"/>
  </r>
  <r>
    <x v="760"/>
    <x v="2"/>
    <n v="53"/>
  </r>
  <r>
    <x v="761"/>
    <x v="1"/>
    <n v="47"/>
  </r>
  <r>
    <x v="762"/>
    <x v="0"/>
    <n v="45"/>
  </r>
  <r>
    <x v="763"/>
    <x v="0"/>
    <n v="53.5"/>
  </r>
  <r>
    <x v="764"/>
    <x v="0"/>
    <n v="54"/>
  </r>
  <r>
    <x v="765"/>
    <x v="0"/>
    <n v="68"/>
  </r>
  <r>
    <x v="766"/>
    <x v="0"/>
    <n v="69"/>
  </r>
  <r>
    <x v="767"/>
    <x v="0"/>
    <n v="73"/>
  </r>
  <r>
    <x v="768"/>
    <x v="1"/>
    <n v="68"/>
  </r>
  <r>
    <x v="769"/>
    <x v="0"/>
    <n v="69"/>
  </r>
  <r>
    <x v="770"/>
    <x v="0"/>
    <n v="75"/>
  </r>
  <r>
    <x v="675"/>
    <x v="0"/>
    <n v="68"/>
  </r>
  <r>
    <x v="771"/>
    <x v="0"/>
    <n v="69"/>
  </r>
  <r>
    <x v="772"/>
    <x v="1"/>
    <n v="71"/>
  </r>
  <r>
    <x v="773"/>
    <x v="1"/>
    <n v="67"/>
  </r>
  <r>
    <x v="774"/>
    <x v="1"/>
    <n v="67"/>
  </r>
  <r>
    <x v="775"/>
    <x v="0"/>
    <n v="70"/>
  </r>
  <r>
    <x v="776"/>
    <x v="0"/>
    <n v="64"/>
  </r>
  <r>
    <x v="777"/>
    <x v="0"/>
    <n v="69"/>
  </r>
  <r>
    <x v="778"/>
    <x v="0"/>
    <n v="68"/>
  </r>
  <r>
    <x v="779"/>
    <x v="0"/>
    <n v="71"/>
  </r>
  <r>
    <x v="780"/>
    <x v="2"/>
    <n v="71"/>
  </r>
  <r>
    <x v="781"/>
    <x v="2"/>
    <n v="74"/>
  </r>
  <r>
    <x v="782"/>
    <x v="2"/>
    <n v="70"/>
  </r>
  <r>
    <x v="783"/>
    <x v="2"/>
    <n v="64"/>
  </r>
  <r>
    <x v="784"/>
    <x v="0"/>
    <n v="68"/>
  </r>
  <r>
    <x v="785"/>
    <x v="0"/>
    <n v="72"/>
  </r>
  <r>
    <x v="786"/>
    <x v="0"/>
    <n v="67"/>
  </r>
  <r>
    <x v="787"/>
    <x v="0"/>
    <n v="67"/>
  </r>
  <r>
    <x v="788"/>
    <x v="1"/>
    <n v="69"/>
  </r>
  <r>
    <x v="789"/>
    <x v="0"/>
    <n v="66"/>
  </r>
  <r>
    <x v="790"/>
    <x v="0"/>
    <n v="69"/>
  </r>
  <r>
    <x v="791"/>
    <x v="0"/>
    <n v="68"/>
  </r>
  <r>
    <x v="792"/>
    <x v="1"/>
    <n v="68"/>
  </r>
  <r>
    <x v="793"/>
    <x v="2"/>
    <n v="76"/>
  </r>
  <r>
    <x v="794"/>
    <x v="0"/>
    <n v="71"/>
  </r>
  <r>
    <x v="795"/>
    <x v="0"/>
    <n v="67"/>
  </r>
  <r>
    <x v="796"/>
    <x v="1"/>
    <n v="65.5"/>
  </r>
  <r>
    <x v="797"/>
    <x v="0"/>
    <n v="68"/>
  </r>
  <r>
    <x v="798"/>
    <x v="0"/>
    <n v="68"/>
  </r>
  <r>
    <x v="799"/>
    <x v="0"/>
    <n v="63"/>
  </r>
  <r>
    <x v="800"/>
    <x v="0"/>
    <n v="66"/>
  </r>
  <r>
    <x v="564"/>
    <x v="0"/>
    <n v="71"/>
  </r>
  <r>
    <x v="801"/>
    <x v="1"/>
    <n v="69"/>
  </r>
  <r>
    <x v="802"/>
    <x v="0"/>
    <n v="68"/>
  </r>
  <r>
    <x v="803"/>
    <x v="2"/>
    <n v="67"/>
  </r>
  <r>
    <x v="804"/>
    <x v="0"/>
    <n v="69"/>
  </r>
  <r>
    <x v="805"/>
    <x v="1"/>
    <n v="73"/>
  </r>
  <r>
    <x v="806"/>
    <x v="0"/>
    <n v="63"/>
  </r>
  <r>
    <x v="807"/>
    <x v="0"/>
    <n v="65"/>
  </r>
  <r>
    <x v="808"/>
    <x v="0"/>
    <n v="67"/>
  </r>
  <r>
    <x v="809"/>
    <x v="0"/>
    <n v="71"/>
  </r>
  <r>
    <x v="810"/>
    <x v="0"/>
    <n v="69"/>
  </r>
  <r>
    <x v="811"/>
    <x v="0"/>
    <n v="68"/>
  </r>
  <r>
    <x v="812"/>
    <x v="1"/>
    <n v="63"/>
  </r>
  <r>
    <x v="813"/>
    <x v="1"/>
    <n v="70"/>
  </r>
  <r>
    <x v="814"/>
    <x v="1"/>
    <n v="52"/>
  </r>
  <r>
    <x v="64"/>
    <x v="0"/>
    <n v="68"/>
  </r>
  <r>
    <x v="815"/>
    <x v="2"/>
    <n v="67"/>
  </r>
  <r>
    <x v="816"/>
    <x v="0"/>
    <n v="69"/>
  </r>
  <r>
    <x v="817"/>
    <x v="2"/>
    <n v="76"/>
  </r>
  <r>
    <x v="818"/>
    <x v="0"/>
    <n v="68"/>
  </r>
  <r>
    <x v="819"/>
    <x v="0"/>
    <n v="67"/>
  </r>
  <r>
    <x v="535"/>
    <x v="0"/>
    <n v="71"/>
  </r>
  <r>
    <x v="66"/>
    <x v="1"/>
    <n v="70"/>
  </r>
  <r>
    <x v="820"/>
    <x v="2"/>
    <n v="68"/>
  </r>
  <r>
    <x v="821"/>
    <x v="0"/>
    <n v="67"/>
  </r>
  <r>
    <x v="822"/>
    <x v="1"/>
    <n v="71"/>
  </r>
  <r>
    <x v="823"/>
    <x v="2"/>
    <n v="74"/>
  </r>
  <r>
    <x v="824"/>
    <x v="0"/>
    <n v="70"/>
  </r>
  <r>
    <x v="825"/>
    <x v="0"/>
    <n v="67"/>
  </r>
  <r>
    <x v="826"/>
    <x v="0"/>
    <n v="69"/>
  </r>
  <r>
    <x v="827"/>
    <x v="0"/>
    <n v="67"/>
  </r>
  <r>
    <x v="828"/>
    <x v="1"/>
    <n v="71"/>
  </r>
  <r>
    <x v="829"/>
    <x v="0"/>
    <n v="69"/>
  </r>
  <r>
    <x v="830"/>
    <x v="1"/>
    <n v="70"/>
  </r>
  <r>
    <x v="831"/>
    <x v="0"/>
    <n v="67.5"/>
  </r>
  <r>
    <x v="832"/>
    <x v="0"/>
    <n v="72"/>
  </r>
  <r>
    <x v="833"/>
    <x v="2"/>
    <n v="68"/>
  </r>
  <r>
    <x v="834"/>
    <x v="1"/>
    <n v="70"/>
  </r>
  <r>
    <x v="835"/>
    <x v="2"/>
    <n v="68"/>
  </r>
  <r>
    <x v="836"/>
    <x v="0"/>
    <n v="67"/>
  </r>
  <r>
    <x v="423"/>
    <x v="2"/>
    <n v="67.5"/>
  </r>
  <r>
    <x v="395"/>
    <x v="0"/>
    <n v="67"/>
  </r>
  <r>
    <x v="837"/>
    <x v="0"/>
    <n v="69"/>
  </r>
  <r>
    <x v="838"/>
    <x v="1"/>
    <n v="69"/>
  </r>
  <r>
    <x v="839"/>
    <x v="1"/>
    <n v="73"/>
  </r>
  <r>
    <x v="840"/>
    <x v="1"/>
    <n v="64"/>
  </r>
  <r>
    <x v="446"/>
    <x v="0"/>
    <n v="69"/>
  </r>
  <r>
    <x v="841"/>
    <x v="1"/>
    <n v="68"/>
  </r>
  <r>
    <x v="842"/>
    <x v="1"/>
    <n v="71"/>
  </r>
  <r>
    <x v="354"/>
    <x v="2"/>
    <n v="69"/>
  </r>
  <r>
    <x v="843"/>
    <x v="0"/>
    <n v="72"/>
  </r>
  <r>
    <x v="844"/>
    <x v="2"/>
    <n v="69"/>
  </r>
  <r>
    <x v="845"/>
    <x v="2"/>
    <n v="67"/>
  </r>
  <r>
    <x v="846"/>
    <x v="0"/>
    <n v="68"/>
  </r>
  <r>
    <x v="847"/>
    <x v="0"/>
    <n v="68"/>
  </r>
  <r>
    <x v="848"/>
    <x v="0"/>
    <n v="74"/>
  </r>
  <r>
    <x v="424"/>
    <x v="0"/>
    <n v="60"/>
  </r>
  <r>
    <x v="849"/>
    <x v="0"/>
    <n v="72"/>
  </r>
  <r>
    <x v="850"/>
    <x v="1"/>
    <n v="84"/>
  </r>
  <r>
    <x v="851"/>
    <x v="0"/>
    <n v="67"/>
  </r>
  <r>
    <x v="852"/>
    <x v="2"/>
    <n v="69"/>
  </r>
  <r>
    <x v="853"/>
    <x v="1"/>
    <n v="75"/>
  </r>
  <r>
    <x v="854"/>
    <x v="2"/>
    <n v="71"/>
  </r>
  <r>
    <x v="855"/>
    <x v="2"/>
    <n v="70"/>
  </r>
  <r>
    <x v="856"/>
    <x v="2"/>
    <n v="64"/>
  </r>
  <r>
    <x v="857"/>
    <x v="1"/>
    <n v="68"/>
  </r>
  <r>
    <x v="858"/>
    <x v="1"/>
    <n v="71"/>
  </r>
  <r>
    <x v="859"/>
    <x v="0"/>
    <n v="69"/>
  </r>
  <r>
    <x v="860"/>
    <x v="0"/>
    <n v="69"/>
  </r>
  <r>
    <x v="861"/>
    <x v="0"/>
    <n v="68.5"/>
  </r>
  <r>
    <x v="862"/>
    <x v="0"/>
    <n v="71"/>
  </r>
  <r>
    <x v="863"/>
    <x v="0"/>
    <n v="68"/>
  </r>
  <r>
    <x v="864"/>
    <x v="0"/>
    <n v="67"/>
  </r>
  <r>
    <x v="865"/>
    <x v="0"/>
    <n v="70"/>
  </r>
  <r>
    <x v="866"/>
    <x v="1"/>
    <n v="73"/>
  </r>
  <r>
    <x v="867"/>
    <x v="1"/>
    <n v="64"/>
  </r>
  <r>
    <x v="868"/>
    <x v="1"/>
    <n v="68"/>
  </r>
  <r>
    <x v="869"/>
    <x v="1"/>
    <n v="68"/>
  </r>
  <r>
    <x v="870"/>
    <x v="1"/>
    <n v="69"/>
  </r>
  <r>
    <x v="871"/>
    <x v="1"/>
    <n v="67"/>
  </r>
  <r>
    <x v="872"/>
    <x v="2"/>
    <n v="62"/>
  </r>
  <r>
    <x v="873"/>
    <x v="1"/>
    <n v="71"/>
  </r>
  <r>
    <x v="874"/>
    <x v="0"/>
    <n v="68"/>
  </r>
  <r>
    <x v="875"/>
    <x v="0"/>
    <n v="71"/>
  </r>
  <r>
    <x v="424"/>
    <x v="0"/>
    <n v="68"/>
  </r>
  <r>
    <x v="876"/>
    <x v="1"/>
    <n v="53"/>
  </r>
  <r>
    <x v="877"/>
    <x v="0"/>
    <n v="64"/>
  </r>
  <r>
    <x v="878"/>
    <x v="0"/>
    <n v="75"/>
  </r>
  <r>
    <x v="398"/>
    <x v="0"/>
    <n v="69"/>
  </r>
  <r>
    <x v="879"/>
    <x v="1"/>
    <n v="74"/>
  </r>
  <r>
    <x v="880"/>
    <x v="0"/>
    <n v="63"/>
  </r>
  <r>
    <x v="881"/>
    <x v="0"/>
    <n v="66"/>
  </r>
  <r>
    <x v="882"/>
    <x v="1"/>
    <n v="67"/>
  </r>
  <r>
    <x v="883"/>
    <x v="0"/>
    <n v="67"/>
  </r>
  <r>
    <x v="884"/>
    <x v="0"/>
    <n v="65"/>
  </r>
  <r>
    <x v="885"/>
    <x v="0"/>
    <n v="72"/>
  </r>
  <r>
    <x v="886"/>
    <x v="0"/>
    <n v="69"/>
  </r>
  <r>
    <x v="887"/>
    <x v="0"/>
    <n v="66"/>
  </r>
  <r>
    <x v="888"/>
    <x v="0"/>
    <n v="71"/>
  </r>
  <r>
    <x v="889"/>
    <x v="0"/>
    <n v="69"/>
  </r>
  <r>
    <x v="890"/>
    <x v="0"/>
    <n v="75"/>
  </r>
  <r>
    <x v="891"/>
    <x v="0"/>
    <n v="68.5"/>
  </r>
  <r>
    <x v="892"/>
    <x v="0"/>
    <n v="69"/>
  </r>
  <r>
    <x v="893"/>
    <x v="0"/>
    <n v="71"/>
  </r>
  <r>
    <x v="841"/>
    <x v="0"/>
    <n v="63"/>
  </r>
  <r>
    <x v="894"/>
    <x v="0"/>
    <n v="65"/>
  </r>
  <r>
    <x v="895"/>
    <x v="0"/>
    <n v="67.5"/>
  </r>
  <r>
    <x v="896"/>
    <x v="1"/>
    <n v="72"/>
  </r>
  <r>
    <x v="897"/>
    <x v="1"/>
    <n v="70"/>
  </r>
  <r>
    <x v="898"/>
    <x v="0"/>
    <n v="67"/>
  </r>
  <r>
    <x v="899"/>
    <x v="0"/>
    <n v="68"/>
  </r>
  <r>
    <x v="900"/>
    <x v="0"/>
    <n v="74"/>
  </r>
  <r>
    <x v="901"/>
    <x v="2"/>
    <n v="69"/>
  </r>
  <r>
    <x v="536"/>
    <x v="0"/>
    <n v="66"/>
  </r>
  <r>
    <x v="902"/>
    <x v="0"/>
    <n v="75"/>
  </r>
  <r>
    <x v="903"/>
    <x v="0"/>
    <n v="68"/>
  </r>
  <r>
    <x v="904"/>
    <x v="0"/>
    <n v="68"/>
  </r>
  <r>
    <x v="905"/>
    <x v="1"/>
    <n v="75"/>
  </r>
  <r>
    <x v="906"/>
    <x v="1"/>
    <n v="69"/>
  </r>
  <r>
    <x v="907"/>
    <x v="0"/>
    <n v="65.5"/>
  </r>
  <r>
    <x v="908"/>
    <x v="0"/>
    <n v="75"/>
  </r>
  <r>
    <x v="909"/>
    <x v="0"/>
    <n v="68"/>
  </r>
  <r>
    <x v="753"/>
    <x v="0"/>
    <n v="71"/>
  </r>
  <r>
    <x v="910"/>
    <x v="1"/>
    <n v="57.5"/>
  </r>
  <r>
    <x v="911"/>
    <x v="1"/>
    <n v="42"/>
  </r>
  <r>
    <x v="912"/>
    <x v="1"/>
    <n v="46"/>
  </r>
  <r>
    <x v="913"/>
    <x v="2"/>
    <n v="58.5"/>
  </r>
  <r>
    <x v="914"/>
    <x v="1"/>
    <n v="41.5"/>
  </r>
  <r>
    <x v="915"/>
    <x v="2"/>
    <n v="71"/>
  </r>
  <r>
    <x v="916"/>
    <x v="1"/>
    <n v="74"/>
  </r>
  <r>
    <x v="917"/>
    <x v="1"/>
    <n v="71"/>
  </r>
  <r>
    <x v="918"/>
    <x v="1"/>
    <n v="67"/>
  </r>
  <r>
    <x v="919"/>
    <x v="1"/>
    <n v="67"/>
  </r>
  <r>
    <x v="920"/>
    <x v="1"/>
    <n v="72"/>
  </r>
  <r>
    <x v="921"/>
    <x v="1"/>
    <n v="66"/>
  </r>
  <r>
    <x v="922"/>
    <x v="1"/>
    <n v="70"/>
  </r>
  <r>
    <x v="923"/>
    <x v="1"/>
    <n v="69"/>
  </r>
  <r>
    <x v="924"/>
    <x v="0"/>
    <n v="74"/>
  </r>
  <r>
    <x v="564"/>
    <x v="0"/>
    <n v="71"/>
  </r>
  <r>
    <x v="925"/>
    <x v="1"/>
    <n v="69"/>
  </r>
  <r>
    <x v="926"/>
    <x v="0"/>
    <n v="68"/>
  </r>
  <r>
    <x v="927"/>
    <x v="0"/>
    <n v="73"/>
  </r>
  <r>
    <x v="928"/>
    <x v="1"/>
    <n v="71"/>
  </r>
  <r>
    <x v="929"/>
    <x v="0"/>
    <n v="60"/>
  </r>
  <r>
    <x v="930"/>
    <x v="1"/>
    <n v="93"/>
  </r>
  <r>
    <x v="931"/>
    <x v="1"/>
    <n v="50"/>
  </r>
  <r>
    <x v="932"/>
    <x v="0"/>
    <n v="68"/>
  </r>
  <r>
    <x v="933"/>
    <x v="0"/>
    <n v="69"/>
  </r>
  <r>
    <x v="934"/>
    <x v="2"/>
    <n v="69"/>
  </r>
  <r>
    <x v="935"/>
    <x v="0"/>
    <n v="68.5"/>
  </r>
  <r>
    <x v="936"/>
    <x v="0"/>
    <n v="69"/>
  </r>
  <r>
    <x v="937"/>
    <x v="0"/>
    <n v="71"/>
  </r>
  <r>
    <x v="232"/>
    <x v="0"/>
    <n v="69"/>
  </r>
  <r>
    <x v="938"/>
    <x v="0"/>
    <n v="66"/>
  </r>
  <r>
    <x v="75"/>
    <x v="0"/>
    <n v="65"/>
  </r>
  <r>
    <x v="939"/>
    <x v="0"/>
    <n v="68"/>
  </r>
  <r>
    <x v="940"/>
    <x v="2"/>
    <n v="71"/>
  </r>
  <r>
    <x v="941"/>
    <x v="0"/>
    <n v="61"/>
  </r>
  <r>
    <x v="942"/>
    <x v="0"/>
    <n v="71"/>
  </r>
  <r>
    <x v="943"/>
    <x v="0"/>
    <n v="65"/>
  </r>
  <r>
    <x v="944"/>
    <x v="0"/>
    <n v="69"/>
  </r>
  <r>
    <x v="945"/>
    <x v="0"/>
    <n v="68"/>
  </r>
  <r>
    <x v="946"/>
    <x v="0"/>
    <n v="68"/>
  </r>
  <r>
    <x v="947"/>
    <x v="0"/>
    <n v="62"/>
  </r>
  <r>
    <x v="948"/>
    <x v="0"/>
    <n v="72"/>
  </r>
  <r>
    <x v="949"/>
    <x v="1"/>
    <n v="69"/>
  </r>
  <r>
    <x v="950"/>
    <x v="0"/>
    <n v="68"/>
  </r>
  <r>
    <x v="951"/>
    <x v="1"/>
    <n v="68"/>
  </r>
  <r>
    <x v="952"/>
    <x v="1"/>
    <n v="71"/>
  </r>
  <r>
    <x v="953"/>
    <x v="1"/>
    <n v="67"/>
  </r>
  <r>
    <x v="954"/>
    <x v="1"/>
    <n v="69"/>
  </r>
  <r>
    <x v="955"/>
    <x v="1"/>
    <n v="67"/>
  </r>
  <r>
    <x v="956"/>
    <x v="1"/>
    <n v="66"/>
  </r>
  <r>
    <x v="957"/>
    <x v="0"/>
    <n v="68.5"/>
  </r>
  <r>
    <x v="958"/>
    <x v="0"/>
    <n v="68"/>
  </r>
  <r>
    <x v="959"/>
    <x v="0"/>
    <n v="66"/>
  </r>
  <r>
    <x v="960"/>
    <x v="0"/>
    <n v="71"/>
  </r>
  <r>
    <x v="961"/>
    <x v="0"/>
    <n v="65"/>
  </r>
  <r>
    <x v="962"/>
    <x v="0"/>
    <n v="64"/>
  </r>
  <r>
    <x v="963"/>
    <x v="0"/>
    <n v="69"/>
  </r>
  <r>
    <x v="964"/>
    <x v="0"/>
    <n v="67"/>
  </r>
  <r>
    <x v="965"/>
    <x v="1"/>
    <n v="69"/>
  </r>
  <r>
    <x v="966"/>
    <x v="1"/>
    <n v="64"/>
  </r>
  <r>
    <x v="967"/>
    <x v="1"/>
    <n v="69"/>
  </r>
  <r>
    <x v="968"/>
    <x v="0"/>
    <n v="68"/>
  </r>
  <r>
    <x v="969"/>
    <x v="1"/>
    <n v="67"/>
  </r>
  <r>
    <x v="970"/>
    <x v="0"/>
    <n v="67.5"/>
  </r>
  <r>
    <x v="971"/>
    <x v="0"/>
    <n v="69"/>
  </r>
  <r>
    <x v="972"/>
    <x v="0"/>
    <n v="67"/>
  </r>
  <r>
    <x v="973"/>
    <x v="1"/>
    <n v="66"/>
  </r>
  <r>
    <x v="974"/>
    <x v="2"/>
    <n v="68"/>
  </r>
  <r>
    <x v="975"/>
    <x v="2"/>
    <n v="70"/>
  </r>
  <r>
    <x v="976"/>
    <x v="2"/>
    <n v="67"/>
  </r>
  <r>
    <x v="977"/>
    <x v="1"/>
    <n v="73"/>
  </r>
  <r>
    <x v="978"/>
    <x v="1"/>
    <n v="68"/>
  </r>
  <r>
    <x v="979"/>
    <x v="2"/>
    <n v="66"/>
  </r>
  <r>
    <x v="980"/>
    <x v="1"/>
    <n v="61"/>
  </r>
  <r>
    <x v="981"/>
    <x v="1"/>
    <n v="71"/>
  </r>
  <r>
    <x v="982"/>
    <x v="1"/>
    <n v="69"/>
  </r>
  <r>
    <x v="983"/>
    <x v="0"/>
    <n v="70"/>
  </r>
  <r>
    <x v="710"/>
    <x v="0"/>
    <n v="69"/>
  </r>
  <r>
    <x v="816"/>
    <x v="0"/>
    <n v="71"/>
  </r>
  <r>
    <x v="984"/>
    <x v="2"/>
    <n v="69"/>
  </r>
  <r>
    <x v="985"/>
    <x v="0"/>
    <n v="70"/>
  </r>
  <r>
    <x v="423"/>
    <x v="2"/>
    <n v="65"/>
  </r>
  <r>
    <x v="986"/>
    <x v="2"/>
    <n v="73"/>
  </r>
  <r>
    <x v="987"/>
    <x v="0"/>
    <n v="66"/>
  </r>
  <r>
    <x v="988"/>
    <x v="0"/>
    <n v="71"/>
  </r>
  <r>
    <x v="989"/>
    <x v="0"/>
    <n v="66"/>
  </r>
  <r>
    <x v="990"/>
    <x v="2"/>
    <n v="67"/>
  </r>
  <r>
    <x v="991"/>
    <x v="1"/>
    <n v="73"/>
  </r>
  <r>
    <x v="742"/>
    <x v="0"/>
    <n v="68"/>
  </r>
  <r>
    <x v="992"/>
    <x v="0"/>
    <n v="66"/>
  </r>
  <r>
    <x v="993"/>
    <x v="1"/>
    <n v="65"/>
  </r>
  <r>
    <x v="994"/>
    <x v="0"/>
    <n v="73"/>
  </r>
  <r>
    <x v="995"/>
    <x v="0"/>
    <n v="73"/>
  </r>
  <r>
    <x v="996"/>
    <x v="0"/>
    <n v="74"/>
  </r>
  <r>
    <x v="997"/>
    <x v="1"/>
    <n v="61"/>
  </r>
  <r>
    <x v="998"/>
    <x v="0"/>
    <n v="64"/>
  </r>
  <r>
    <x v="999"/>
    <x v="0"/>
    <n v="54"/>
  </r>
  <r>
    <x v="1000"/>
    <x v="2"/>
    <n v="70"/>
  </r>
  <r>
    <x v="1001"/>
    <x v="0"/>
    <n v="73"/>
  </r>
  <r>
    <x v="1002"/>
    <x v="0"/>
    <n v="68"/>
  </r>
  <r>
    <x v="1003"/>
    <x v="0"/>
    <n v="69"/>
  </r>
  <r>
    <x v="1004"/>
    <x v="0"/>
    <n v="69"/>
  </r>
  <r>
    <x v="1005"/>
    <x v="1"/>
    <n v="68"/>
  </r>
  <r>
    <x v="1006"/>
    <x v="0"/>
    <n v="68"/>
  </r>
  <r>
    <x v="1007"/>
    <x v="0"/>
    <n v="95"/>
  </r>
  <r>
    <x v="1008"/>
    <x v="0"/>
    <n v="85.5"/>
  </r>
  <r>
    <x v="1009"/>
    <x v="1"/>
    <n v="69"/>
  </r>
  <r>
    <x v="1010"/>
    <x v="0"/>
    <n v="64"/>
  </r>
  <r>
    <x v="1011"/>
    <x v="0"/>
    <n v="64"/>
  </r>
  <r>
    <x v="1012"/>
    <x v="1"/>
    <n v="68"/>
  </r>
  <r>
    <x v="1013"/>
    <x v="1"/>
    <n v="69"/>
  </r>
  <r>
    <x v="1014"/>
    <x v="1"/>
    <n v="53"/>
  </r>
  <r>
    <x v="1015"/>
    <x v="0"/>
    <n v="63"/>
  </r>
  <r>
    <x v="1016"/>
    <x v="0"/>
    <n v="62"/>
  </r>
  <r>
    <x v="1017"/>
    <x v="0"/>
    <n v="69"/>
  </r>
  <r>
    <x v="1018"/>
    <x v="0"/>
    <n v="61"/>
  </r>
  <r>
    <x v="1019"/>
    <x v="0"/>
    <n v="74"/>
  </r>
  <r>
    <x v="1020"/>
    <x v="2"/>
    <n v="75"/>
  </r>
  <r>
    <x v="1021"/>
    <x v="1"/>
    <n v="63"/>
  </r>
  <r>
    <x v="1022"/>
    <x v="2"/>
    <n v="66"/>
  </r>
  <r>
    <x v="1023"/>
    <x v="1"/>
    <n v="69"/>
  </r>
  <r>
    <x v="826"/>
    <x v="0"/>
    <n v="73"/>
  </r>
  <r>
    <x v="1024"/>
    <x v="0"/>
    <n v="74"/>
  </r>
  <r>
    <x v="1025"/>
    <x v="0"/>
    <n v="71"/>
  </r>
  <r>
    <x v="1026"/>
    <x v="1"/>
    <n v="70"/>
  </r>
  <r>
    <x v="1027"/>
    <x v="1"/>
    <n v="74"/>
  </r>
  <r>
    <x v="1028"/>
    <x v="0"/>
    <n v="67"/>
  </r>
  <r>
    <x v="1029"/>
    <x v="0"/>
    <n v="69"/>
  </r>
  <r>
    <x v="1030"/>
    <x v="1"/>
    <n v="71"/>
  </r>
  <r>
    <x v="1031"/>
    <x v="0"/>
    <n v="69"/>
  </r>
  <r>
    <x v="1032"/>
    <x v="1"/>
    <n v="61"/>
  </r>
  <r>
    <x v="92"/>
    <x v="2"/>
    <n v="74"/>
  </r>
  <r>
    <x v="1033"/>
    <x v="0"/>
    <n v="74"/>
  </r>
  <r>
    <x v="1034"/>
    <x v="1"/>
    <n v="74"/>
  </r>
  <r>
    <x v="1035"/>
    <x v="0"/>
    <n v="69"/>
  </r>
  <r>
    <x v="1036"/>
    <x v="1"/>
    <n v="67"/>
  </r>
  <r>
    <x v="1037"/>
    <x v="0"/>
    <n v="67"/>
  </r>
  <r>
    <x v="1038"/>
    <x v="1"/>
    <n v="68"/>
  </r>
  <r>
    <x v="1039"/>
    <x v="1"/>
    <n v="71"/>
  </r>
  <r>
    <x v="1040"/>
    <x v="2"/>
    <n v="65"/>
  </r>
  <r>
    <x v="1041"/>
    <x v="1"/>
    <n v="66"/>
  </r>
  <r>
    <x v="1042"/>
    <x v="0"/>
    <n v="65"/>
  </r>
  <r>
    <x v="1043"/>
    <x v="1"/>
    <n v="72"/>
  </r>
  <r>
    <x v="1044"/>
    <x v="0"/>
    <n v="68"/>
  </r>
  <r>
    <x v="1045"/>
    <x v="1"/>
    <n v="73"/>
  </r>
  <r>
    <x v="1046"/>
    <x v="1"/>
    <n v="70"/>
  </r>
  <r>
    <x v="823"/>
    <x v="0"/>
    <n v="68"/>
  </r>
  <r>
    <x v="1047"/>
    <x v="0"/>
    <n v="79"/>
  </r>
  <r>
    <x v="1048"/>
    <x v="0"/>
    <n v="67"/>
  </r>
  <r>
    <x v="1049"/>
    <x v="0"/>
    <n v="73"/>
  </r>
  <r>
    <x v="1050"/>
    <x v="2"/>
    <n v="67"/>
  </r>
  <r>
    <x v="1051"/>
    <x v="0"/>
    <n v="71"/>
  </r>
  <r>
    <x v="1052"/>
    <x v="1"/>
    <n v="60"/>
  </r>
  <r>
    <x v="1053"/>
    <x v="1"/>
    <n v="55"/>
  </r>
  <r>
    <x v="1054"/>
    <x v="0"/>
    <n v="69"/>
  </r>
  <r>
    <x v="1055"/>
    <x v="2"/>
    <n v="71"/>
  </r>
  <r>
    <x v="1056"/>
    <x v="0"/>
    <n v="70"/>
  </r>
  <r>
    <x v="1057"/>
    <x v="1"/>
    <n v="67"/>
  </r>
  <r>
    <x v="1009"/>
    <x v="1"/>
    <n v="67"/>
  </r>
  <r>
    <x v="1058"/>
    <x v="2"/>
    <n v="66"/>
  </r>
  <r>
    <x v="1059"/>
    <x v="0"/>
    <n v="71"/>
  </r>
  <r>
    <x v="1060"/>
    <x v="0"/>
    <n v="65"/>
  </r>
  <r>
    <x v="1061"/>
    <x v="0"/>
    <n v="63"/>
  </r>
  <r>
    <x v="1062"/>
    <x v="1"/>
    <n v="67"/>
  </r>
  <r>
    <x v="1063"/>
    <x v="0"/>
    <n v="68.5"/>
  </r>
  <r>
    <x v="1064"/>
    <x v="1"/>
    <n v="61"/>
  </r>
  <r>
    <x v="1065"/>
    <x v="0"/>
    <n v="71"/>
  </r>
  <r>
    <x v="1066"/>
    <x v="1"/>
    <n v="68"/>
  </r>
  <r>
    <x v="1067"/>
    <x v="1"/>
    <n v="63"/>
  </r>
  <r>
    <x v="1068"/>
    <x v="1"/>
    <n v="69"/>
  </r>
  <r>
    <x v="1069"/>
    <x v="1"/>
    <n v="70"/>
  </r>
  <r>
    <x v="1070"/>
    <x v="2"/>
    <n v="67"/>
  </r>
  <r>
    <x v="1071"/>
    <x v="2"/>
    <n v="63"/>
  </r>
  <r>
    <x v="1072"/>
    <x v="0"/>
    <n v="71"/>
  </r>
  <r>
    <x v="1073"/>
    <x v="1"/>
    <n v="68.5"/>
  </r>
  <r>
    <x v="1074"/>
    <x v="0"/>
    <n v="67"/>
  </r>
  <r>
    <x v="423"/>
    <x v="2"/>
    <n v="61"/>
  </r>
  <r>
    <x v="446"/>
    <x v="0"/>
    <n v="64"/>
  </r>
  <r>
    <x v="1075"/>
    <x v="0"/>
    <n v="69"/>
  </r>
  <r>
    <x v="1076"/>
    <x v="1"/>
    <n v="52"/>
  </r>
  <r>
    <x v="1077"/>
    <x v="0"/>
    <n v="67"/>
  </r>
  <r>
    <x v="1078"/>
    <x v="0"/>
    <n v="62"/>
  </r>
  <r>
    <x v="1079"/>
    <x v="2"/>
    <n v="71"/>
  </r>
  <r>
    <x v="1080"/>
    <x v="2"/>
    <n v="69"/>
  </r>
  <r>
    <x v="1081"/>
    <x v="2"/>
    <n v="62"/>
  </r>
  <r>
    <x v="1082"/>
    <x v="0"/>
    <n v="68"/>
  </r>
  <r>
    <x v="1083"/>
    <x v="0"/>
    <n v="66.5"/>
  </r>
  <r>
    <x v="622"/>
    <x v="0"/>
    <n v="64"/>
  </r>
  <r>
    <x v="1084"/>
    <x v="0"/>
    <n v="64"/>
  </r>
  <r>
    <x v="1085"/>
    <x v="1"/>
    <n v="68"/>
  </r>
  <r>
    <x v="1086"/>
    <x v="1"/>
    <n v="66"/>
  </r>
  <r>
    <x v="1087"/>
    <x v="0"/>
    <n v="67"/>
  </r>
  <r>
    <x v="1088"/>
    <x v="0"/>
    <n v="67"/>
  </r>
  <r>
    <x v="1089"/>
    <x v="0"/>
    <n v="61"/>
  </r>
  <r>
    <x v="1090"/>
    <x v="0"/>
    <n v="74"/>
  </r>
  <r>
    <x v="1091"/>
    <x v="0"/>
    <n v="67"/>
  </r>
  <r>
    <x v="1092"/>
    <x v="0"/>
    <n v="70"/>
  </r>
  <r>
    <x v="1093"/>
    <x v="1"/>
    <n v="68"/>
  </r>
  <r>
    <x v="1094"/>
    <x v="1"/>
    <n v="61"/>
  </r>
  <r>
    <x v="1095"/>
    <x v="0"/>
    <n v="65"/>
  </r>
  <r>
    <x v="1096"/>
    <x v="0"/>
    <n v="69"/>
  </r>
  <r>
    <x v="1097"/>
    <x v="0"/>
    <n v="66"/>
  </r>
  <r>
    <x v="1098"/>
    <x v="0"/>
    <n v="57"/>
  </r>
  <r>
    <x v="1099"/>
    <x v="0"/>
    <n v="70"/>
  </r>
  <r>
    <x v="1100"/>
    <x v="1"/>
    <n v="64"/>
  </r>
  <r>
    <x v="1101"/>
    <x v="1"/>
    <n v="66"/>
  </r>
  <r>
    <x v="1102"/>
    <x v="1"/>
    <n v="63"/>
  </r>
  <r>
    <x v="1103"/>
    <x v="1"/>
    <n v="69"/>
  </r>
  <r>
    <x v="1104"/>
    <x v="0"/>
    <n v="69"/>
  </r>
  <r>
    <x v="1105"/>
    <x v="0"/>
    <n v="69"/>
  </r>
  <r>
    <x v="1106"/>
    <x v="1"/>
    <n v="67"/>
  </r>
  <r>
    <x v="1107"/>
    <x v="0"/>
    <n v="64"/>
  </r>
  <r>
    <x v="1108"/>
    <x v="0"/>
    <n v="63"/>
  </r>
  <r>
    <x v="1109"/>
    <x v="0"/>
    <n v="60"/>
  </r>
  <r>
    <x v="383"/>
    <x v="0"/>
    <n v="67"/>
  </r>
  <r>
    <x v="1110"/>
    <x v="0"/>
    <n v="68"/>
  </r>
  <r>
    <x v="383"/>
    <x v="0"/>
    <n v="69"/>
  </r>
  <r>
    <x v="1111"/>
    <x v="1"/>
    <n v="66"/>
  </r>
  <r>
    <x v="354"/>
    <x v="2"/>
    <n v="69"/>
  </r>
  <r>
    <x v="365"/>
    <x v="0"/>
    <n v="68"/>
  </r>
  <r>
    <x v="1112"/>
    <x v="0"/>
    <n v="73"/>
  </r>
  <r>
    <x v="1113"/>
    <x v="1"/>
    <n v="62"/>
  </r>
  <r>
    <x v="1114"/>
    <x v="1"/>
    <n v="71"/>
  </r>
  <r>
    <x v="1115"/>
    <x v="0"/>
    <n v="63"/>
  </r>
  <r>
    <x v="1116"/>
    <x v="2"/>
    <n v="67"/>
  </r>
  <r>
    <x v="1117"/>
    <x v="0"/>
    <n v="68"/>
  </r>
  <r>
    <x v="87"/>
    <x v="0"/>
    <n v="69"/>
  </r>
  <r>
    <x v="1118"/>
    <x v="0"/>
    <n v="69"/>
  </r>
  <r>
    <x v="1119"/>
    <x v="1"/>
    <n v="62"/>
  </r>
  <r>
    <x v="1120"/>
    <x v="0"/>
    <n v="65"/>
  </r>
  <r>
    <x v="1121"/>
    <x v="1"/>
    <n v="62"/>
  </r>
  <r>
    <x v="1122"/>
    <x v="1"/>
    <n v="68"/>
  </r>
  <r>
    <x v="1123"/>
    <x v="0"/>
    <n v="67"/>
  </r>
  <r>
    <x v="1124"/>
    <x v="0"/>
    <n v="67"/>
  </r>
  <r>
    <x v="1125"/>
    <x v="0"/>
    <n v="68"/>
  </r>
  <r>
    <x v="1126"/>
    <x v="0"/>
    <n v="65"/>
  </r>
  <r>
    <x v="1127"/>
    <x v="0"/>
    <n v="68"/>
  </r>
  <r>
    <x v="1128"/>
    <x v="0"/>
    <n v="64"/>
  </r>
  <r>
    <x v="992"/>
    <x v="0"/>
    <n v="69"/>
  </r>
  <r>
    <x v="1129"/>
    <x v="0"/>
    <n v="68"/>
  </r>
  <r>
    <x v="1130"/>
    <x v="0"/>
    <n v="78"/>
  </r>
  <r>
    <x v="1131"/>
    <x v="0"/>
    <n v="75"/>
  </r>
  <r>
    <x v="321"/>
    <x v="0"/>
    <n v="68"/>
  </r>
  <r>
    <x v="1132"/>
    <x v="1"/>
    <n v="68"/>
  </r>
  <r>
    <x v="1133"/>
    <x v="1"/>
    <n v="67"/>
  </r>
  <r>
    <x v="1134"/>
    <x v="0"/>
    <n v="71"/>
  </r>
  <r>
    <x v="1135"/>
    <x v="0"/>
    <n v="68"/>
  </r>
  <r>
    <x v="1136"/>
    <x v="0"/>
    <n v="67"/>
  </r>
  <r>
    <x v="1137"/>
    <x v="0"/>
    <n v="68"/>
  </r>
  <r>
    <x v="1138"/>
    <x v="0"/>
    <n v="73.5"/>
  </r>
  <r>
    <x v="1139"/>
    <x v="0"/>
    <n v="81.5"/>
  </r>
  <r>
    <x v="1140"/>
    <x v="0"/>
    <n v="69.5"/>
  </r>
  <r>
    <x v="1141"/>
    <x v="0"/>
    <n v="75.5"/>
  </r>
  <r>
    <x v="1142"/>
    <x v="0"/>
    <n v="68"/>
  </r>
  <r>
    <x v="256"/>
    <x v="0"/>
    <n v="66"/>
  </r>
  <r>
    <x v="1143"/>
    <x v="0"/>
    <n v="62"/>
  </r>
  <r>
    <x v="1144"/>
    <x v="2"/>
    <n v="72"/>
  </r>
  <r>
    <x v="1145"/>
    <x v="0"/>
    <n v="71"/>
  </r>
  <r>
    <x v="1146"/>
    <x v="0"/>
    <n v="72"/>
  </r>
  <r>
    <x v="1147"/>
    <x v="1"/>
    <n v="71"/>
  </r>
  <r>
    <x v="1148"/>
    <x v="1"/>
    <n v="69"/>
  </r>
  <r>
    <x v="1149"/>
    <x v="1"/>
    <n v="69"/>
  </r>
  <r>
    <x v="1150"/>
    <x v="0"/>
    <n v="67"/>
  </r>
  <r>
    <x v="1151"/>
    <x v="0"/>
    <n v="67"/>
  </r>
  <r>
    <x v="1152"/>
    <x v="0"/>
    <n v="64"/>
  </r>
  <r>
    <x v="1153"/>
    <x v="0"/>
    <n v="67"/>
  </r>
  <r>
    <x v="1154"/>
    <x v="0"/>
    <n v="68"/>
  </r>
  <r>
    <x v="1155"/>
    <x v="0"/>
    <n v="66"/>
  </r>
  <r>
    <x v="1156"/>
    <x v="1"/>
    <n v="67"/>
  </r>
  <r>
    <x v="1157"/>
    <x v="0"/>
    <n v="64"/>
  </r>
  <r>
    <x v="1158"/>
    <x v="0"/>
    <n v="63"/>
  </r>
  <r>
    <x v="1159"/>
    <x v="1"/>
    <n v="61"/>
  </r>
  <r>
    <x v="907"/>
    <x v="0"/>
    <n v="71"/>
  </r>
  <r>
    <x v="1160"/>
    <x v="0"/>
    <n v="68"/>
  </r>
  <r>
    <x v="1161"/>
    <x v="0"/>
    <n v="67"/>
  </r>
  <r>
    <x v="1162"/>
    <x v="0"/>
    <n v="60"/>
  </r>
  <r>
    <x v="346"/>
    <x v="0"/>
    <n v="66"/>
  </r>
  <r>
    <x v="1163"/>
    <x v="0"/>
    <n v="60"/>
  </r>
  <r>
    <x v="1164"/>
    <x v="0"/>
    <n v="67"/>
  </r>
  <r>
    <x v="1165"/>
    <x v="0"/>
    <n v="69"/>
  </r>
  <r>
    <x v="346"/>
    <x v="0"/>
    <n v="63"/>
  </r>
  <r>
    <x v="1166"/>
    <x v="2"/>
    <n v="65"/>
  </r>
  <r>
    <x v="1167"/>
    <x v="0"/>
    <n v="65"/>
  </r>
  <r>
    <x v="1168"/>
    <x v="0"/>
    <n v="68"/>
  </r>
  <r>
    <x v="34"/>
    <x v="0"/>
    <n v="61"/>
  </r>
  <r>
    <x v="1169"/>
    <x v="0"/>
    <n v="66"/>
  </r>
  <r>
    <x v="1170"/>
    <x v="0"/>
    <n v="68"/>
  </r>
  <r>
    <x v="1171"/>
    <x v="1"/>
    <n v="66"/>
  </r>
  <r>
    <x v="1172"/>
    <x v="0"/>
    <n v="71"/>
  </r>
  <r>
    <x v="1173"/>
    <x v="0"/>
    <n v="60"/>
  </r>
  <r>
    <x v="422"/>
    <x v="0"/>
    <n v="69"/>
  </r>
  <r>
    <x v="1174"/>
    <x v="0"/>
    <n v="65"/>
  </r>
  <r>
    <x v="1175"/>
    <x v="1"/>
    <n v="64"/>
  </r>
  <r>
    <x v="395"/>
    <x v="0"/>
    <n v="69"/>
  </r>
  <r>
    <x v="1176"/>
    <x v="0"/>
    <n v="68"/>
  </r>
  <r>
    <x v="1177"/>
    <x v="0"/>
    <n v="64"/>
  </r>
  <r>
    <x v="1178"/>
    <x v="0"/>
    <n v="69"/>
  </r>
  <r>
    <x v="1179"/>
    <x v="0"/>
    <n v="66"/>
  </r>
  <r>
    <x v="1180"/>
    <x v="0"/>
    <n v="66"/>
  </r>
  <r>
    <x v="1181"/>
    <x v="0"/>
    <n v="65"/>
  </r>
  <r>
    <x v="1182"/>
    <x v="0"/>
    <n v="55"/>
  </r>
  <r>
    <x v="1183"/>
    <x v="2"/>
    <n v="63"/>
  </r>
  <r>
    <x v="1184"/>
    <x v="0"/>
    <n v="65"/>
  </r>
  <r>
    <x v="1185"/>
    <x v="1"/>
    <n v="66"/>
  </r>
  <r>
    <x v="1186"/>
    <x v="0"/>
    <n v="71"/>
  </r>
  <r>
    <x v="1187"/>
    <x v="0"/>
    <n v="66"/>
  </r>
  <r>
    <x v="1188"/>
    <x v="0"/>
    <n v="67"/>
  </r>
  <r>
    <x v="1189"/>
    <x v="0"/>
    <n v="67"/>
  </r>
  <r>
    <x v="1190"/>
    <x v="0"/>
    <n v="67"/>
  </r>
  <r>
    <x v="1191"/>
    <x v="1"/>
    <n v="67"/>
  </r>
  <r>
    <x v="1192"/>
    <x v="0"/>
    <n v="62"/>
  </r>
  <r>
    <x v="1193"/>
    <x v="2"/>
    <n v="63"/>
  </r>
  <r>
    <x v="1194"/>
    <x v="1"/>
    <n v="60"/>
  </r>
  <r>
    <x v="1195"/>
    <x v="0"/>
    <n v="70"/>
  </r>
  <r>
    <x v="1196"/>
    <x v="0"/>
    <n v="68"/>
  </r>
  <r>
    <x v="1197"/>
    <x v="0"/>
    <n v="65"/>
  </r>
  <r>
    <x v="1198"/>
    <x v="1"/>
    <n v="57"/>
  </r>
  <r>
    <x v="1199"/>
    <x v="1"/>
    <n v="65"/>
  </r>
  <r>
    <x v="1200"/>
    <x v="2"/>
    <n v="59"/>
  </r>
  <r>
    <x v="845"/>
    <x v="2"/>
    <n v="64"/>
  </r>
  <r>
    <x v="1201"/>
    <x v="1"/>
    <n v="63"/>
  </r>
  <r>
    <x v="1202"/>
    <x v="0"/>
    <n v="68"/>
  </r>
  <r>
    <x v="1203"/>
    <x v="0"/>
    <n v="67"/>
  </r>
  <r>
    <x v="1204"/>
    <x v="0"/>
    <n v="54"/>
  </r>
  <r>
    <x v="1205"/>
    <x v="1"/>
    <n v="69"/>
  </r>
  <r>
    <x v="1206"/>
    <x v="1"/>
    <n v="68"/>
  </r>
  <r>
    <x v="1207"/>
    <x v="0"/>
    <n v="64"/>
  </r>
  <r>
    <x v="1208"/>
    <x v="0"/>
    <n v="65"/>
  </r>
  <r>
    <x v="1209"/>
    <x v="0"/>
    <n v="61"/>
  </r>
  <r>
    <x v="1210"/>
    <x v="0"/>
    <n v="58.5"/>
  </r>
  <r>
    <x v="1211"/>
    <x v="2"/>
    <n v="63"/>
  </r>
  <r>
    <x v="1212"/>
    <x v="2"/>
    <n v="58"/>
  </r>
  <r>
    <x v="1213"/>
    <x v="0"/>
    <n v="64"/>
  </r>
  <r>
    <x v="1214"/>
    <x v="0"/>
    <n v="57"/>
  </r>
  <r>
    <x v="1215"/>
    <x v="1"/>
    <n v="65"/>
  </r>
  <r>
    <x v="1216"/>
    <x v="1"/>
    <n v="52.5"/>
  </r>
  <r>
    <x v="1217"/>
    <x v="2"/>
    <n v="68"/>
  </r>
  <r>
    <x v="1218"/>
    <x v="1"/>
    <n v="59"/>
  </r>
  <r>
    <x v="1219"/>
    <x v="1"/>
    <n v="61"/>
  </r>
  <r>
    <x v="1220"/>
    <x v="1"/>
    <n v="67"/>
  </r>
  <r>
    <x v="1221"/>
    <x v="0"/>
    <n v="65"/>
  </r>
  <r>
    <x v="1222"/>
    <x v="1"/>
    <n v="64"/>
  </r>
  <r>
    <x v="1223"/>
    <x v="2"/>
    <n v="51"/>
  </r>
  <r>
    <x v="1224"/>
    <x v="0"/>
    <n v="68"/>
  </r>
  <r>
    <x v="1225"/>
    <x v="2"/>
    <n v="61"/>
  </r>
  <r>
    <x v="1011"/>
    <x v="0"/>
    <n v="61"/>
  </r>
  <r>
    <x v="1226"/>
    <x v="0"/>
    <n v="64"/>
  </r>
  <r>
    <x v="1227"/>
    <x v="0"/>
    <n v="52"/>
  </r>
  <r>
    <x v="1228"/>
    <x v="0"/>
    <n v="42"/>
  </r>
  <r>
    <x v="1229"/>
    <x v="1"/>
    <n v="66"/>
  </r>
  <r>
    <x v="1230"/>
    <x v="2"/>
    <n v="62"/>
  </r>
  <r>
    <x v="1231"/>
    <x v="1"/>
    <n v="66"/>
  </r>
  <r>
    <x v="1232"/>
    <x v="1"/>
    <n v="57"/>
  </r>
  <r>
    <x v="1233"/>
    <x v="2"/>
    <n v="66"/>
  </r>
  <r>
    <x v="1234"/>
    <x v="0"/>
    <n v="67"/>
  </r>
  <r>
    <x v="1235"/>
    <x v="0"/>
    <n v="69"/>
  </r>
  <r>
    <x v="1236"/>
    <x v="0"/>
    <n v="63"/>
  </r>
  <r>
    <x v="1237"/>
    <x v="1"/>
    <n v="61"/>
  </r>
  <r>
    <x v="1238"/>
    <x v="1"/>
    <n v="40"/>
  </r>
  <r>
    <x v="1239"/>
    <x v="0"/>
    <n v="64"/>
  </r>
  <r>
    <x v="1240"/>
    <x v="1"/>
    <n v="64"/>
  </r>
  <r>
    <x v="1241"/>
    <x v="2"/>
    <n v="58"/>
  </r>
  <r>
    <x v="1242"/>
    <x v="2"/>
    <n v="65.5"/>
  </r>
  <r>
    <x v="1243"/>
    <x v="1"/>
    <n v="67"/>
  </r>
  <r>
    <x v="1244"/>
    <x v="2"/>
    <n v="61"/>
  </r>
  <r>
    <x v="1245"/>
    <x v="2"/>
    <n v="62"/>
  </r>
  <r>
    <x v="1246"/>
    <x v="1"/>
    <n v="61"/>
  </r>
  <r>
    <x v="1247"/>
    <x v="1"/>
    <n v="69"/>
  </r>
  <r>
    <x v="1248"/>
    <x v="0"/>
    <n v="69"/>
  </r>
  <r>
    <x v="1249"/>
    <x v="0"/>
    <n v="65.5"/>
  </r>
  <r>
    <x v="1250"/>
    <x v="0"/>
    <n v="61"/>
  </r>
  <r>
    <x v="1251"/>
    <x v="0"/>
    <n v="62"/>
  </r>
  <r>
    <x v="1252"/>
    <x v="1"/>
    <n v="72.5"/>
  </r>
  <r>
    <x v="1253"/>
    <x v="1"/>
    <n v="60"/>
  </r>
  <r>
    <x v="1254"/>
    <x v="1"/>
    <n v="62"/>
  </r>
  <r>
    <x v="1255"/>
    <x v="1"/>
    <n v="66"/>
  </r>
  <r>
    <x v="1256"/>
    <x v="0"/>
    <n v="53"/>
  </r>
  <r>
    <x v="1257"/>
    <x v="0"/>
    <n v="60"/>
  </r>
  <r>
    <x v="1258"/>
    <x v="1"/>
    <n v="66"/>
  </r>
  <r>
    <x v="1259"/>
    <x v="0"/>
    <n v="63.5"/>
  </r>
  <r>
    <x v="1260"/>
    <x v="0"/>
    <n v="70"/>
  </r>
  <r>
    <x v="1261"/>
    <x v="0"/>
    <n v="63"/>
  </r>
  <r>
    <x v="1262"/>
    <x v="0"/>
    <n v="59"/>
  </r>
  <r>
    <x v="1263"/>
    <x v="0"/>
    <n v="57.5"/>
  </r>
  <r>
    <x v="1264"/>
    <x v="0"/>
    <n v="67"/>
  </r>
  <r>
    <x v="1265"/>
    <x v="0"/>
    <n v="64"/>
  </r>
  <r>
    <x v="1266"/>
    <x v="0"/>
    <n v="66"/>
  </r>
  <r>
    <x v="1267"/>
    <x v="0"/>
    <n v="66"/>
  </r>
  <r>
    <x v="1268"/>
    <x v="0"/>
    <n v="56"/>
  </r>
  <r>
    <x v="1269"/>
    <x v="0"/>
    <n v="57"/>
  </r>
  <r>
    <x v="1270"/>
    <x v="0"/>
    <n v="57"/>
  </r>
  <r>
    <x v="1271"/>
    <x v="1"/>
    <n v="69"/>
  </r>
  <r>
    <x v="1272"/>
    <x v="0"/>
    <n v="68"/>
  </r>
  <r>
    <x v="558"/>
    <x v="0"/>
    <n v="65"/>
  </r>
  <r>
    <x v="1273"/>
    <x v="0"/>
    <n v="69"/>
  </r>
  <r>
    <x v="1274"/>
    <x v="1"/>
    <n v="65"/>
  </r>
  <r>
    <x v="1275"/>
    <x v="2"/>
    <n v="64.5"/>
  </r>
  <r>
    <x v="1276"/>
    <x v="2"/>
    <n v="70"/>
  </r>
  <r>
    <x v="1277"/>
    <x v="0"/>
    <n v="71"/>
  </r>
  <r>
    <x v="1278"/>
    <x v="2"/>
    <n v="62"/>
  </r>
  <r>
    <x v="1279"/>
    <x v="0"/>
    <n v="62"/>
  </r>
  <r>
    <x v="1280"/>
    <x v="1"/>
    <n v="58.5"/>
  </r>
  <r>
    <x v="1281"/>
    <x v="1"/>
    <n v="69.5"/>
  </r>
  <r>
    <x v="1282"/>
    <x v="0"/>
    <n v="64"/>
  </r>
  <r>
    <x v="1283"/>
    <x v="0"/>
    <n v="70"/>
  </r>
  <r>
    <x v="1284"/>
    <x v="1"/>
    <n v="69"/>
  </r>
  <r>
    <x v="1285"/>
    <x v="0"/>
    <n v="60"/>
  </r>
  <r>
    <x v="1286"/>
    <x v="0"/>
    <n v="64"/>
  </r>
  <r>
    <x v="1287"/>
    <x v="0"/>
    <n v="61.5"/>
  </r>
  <r>
    <x v="1288"/>
    <x v="0"/>
    <n v="59.5"/>
  </r>
  <r>
    <x v="1289"/>
    <x v="1"/>
    <n v="62"/>
  </r>
  <r>
    <x v="1290"/>
    <x v="0"/>
    <n v="68"/>
  </r>
  <r>
    <x v="1291"/>
    <x v="2"/>
    <n v="62"/>
  </r>
  <r>
    <x v="1292"/>
    <x v="1"/>
    <n v="63"/>
  </r>
  <r>
    <x v="992"/>
    <x v="0"/>
    <n v="66"/>
  </r>
  <r>
    <x v="1293"/>
    <x v="0"/>
    <n v="64"/>
  </r>
  <r>
    <x v="537"/>
    <x v="0"/>
    <n v="66"/>
  </r>
  <r>
    <x v="1294"/>
    <x v="1"/>
    <n v="71"/>
  </r>
  <r>
    <x v="1295"/>
    <x v="0"/>
    <n v="66"/>
  </r>
  <r>
    <x v="1296"/>
    <x v="0"/>
    <n v="66"/>
  </r>
  <r>
    <x v="1297"/>
    <x v="0"/>
    <n v="63"/>
  </r>
  <r>
    <x v="1298"/>
    <x v="0"/>
    <n v="53"/>
  </r>
  <r>
    <x v="1287"/>
    <x v="0"/>
    <n v="65"/>
  </r>
  <r>
    <x v="1299"/>
    <x v="0"/>
    <n v="66"/>
  </r>
  <r>
    <x v="1300"/>
    <x v="0"/>
    <n v="64"/>
  </r>
  <r>
    <x v="656"/>
    <x v="0"/>
    <n v="58"/>
  </r>
  <r>
    <x v="1301"/>
    <x v="0"/>
    <n v="67"/>
  </r>
  <r>
    <x v="845"/>
    <x v="0"/>
    <n v="63"/>
  </r>
  <r>
    <x v="1302"/>
    <x v="0"/>
    <n v="61"/>
  </r>
  <r>
    <x v="1303"/>
    <x v="0"/>
    <n v="64"/>
  </r>
  <r>
    <x v="1304"/>
    <x v="0"/>
    <n v="60"/>
  </r>
  <r>
    <x v="1305"/>
    <x v="0"/>
    <n v="68"/>
  </r>
  <r>
    <x v="1306"/>
    <x v="0"/>
    <n v="67"/>
  </r>
  <r>
    <x v="1307"/>
    <x v="2"/>
    <n v="62"/>
  </r>
  <r>
    <x v="1308"/>
    <x v="0"/>
    <n v="69"/>
  </r>
  <r>
    <x v="672"/>
    <x v="0"/>
    <n v="65"/>
  </r>
  <r>
    <x v="1309"/>
    <x v="0"/>
    <n v="65"/>
  </r>
  <r>
    <x v="1310"/>
    <x v="0"/>
    <n v="70"/>
  </r>
  <r>
    <x v="1311"/>
    <x v="0"/>
    <n v="72"/>
  </r>
  <r>
    <x v="1312"/>
    <x v="0"/>
    <n v="64"/>
  </r>
  <r>
    <x v="1313"/>
    <x v="1"/>
    <n v="68"/>
  </r>
  <r>
    <x v="1314"/>
    <x v="1"/>
    <n v="68"/>
  </r>
  <r>
    <x v="1315"/>
    <x v="1"/>
    <n v="68"/>
  </r>
  <r>
    <x v="1316"/>
    <x v="0"/>
    <n v="65"/>
  </r>
  <r>
    <x v="1317"/>
    <x v="0"/>
    <n v="64"/>
  </r>
  <r>
    <x v="1318"/>
    <x v="0"/>
    <n v="70"/>
  </r>
  <r>
    <x v="1319"/>
    <x v="0"/>
    <n v="65"/>
  </r>
  <r>
    <x v="1080"/>
    <x v="0"/>
    <n v="66"/>
  </r>
  <r>
    <x v="1320"/>
    <x v="0"/>
    <n v="70"/>
  </r>
  <r>
    <x v="1321"/>
    <x v="1"/>
    <n v="63.5"/>
  </r>
  <r>
    <x v="1322"/>
    <x v="0"/>
    <n v="64"/>
  </r>
  <r>
    <x v="423"/>
    <x v="0"/>
    <n v="55"/>
  </r>
  <r>
    <x v="1323"/>
    <x v="0"/>
    <n v="64"/>
  </r>
  <r>
    <x v="1324"/>
    <x v="1"/>
    <n v="63"/>
  </r>
  <r>
    <x v="1325"/>
    <x v="0"/>
    <n v="65"/>
  </r>
  <r>
    <x v="1326"/>
    <x v="2"/>
    <n v="66"/>
  </r>
  <r>
    <x v="1327"/>
    <x v="0"/>
    <n v="63"/>
  </r>
  <r>
    <x v="1328"/>
    <x v="1"/>
    <n v="67"/>
  </r>
  <r>
    <x v="1329"/>
    <x v="0"/>
    <n v="67"/>
  </r>
  <r>
    <x v="1330"/>
    <x v="0"/>
    <n v="69"/>
  </r>
  <r>
    <x v="1331"/>
    <x v="0"/>
    <n v="69"/>
  </r>
  <r>
    <x v="1332"/>
    <x v="2"/>
    <n v="70"/>
  </r>
  <r>
    <x v="1333"/>
    <x v="0"/>
    <n v="66"/>
  </r>
  <r>
    <x v="1334"/>
    <x v="0"/>
    <n v="62"/>
  </r>
  <r>
    <x v="1335"/>
    <x v="0"/>
    <n v="65"/>
  </r>
  <r>
    <x v="1336"/>
    <x v="0"/>
    <n v="63"/>
  </r>
  <r>
    <x v="1337"/>
    <x v="0"/>
    <n v="65.5"/>
  </r>
  <r>
    <x v="1338"/>
    <x v="2"/>
    <n v="70"/>
  </r>
  <r>
    <x v="1339"/>
    <x v="0"/>
    <n v="67"/>
  </r>
  <r>
    <x v="1340"/>
    <x v="1"/>
    <n v="44"/>
  </r>
  <r>
    <x v="1341"/>
    <x v="1"/>
    <n v="42"/>
  </r>
  <r>
    <x v="1342"/>
    <x v="1"/>
    <n v="67"/>
  </r>
  <r>
    <x v="1343"/>
    <x v="1"/>
    <n v="71"/>
  </r>
  <r>
    <x v="1344"/>
    <x v="0"/>
    <n v="69"/>
  </r>
  <r>
    <x v="1345"/>
    <x v="0"/>
    <n v="70"/>
  </r>
  <r>
    <x v="1346"/>
    <x v="0"/>
    <n v="67"/>
  </r>
  <r>
    <x v="1347"/>
    <x v="0"/>
    <n v="68"/>
  </r>
  <r>
    <x v="1348"/>
    <x v="0"/>
    <n v="70"/>
  </r>
  <r>
    <x v="1349"/>
    <x v="0"/>
    <n v="70"/>
  </r>
  <r>
    <x v="1350"/>
    <x v="0"/>
    <n v="72"/>
  </r>
  <r>
    <x v="1351"/>
    <x v="0"/>
    <n v="62.5"/>
  </r>
  <r>
    <x v="1352"/>
    <x v="0"/>
    <n v="67.5"/>
  </r>
  <r>
    <x v="1353"/>
    <x v="1"/>
    <n v="63"/>
  </r>
  <r>
    <x v="1354"/>
    <x v="1"/>
    <n v="62"/>
  </r>
  <r>
    <x v="1355"/>
    <x v="0"/>
    <n v="65"/>
  </r>
  <r>
    <x v="1356"/>
    <x v="1"/>
    <n v="70"/>
  </r>
  <r>
    <x v="1357"/>
    <x v="1"/>
    <n v="59"/>
  </r>
  <r>
    <x v="1358"/>
    <x v="1"/>
    <n v="61.5"/>
  </r>
  <r>
    <x v="1359"/>
    <x v="0"/>
    <n v="68"/>
  </r>
  <r>
    <x v="1360"/>
    <x v="0"/>
    <n v="62"/>
  </r>
  <r>
    <x v="1361"/>
    <x v="0"/>
    <n v="63.5"/>
  </r>
  <r>
    <x v="1362"/>
    <x v="0"/>
    <n v="69"/>
  </r>
  <r>
    <x v="1363"/>
    <x v="1"/>
    <n v="72"/>
  </r>
  <r>
    <x v="166"/>
    <x v="0"/>
    <n v="65"/>
  </r>
  <r>
    <x v="1364"/>
    <x v="1"/>
    <n v="47"/>
  </r>
  <r>
    <x v="1365"/>
    <x v="1"/>
    <n v="63.5"/>
  </r>
  <r>
    <x v="1366"/>
    <x v="0"/>
    <n v="57.5"/>
  </r>
  <r>
    <x v="1367"/>
    <x v="0"/>
    <n v="60"/>
  </r>
  <r>
    <x v="87"/>
    <x v="0"/>
    <n v="74"/>
  </r>
  <r>
    <x v="1368"/>
    <x v="0"/>
    <n v="66.5"/>
  </r>
  <r>
    <x v="1369"/>
    <x v="1"/>
    <n v="58"/>
  </r>
  <r>
    <x v="1370"/>
    <x v="1"/>
    <n v="68"/>
  </r>
  <r>
    <x v="1371"/>
    <x v="0"/>
    <n v="62"/>
  </r>
  <r>
    <x v="1348"/>
    <x v="0"/>
    <n v="68"/>
  </r>
  <r>
    <x v="1372"/>
    <x v="0"/>
    <n v="66"/>
  </r>
  <r>
    <x v="1373"/>
    <x v="0"/>
    <n v="65"/>
  </r>
  <r>
    <x v="1374"/>
    <x v="1"/>
    <n v="66"/>
  </r>
  <r>
    <x v="1375"/>
    <x v="1"/>
    <n v="72"/>
  </r>
  <r>
    <x v="1376"/>
    <x v="2"/>
    <n v="71"/>
  </r>
  <r>
    <x v="1377"/>
    <x v="2"/>
    <n v="66"/>
  </r>
  <r>
    <x v="1378"/>
    <x v="2"/>
    <n v="62"/>
  </r>
  <r>
    <x v="1379"/>
    <x v="0"/>
    <n v="69"/>
  </r>
  <r>
    <x v="1380"/>
    <x v="0"/>
    <n v="60"/>
  </r>
  <r>
    <x v="1381"/>
    <x v="1"/>
    <n v="67"/>
  </r>
  <r>
    <x v="1287"/>
    <x v="0"/>
    <n v="65"/>
  </r>
  <r>
    <x v="1287"/>
    <x v="0"/>
    <n v="66"/>
  </r>
  <r>
    <x v="1382"/>
    <x v="2"/>
    <n v="63"/>
  </r>
  <r>
    <x v="1030"/>
    <x v="0"/>
    <n v="67"/>
  </r>
  <r>
    <x v="1383"/>
    <x v="1"/>
    <n v="72"/>
  </r>
  <r>
    <x v="1384"/>
    <x v="0"/>
    <n v="60"/>
  </r>
  <r>
    <x v="1385"/>
    <x v="0"/>
    <n v="62.5"/>
  </r>
  <r>
    <x v="1386"/>
    <x v="1"/>
    <n v="67"/>
  </r>
  <r>
    <x v="1387"/>
    <x v="1"/>
    <n v="69"/>
  </r>
  <r>
    <x v="1388"/>
    <x v="0"/>
    <n v="66"/>
  </r>
  <r>
    <x v="1389"/>
    <x v="0"/>
    <n v="72"/>
  </r>
  <r>
    <x v="1390"/>
    <x v="1"/>
    <n v="70"/>
  </r>
  <r>
    <x v="66"/>
    <x v="0"/>
    <n v="78"/>
  </r>
  <r>
    <x v="1391"/>
    <x v="0"/>
    <n v="60"/>
  </r>
  <r>
    <x v="1392"/>
    <x v="0"/>
    <n v="62.5"/>
  </r>
  <r>
    <x v="1393"/>
    <x v="0"/>
    <n v="65"/>
  </r>
  <r>
    <x v="423"/>
    <x v="0"/>
    <n v="54"/>
  </r>
  <r>
    <x v="1209"/>
    <x v="0"/>
    <n v="70"/>
  </r>
  <r>
    <x v="1394"/>
    <x v="1"/>
    <n v="49.5"/>
  </r>
  <r>
    <x v="1375"/>
    <x v="1"/>
    <n v="74"/>
  </r>
  <r>
    <x v="1395"/>
    <x v="0"/>
    <n v="69"/>
  </r>
  <r>
    <x v="1396"/>
    <x v="0"/>
    <n v="63.5"/>
  </r>
  <r>
    <x v="1397"/>
    <x v="2"/>
    <n v="69"/>
  </r>
  <r>
    <x v="1398"/>
    <x v="0"/>
    <n v="70"/>
  </r>
  <r>
    <x v="1399"/>
    <x v="2"/>
    <n v="65.5"/>
  </r>
  <r>
    <x v="383"/>
    <x v="0"/>
    <n v="79"/>
  </r>
  <r>
    <x v="1400"/>
    <x v="0"/>
    <n v="67"/>
  </r>
  <r>
    <x v="1401"/>
    <x v="0"/>
    <n v="72"/>
  </r>
  <r>
    <x v="1402"/>
    <x v="1"/>
    <n v="50"/>
  </r>
  <r>
    <x v="1403"/>
    <x v="0"/>
    <n v="64"/>
  </r>
  <r>
    <x v="1404"/>
    <x v="0"/>
    <n v="65"/>
  </r>
  <r>
    <x v="1405"/>
    <x v="2"/>
    <n v="69"/>
  </r>
  <r>
    <x v="1406"/>
    <x v="0"/>
    <n v="71"/>
  </r>
  <r>
    <x v="1407"/>
    <x v="0"/>
    <n v="77"/>
  </r>
  <r>
    <x v="1408"/>
    <x v="0"/>
    <n v="63"/>
  </r>
  <r>
    <x v="1409"/>
    <x v="0"/>
    <n v="66"/>
  </r>
  <r>
    <x v="1410"/>
    <x v="0"/>
    <n v="68"/>
  </r>
  <r>
    <x v="1411"/>
    <x v="0"/>
    <n v="66"/>
  </r>
  <r>
    <x v="1412"/>
    <x v="1"/>
    <n v="72"/>
  </r>
  <r>
    <x v="1413"/>
    <x v="0"/>
    <n v="68"/>
  </r>
  <r>
    <x v="1414"/>
    <x v="0"/>
    <n v="68"/>
  </r>
  <r>
    <x v="1415"/>
    <x v="2"/>
    <n v="65"/>
  </r>
  <r>
    <x v="1416"/>
    <x v="0"/>
    <n v="65.5"/>
  </r>
  <r>
    <x v="1417"/>
    <x v="0"/>
    <n v="68"/>
  </r>
  <r>
    <x v="845"/>
    <x v="0"/>
    <n v="64"/>
  </r>
  <r>
    <x v="1418"/>
    <x v="0"/>
    <n v="65"/>
  </r>
  <r>
    <x v="1419"/>
    <x v="0"/>
    <n v="66"/>
  </r>
  <r>
    <x v="1420"/>
    <x v="2"/>
    <n v="67"/>
  </r>
  <r>
    <x v="1421"/>
    <x v="1"/>
    <n v="65"/>
  </r>
  <r>
    <x v="1422"/>
    <x v="1"/>
    <n v="67"/>
  </r>
  <r>
    <x v="1423"/>
    <x v="0"/>
    <n v="63"/>
  </r>
  <r>
    <x v="1424"/>
    <x v="0"/>
    <n v="67"/>
  </r>
  <r>
    <x v="1425"/>
    <x v="0"/>
    <n v="59"/>
  </r>
  <r>
    <x v="1426"/>
    <x v="0"/>
    <n v="59.5"/>
  </r>
  <r>
    <x v="1427"/>
    <x v="0"/>
    <n v="56"/>
  </r>
  <r>
    <x v="1428"/>
    <x v="2"/>
    <n v="65.5"/>
  </r>
  <r>
    <x v="1429"/>
    <x v="1"/>
    <n v="61.5"/>
  </r>
  <r>
    <x v="1430"/>
    <x v="2"/>
    <n v="66"/>
  </r>
  <r>
    <x v="1431"/>
    <x v="0"/>
    <n v="64.5"/>
  </r>
  <r>
    <x v="1432"/>
    <x v="0"/>
    <n v="69"/>
  </r>
  <r>
    <x v="1433"/>
    <x v="0"/>
    <n v="66"/>
  </r>
  <r>
    <x v="992"/>
    <x v="0"/>
    <n v="68"/>
  </r>
  <r>
    <x v="1434"/>
    <x v="0"/>
    <n v="66"/>
  </r>
  <r>
    <x v="1435"/>
    <x v="0"/>
    <n v="67"/>
  </r>
  <r>
    <x v="1436"/>
    <x v="0"/>
    <n v="65.5"/>
  </r>
  <r>
    <x v="1437"/>
    <x v="0"/>
    <n v="68.5"/>
  </r>
  <r>
    <x v="1438"/>
    <x v="0"/>
    <n v="70"/>
  </r>
  <r>
    <x v="1439"/>
    <x v="0"/>
    <n v="65"/>
  </r>
  <r>
    <x v="1440"/>
    <x v="0"/>
    <n v="69"/>
  </r>
  <r>
    <x v="1441"/>
    <x v="0"/>
    <n v="53"/>
  </r>
  <r>
    <x v="1442"/>
    <x v="0"/>
    <n v="61"/>
  </r>
  <r>
    <x v="1443"/>
    <x v="1"/>
    <n v="72.5"/>
  </r>
  <r>
    <x v="1444"/>
    <x v="1"/>
    <n v="68"/>
  </r>
  <r>
    <x v="1445"/>
    <x v="1"/>
    <n v="66"/>
  </r>
  <r>
    <x v="1446"/>
    <x v="0"/>
    <n v="71"/>
  </r>
  <r>
    <x v="1447"/>
    <x v="0"/>
    <n v="64.5"/>
  </r>
  <r>
    <x v="1448"/>
    <x v="0"/>
    <n v="66"/>
  </r>
  <r>
    <x v="1449"/>
    <x v="0"/>
    <n v="65"/>
  </r>
  <r>
    <x v="896"/>
    <x v="0"/>
    <n v="43"/>
  </r>
  <r>
    <x v="1450"/>
    <x v="0"/>
    <n v="66"/>
  </r>
  <r>
    <x v="1451"/>
    <x v="2"/>
    <n v="66"/>
  </r>
  <r>
    <x v="1452"/>
    <x v="1"/>
    <n v="66.5"/>
  </r>
  <r>
    <x v="1453"/>
    <x v="2"/>
    <n v="75"/>
  </r>
  <r>
    <x v="1454"/>
    <x v="2"/>
    <n v="64"/>
  </r>
  <r>
    <x v="1455"/>
    <x v="0"/>
    <n v="66"/>
  </r>
  <r>
    <x v="1456"/>
    <x v="0"/>
    <n v="65"/>
  </r>
  <r>
    <x v="1457"/>
    <x v="0"/>
    <n v="62"/>
  </r>
  <r>
    <x v="1458"/>
    <x v="0"/>
    <n v="64.5"/>
  </r>
  <r>
    <x v="1459"/>
    <x v="0"/>
    <n v="55"/>
  </r>
  <r>
    <x v="1460"/>
    <x v="0"/>
    <n v="45"/>
  </r>
  <r>
    <x v="1461"/>
    <x v="1"/>
    <n v="70"/>
  </r>
  <r>
    <x v="1462"/>
    <x v="0"/>
    <n v="66"/>
  </r>
  <r>
    <x v="1463"/>
    <x v="0"/>
    <n v="72"/>
  </r>
  <r>
    <x v="1464"/>
    <x v="1"/>
    <n v="69"/>
  </r>
  <r>
    <x v="1465"/>
    <x v="2"/>
    <n v="82"/>
  </r>
  <r>
    <x v="1368"/>
    <x v="0"/>
    <n v="67"/>
  </r>
  <r>
    <x v="1466"/>
    <x v="0"/>
    <n v="73"/>
  </r>
  <r>
    <x v="1467"/>
    <x v="0"/>
    <n v="64.5"/>
  </r>
  <r>
    <x v="1468"/>
    <x v="0"/>
    <n v="65"/>
  </r>
  <r>
    <x v="1469"/>
    <x v="0"/>
    <n v="66"/>
  </r>
  <r>
    <x v="1470"/>
    <x v="0"/>
    <n v="64.5"/>
  </r>
  <r>
    <x v="1471"/>
    <x v="0"/>
    <n v="64"/>
  </r>
  <r>
    <x v="1472"/>
    <x v="0"/>
    <n v="60.5"/>
  </r>
  <r>
    <x v="1473"/>
    <x v="0"/>
    <n v="64"/>
  </r>
  <r>
    <x v="1474"/>
    <x v="2"/>
    <n v="73"/>
  </r>
  <r>
    <x v="1475"/>
    <x v="0"/>
    <n v="67"/>
  </r>
  <r>
    <x v="765"/>
    <x v="0"/>
    <n v="67"/>
  </r>
  <r>
    <x v="1476"/>
    <x v="0"/>
    <n v="66.5"/>
  </r>
  <r>
    <x v="1477"/>
    <x v="0"/>
    <n v="65.5"/>
  </r>
  <r>
    <x v="1478"/>
    <x v="0"/>
    <n v="63"/>
  </r>
  <r>
    <x v="1479"/>
    <x v="1"/>
    <n v="61.5"/>
  </r>
  <r>
    <x v="992"/>
    <x v="0"/>
    <n v="68"/>
  </r>
  <r>
    <x v="1480"/>
    <x v="0"/>
    <n v="66.5"/>
  </r>
  <r>
    <x v="1481"/>
    <x v="2"/>
    <n v="66.5"/>
  </r>
  <r>
    <x v="1482"/>
    <x v="0"/>
    <n v="70"/>
  </r>
  <r>
    <x v="1483"/>
    <x v="2"/>
    <n v="62"/>
  </r>
  <r>
    <x v="1484"/>
    <x v="0"/>
    <n v="66"/>
  </r>
  <r>
    <x v="1485"/>
    <x v="0"/>
    <n v="66"/>
  </r>
  <r>
    <x v="845"/>
    <x v="0"/>
    <n v="66"/>
  </r>
  <r>
    <x v="1486"/>
    <x v="1"/>
    <n v="66"/>
  </r>
  <r>
    <x v="1487"/>
    <x v="2"/>
    <n v="57.5"/>
  </r>
  <r>
    <x v="1488"/>
    <x v="0"/>
    <n v="68.5"/>
  </r>
  <r>
    <x v="1489"/>
    <x v="0"/>
    <n v="63"/>
  </r>
  <r>
    <x v="1490"/>
    <x v="2"/>
    <n v="70"/>
  </r>
  <r>
    <x v="1491"/>
    <x v="0"/>
    <n v="66"/>
  </r>
  <r>
    <x v="1492"/>
    <x v="1"/>
    <n v="65"/>
  </r>
  <r>
    <x v="1493"/>
    <x v="0"/>
    <n v="66.5"/>
  </r>
  <r>
    <x v="1494"/>
    <x v="0"/>
    <n v="57"/>
  </r>
  <r>
    <x v="1495"/>
    <x v="0"/>
    <n v="67"/>
  </r>
  <r>
    <x v="1496"/>
    <x v="0"/>
    <n v="64"/>
  </r>
  <r>
    <x v="1497"/>
    <x v="0"/>
    <n v="68"/>
  </r>
  <r>
    <x v="1498"/>
    <x v="0"/>
    <n v="68"/>
  </r>
  <r>
    <x v="1499"/>
    <x v="0"/>
    <n v="61.5"/>
  </r>
  <r>
    <x v="1500"/>
    <x v="0"/>
    <n v="70.5"/>
  </r>
  <r>
    <x v="1501"/>
    <x v="0"/>
    <n v="70"/>
  </r>
  <r>
    <x v="1417"/>
    <x v="0"/>
    <n v="73.5"/>
  </r>
  <r>
    <x v="1502"/>
    <x v="0"/>
    <n v="68"/>
  </r>
  <r>
    <x v="1503"/>
    <x v="0"/>
    <n v="73"/>
  </r>
  <r>
    <x v="1504"/>
    <x v="0"/>
    <n v="74"/>
  </r>
  <r>
    <x v="1505"/>
    <x v="1"/>
    <n v="47.5"/>
  </r>
  <r>
    <x v="1506"/>
    <x v="0"/>
    <n v="73.5"/>
  </r>
  <r>
    <x v="1507"/>
    <x v="1"/>
    <n v="58.5"/>
  </r>
  <r>
    <x v="1508"/>
    <x v="0"/>
    <n v="58"/>
  </r>
  <r>
    <x v="1509"/>
    <x v="1"/>
    <n v="63"/>
  </r>
  <r>
    <x v="1510"/>
    <x v="0"/>
    <n v="67"/>
  </r>
  <r>
    <x v="1287"/>
    <x v="0"/>
    <n v="66"/>
  </r>
  <r>
    <x v="1511"/>
    <x v="0"/>
    <n v="68"/>
  </r>
  <r>
    <x v="1323"/>
    <x v="0"/>
    <n v="69"/>
  </r>
  <r>
    <x v="1512"/>
    <x v="0"/>
    <n v="67"/>
  </r>
  <r>
    <x v="1513"/>
    <x v="0"/>
    <n v="65"/>
  </r>
  <r>
    <x v="1514"/>
    <x v="0"/>
    <n v="70"/>
  </r>
  <r>
    <x v="1515"/>
    <x v="0"/>
    <n v="66.5"/>
  </r>
  <r>
    <x v="1516"/>
    <x v="0"/>
    <n v="67"/>
  </r>
  <r>
    <x v="1517"/>
    <x v="0"/>
    <n v="68.5"/>
  </r>
  <r>
    <x v="1518"/>
    <x v="2"/>
    <n v="67"/>
  </r>
  <r>
    <x v="1519"/>
    <x v="0"/>
    <n v="67"/>
  </r>
  <r>
    <x v="1520"/>
    <x v="0"/>
    <n v="69"/>
  </r>
  <r>
    <x v="1521"/>
    <x v="0"/>
    <n v="69"/>
  </r>
  <r>
    <x v="1522"/>
    <x v="0"/>
    <n v="71"/>
  </r>
  <r>
    <x v="1523"/>
    <x v="0"/>
    <n v="67"/>
  </r>
  <r>
    <x v="1524"/>
    <x v="0"/>
    <n v="64"/>
  </r>
  <r>
    <x v="1525"/>
    <x v="0"/>
    <n v="61"/>
  </r>
  <r>
    <x v="1526"/>
    <x v="0"/>
    <n v="61"/>
  </r>
  <r>
    <x v="1527"/>
    <x v="1"/>
    <n v="51.5"/>
  </r>
  <r>
    <x v="1528"/>
    <x v="1"/>
    <n v="49"/>
  </r>
  <r>
    <x v="1529"/>
    <x v="0"/>
    <n v="69"/>
  </r>
  <r>
    <x v="756"/>
    <x v="0"/>
    <n v="67.5"/>
  </r>
  <r>
    <x v="1530"/>
    <x v="0"/>
    <n v="67.5"/>
  </r>
  <r>
    <x v="1287"/>
    <x v="0"/>
    <n v="56.5"/>
  </r>
  <r>
    <x v="1531"/>
    <x v="0"/>
    <n v="67"/>
  </r>
  <r>
    <x v="1532"/>
    <x v="0"/>
    <n v="71"/>
  </r>
  <r>
    <x v="1533"/>
    <x v="0"/>
    <n v="64.5"/>
  </r>
  <r>
    <x v="1192"/>
    <x v="0"/>
    <n v="65"/>
  </r>
  <r>
    <x v="1534"/>
    <x v="0"/>
    <n v="68"/>
  </r>
  <r>
    <x v="1535"/>
    <x v="0"/>
    <n v="63"/>
  </r>
  <r>
    <x v="1536"/>
    <x v="0"/>
    <n v="71.5"/>
  </r>
  <r>
    <x v="1537"/>
    <x v="0"/>
    <n v="68"/>
  </r>
  <r>
    <x v="1538"/>
    <x v="0"/>
    <n v="67"/>
  </r>
  <r>
    <x v="1539"/>
    <x v="0"/>
    <n v="67"/>
  </r>
  <r>
    <x v="1540"/>
    <x v="0"/>
    <n v="64.5"/>
  </r>
  <r>
    <x v="1541"/>
    <x v="1"/>
    <n v="76.5"/>
  </r>
  <r>
    <x v="1542"/>
    <x v="0"/>
    <n v="63.5"/>
  </r>
  <r>
    <x v="1543"/>
    <x v="0"/>
    <n v="68.5"/>
  </r>
  <r>
    <x v="1544"/>
    <x v="1"/>
    <n v="64"/>
  </r>
  <r>
    <x v="1545"/>
    <x v="0"/>
    <n v="59.5"/>
  </r>
  <r>
    <x v="1546"/>
    <x v="0"/>
    <n v="64"/>
  </r>
  <r>
    <x v="1547"/>
    <x v="0"/>
    <n v="74"/>
  </r>
  <r>
    <x v="1548"/>
    <x v="0"/>
    <n v="66.5"/>
  </r>
  <r>
    <x v="1549"/>
    <x v="0"/>
    <n v="67"/>
  </r>
  <r>
    <x v="1550"/>
    <x v="0"/>
    <n v="71"/>
  </r>
  <r>
    <x v="1551"/>
    <x v="2"/>
    <n v="66"/>
  </r>
  <r>
    <x v="1552"/>
    <x v="0"/>
    <n v="68"/>
  </r>
  <r>
    <x v="1553"/>
    <x v="0"/>
    <n v="68"/>
  </r>
  <r>
    <x v="1554"/>
    <x v="0"/>
    <n v="65"/>
  </r>
  <r>
    <x v="1373"/>
    <x v="0"/>
    <n v="61.5"/>
  </r>
  <r>
    <x v="1555"/>
    <x v="0"/>
    <n v="65"/>
  </r>
  <r>
    <x v="1556"/>
    <x v="0"/>
    <n v="70"/>
  </r>
  <r>
    <x v="1557"/>
    <x v="0"/>
    <n v="73"/>
  </r>
  <r>
    <x v="1521"/>
    <x v="0"/>
    <n v="70.5"/>
  </r>
  <r>
    <x v="1558"/>
    <x v="0"/>
    <n v="74.5"/>
  </r>
  <r>
    <x v="1559"/>
    <x v="0"/>
    <n v="68"/>
  </r>
  <r>
    <x v="1560"/>
    <x v="1"/>
    <n v="72"/>
  </r>
  <r>
    <x v="1561"/>
    <x v="0"/>
    <n v="66.5"/>
  </r>
  <r>
    <x v="1562"/>
    <x v="0"/>
    <n v="63"/>
  </r>
  <r>
    <x v="1563"/>
    <x v="0"/>
    <n v="66"/>
  </r>
  <r>
    <x v="1564"/>
    <x v="0"/>
    <n v="70.5"/>
  </r>
  <r>
    <x v="1565"/>
    <x v="0"/>
    <n v="64"/>
  </r>
  <r>
    <x v="1566"/>
    <x v="0"/>
    <n v="70"/>
  </r>
  <r>
    <x v="1567"/>
    <x v="0"/>
    <n v="73"/>
  </r>
  <r>
    <x v="1568"/>
    <x v="0"/>
    <n v="70"/>
  </r>
  <r>
    <x v="1569"/>
    <x v="0"/>
    <n v="69.5"/>
  </r>
  <r>
    <x v="1570"/>
    <x v="2"/>
    <n v="69.5"/>
  </r>
  <r>
    <x v="1571"/>
    <x v="0"/>
    <n v="71"/>
  </r>
  <r>
    <x v="1572"/>
    <x v="0"/>
    <n v="67.5"/>
  </r>
  <r>
    <x v="1573"/>
    <x v="0"/>
    <n v="74"/>
  </r>
  <r>
    <x v="1574"/>
    <x v="0"/>
    <n v="66"/>
  </r>
  <r>
    <x v="845"/>
    <x v="0"/>
    <n v="67"/>
  </r>
  <r>
    <x v="1575"/>
    <x v="0"/>
    <n v="71"/>
  </r>
  <r>
    <x v="1576"/>
    <x v="0"/>
    <n v="64"/>
  </r>
  <r>
    <x v="1577"/>
    <x v="0"/>
    <n v="70"/>
  </r>
  <r>
    <x v="1578"/>
    <x v="1"/>
    <n v="73"/>
  </r>
  <r>
    <x v="1579"/>
    <x v="1"/>
    <n v="67"/>
  </r>
  <r>
    <x v="1580"/>
    <x v="0"/>
    <n v="65"/>
  </r>
  <r>
    <x v="1581"/>
    <x v="0"/>
    <n v="68"/>
  </r>
  <r>
    <x v="703"/>
    <x v="0"/>
    <n v="66.5"/>
  </r>
  <r>
    <x v="1582"/>
    <x v="0"/>
    <n v="69"/>
  </r>
  <r>
    <x v="1583"/>
    <x v="0"/>
    <n v="72"/>
  </r>
  <r>
    <x v="1584"/>
    <x v="0"/>
    <n v="65"/>
  </r>
  <r>
    <x v="1585"/>
    <x v="1"/>
    <n v="68"/>
  </r>
  <r>
    <x v="1586"/>
    <x v="2"/>
    <n v="70.5"/>
  </r>
  <r>
    <x v="1587"/>
    <x v="0"/>
    <n v="65"/>
  </r>
  <r>
    <x v="1588"/>
    <x v="0"/>
    <n v="68.5"/>
  </r>
  <r>
    <x v="1589"/>
    <x v="0"/>
    <n v="68.5"/>
  </r>
  <r>
    <x v="1590"/>
    <x v="0"/>
    <n v="74.5"/>
  </r>
  <r>
    <x v="1591"/>
    <x v="0"/>
    <n v="64.5"/>
  </r>
  <r>
    <x v="1592"/>
    <x v="0"/>
    <n v="58.5"/>
  </r>
  <r>
    <x v="1593"/>
    <x v="0"/>
    <n v="61"/>
  </r>
  <r>
    <x v="1594"/>
    <x v="1"/>
    <n v="50"/>
  </r>
  <r>
    <x v="1595"/>
    <x v="1"/>
    <n v="54"/>
  </r>
  <r>
    <x v="1596"/>
    <x v="1"/>
    <n v="51"/>
  </r>
  <r>
    <x v="1597"/>
    <x v="1"/>
    <n v="50"/>
  </r>
  <r>
    <x v="1598"/>
    <x v="1"/>
    <n v="49.5"/>
  </r>
  <r>
    <x v="1599"/>
    <x v="0"/>
    <n v="74.5"/>
  </r>
  <r>
    <x v="1600"/>
    <x v="0"/>
    <n v="65"/>
  </r>
  <r>
    <x v="1601"/>
    <x v="0"/>
    <n v="73"/>
  </r>
  <r>
    <x v="1602"/>
    <x v="0"/>
    <n v="61.5"/>
  </r>
  <r>
    <x v="1603"/>
    <x v="0"/>
    <n v="65"/>
  </r>
  <r>
    <x v="1213"/>
    <x v="0"/>
    <n v="65.5"/>
  </r>
  <r>
    <x v="1213"/>
    <x v="0"/>
    <n v="74"/>
  </r>
  <r>
    <x v="1604"/>
    <x v="0"/>
    <n v="75"/>
  </r>
  <r>
    <x v="1605"/>
    <x v="0"/>
    <n v="74"/>
  </r>
  <r>
    <x v="1213"/>
    <x v="0"/>
    <n v="64.5"/>
  </r>
  <r>
    <x v="1606"/>
    <x v="0"/>
    <n v="78"/>
  </r>
  <r>
    <x v="1607"/>
    <x v="0"/>
    <n v="67.5"/>
  </r>
  <r>
    <x v="1608"/>
    <x v="0"/>
    <n v="74.5"/>
  </r>
  <r>
    <x v="1609"/>
    <x v="0"/>
    <n v="76.5"/>
  </r>
  <r>
    <x v="1610"/>
    <x v="1"/>
    <n v="68.5"/>
  </r>
  <r>
    <x v="1611"/>
    <x v="0"/>
    <n v="74.5"/>
  </r>
  <r>
    <x v="1612"/>
    <x v="0"/>
    <n v="62.5"/>
  </r>
  <r>
    <x v="1613"/>
    <x v="0"/>
    <n v="69"/>
  </r>
  <r>
    <x v="1614"/>
    <x v="0"/>
    <n v="63.5"/>
  </r>
  <r>
    <x v="1615"/>
    <x v="0"/>
    <n v="74"/>
  </r>
  <r>
    <x v="1616"/>
    <x v="0"/>
    <n v="77"/>
  </r>
  <r>
    <x v="1617"/>
    <x v="0"/>
    <n v="69"/>
  </r>
  <r>
    <x v="1618"/>
    <x v="0"/>
    <n v="60.5"/>
  </r>
  <r>
    <x v="1619"/>
    <x v="0"/>
    <n v="56"/>
  </r>
  <r>
    <x v="1620"/>
    <x v="0"/>
    <n v="62"/>
  </r>
  <r>
    <x v="1621"/>
    <x v="0"/>
    <n v="67"/>
  </r>
  <r>
    <x v="1622"/>
    <x v="0"/>
    <n v="53.5"/>
  </r>
  <r>
    <x v="430"/>
    <x v="0"/>
    <n v="65"/>
  </r>
  <r>
    <x v="1623"/>
    <x v="0"/>
    <n v="67.5"/>
  </r>
  <r>
    <x v="1624"/>
    <x v="0"/>
    <n v="74.5"/>
  </r>
  <r>
    <x v="1625"/>
    <x v="0"/>
    <n v="76.5"/>
  </r>
  <r>
    <x v="1626"/>
    <x v="0"/>
    <n v="47.5"/>
  </r>
  <r>
    <x v="1627"/>
    <x v="0"/>
    <n v="47"/>
  </r>
  <r>
    <x v="1628"/>
    <x v="0"/>
    <n v="66.5"/>
  </r>
  <r>
    <x v="1629"/>
    <x v="0"/>
    <n v="65.5"/>
  </r>
  <r>
    <x v="1630"/>
    <x v="0"/>
    <n v="77.5"/>
  </r>
  <r>
    <x v="1631"/>
    <x v="0"/>
    <n v="64.5"/>
  </r>
  <r>
    <x v="1632"/>
    <x v="0"/>
    <n v="67.5"/>
  </r>
  <r>
    <x v="1633"/>
    <x v="0"/>
    <n v="62"/>
  </r>
  <r>
    <x v="1634"/>
    <x v="0"/>
    <n v="67"/>
  </r>
  <r>
    <x v="1635"/>
    <x v="0"/>
    <n v="66.5"/>
  </r>
  <r>
    <x v="1636"/>
    <x v="0"/>
    <n v="65"/>
  </r>
  <r>
    <x v="1637"/>
    <x v="0"/>
    <n v="54"/>
  </r>
  <r>
    <x v="1638"/>
    <x v="2"/>
    <n v="59"/>
  </r>
  <r>
    <x v="1639"/>
    <x v="0"/>
    <n v="53.5"/>
  </r>
  <r>
    <x v="1640"/>
    <x v="0"/>
    <n v="62"/>
  </r>
  <r>
    <x v="1641"/>
    <x v="0"/>
    <n v="65"/>
  </r>
  <r>
    <x v="1642"/>
    <x v="0"/>
    <n v="64"/>
  </r>
  <r>
    <x v="1643"/>
    <x v="0"/>
    <n v="76"/>
  </r>
  <r>
    <x v="1644"/>
    <x v="0"/>
    <n v="64"/>
  </r>
  <r>
    <x v="1645"/>
    <x v="0"/>
    <n v="88.5"/>
  </r>
  <r>
    <x v="890"/>
    <x v="0"/>
    <n v="67.5"/>
  </r>
  <r>
    <x v="1646"/>
    <x v="0"/>
    <n v="70"/>
  </r>
  <r>
    <x v="1647"/>
    <x v="0"/>
    <n v="75"/>
  </r>
  <r>
    <x v="1423"/>
    <x v="0"/>
    <n v="63.5"/>
  </r>
  <r>
    <x v="1648"/>
    <x v="0"/>
    <n v="51.5"/>
  </r>
  <r>
    <x v="1649"/>
    <x v="0"/>
    <n v="80"/>
  </r>
  <r>
    <x v="1650"/>
    <x v="1"/>
    <n v="82.5"/>
  </r>
  <r>
    <x v="1651"/>
    <x v="0"/>
    <n v="72"/>
  </r>
  <r>
    <x v="1652"/>
    <x v="0"/>
    <n v="62"/>
  </r>
  <r>
    <x v="910"/>
    <x v="1"/>
    <n v="60"/>
  </r>
  <r>
    <x v="1653"/>
    <x v="1"/>
    <n v="69.5"/>
  </r>
  <r>
    <x v="1654"/>
    <x v="1"/>
    <n v="67"/>
  </r>
  <r>
    <x v="1655"/>
    <x v="0"/>
    <n v="69.5"/>
  </r>
  <r>
    <x v="1656"/>
    <x v="0"/>
    <n v="65"/>
  </r>
  <r>
    <x v="1657"/>
    <x v="0"/>
    <n v="79"/>
  </r>
  <r>
    <x v="1333"/>
    <x v="0"/>
    <n v="75"/>
  </r>
  <r>
    <x v="1658"/>
    <x v="0"/>
    <n v="56"/>
  </r>
  <r>
    <x v="1652"/>
    <x v="0"/>
    <n v="63"/>
  </r>
  <r>
    <x v="1659"/>
    <x v="0"/>
    <n v="55.5"/>
  </r>
  <r>
    <x v="1660"/>
    <x v="0"/>
    <n v="75.5"/>
  </r>
  <r>
    <x v="1661"/>
    <x v="0"/>
    <n v="70"/>
  </r>
  <r>
    <x v="1662"/>
    <x v="0"/>
    <n v="75"/>
  </r>
  <r>
    <x v="1638"/>
    <x v="0"/>
    <n v="69"/>
  </r>
  <r>
    <x v="1663"/>
    <x v="0"/>
    <n v="69.5"/>
  </r>
  <r>
    <x v="1664"/>
    <x v="0"/>
    <n v="66.5"/>
  </r>
  <r>
    <x v="1665"/>
    <x v="0"/>
    <n v="64"/>
  </r>
  <r>
    <x v="1666"/>
    <x v="1"/>
    <n v="56"/>
  </r>
  <r>
    <x v="1667"/>
    <x v="0"/>
    <n v="65"/>
  </r>
  <r>
    <x v="1668"/>
    <x v="0"/>
    <n v="71.5"/>
  </r>
  <r>
    <x v="1669"/>
    <x v="0"/>
    <n v="76.5"/>
  </r>
  <r>
    <x v="1670"/>
    <x v="0"/>
    <n v="60.5"/>
  </r>
  <r>
    <x v="1671"/>
    <x v="0"/>
    <n v="57"/>
  </r>
  <r>
    <x v="1672"/>
    <x v="0"/>
    <n v="70.5"/>
  </r>
  <r>
    <x v="1673"/>
    <x v="1"/>
    <n v="67.5"/>
  </r>
  <r>
    <x v="1674"/>
    <x v="0"/>
    <n v="58.5"/>
  </r>
  <r>
    <x v="1675"/>
    <x v="1"/>
    <n v="51"/>
  </r>
  <r>
    <x v="1676"/>
    <x v="0"/>
    <n v="80"/>
  </r>
  <r>
    <x v="1677"/>
    <x v="0"/>
    <n v="59.5"/>
  </r>
  <r>
    <x v="1678"/>
    <x v="0"/>
    <n v="74.5"/>
  </r>
  <r>
    <x v="1521"/>
    <x v="0"/>
    <n v="60.5"/>
  </r>
  <r>
    <x v="1679"/>
    <x v="1"/>
    <n v="75"/>
  </r>
  <r>
    <x v="1680"/>
    <x v="0"/>
    <n v="57.5"/>
  </r>
  <r>
    <x v="1681"/>
    <x v="0"/>
    <n v="75"/>
  </r>
  <r>
    <x v="1213"/>
    <x v="0"/>
    <n v="68.5"/>
  </r>
  <r>
    <x v="1682"/>
    <x v="0"/>
    <n v="64"/>
  </r>
  <r>
    <x v="1683"/>
    <x v="0"/>
    <n v="77.5"/>
  </r>
  <r>
    <x v="1684"/>
    <x v="2"/>
    <n v="57.5"/>
  </r>
  <r>
    <x v="1685"/>
    <x v="0"/>
    <n v="55"/>
  </r>
  <r>
    <x v="1686"/>
    <x v="0"/>
    <n v="65"/>
  </r>
  <r>
    <x v="1687"/>
    <x v="0"/>
    <n v="56.5"/>
  </r>
  <r>
    <x v="1688"/>
    <x v="0"/>
    <n v="59"/>
  </r>
  <r>
    <x v="1689"/>
    <x v="0"/>
    <n v="87.5"/>
  </r>
  <r>
    <x v="1690"/>
    <x v="0"/>
    <n v="60"/>
  </r>
  <r>
    <x v="1691"/>
    <x v="0"/>
    <n v="76.5"/>
  </r>
  <r>
    <x v="1692"/>
    <x v="0"/>
    <n v="60.5"/>
  </r>
  <r>
    <x v="1493"/>
    <x v="0"/>
    <n v="66"/>
  </r>
  <r>
    <x v="1693"/>
    <x v="0"/>
    <n v="66"/>
  </r>
  <r>
    <x v="1694"/>
    <x v="1"/>
    <n v="54.5"/>
  </r>
  <r>
    <x v="1695"/>
    <x v="1"/>
    <n v="60"/>
  </r>
  <r>
    <x v="1696"/>
    <x v="0"/>
    <n v="52.5"/>
  </r>
  <r>
    <x v="1697"/>
    <x v="0"/>
    <n v="69"/>
  </r>
  <r>
    <x v="1686"/>
    <x v="0"/>
    <n v="64.5"/>
  </r>
  <r>
    <x v="1698"/>
    <x v="0"/>
    <n v="71"/>
  </r>
  <r>
    <x v="535"/>
    <x v="0"/>
    <n v="79.5"/>
  </r>
  <r>
    <x v="1699"/>
    <x v="0"/>
    <n v="61.5"/>
  </r>
  <r>
    <x v="1700"/>
    <x v="1"/>
    <n v="68.5"/>
  </r>
  <r>
    <x v="1701"/>
    <x v="2"/>
    <n v="64.5"/>
  </r>
  <r>
    <x v="1702"/>
    <x v="0"/>
    <n v="70"/>
  </r>
  <r>
    <x v="1703"/>
    <x v="0"/>
    <n v="67"/>
  </r>
  <r>
    <x v="1009"/>
    <x v="0"/>
    <n v="57"/>
  </r>
  <r>
    <x v="1704"/>
    <x v="0"/>
    <n v="73"/>
  </r>
  <r>
    <x v="1705"/>
    <x v="2"/>
    <n v="62"/>
  </r>
  <r>
    <x v="1706"/>
    <x v="0"/>
    <n v="60"/>
  </r>
  <r>
    <x v="1707"/>
    <x v="0"/>
    <n v="61"/>
  </r>
  <r>
    <x v="1708"/>
    <x v="0"/>
    <n v="64"/>
  </r>
  <r>
    <x v="1709"/>
    <x v="0"/>
    <n v="52.5"/>
  </r>
  <r>
    <x v="1710"/>
    <x v="1"/>
    <n v="66.5"/>
  </r>
  <r>
    <x v="1711"/>
    <x v="0"/>
    <n v="66.5"/>
  </r>
  <r>
    <x v="1287"/>
    <x v="0"/>
    <n v="60"/>
  </r>
  <r>
    <x v="1712"/>
    <x v="0"/>
    <n v="69"/>
  </r>
  <r>
    <x v="1713"/>
    <x v="0"/>
    <n v="69"/>
  </r>
  <r>
    <x v="1714"/>
    <x v="0"/>
    <n v="72"/>
  </r>
  <r>
    <x v="1715"/>
    <x v="0"/>
    <n v="79.5"/>
  </r>
  <r>
    <x v="1716"/>
    <x v="0"/>
    <n v="65.5"/>
  </r>
  <r>
    <x v="1717"/>
    <x v="1"/>
    <n v="66"/>
  </r>
  <r>
    <x v="1718"/>
    <x v="2"/>
    <n v="68"/>
  </r>
  <r>
    <x v="1719"/>
    <x v="0"/>
    <n v="68"/>
  </r>
  <r>
    <x v="1720"/>
    <x v="0"/>
    <n v="47"/>
  </r>
  <r>
    <x v="1721"/>
    <x v="0"/>
    <n v="65.5"/>
  </r>
  <r>
    <x v="1722"/>
    <x v="0"/>
    <n v="69.5"/>
  </r>
  <r>
    <x v="1723"/>
    <x v="2"/>
    <n v="74.5"/>
  </r>
  <r>
    <x v="1724"/>
    <x v="0"/>
    <n v="65"/>
  </r>
  <r>
    <x v="1725"/>
    <x v="0"/>
    <n v="65.5"/>
  </r>
  <r>
    <x v="1726"/>
    <x v="0"/>
    <n v="60"/>
  </r>
  <r>
    <x v="1652"/>
    <x v="0"/>
    <n v="60.5"/>
  </r>
  <r>
    <x v="1727"/>
    <x v="0"/>
    <n v="65"/>
  </r>
  <r>
    <x v="1728"/>
    <x v="0"/>
    <n v="67"/>
  </r>
  <r>
    <x v="1729"/>
    <x v="0"/>
    <n v="67.5"/>
  </r>
  <r>
    <x v="1730"/>
    <x v="0"/>
    <n v="60"/>
  </r>
  <r>
    <x v="1731"/>
    <x v="0"/>
    <n v="73"/>
  </r>
  <r>
    <x v="890"/>
    <x v="0"/>
    <n v="56.5"/>
  </r>
  <r>
    <x v="1732"/>
    <x v="0"/>
    <n v="65"/>
  </r>
  <r>
    <x v="1733"/>
    <x v="0"/>
    <n v="65"/>
  </r>
  <r>
    <x v="1734"/>
    <x v="0"/>
    <n v="67"/>
  </r>
  <r>
    <x v="1735"/>
    <x v="1"/>
    <n v="69"/>
  </r>
  <r>
    <x v="1736"/>
    <x v="0"/>
    <n v="77.5"/>
  </r>
  <r>
    <x v="1737"/>
    <x v="1"/>
    <n v="63.5"/>
  </r>
  <r>
    <x v="1738"/>
    <x v="0"/>
    <n v="68"/>
  </r>
  <r>
    <x v="598"/>
    <x v="0"/>
    <n v="57.5"/>
  </r>
  <r>
    <x v="645"/>
    <x v="0"/>
    <n v="69.5"/>
  </r>
  <r>
    <x v="1739"/>
    <x v="0"/>
    <n v="65.5"/>
  </r>
  <r>
    <x v="1740"/>
    <x v="0"/>
    <n v="55"/>
  </r>
  <r>
    <x v="1741"/>
    <x v="0"/>
    <n v="70.5"/>
  </r>
  <r>
    <x v="1742"/>
    <x v="0"/>
    <n v="74"/>
  </r>
  <r>
    <x v="1743"/>
    <x v="0"/>
    <n v="62"/>
  </r>
  <r>
    <x v="1744"/>
    <x v="0"/>
    <n v="72"/>
  </r>
  <r>
    <x v="1745"/>
    <x v="0"/>
    <n v="77"/>
  </r>
  <r>
    <x v="1746"/>
    <x v="0"/>
    <n v="60.5"/>
  </r>
  <r>
    <x v="1747"/>
    <x v="0"/>
    <n v="74"/>
  </r>
  <r>
    <x v="1748"/>
    <x v="0"/>
    <n v="61.5"/>
  </r>
  <r>
    <x v="1746"/>
    <x v="0"/>
    <n v="55"/>
  </r>
  <r>
    <x v="1749"/>
    <x v="0"/>
    <n v="63.5"/>
  </r>
  <r>
    <x v="1750"/>
    <x v="0"/>
    <n v="75.5"/>
  </r>
  <r>
    <x v="1751"/>
    <x v="1"/>
    <n v="72"/>
  </r>
  <r>
    <x v="1752"/>
    <x v="1"/>
    <n v="57.5"/>
  </r>
  <r>
    <x v="1753"/>
    <x v="2"/>
    <n v="67.5"/>
  </r>
  <r>
    <x v="1754"/>
    <x v="0"/>
    <n v="57"/>
  </r>
  <r>
    <x v="1755"/>
    <x v="0"/>
    <n v="77"/>
  </r>
  <r>
    <x v="1756"/>
    <x v="0"/>
    <n v="66.5"/>
  </r>
  <r>
    <x v="1213"/>
    <x v="0"/>
    <n v="67"/>
  </r>
  <r>
    <x v="1757"/>
    <x v="0"/>
    <n v="67.5"/>
  </r>
  <r>
    <x v="448"/>
    <x v="0"/>
    <n v="64"/>
  </r>
  <r>
    <x v="1758"/>
    <x v="1"/>
    <n v="56"/>
  </r>
  <r>
    <x v="1759"/>
    <x v="0"/>
    <n v="66"/>
  </r>
  <r>
    <x v="1760"/>
    <x v="0"/>
    <n v="54"/>
  </r>
  <r>
    <x v="1761"/>
    <x v="0"/>
    <n v="62"/>
  </r>
  <r>
    <x v="1762"/>
    <x v="0"/>
    <n v="57.5"/>
  </r>
  <r>
    <x v="1763"/>
    <x v="0"/>
    <n v="66"/>
  </r>
  <r>
    <x v="1764"/>
    <x v="0"/>
    <n v="66.5"/>
  </r>
  <r>
    <x v="1765"/>
    <x v="0"/>
    <n v="64"/>
  </r>
  <r>
    <x v="1766"/>
    <x v="2"/>
    <n v="66.5"/>
  </r>
  <r>
    <x v="1767"/>
    <x v="2"/>
    <n v="62.5"/>
  </r>
  <r>
    <x v="1768"/>
    <x v="0"/>
    <n v="65"/>
  </r>
  <r>
    <x v="1769"/>
    <x v="0"/>
    <n v="60.5"/>
  </r>
  <r>
    <x v="1770"/>
    <x v="0"/>
    <n v="60"/>
  </r>
  <r>
    <x v="1771"/>
    <x v="0"/>
    <n v="72.5"/>
  </r>
  <r>
    <x v="1772"/>
    <x v="0"/>
    <n v="61.5"/>
  </r>
  <r>
    <x v="1773"/>
    <x v="1"/>
    <n v="60.5"/>
  </r>
  <r>
    <x v="1774"/>
    <x v="1"/>
    <n v="74.5"/>
  </r>
  <r>
    <x v="1775"/>
    <x v="2"/>
    <n v="64.5"/>
  </r>
  <r>
    <x v="1776"/>
    <x v="0"/>
    <n v="59"/>
  </r>
  <r>
    <x v="1777"/>
    <x v="0"/>
    <n v="59"/>
  </r>
  <r>
    <x v="1506"/>
    <x v="0"/>
    <n v="71.5"/>
  </r>
  <r>
    <x v="1778"/>
    <x v="0"/>
    <n v="69"/>
  </r>
  <r>
    <x v="535"/>
    <x v="0"/>
    <n v="57.5"/>
  </r>
  <r>
    <x v="1779"/>
    <x v="0"/>
    <n v="53"/>
  </r>
  <r>
    <x v="1780"/>
    <x v="0"/>
    <n v="56"/>
  </r>
  <r>
    <x v="1781"/>
    <x v="0"/>
    <n v="66"/>
  </r>
  <r>
    <x v="1782"/>
    <x v="0"/>
    <n v="66"/>
  </r>
  <r>
    <x v="1783"/>
    <x v="2"/>
    <n v="70.5"/>
  </r>
  <r>
    <x v="1784"/>
    <x v="0"/>
    <n v="61.5"/>
  </r>
  <r>
    <x v="1785"/>
    <x v="0"/>
    <n v="72.5"/>
  </r>
  <r>
    <x v="1786"/>
    <x v="1"/>
    <n v="55.5"/>
  </r>
  <r>
    <x v="1787"/>
    <x v="0"/>
    <n v="59"/>
  </r>
  <r>
    <x v="1788"/>
    <x v="0"/>
    <n v="64.5"/>
  </r>
  <r>
    <x v="1789"/>
    <x v="0"/>
    <n v="56.5"/>
  </r>
  <r>
    <x v="1790"/>
    <x v="0"/>
    <n v="65.5"/>
  </r>
  <r>
    <x v="1368"/>
    <x v="0"/>
    <n v="63.5"/>
  </r>
  <r>
    <x v="1791"/>
    <x v="0"/>
    <n v="66"/>
  </r>
  <r>
    <x v="1792"/>
    <x v="0"/>
    <n v="66.5"/>
  </r>
  <r>
    <x v="1793"/>
    <x v="0"/>
    <n v="63"/>
  </r>
  <r>
    <x v="1493"/>
    <x v="0"/>
    <n v="60"/>
  </r>
  <r>
    <x v="1794"/>
    <x v="1"/>
    <n v="57"/>
  </r>
  <r>
    <x v="1795"/>
    <x v="1"/>
    <n v="65.5"/>
  </r>
  <r>
    <x v="1796"/>
    <x v="1"/>
    <n v="49.5"/>
  </r>
  <r>
    <x v="1797"/>
    <x v="1"/>
    <n v="77"/>
  </r>
  <r>
    <x v="1798"/>
    <x v="0"/>
    <n v="67.5"/>
  </r>
  <r>
    <x v="1799"/>
    <x v="1"/>
    <n v="69.5"/>
  </r>
  <r>
    <x v="1800"/>
    <x v="1"/>
    <n v="68.5"/>
  </r>
  <r>
    <x v="1801"/>
    <x v="0"/>
    <n v="73.5"/>
  </r>
  <r>
    <x v="1802"/>
    <x v="0"/>
    <n v="59.5"/>
  </r>
  <r>
    <x v="1803"/>
    <x v="0"/>
    <n v="62.5"/>
  </r>
  <r>
    <x v="1804"/>
    <x v="0"/>
    <n v="67"/>
  </r>
  <r>
    <x v="1805"/>
    <x v="0"/>
    <n v="64.5"/>
  </r>
  <r>
    <x v="1806"/>
    <x v="0"/>
    <n v="56"/>
  </r>
  <r>
    <x v="1807"/>
    <x v="0"/>
    <n v="67"/>
  </r>
  <r>
    <x v="1808"/>
    <x v="0"/>
    <n v="64.5"/>
  </r>
  <r>
    <x v="1809"/>
    <x v="0"/>
    <n v="59"/>
  </r>
  <r>
    <x v="1810"/>
    <x v="0"/>
    <n v="50.5"/>
  </r>
  <r>
    <x v="1811"/>
    <x v="1"/>
    <n v="76"/>
  </r>
  <r>
    <x v="1812"/>
    <x v="0"/>
    <n v="64"/>
  </r>
  <r>
    <x v="1587"/>
    <x v="0"/>
    <n v="64.5"/>
  </r>
  <r>
    <x v="1813"/>
    <x v="0"/>
    <n v="58"/>
  </r>
  <r>
    <x v="1814"/>
    <x v="1"/>
    <n v="67"/>
  </r>
  <r>
    <x v="1727"/>
    <x v="1"/>
    <n v="71"/>
  </r>
  <r>
    <x v="1815"/>
    <x v="2"/>
    <n v="65"/>
  </r>
  <r>
    <x v="1816"/>
    <x v="0"/>
    <n v="68.5"/>
  </r>
  <r>
    <x v="1817"/>
    <x v="0"/>
    <n v="63.5"/>
  </r>
  <r>
    <x v="1818"/>
    <x v="0"/>
    <n v="61"/>
  </r>
  <r>
    <x v="1819"/>
    <x v="0"/>
    <n v="61"/>
  </r>
  <r>
    <x v="1820"/>
    <x v="2"/>
    <n v="62.5"/>
  </r>
  <r>
    <x v="1689"/>
    <x v="0"/>
    <n v="59.5"/>
  </r>
  <r>
    <x v="1821"/>
    <x v="2"/>
    <n v="74"/>
  </r>
  <r>
    <x v="1822"/>
    <x v="0"/>
    <n v="56.5"/>
  </r>
  <r>
    <x v="1823"/>
    <x v="0"/>
    <n v="65.5"/>
  </r>
  <r>
    <x v="1824"/>
    <x v="0"/>
    <n v="71"/>
  </r>
  <r>
    <x v="1825"/>
    <x v="0"/>
    <n v="70"/>
  </r>
  <r>
    <x v="1826"/>
    <x v="0"/>
    <n v="71"/>
  </r>
  <r>
    <x v="1827"/>
    <x v="0"/>
    <n v="68.5"/>
  </r>
  <r>
    <x v="672"/>
    <x v="0"/>
    <n v="57"/>
  </r>
  <r>
    <x v="1828"/>
    <x v="0"/>
    <n v="69.5"/>
  </r>
  <r>
    <x v="1829"/>
    <x v="1"/>
    <n v="58.5"/>
  </r>
  <r>
    <x v="1830"/>
    <x v="0"/>
    <n v="53"/>
  </r>
  <r>
    <x v="1831"/>
    <x v="0"/>
    <n v="63.5"/>
  </r>
  <r>
    <x v="1832"/>
    <x v="0"/>
    <n v="60"/>
  </r>
  <r>
    <x v="1833"/>
    <x v="0"/>
    <n v="68.5"/>
  </r>
  <r>
    <x v="1834"/>
    <x v="0"/>
    <n v="55.5"/>
  </r>
  <r>
    <x v="1835"/>
    <x v="1"/>
    <n v="66"/>
  </r>
  <r>
    <x v="1836"/>
    <x v="0"/>
    <n v="69"/>
  </r>
  <r>
    <x v="1837"/>
    <x v="0"/>
    <n v="66"/>
  </r>
  <r>
    <x v="1838"/>
    <x v="0"/>
    <n v="65.5"/>
  </r>
  <r>
    <x v="1839"/>
    <x v="0"/>
    <n v="59"/>
  </r>
  <r>
    <x v="1821"/>
    <x v="2"/>
    <n v="69"/>
  </r>
  <r>
    <x v="1840"/>
    <x v="0"/>
    <n v="59.5"/>
  </r>
  <r>
    <x v="1841"/>
    <x v="0"/>
    <n v="62.5"/>
  </r>
  <r>
    <x v="1821"/>
    <x v="2"/>
    <n v="66.5"/>
  </r>
  <r>
    <x v="1842"/>
    <x v="0"/>
    <n v="77"/>
  </r>
  <r>
    <x v="1404"/>
    <x v="0"/>
    <n v="69.5"/>
  </r>
  <r>
    <x v="1843"/>
    <x v="0"/>
    <n v="48.5"/>
  </r>
  <r>
    <x v="1844"/>
    <x v="1"/>
    <n v="58"/>
  </r>
  <r>
    <x v="1845"/>
    <x v="0"/>
    <n v="56"/>
  </r>
  <r>
    <x v="1833"/>
    <x v="0"/>
    <n v="67"/>
  </r>
  <r>
    <x v="1846"/>
    <x v="0"/>
    <n v="65.5"/>
  </r>
  <r>
    <x v="1847"/>
    <x v="0"/>
    <n v="66"/>
  </r>
  <r>
    <x v="1848"/>
    <x v="0"/>
    <n v="68"/>
  </r>
  <r>
    <x v="1849"/>
    <x v="0"/>
    <n v="48.5"/>
  </r>
  <r>
    <x v="1850"/>
    <x v="0"/>
    <n v="58.5"/>
  </r>
  <r>
    <x v="1851"/>
    <x v="0"/>
    <n v="53.5"/>
  </r>
  <r>
    <x v="1852"/>
    <x v="1"/>
    <n v="53"/>
  </r>
  <r>
    <x v="1853"/>
    <x v="0"/>
    <n v="68"/>
  </r>
  <r>
    <x v="1854"/>
    <x v="0"/>
    <n v="63"/>
  </r>
  <r>
    <x v="1855"/>
    <x v="2"/>
    <n v="74"/>
  </r>
  <r>
    <x v="1856"/>
    <x v="0"/>
    <n v="59.5"/>
  </r>
  <r>
    <x v="618"/>
    <x v="0"/>
    <n v="59"/>
  </r>
  <r>
    <x v="1857"/>
    <x v="0"/>
    <n v="61.5"/>
  </r>
  <r>
    <x v="1858"/>
    <x v="0"/>
    <n v="64.5"/>
  </r>
  <r>
    <x v="1173"/>
    <x v="0"/>
    <n v="54.5"/>
  </r>
  <r>
    <x v="1859"/>
    <x v="0"/>
    <n v="57.5"/>
  </r>
  <r>
    <x v="1860"/>
    <x v="1"/>
    <n v="60"/>
  </r>
  <r>
    <x v="1861"/>
    <x v="0"/>
    <n v="60.5"/>
  </r>
  <r>
    <x v="1862"/>
    <x v="0"/>
    <n v="52.5"/>
  </r>
  <r>
    <x v="1863"/>
    <x v="0"/>
    <n v="53"/>
  </r>
  <r>
    <x v="1864"/>
    <x v="0"/>
    <n v="59"/>
  </r>
  <r>
    <x v="1865"/>
    <x v="0"/>
    <n v="63"/>
  </r>
  <r>
    <x v="1866"/>
    <x v="0"/>
    <n v="67"/>
  </r>
  <r>
    <x v="1867"/>
    <x v="0"/>
    <n v="64"/>
  </r>
  <r>
    <x v="1868"/>
    <x v="0"/>
    <n v="69"/>
  </r>
  <r>
    <x v="1869"/>
    <x v="0"/>
    <n v="59.5"/>
  </r>
  <r>
    <x v="1870"/>
    <x v="0"/>
    <n v="59"/>
  </r>
  <r>
    <x v="1871"/>
    <x v="0"/>
    <n v="63"/>
  </r>
  <r>
    <x v="1872"/>
    <x v="0"/>
    <n v="51.5"/>
  </r>
  <r>
    <x v="1873"/>
    <x v="0"/>
    <n v="67.5"/>
  </r>
  <r>
    <x v="1874"/>
    <x v="0"/>
    <n v="43"/>
  </r>
  <r>
    <x v="1875"/>
    <x v="0"/>
    <n v="52.5"/>
  </r>
  <r>
    <x v="1876"/>
    <x v="0"/>
    <n v="46.5"/>
  </r>
  <r>
    <x v="1877"/>
    <x v="0"/>
    <n v="55.5"/>
  </r>
  <r>
    <x v="1878"/>
    <x v="0"/>
    <n v="61"/>
  </r>
  <r>
    <x v="1879"/>
    <x v="0"/>
    <n v="60.5"/>
  </r>
  <r>
    <x v="1880"/>
    <x v="1"/>
    <n v="68.5"/>
  </r>
  <r>
    <x v="1881"/>
    <x v="0"/>
    <n v="65"/>
  </r>
  <r>
    <x v="1882"/>
    <x v="1"/>
    <n v="60"/>
  </r>
  <r>
    <x v="1883"/>
    <x v="0"/>
    <n v="62.5"/>
  </r>
  <r>
    <x v="1884"/>
    <x v="0"/>
    <n v="49.5"/>
  </r>
  <r>
    <x v="1885"/>
    <x v="0"/>
    <n v="54.5"/>
  </r>
  <r>
    <x v="1886"/>
    <x v="0"/>
    <n v="49"/>
  </r>
  <r>
    <x v="1887"/>
    <x v="0"/>
    <n v="60"/>
  </r>
  <r>
    <x v="1888"/>
    <x v="0"/>
    <n v="56"/>
  </r>
  <r>
    <x v="1889"/>
    <x v="1"/>
    <n v="61"/>
  </r>
  <r>
    <x v="1890"/>
    <x v="0"/>
    <n v="59"/>
  </r>
  <r>
    <x v="1891"/>
    <x v="0"/>
    <n v="63"/>
  </r>
  <r>
    <x v="1892"/>
    <x v="0"/>
    <n v="58"/>
  </r>
  <r>
    <x v="1893"/>
    <x v="1"/>
    <n v="66"/>
  </r>
  <r>
    <x v="1894"/>
    <x v="0"/>
    <n v="52"/>
  </r>
  <r>
    <x v="1895"/>
    <x v="0"/>
    <n v="48.5"/>
  </r>
  <r>
    <x v="1896"/>
    <x v="0"/>
    <n v="58"/>
  </r>
  <r>
    <x v="1897"/>
    <x v="0"/>
    <n v="58"/>
  </r>
  <r>
    <x v="1898"/>
    <x v="1"/>
    <n v="65"/>
  </r>
  <r>
    <x v="1899"/>
    <x v="0"/>
    <n v="62"/>
  </r>
  <r>
    <x v="1900"/>
    <x v="0"/>
    <n v="52"/>
  </r>
  <r>
    <x v="1901"/>
    <x v="0"/>
    <n v="54.5"/>
  </r>
  <r>
    <x v="1902"/>
    <x v="0"/>
    <n v="68"/>
  </r>
  <r>
    <x v="1903"/>
    <x v="0"/>
    <n v="63.5"/>
  </r>
  <r>
    <x v="1904"/>
    <x v="0"/>
    <n v="44.5"/>
  </r>
  <r>
    <x v="1905"/>
    <x v="0"/>
    <n v="56.5"/>
  </r>
  <r>
    <x v="1906"/>
    <x v="1"/>
    <n v="53"/>
  </r>
  <r>
    <x v="1907"/>
    <x v="0"/>
    <n v="53"/>
  </r>
  <r>
    <x v="1908"/>
    <x v="1"/>
    <n v="69"/>
  </r>
  <r>
    <x v="1909"/>
    <x v="0"/>
    <n v="61"/>
  </r>
  <r>
    <x v="1910"/>
    <x v="0"/>
    <n v="62.5"/>
  </r>
  <r>
    <x v="1911"/>
    <x v="0"/>
    <n v="60"/>
  </r>
  <r>
    <x v="1912"/>
    <x v="0"/>
    <n v="55.5"/>
  </r>
  <r>
    <x v="1913"/>
    <x v="0"/>
    <n v="52.5"/>
  </r>
  <r>
    <x v="1826"/>
    <x v="0"/>
    <n v="57.5"/>
  </r>
  <r>
    <x v="1914"/>
    <x v="0"/>
    <n v="70.5"/>
  </r>
  <r>
    <x v="1915"/>
    <x v="0"/>
    <n v="66.5"/>
  </r>
  <r>
    <x v="1916"/>
    <x v="0"/>
    <n v="52.5"/>
  </r>
  <r>
    <x v="1917"/>
    <x v="0"/>
    <n v="54.5"/>
  </r>
  <r>
    <x v="1918"/>
    <x v="0"/>
    <n v="67.5"/>
  </r>
  <r>
    <x v="1919"/>
    <x v="1"/>
    <n v="62.5"/>
  </r>
  <r>
    <x v="890"/>
    <x v="1"/>
    <n v="65"/>
  </r>
  <r>
    <x v="1875"/>
    <x v="0"/>
    <n v="53"/>
  </r>
  <r>
    <x v="1506"/>
    <x v="0"/>
    <n v="70.5"/>
  </r>
  <r>
    <x v="1920"/>
    <x v="1"/>
    <n v="60"/>
  </r>
  <r>
    <x v="1921"/>
    <x v="1"/>
    <n v="46"/>
  </r>
  <r>
    <x v="1922"/>
    <x v="0"/>
    <n v="75.5"/>
  </r>
  <r>
    <x v="1923"/>
    <x v="0"/>
    <n v="63.5"/>
  </r>
  <r>
    <x v="1924"/>
    <x v="2"/>
    <n v="56.5"/>
  </r>
  <r>
    <x v="1925"/>
    <x v="0"/>
    <n v="66"/>
  </r>
  <r>
    <x v="1926"/>
    <x v="2"/>
    <n v="60.5"/>
  </r>
  <r>
    <x v="398"/>
    <x v="2"/>
    <n v="67"/>
  </r>
  <r>
    <x v="1927"/>
    <x v="0"/>
    <n v="68.5"/>
  </r>
  <r>
    <x v="1462"/>
    <x v="0"/>
    <n v="65.5"/>
  </r>
  <r>
    <x v="1928"/>
    <x v="1"/>
    <n v="64"/>
  </r>
  <r>
    <x v="1929"/>
    <x v="1"/>
    <n v="67"/>
  </r>
  <r>
    <x v="1930"/>
    <x v="2"/>
    <n v="53"/>
  </r>
  <r>
    <x v="1931"/>
    <x v="1"/>
    <n v="79"/>
  </r>
  <r>
    <x v="1932"/>
    <x v="1"/>
    <n v="58.5"/>
  </r>
  <r>
    <x v="1933"/>
    <x v="2"/>
    <n v="59"/>
  </r>
  <r>
    <x v="1934"/>
    <x v="2"/>
    <n v="73.5"/>
  </r>
  <r>
    <x v="1935"/>
    <x v="0"/>
    <n v="65"/>
  </r>
  <r>
    <x v="1936"/>
    <x v="2"/>
    <n v="42"/>
  </r>
  <r>
    <x v="1937"/>
    <x v="0"/>
    <n v="78"/>
  </r>
  <r>
    <x v="1922"/>
    <x v="0"/>
    <n v="58.5"/>
  </r>
  <r>
    <x v="1938"/>
    <x v="1"/>
    <n v="52.5"/>
  </r>
  <r>
    <x v="1939"/>
    <x v="1"/>
    <n v="72.5"/>
  </r>
  <r>
    <x v="1940"/>
    <x v="0"/>
    <n v="65.5"/>
  </r>
  <r>
    <x v="1941"/>
    <x v="0"/>
    <n v="60.5"/>
  </r>
  <r>
    <x v="1833"/>
    <x v="2"/>
    <n v="59"/>
  </r>
  <r>
    <x v="1288"/>
    <x v="0"/>
    <n v="65"/>
  </r>
  <r>
    <x v="1942"/>
    <x v="0"/>
    <n v="69"/>
  </r>
  <r>
    <x v="1462"/>
    <x v="2"/>
    <n v="62"/>
  </r>
  <r>
    <x v="1943"/>
    <x v="0"/>
    <n v="84.5"/>
  </r>
  <r>
    <x v="1414"/>
    <x v="0"/>
    <n v="85"/>
  </r>
  <r>
    <x v="1944"/>
    <x v="0"/>
    <n v="53"/>
  </r>
  <r>
    <x v="1945"/>
    <x v="1"/>
    <n v="71.5"/>
  </r>
  <r>
    <x v="1946"/>
    <x v="2"/>
    <n v="62.5"/>
  </r>
  <r>
    <x v="1947"/>
    <x v="1"/>
    <n v="66.5"/>
  </r>
  <r>
    <x v="1948"/>
    <x v="2"/>
    <n v="71"/>
  </r>
  <r>
    <x v="1949"/>
    <x v="1"/>
    <n v="55.5"/>
  </r>
  <r>
    <x v="1950"/>
    <x v="0"/>
    <n v="86"/>
  </r>
  <r>
    <x v="1951"/>
    <x v="1"/>
    <n v="53.5"/>
  </r>
  <r>
    <x v="1952"/>
    <x v="2"/>
    <n v="62.5"/>
  </r>
  <r>
    <x v="1953"/>
    <x v="1"/>
    <n v="44"/>
  </r>
  <r>
    <x v="1954"/>
    <x v="1"/>
    <n v="50"/>
  </r>
  <r>
    <x v="1955"/>
    <x v="1"/>
    <n v="60"/>
  </r>
  <r>
    <x v="1866"/>
    <x v="2"/>
    <n v="73"/>
  </r>
  <r>
    <x v="1956"/>
    <x v="1"/>
    <n v="57"/>
  </r>
  <r>
    <x v="1957"/>
    <x v="0"/>
    <n v="65"/>
  </r>
  <r>
    <x v="1833"/>
    <x v="0"/>
    <n v="59"/>
  </r>
  <r>
    <x v="1462"/>
    <x v="1"/>
    <n v="68"/>
  </r>
  <r>
    <x v="1958"/>
    <x v="0"/>
    <n v="56.5"/>
  </r>
  <r>
    <x v="1959"/>
    <x v="0"/>
    <n v="55.5"/>
  </r>
  <r>
    <x v="1960"/>
    <x v="1"/>
    <n v="61"/>
  </r>
  <r>
    <x v="1961"/>
    <x v="1"/>
    <n v="63.5"/>
  </r>
  <r>
    <x v="1962"/>
    <x v="1"/>
    <n v="69"/>
  </r>
  <r>
    <x v="1963"/>
    <x v="0"/>
    <n v="59"/>
  </r>
  <r>
    <x v="1964"/>
    <x v="1"/>
    <n v="65"/>
  </r>
  <r>
    <x v="1965"/>
    <x v="0"/>
    <n v="54.5"/>
  </r>
  <r>
    <x v="1875"/>
    <x v="1"/>
    <n v="55.5"/>
  </r>
  <r>
    <x v="1966"/>
    <x v="1"/>
    <n v="50"/>
  </r>
  <r>
    <x v="1967"/>
    <x v="1"/>
    <n v="51"/>
  </r>
  <r>
    <x v="1968"/>
    <x v="2"/>
    <n v="58.5"/>
  </r>
  <r>
    <x v="1969"/>
    <x v="0"/>
    <n v="61"/>
  </r>
  <r>
    <x v="1970"/>
    <x v="2"/>
    <n v="61.5"/>
  </r>
  <r>
    <x v="823"/>
    <x v="0"/>
    <n v="60"/>
  </r>
  <r>
    <x v="1945"/>
    <x v="2"/>
    <n v="58"/>
  </r>
  <r>
    <x v="1971"/>
    <x v="1"/>
    <n v="57.5"/>
  </r>
  <r>
    <x v="1972"/>
    <x v="2"/>
    <n v="74.5"/>
  </r>
  <r>
    <x v="1973"/>
    <x v="1"/>
    <n v="51"/>
  </r>
  <r>
    <x v="1974"/>
    <x v="2"/>
    <n v="67.5"/>
  </r>
  <r>
    <x v="1975"/>
    <x v="1"/>
    <n v="60.5"/>
  </r>
  <r>
    <x v="1976"/>
    <x v="1"/>
    <n v="56"/>
  </r>
  <r>
    <x v="1977"/>
    <x v="1"/>
    <n v="37"/>
  </r>
  <r>
    <x v="1978"/>
    <x v="1"/>
    <n v="48"/>
  </r>
  <r>
    <x v="1979"/>
    <x v="1"/>
    <n v="52"/>
  </r>
  <r>
    <x v="1980"/>
    <x v="2"/>
    <n v="49.5"/>
  </r>
  <r>
    <x v="1981"/>
    <x v="1"/>
    <n v="57"/>
  </r>
  <r>
    <x v="1982"/>
    <x v="0"/>
    <n v="59"/>
  </r>
  <r>
    <x v="1983"/>
    <x v="0"/>
    <n v="62.5"/>
  </r>
  <r>
    <x v="1984"/>
    <x v="1"/>
    <n v="63.5"/>
  </r>
  <r>
    <x v="1985"/>
    <x v="0"/>
    <n v="64.5"/>
  </r>
  <r>
    <x v="1986"/>
    <x v="0"/>
    <n v="54.5"/>
  </r>
  <r>
    <x v="1945"/>
    <x v="0"/>
    <n v="62.5"/>
  </r>
  <r>
    <x v="1987"/>
    <x v="0"/>
    <n v="63"/>
  </r>
  <r>
    <x v="1988"/>
    <x v="0"/>
    <n v="58.5"/>
  </r>
  <r>
    <x v="1875"/>
    <x v="1"/>
    <n v="50"/>
  </r>
  <r>
    <x v="1875"/>
    <x v="2"/>
    <n v="46.5"/>
  </r>
  <r>
    <x v="1989"/>
    <x v="0"/>
    <n v="46"/>
  </r>
  <r>
    <x v="1990"/>
    <x v="0"/>
    <n v="59.5"/>
  </r>
  <r>
    <x v="1991"/>
    <x v="2"/>
    <n v="63.5"/>
  </r>
  <r>
    <x v="1992"/>
    <x v="1"/>
    <n v="59.5"/>
  </r>
  <r>
    <x v="1993"/>
    <x v="2"/>
    <n v="57.5"/>
  </r>
  <r>
    <x v="1994"/>
    <x v="1"/>
    <n v="39"/>
  </r>
  <r>
    <x v="1995"/>
    <x v="2"/>
    <n v="63.5"/>
  </r>
  <r>
    <x v="1996"/>
    <x v="1"/>
    <n v="58.5"/>
  </r>
  <r>
    <x v="1997"/>
    <x v="1"/>
    <n v="50"/>
  </r>
  <r>
    <x v="1998"/>
    <x v="0"/>
    <n v="57.5"/>
  </r>
  <r>
    <x v="1673"/>
    <x v="1"/>
    <n v="59.5"/>
  </r>
  <r>
    <x v="497"/>
    <x v="1"/>
    <n v="44.5"/>
  </r>
  <r>
    <x v="1999"/>
    <x v="1"/>
    <n v="33"/>
  </r>
  <r>
    <x v="2000"/>
    <x v="1"/>
    <n v="69"/>
  </r>
  <r>
    <x v="2001"/>
    <x v="1"/>
    <n v="40.5"/>
  </r>
  <r>
    <x v="2002"/>
    <x v="1"/>
    <n v="4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8">
  <r>
    <x v="0"/>
    <x v="0"/>
  </r>
  <r>
    <x v="0"/>
    <x v="1"/>
  </r>
  <r>
    <x v="0"/>
    <x v="2"/>
  </r>
  <r>
    <x v="1"/>
    <x v="3"/>
  </r>
  <r>
    <x v="1"/>
    <x v="4"/>
  </r>
  <r>
    <x v="0"/>
    <x v="5"/>
  </r>
  <r>
    <x v="1"/>
    <x v="5"/>
  </r>
  <r>
    <x v="1"/>
    <x v="4"/>
  </r>
  <r>
    <x v="1"/>
    <x v="6"/>
  </r>
  <r>
    <x v="1"/>
    <x v="0"/>
  </r>
  <r>
    <x v="1"/>
    <x v="7"/>
  </r>
  <r>
    <x v="0"/>
    <x v="0"/>
  </r>
  <r>
    <x v="0"/>
    <x v="7"/>
  </r>
  <r>
    <x v="0"/>
    <x v="4"/>
  </r>
  <r>
    <x v="1"/>
    <x v="0"/>
  </r>
  <r>
    <x v="1"/>
    <x v="8"/>
  </r>
  <r>
    <x v="0"/>
    <x v="9"/>
  </r>
  <r>
    <x v="0"/>
    <x v="8"/>
  </r>
  <r>
    <x v="0"/>
    <x v="2"/>
  </r>
  <r>
    <x v="0"/>
    <x v="10"/>
  </r>
  <r>
    <x v="0"/>
    <x v="11"/>
  </r>
  <r>
    <x v="0"/>
    <x v="1"/>
  </r>
  <r>
    <x v="1"/>
    <x v="12"/>
  </r>
  <r>
    <x v="1"/>
    <x v="2"/>
  </r>
  <r>
    <x v="1"/>
    <x v="13"/>
  </r>
  <r>
    <x v="1"/>
    <x v="2"/>
  </r>
  <r>
    <x v="0"/>
    <x v="7"/>
  </r>
  <r>
    <x v="0"/>
    <x v="4"/>
  </r>
  <r>
    <x v="0"/>
    <x v="2"/>
  </r>
  <r>
    <x v="0"/>
    <x v="1"/>
  </r>
  <r>
    <x v="0"/>
    <x v="1"/>
  </r>
  <r>
    <x v="0"/>
    <x v="14"/>
  </r>
  <r>
    <x v="0"/>
    <x v="7"/>
  </r>
  <r>
    <x v="0"/>
    <x v="4"/>
  </r>
  <r>
    <x v="0"/>
    <x v="15"/>
  </r>
  <r>
    <x v="0"/>
    <x v="5"/>
  </r>
  <r>
    <x v="0"/>
    <x v="6"/>
  </r>
  <r>
    <x v="0"/>
    <x v="10"/>
  </r>
  <r>
    <x v="0"/>
    <x v="16"/>
  </r>
  <r>
    <x v="0"/>
    <x v="17"/>
  </r>
  <r>
    <x v="0"/>
    <x v="4"/>
  </r>
  <r>
    <x v="2"/>
    <x v="14"/>
  </r>
  <r>
    <x v="0"/>
    <x v="5"/>
  </r>
  <r>
    <x v="1"/>
    <x v="18"/>
  </r>
  <r>
    <x v="0"/>
    <x v="0"/>
  </r>
  <r>
    <x v="0"/>
    <x v="1"/>
  </r>
  <r>
    <x v="0"/>
    <x v="0"/>
  </r>
  <r>
    <x v="0"/>
    <x v="4"/>
  </r>
  <r>
    <x v="0"/>
    <x v="12"/>
  </r>
  <r>
    <x v="0"/>
    <x v="16"/>
  </r>
  <r>
    <x v="1"/>
    <x v="7"/>
  </r>
  <r>
    <x v="0"/>
    <x v="7"/>
  </r>
  <r>
    <x v="1"/>
    <x v="6"/>
  </r>
  <r>
    <x v="1"/>
    <x v="3"/>
  </r>
  <r>
    <x v="1"/>
    <x v="19"/>
  </r>
  <r>
    <x v="0"/>
    <x v="7"/>
  </r>
  <r>
    <x v="0"/>
    <x v="8"/>
  </r>
  <r>
    <x v="0"/>
    <x v="4"/>
  </r>
  <r>
    <x v="0"/>
    <x v="8"/>
  </r>
  <r>
    <x v="1"/>
    <x v="12"/>
  </r>
  <r>
    <x v="1"/>
    <x v="5"/>
  </r>
  <r>
    <x v="1"/>
    <x v="5"/>
  </r>
  <r>
    <x v="1"/>
    <x v="2"/>
  </r>
  <r>
    <x v="0"/>
    <x v="20"/>
  </r>
  <r>
    <x v="2"/>
    <x v="2"/>
  </r>
  <r>
    <x v="0"/>
    <x v="10"/>
  </r>
  <r>
    <x v="0"/>
    <x v="12"/>
  </r>
  <r>
    <x v="0"/>
    <x v="19"/>
  </r>
  <r>
    <x v="0"/>
    <x v="7"/>
  </r>
  <r>
    <x v="0"/>
    <x v="5"/>
  </r>
  <r>
    <x v="1"/>
    <x v="21"/>
  </r>
  <r>
    <x v="1"/>
    <x v="2"/>
  </r>
  <r>
    <x v="0"/>
    <x v="12"/>
  </r>
  <r>
    <x v="0"/>
    <x v="8"/>
  </r>
  <r>
    <x v="0"/>
    <x v="10"/>
  </r>
  <r>
    <x v="0"/>
    <x v="9"/>
  </r>
  <r>
    <x v="1"/>
    <x v="22"/>
  </r>
  <r>
    <x v="0"/>
    <x v="5"/>
  </r>
  <r>
    <x v="1"/>
    <x v="13"/>
  </r>
  <r>
    <x v="0"/>
    <x v="2"/>
  </r>
  <r>
    <x v="0"/>
    <x v="12"/>
  </r>
  <r>
    <x v="0"/>
    <x v="2"/>
  </r>
  <r>
    <x v="0"/>
    <x v="4"/>
  </r>
  <r>
    <x v="1"/>
    <x v="5"/>
  </r>
  <r>
    <x v="1"/>
    <x v="18"/>
  </r>
  <r>
    <x v="0"/>
    <x v="4"/>
  </r>
  <r>
    <x v="1"/>
    <x v="7"/>
  </r>
  <r>
    <x v="0"/>
    <x v="2"/>
  </r>
  <r>
    <x v="0"/>
    <x v="0"/>
  </r>
  <r>
    <x v="2"/>
    <x v="18"/>
  </r>
  <r>
    <x v="1"/>
    <x v="2"/>
  </r>
  <r>
    <x v="1"/>
    <x v="18"/>
  </r>
  <r>
    <x v="1"/>
    <x v="2"/>
  </r>
  <r>
    <x v="0"/>
    <x v="8"/>
  </r>
  <r>
    <x v="0"/>
    <x v="2"/>
  </r>
  <r>
    <x v="0"/>
    <x v="7"/>
  </r>
  <r>
    <x v="0"/>
    <x v="5"/>
  </r>
  <r>
    <x v="1"/>
    <x v="9"/>
  </r>
  <r>
    <x v="1"/>
    <x v="7"/>
  </r>
  <r>
    <x v="1"/>
    <x v="8"/>
  </r>
  <r>
    <x v="1"/>
    <x v="2"/>
  </r>
  <r>
    <x v="0"/>
    <x v="7"/>
  </r>
  <r>
    <x v="1"/>
    <x v="1"/>
  </r>
  <r>
    <x v="0"/>
    <x v="7"/>
  </r>
  <r>
    <x v="2"/>
    <x v="2"/>
  </r>
  <r>
    <x v="0"/>
    <x v="7"/>
  </r>
  <r>
    <x v="0"/>
    <x v="23"/>
  </r>
  <r>
    <x v="0"/>
    <x v="16"/>
  </r>
  <r>
    <x v="0"/>
    <x v="1"/>
  </r>
  <r>
    <x v="0"/>
    <x v="7"/>
  </r>
  <r>
    <x v="0"/>
    <x v="10"/>
  </r>
  <r>
    <x v="1"/>
    <x v="13"/>
  </r>
  <r>
    <x v="0"/>
    <x v="7"/>
  </r>
  <r>
    <x v="0"/>
    <x v="0"/>
  </r>
  <r>
    <x v="0"/>
    <x v="22"/>
  </r>
  <r>
    <x v="0"/>
    <x v="7"/>
  </r>
  <r>
    <x v="0"/>
    <x v="7"/>
  </r>
  <r>
    <x v="0"/>
    <x v="21"/>
  </r>
  <r>
    <x v="0"/>
    <x v="2"/>
  </r>
  <r>
    <x v="0"/>
    <x v="12"/>
  </r>
  <r>
    <x v="0"/>
    <x v="7"/>
  </r>
  <r>
    <x v="0"/>
    <x v="5"/>
  </r>
  <r>
    <x v="1"/>
    <x v="4"/>
  </r>
  <r>
    <x v="1"/>
    <x v="1"/>
  </r>
  <r>
    <x v="0"/>
    <x v="8"/>
  </r>
  <r>
    <x v="0"/>
    <x v="8"/>
  </r>
  <r>
    <x v="0"/>
    <x v="13"/>
  </r>
  <r>
    <x v="0"/>
    <x v="12"/>
  </r>
  <r>
    <x v="0"/>
    <x v="12"/>
  </r>
  <r>
    <x v="0"/>
    <x v="4"/>
  </r>
  <r>
    <x v="0"/>
    <x v="1"/>
  </r>
  <r>
    <x v="0"/>
    <x v="24"/>
  </r>
  <r>
    <x v="1"/>
    <x v="25"/>
  </r>
  <r>
    <x v="0"/>
    <x v="2"/>
  </r>
  <r>
    <x v="2"/>
    <x v="26"/>
  </r>
  <r>
    <x v="0"/>
    <x v="13"/>
  </r>
  <r>
    <x v="0"/>
    <x v="7"/>
  </r>
  <r>
    <x v="2"/>
    <x v="13"/>
  </r>
  <r>
    <x v="2"/>
    <x v="27"/>
  </r>
  <r>
    <x v="2"/>
    <x v="2"/>
  </r>
  <r>
    <x v="2"/>
    <x v="1"/>
  </r>
  <r>
    <x v="2"/>
    <x v="22"/>
  </r>
  <r>
    <x v="1"/>
    <x v="2"/>
  </r>
  <r>
    <x v="0"/>
    <x v="1"/>
  </r>
  <r>
    <x v="0"/>
    <x v="12"/>
  </r>
  <r>
    <x v="0"/>
    <x v="8"/>
  </r>
  <r>
    <x v="1"/>
    <x v="28"/>
  </r>
  <r>
    <x v="1"/>
    <x v="29"/>
  </r>
  <r>
    <x v="0"/>
    <x v="30"/>
  </r>
  <r>
    <x v="2"/>
    <x v="5"/>
  </r>
  <r>
    <x v="1"/>
    <x v="5"/>
  </r>
  <r>
    <x v="2"/>
    <x v="12"/>
  </r>
  <r>
    <x v="0"/>
    <x v="8"/>
  </r>
  <r>
    <x v="1"/>
    <x v="12"/>
  </r>
  <r>
    <x v="1"/>
    <x v="31"/>
  </r>
  <r>
    <x v="0"/>
    <x v="7"/>
  </r>
  <r>
    <x v="1"/>
    <x v="10"/>
  </r>
  <r>
    <x v="0"/>
    <x v="5"/>
  </r>
  <r>
    <x v="0"/>
    <x v="8"/>
  </r>
  <r>
    <x v="1"/>
    <x v="24"/>
  </r>
  <r>
    <x v="1"/>
    <x v="5"/>
  </r>
  <r>
    <x v="1"/>
    <x v="9"/>
  </r>
  <r>
    <x v="0"/>
    <x v="9"/>
  </r>
  <r>
    <x v="0"/>
    <x v="4"/>
  </r>
  <r>
    <x v="0"/>
    <x v="14"/>
  </r>
  <r>
    <x v="0"/>
    <x v="10"/>
  </r>
  <r>
    <x v="0"/>
    <x v="12"/>
  </r>
  <r>
    <x v="1"/>
    <x v="4"/>
  </r>
  <r>
    <x v="1"/>
    <x v="25"/>
  </r>
  <r>
    <x v="1"/>
    <x v="9"/>
  </r>
  <r>
    <x v="0"/>
    <x v="19"/>
  </r>
  <r>
    <x v="1"/>
    <x v="19"/>
  </r>
  <r>
    <x v="1"/>
    <x v="7"/>
  </r>
  <r>
    <x v="1"/>
    <x v="2"/>
  </r>
  <r>
    <x v="0"/>
    <x v="11"/>
  </r>
  <r>
    <x v="2"/>
    <x v="1"/>
  </r>
  <r>
    <x v="0"/>
    <x v="7"/>
  </r>
  <r>
    <x v="0"/>
    <x v="25"/>
  </r>
  <r>
    <x v="1"/>
    <x v="2"/>
  </r>
  <r>
    <x v="1"/>
    <x v="8"/>
  </r>
  <r>
    <x v="0"/>
    <x v="1"/>
  </r>
  <r>
    <x v="0"/>
    <x v="8"/>
  </r>
  <r>
    <x v="0"/>
    <x v="5"/>
  </r>
  <r>
    <x v="0"/>
    <x v="12"/>
  </r>
  <r>
    <x v="0"/>
    <x v="32"/>
  </r>
  <r>
    <x v="1"/>
    <x v="33"/>
  </r>
  <r>
    <x v="0"/>
    <x v="8"/>
  </r>
  <r>
    <x v="0"/>
    <x v="4"/>
  </r>
  <r>
    <x v="0"/>
    <x v="0"/>
  </r>
  <r>
    <x v="0"/>
    <x v="10"/>
  </r>
  <r>
    <x v="0"/>
    <x v="14"/>
  </r>
  <r>
    <x v="0"/>
    <x v="12"/>
  </r>
  <r>
    <x v="0"/>
    <x v="14"/>
  </r>
  <r>
    <x v="0"/>
    <x v="9"/>
  </r>
  <r>
    <x v="0"/>
    <x v="4"/>
  </r>
  <r>
    <x v="1"/>
    <x v="1"/>
  </r>
  <r>
    <x v="0"/>
    <x v="13"/>
  </r>
  <r>
    <x v="1"/>
    <x v="12"/>
  </r>
  <r>
    <x v="1"/>
    <x v="8"/>
  </r>
  <r>
    <x v="1"/>
    <x v="25"/>
  </r>
  <r>
    <x v="1"/>
    <x v="7"/>
  </r>
  <r>
    <x v="1"/>
    <x v="17"/>
  </r>
  <r>
    <x v="1"/>
    <x v="4"/>
  </r>
  <r>
    <x v="1"/>
    <x v="7"/>
  </r>
  <r>
    <x v="0"/>
    <x v="1"/>
  </r>
  <r>
    <x v="0"/>
    <x v="2"/>
  </r>
  <r>
    <x v="0"/>
    <x v="7"/>
  </r>
  <r>
    <x v="0"/>
    <x v="12"/>
  </r>
  <r>
    <x v="0"/>
    <x v="1"/>
  </r>
  <r>
    <x v="1"/>
    <x v="2"/>
  </r>
  <r>
    <x v="1"/>
    <x v="13"/>
  </r>
  <r>
    <x v="1"/>
    <x v="1"/>
  </r>
  <r>
    <x v="1"/>
    <x v="13"/>
  </r>
  <r>
    <x v="0"/>
    <x v="5"/>
  </r>
  <r>
    <x v="0"/>
    <x v="19"/>
  </r>
  <r>
    <x v="0"/>
    <x v="2"/>
  </r>
  <r>
    <x v="1"/>
    <x v="31"/>
  </r>
  <r>
    <x v="0"/>
    <x v="8"/>
  </r>
  <r>
    <x v="2"/>
    <x v="13"/>
  </r>
  <r>
    <x v="0"/>
    <x v="34"/>
  </r>
  <r>
    <x v="0"/>
    <x v="13"/>
  </r>
  <r>
    <x v="0"/>
    <x v="18"/>
  </r>
  <r>
    <x v="0"/>
    <x v="35"/>
  </r>
  <r>
    <x v="0"/>
    <x v="33"/>
  </r>
  <r>
    <x v="0"/>
    <x v="10"/>
  </r>
  <r>
    <x v="1"/>
    <x v="12"/>
  </r>
  <r>
    <x v="1"/>
    <x v="2"/>
  </r>
  <r>
    <x v="1"/>
    <x v="1"/>
  </r>
  <r>
    <x v="1"/>
    <x v="36"/>
  </r>
  <r>
    <x v="1"/>
    <x v="9"/>
  </r>
  <r>
    <x v="1"/>
    <x v="8"/>
  </r>
  <r>
    <x v="1"/>
    <x v="2"/>
  </r>
  <r>
    <x v="0"/>
    <x v="19"/>
  </r>
  <r>
    <x v="0"/>
    <x v="0"/>
  </r>
  <r>
    <x v="1"/>
    <x v="0"/>
  </r>
  <r>
    <x v="1"/>
    <x v="13"/>
  </r>
  <r>
    <x v="1"/>
    <x v="0"/>
  </r>
  <r>
    <x v="0"/>
    <x v="0"/>
  </r>
  <r>
    <x v="0"/>
    <x v="4"/>
  </r>
  <r>
    <x v="0"/>
    <x v="3"/>
  </r>
  <r>
    <x v="1"/>
    <x v="6"/>
  </r>
  <r>
    <x v="1"/>
    <x v="1"/>
  </r>
  <r>
    <x v="1"/>
    <x v="12"/>
  </r>
  <r>
    <x v="0"/>
    <x v="2"/>
  </r>
  <r>
    <x v="0"/>
    <x v="4"/>
  </r>
  <r>
    <x v="0"/>
    <x v="37"/>
  </r>
  <r>
    <x v="1"/>
    <x v="38"/>
  </r>
  <r>
    <x v="1"/>
    <x v="5"/>
  </r>
  <r>
    <x v="0"/>
    <x v="7"/>
  </r>
  <r>
    <x v="0"/>
    <x v="8"/>
  </r>
  <r>
    <x v="0"/>
    <x v="39"/>
  </r>
  <r>
    <x v="0"/>
    <x v="37"/>
  </r>
  <r>
    <x v="0"/>
    <x v="27"/>
  </r>
  <r>
    <x v="2"/>
    <x v="40"/>
  </r>
  <r>
    <x v="1"/>
    <x v="7"/>
  </r>
  <r>
    <x v="1"/>
    <x v="0"/>
  </r>
  <r>
    <x v="0"/>
    <x v="10"/>
  </r>
  <r>
    <x v="0"/>
    <x v="7"/>
  </r>
  <r>
    <x v="0"/>
    <x v="8"/>
  </r>
  <r>
    <x v="0"/>
    <x v="13"/>
  </r>
  <r>
    <x v="0"/>
    <x v="13"/>
  </r>
  <r>
    <x v="1"/>
    <x v="12"/>
  </r>
  <r>
    <x v="2"/>
    <x v="2"/>
  </r>
  <r>
    <x v="1"/>
    <x v="19"/>
  </r>
  <r>
    <x v="1"/>
    <x v="12"/>
  </r>
  <r>
    <x v="1"/>
    <x v="13"/>
  </r>
  <r>
    <x v="1"/>
    <x v="32"/>
  </r>
  <r>
    <x v="1"/>
    <x v="11"/>
  </r>
  <r>
    <x v="1"/>
    <x v="33"/>
  </r>
  <r>
    <x v="0"/>
    <x v="2"/>
  </r>
  <r>
    <x v="0"/>
    <x v="20"/>
  </r>
  <r>
    <x v="0"/>
    <x v="12"/>
  </r>
  <r>
    <x v="0"/>
    <x v="7"/>
  </r>
  <r>
    <x v="1"/>
    <x v="1"/>
  </r>
  <r>
    <x v="1"/>
    <x v="14"/>
  </r>
  <r>
    <x v="2"/>
    <x v="11"/>
  </r>
  <r>
    <x v="0"/>
    <x v="7"/>
  </r>
  <r>
    <x v="0"/>
    <x v="4"/>
  </r>
  <r>
    <x v="0"/>
    <x v="12"/>
  </r>
  <r>
    <x v="0"/>
    <x v="33"/>
  </r>
  <r>
    <x v="1"/>
    <x v="33"/>
  </r>
  <r>
    <x v="0"/>
    <x v="0"/>
  </r>
  <r>
    <x v="0"/>
    <x v="4"/>
  </r>
  <r>
    <x v="0"/>
    <x v="6"/>
  </r>
  <r>
    <x v="0"/>
    <x v="10"/>
  </r>
  <r>
    <x v="0"/>
    <x v="25"/>
  </r>
  <r>
    <x v="1"/>
    <x v="41"/>
  </r>
  <r>
    <x v="0"/>
    <x v="37"/>
  </r>
  <r>
    <x v="0"/>
    <x v="7"/>
  </r>
  <r>
    <x v="0"/>
    <x v="12"/>
  </r>
  <r>
    <x v="0"/>
    <x v="13"/>
  </r>
  <r>
    <x v="0"/>
    <x v="39"/>
  </r>
  <r>
    <x v="1"/>
    <x v="4"/>
  </r>
  <r>
    <x v="1"/>
    <x v="2"/>
  </r>
  <r>
    <x v="1"/>
    <x v="22"/>
  </r>
  <r>
    <x v="2"/>
    <x v="1"/>
  </r>
  <r>
    <x v="0"/>
    <x v="4"/>
  </r>
  <r>
    <x v="0"/>
    <x v="20"/>
  </r>
  <r>
    <x v="1"/>
    <x v="8"/>
  </r>
  <r>
    <x v="0"/>
    <x v="12"/>
  </r>
  <r>
    <x v="2"/>
    <x v="42"/>
  </r>
  <r>
    <x v="1"/>
    <x v="43"/>
  </r>
  <r>
    <x v="1"/>
    <x v="22"/>
  </r>
  <r>
    <x v="0"/>
    <x v="0"/>
  </r>
  <r>
    <x v="1"/>
    <x v="1"/>
  </r>
  <r>
    <x v="2"/>
    <x v="10"/>
  </r>
  <r>
    <x v="1"/>
    <x v="7"/>
  </r>
  <r>
    <x v="1"/>
    <x v="7"/>
  </r>
  <r>
    <x v="1"/>
    <x v="24"/>
  </r>
  <r>
    <x v="1"/>
    <x v="0"/>
  </r>
  <r>
    <x v="0"/>
    <x v="7"/>
  </r>
  <r>
    <x v="0"/>
    <x v="5"/>
  </r>
  <r>
    <x v="0"/>
    <x v="18"/>
  </r>
  <r>
    <x v="1"/>
    <x v="16"/>
  </r>
  <r>
    <x v="0"/>
    <x v="0"/>
  </r>
  <r>
    <x v="1"/>
    <x v="1"/>
  </r>
  <r>
    <x v="1"/>
    <x v="31"/>
  </r>
  <r>
    <x v="0"/>
    <x v="44"/>
  </r>
  <r>
    <x v="2"/>
    <x v="3"/>
  </r>
  <r>
    <x v="0"/>
    <x v="45"/>
  </r>
  <r>
    <x v="1"/>
    <x v="38"/>
  </r>
  <r>
    <x v="0"/>
    <x v="11"/>
  </r>
  <r>
    <x v="1"/>
    <x v="43"/>
  </r>
  <r>
    <x v="0"/>
    <x v="7"/>
  </r>
  <r>
    <x v="0"/>
    <x v="46"/>
  </r>
  <r>
    <x v="0"/>
    <x v="31"/>
  </r>
  <r>
    <x v="0"/>
    <x v="3"/>
  </r>
  <r>
    <x v="0"/>
    <x v="7"/>
  </r>
  <r>
    <x v="2"/>
    <x v="7"/>
  </r>
  <r>
    <x v="2"/>
    <x v="8"/>
  </r>
  <r>
    <x v="0"/>
    <x v="5"/>
  </r>
  <r>
    <x v="0"/>
    <x v="1"/>
  </r>
  <r>
    <x v="1"/>
    <x v="0"/>
  </r>
  <r>
    <x v="1"/>
    <x v="4"/>
  </r>
  <r>
    <x v="1"/>
    <x v="7"/>
  </r>
  <r>
    <x v="0"/>
    <x v="10"/>
  </r>
  <r>
    <x v="1"/>
    <x v="0"/>
  </r>
  <r>
    <x v="1"/>
    <x v="12"/>
  </r>
  <r>
    <x v="0"/>
    <x v="10"/>
  </r>
  <r>
    <x v="1"/>
    <x v="40"/>
  </r>
  <r>
    <x v="0"/>
    <x v="12"/>
  </r>
  <r>
    <x v="0"/>
    <x v="6"/>
  </r>
  <r>
    <x v="2"/>
    <x v="10"/>
  </r>
  <r>
    <x v="1"/>
    <x v="0"/>
  </r>
  <r>
    <x v="0"/>
    <x v="0"/>
  </r>
  <r>
    <x v="0"/>
    <x v="5"/>
  </r>
  <r>
    <x v="1"/>
    <x v="47"/>
  </r>
  <r>
    <x v="0"/>
    <x v="5"/>
  </r>
  <r>
    <x v="0"/>
    <x v="8"/>
  </r>
  <r>
    <x v="0"/>
    <x v="12"/>
  </r>
  <r>
    <x v="0"/>
    <x v="1"/>
  </r>
  <r>
    <x v="0"/>
    <x v="5"/>
  </r>
  <r>
    <x v="0"/>
    <x v="8"/>
  </r>
  <r>
    <x v="2"/>
    <x v="12"/>
  </r>
  <r>
    <x v="0"/>
    <x v="39"/>
  </r>
  <r>
    <x v="1"/>
    <x v="4"/>
  </r>
  <r>
    <x v="2"/>
    <x v="37"/>
  </r>
  <r>
    <x v="0"/>
    <x v="34"/>
  </r>
  <r>
    <x v="0"/>
    <x v="7"/>
  </r>
  <r>
    <x v="2"/>
    <x v="12"/>
  </r>
  <r>
    <x v="1"/>
    <x v="7"/>
  </r>
  <r>
    <x v="2"/>
    <x v="19"/>
  </r>
  <r>
    <x v="2"/>
    <x v="6"/>
  </r>
  <r>
    <x v="0"/>
    <x v="7"/>
  </r>
  <r>
    <x v="0"/>
    <x v="3"/>
  </r>
  <r>
    <x v="0"/>
    <x v="5"/>
  </r>
  <r>
    <x v="0"/>
    <x v="0"/>
  </r>
  <r>
    <x v="0"/>
    <x v="10"/>
  </r>
  <r>
    <x v="0"/>
    <x v="28"/>
  </r>
  <r>
    <x v="0"/>
    <x v="12"/>
  </r>
  <r>
    <x v="0"/>
    <x v="19"/>
  </r>
  <r>
    <x v="1"/>
    <x v="1"/>
  </r>
  <r>
    <x v="2"/>
    <x v="1"/>
  </r>
  <r>
    <x v="1"/>
    <x v="10"/>
  </r>
  <r>
    <x v="1"/>
    <x v="5"/>
  </r>
  <r>
    <x v="1"/>
    <x v="4"/>
  </r>
  <r>
    <x v="0"/>
    <x v="12"/>
  </r>
  <r>
    <x v="1"/>
    <x v="4"/>
  </r>
  <r>
    <x v="1"/>
    <x v="1"/>
  </r>
  <r>
    <x v="1"/>
    <x v="10"/>
  </r>
  <r>
    <x v="1"/>
    <x v="3"/>
  </r>
  <r>
    <x v="1"/>
    <x v="12"/>
  </r>
  <r>
    <x v="1"/>
    <x v="1"/>
  </r>
  <r>
    <x v="1"/>
    <x v="7"/>
  </r>
  <r>
    <x v="0"/>
    <x v="0"/>
  </r>
  <r>
    <x v="0"/>
    <x v="10"/>
  </r>
  <r>
    <x v="0"/>
    <x v="24"/>
  </r>
  <r>
    <x v="1"/>
    <x v="1"/>
  </r>
  <r>
    <x v="0"/>
    <x v="5"/>
  </r>
  <r>
    <x v="2"/>
    <x v="1"/>
  </r>
  <r>
    <x v="1"/>
    <x v="7"/>
  </r>
  <r>
    <x v="1"/>
    <x v="1"/>
  </r>
  <r>
    <x v="1"/>
    <x v="24"/>
  </r>
  <r>
    <x v="2"/>
    <x v="0"/>
  </r>
  <r>
    <x v="1"/>
    <x v="17"/>
  </r>
  <r>
    <x v="0"/>
    <x v="3"/>
  </r>
  <r>
    <x v="0"/>
    <x v="10"/>
  </r>
  <r>
    <x v="0"/>
    <x v="5"/>
  </r>
  <r>
    <x v="1"/>
    <x v="48"/>
  </r>
  <r>
    <x v="2"/>
    <x v="18"/>
  </r>
  <r>
    <x v="0"/>
    <x v="8"/>
  </r>
  <r>
    <x v="2"/>
    <x v="49"/>
  </r>
  <r>
    <x v="0"/>
    <x v="5"/>
  </r>
  <r>
    <x v="0"/>
    <x v="10"/>
  </r>
  <r>
    <x v="0"/>
    <x v="8"/>
  </r>
  <r>
    <x v="0"/>
    <x v="2"/>
  </r>
  <r>
    <x v="0"/>
    <x v="8"/>
  </r>
  <r>
    <x v="0"/>
    <x v="12"/>
  </r>
  <r>
    <x v="1"/>
    <x v="12"/>
  </r>
  <r>
    <x v="0"/>
    <x v="26"/>
  </r>
  <r>
    <x v="0"/>
    <x v="5"/>
  </r>
  <r>
    <x v="0"/>
    <x v="5"/>
  </r>
  <r>
    <x v="0"/>
    <x v="10"/>
  </r>
  <r>
    <x v="0"/>
    <x v="0"/>
  </r>
  <r>
    <x v="1"/>
    <x v="9"/>
  </r>
  <r>
    <x v="1"/>
    <x v="12"/>
  </r>
  <r>
    <x v="1"/>
    <x v="0"/>
  </r>
  <r>
    <x v="1"/>
    <x v="6"/>
  </r>
  <r>
    <x v="1"/>
    <x v="4"/>
  </r>
  <r>
    <x v="2"/>
    <x v="9"/>
  </r>
  <r>
    <x v="1"/>
    <x v="10"/>
  </r>
  <r>
    <x v="1"/>
    <x v="12"/>
  </r>
  <r>
    <x v="2"/>
    <x v="5"/>
  </r>
  <r>
    <x v="0"/>
    <x v="5"/>
  </r>
  <r>
    <x v="0"/>
    <x v="0"/>
  </r>
  <r>
    <x v="0"/>
    <x v="9"/>
  </r>
  <r>
    <x v="1"/>
    <x v="10"/>
  </r>
  <r>
    <x v="1"/>
    <x v="5"/>
  </r>
  <r>
    <x v="0"/>
    <x v="0"/>
  </r>
  <r>
    <x v="0"/>
    <x v="10"/>
  </r>
  <r>
    <x v="0"/>
    <x v="50"/>
  </r>
  <r>
    <x v="1"/>
    <x v="0"/>
  </r>
  <r>
    <x v="0"/>
    <x v="0"/>
  </r>
  <r>
    <x v="0"/>
    <x v="7"/>
  </r>
  <r>
    <x v="2"/>
    <x v="3"/>
  </r>
  <r>
    <x v="0"/>
    <x v="5"/>
  </r>
  <r>
    <x v="0"/>
    <x v="12"/>
  </r>
  <r>
    <x v="0"/>
    <x v="4"/>
  </r>
  <r>
    <x v="0"/>
    <x v="9"/>
  </r>
  <r>
    <x v="1"/>
    <x v="2"/>
  </r>
  <r>
    <x v="0"/>
    <x v="19"/>
  </r>
  <r>
    <x v="0"/>
    <x v="24"/>
  </r>
  <r>
    <x v="0"/>
    <x v="19"/>
  </r>
  <r>
    <x v="0"/>
    <x v="10"/>
  </r>
  <r>
    <x v="0"/>
    <x v="10"/>
  </r>
  <r>
    <x v="0"/>
    <x v="0"/>
  </r>
  <r>
    <x v="0"/>
    <x v="31"/>
  </r>
  <r>
    <x v="1"/>
    <x v="11"/>
  </r>
  <r>
    <x v="0"/>
    <x v="0"/>
  </r>
  <r>
    <x v="1"/>
    <x v="10"/>
  </r>
  <r>
    <x v="0"/>
    <x v="39"/>
  </r>
  <r>
    <x v="0"/>
    <x v="19"/>
  </r>
  <r>
    <x v="0"/>
    <x v="19"/>
  </r>
  <r>
    <x v="2"/>
    <x v="18"/>
  </r>
  <r>
    <x v="1"/>
    <x v="12"/>
  </r>
  <r>
    <x v="1"/>
    <x v="51"/>
  </r>
  <r>
    <x v="1"/>
    <x v="0"/>
  </r>
  <r>
    <x v="0"/>
    <x v="4"/>
  </r>
  <r>
    <x v="0"/>
    <x v="38"/>
  </r>
  <r>
    <x v="2"/>
    <x v="49"/>
  </r>
  <r>
    <x v="0"/>
    <x v="6"/>
  </r>
  <r>
    <x v="0"/>
    <x v="5"/>
  </r>
  <r>
    <x v="0"/>
    <x v="12"/>
  </r>
  <r>
    <x v="0"/>
    <x v="10"/>
  </r>
  <r>
    <x v="1"/>
    <x v="6"/>
  </r>
  <r>
    <x v="0"/>
    <x v="10"/>
  </r>
  <r>
    <x v="1"/>
    <x v="19"/>
  </r>
  <r>
    <x v="1"/>
    <x v="12"/>
  </r>
  <r>
    <x v="0"/>
    <x v="52"/>
  </r>
  <r>
    <x v="1"/>
    <x v="19"/>
  </r>
  <r>
    <x v="0"/>
    <x v="10"/>
  </r>
  <r>
    <x v="1"/>
    <x v="19"/>
  </r>
  <r>
    <x v="1"/>
    <x v="5"/>
  </r>
  <r>
    <x v="0"/>
    <x v="12"/>
  </r>
  <r>
    <x v="1"/>
    <x v="7"/>
  </r>
  <r>
    <x v="1"/>
    <x v="9"/>
  </r>
  <r>
    <x v="0"/>
    <x v="3"/>
  </r>
  <r>
    <x v="0"/>
    <x v="9"/>
  </r>
  <r>
    <x v="0"/>
    <x v="12"/>
  </r>
  <r>
    <x v="2"/>
    <x v="49"/>
  </r>
  <r>
    <x v="0"/>
    <x v="24"/>
  </r>
  <r>
    <x v="0"/>
    <x v="7"/>
  </r>
  <r>
    <x v="0"/>
    <x v="9"/>
  </r>
  <r>
    <x v="0"/>
    <x v="4"/>
  </r>
  <r>
    <x v="0"/>
    <x v="0"/>
  </r>
  <r>
    <x v="0"/>
    <x v="19"/>
  </r>
  <r>
    <x v="1"/>
    <x v="6"/>
  </r>
  <r>
    <x v="1"/>
    <x v="6"/>
  </r>
  <r>
    <x v="2"/>
    <x v="50"/>
  </r>
  <r>
    <x v="0"/>
    <x v="10"/>
  </r>
  <r>
    <x v="1"/>
    <x v="3"/>
  </r>
  <r>
    <x v="1"/>
    <x v="36"/>
  </r>
  <r>
    <x v="1"/>
    <x v="9"/>
  </r>
  <r>
    <x v="0"/>
    <x v="4"/>
  </r>
  <r>
    <x v="0"/>
    <x v="12"/>
  </r>
  <r>
    <x v="0"/>
    <x v="3"/>
  </r>
  <r>
    <x v="0"/>
    <x v="12"/>
  </r>
  <r>
    <x v="2"/>
    <x v="3"/>
  </r>
  <r>
    <x v="0"/>
    <x v="0"/>
  </r>
  <r>
    <x v="1"/>
    <x v="0"/>
  </r>
  <r>
    <x v="0"/>
    <x v="12"/>
  </r>
  <r>
    <x v="1"/>
    <x v="7"/>
  </r>
  <r>
    <x v="0"/>
    <x v="9"/>
  </r>
  <r>
    <x v="2"/>
    <x v="12"/>
  </r>
  <r>
    <x v="0"/>
    <x v="7"/>
  </r>
  <r>
    <x v="0"/>
    <x v="0"/>
  </r>
  <r>
    <x v="0"/>
    <x v="24"/>
  </r>
  <r>
    <x v="0"/>
    <x v="4"/>
  </r>
  <r>
    <x v="0"/>
    <x v="0"/>
  </r>
  <r>
    <x v="1"/>
    <x v="7"/>
  </r>
  <r>
    <x v="0"/>
    <x v="19"/>
  </r>
  <r>
    <x v="1"/>
    <x v="0"/>
  </r>
  <r>
    <x v="1"/>
    <x v="9"/>
  </r>
  <r>
    <x v="1"/>
    <x v="12"/>
  </r>
  <r>
    <x v="1"/>
    <x v="53"/>
  </r>
  <r>
    <x v="2"/>
    <x v="54"/>
  </r>
  <r>
    <x v="1"/>
    <x v="55"/>
  </r>
  <r>
    <x v="1"/>
    <x v="56"/>
  </r>
  <r>
    <x v="0"/>
    <x v="57"/>
  </r>
  <r>
    <x v="1"/>
    <x v="10"/>
  </r>
  <r>
    <x v="0"/>
    <x v="3"/>
  </r>
  <r>
    <x v="0"/>
    <x v="14"/>
  </r>
  <r>
    <x v="1"/>
    <x v="50"/>
  </r>
  <r>
    <x v="0"/>
    <x v="9"/>
  </r>
  <r>
    <x v="0"/>
    <x v="16"/>
  </r>
  <r>
    <x v="0"/>
    <x v="19"/>
  </r>
  <r>
    <x v="0"/>
    <x v="6"/>
  </r>
  <r>
    <x v="0"/>
    <x v="5"/>
  </r>
  <r>
    <x v="0"/>
    <x v="1"/>
  </r>
  <r>
    <x v="0"/>
    <x v="36"/>
  </r>
  <r>
    <x v="0"/>
    <x v="5"/>
  </r>
  <r>
    <x v="0"/>
    <x v="6"/>
  </r>
  <r>
    <x v="0"/>
    <x v="19"/>
  </r>
  <r>
    <x v="0"/>
    <x v="5"/>
  </r>
  <r>
    <x v="0"/>
    <x v="8"/>
  </r>
  <r>
    <x v="1"/>
    <x v="5"/>
  </r>
  <r>
    <x v="2"/>
    <x v="5"/>
  </r>
  <r>
    <x v="1"/>
    <x v="17"/>
  </r>
  <r>
    <x v="0"/>
    <x v="8"/>
  </r>
  <r>
    <x v="0"/>
    <x v="8"/>
  </r>
  <r>
    <x v="1"/>
    <x v="5"/>
  </r>
  <r>
    <x v="0"/>
    <x v="24"/>
  </r>
  <r>
    <x v="0"/>
    <x v="7"/>
  </r>
  <r>
    <x v="0"/>
    <x v="39"/>
  </r>
  <r>
    <x v="0"/>
    <x v="10"/>
  </r>
  <r>
    <x v="0"/>
    <x v="12"/>
  </r>
  <r>
    <x v="0"/>
    <x v="5"/>
  </r>
  <r>
    <x v="1"/>
    <x v="12"/>
  </r>
  <r>
    <x v="1"/>
    <x v="8"/>
  </r>
  <r>
    <x v="0"/>
    <x v="5"/>
  </r>
  <r>
    <x v="0"/>
    <x v="5"/>
  </r>
  <r>
    <x v="1"/>
    <x v="8"/>
  </r>
  <r>
    <x v="1"/>
    <x v="12"/>
  </r>
  <r>
    <x v="0"/>
    <x v="40"/>
  </r>
  <r>
    <x v="0"/>
    <x v="10"/>
  </r>
  <r>
    <x v="2"/>
    <x v="20"/>
  </r>
  <r>
    <x v="0"/>
    <x v="9"/>
  </r>
  <r>
    <x v="0"/>
    <x v="7"/>
  </r>
  <r>
    <x v="0"/>
    <x v="9"/>
  </r>
  <r>
    <x v="0"/>
    <x v="9"/>
  </r>
  <r>
    <x v="0"/>
    <x v="6"/>
  </r>
  <r>
    <x v="0"/>
    <x v="12"/>
  </r>
  <r>
    <x v="1"/>
    <x v="19"/>
  </r>
  <r>
    <x v="0"/>
    <x v="10"/>
  </r>
  <r>
    <x v="0"/>
    <x v="8"/>
  </r>
  <r>
    <x v="0"/>
    <x v="16"/>
  </r>
  <r>
    <x v="2"/>
    <x v="10"/>
  </r>
  <r>
    <x v="0"/>
    <x v="20"/>
  </r>
  <r>
    <x v="2"/>
    <x v="7"/>
  </r>
  <r>
    <x v="1"/>
    <x v="2"/>
  </r>
  <r>
    <x v="0"/>
    <x v="12"/>
  </r>
  <r>
    <x v="0"/>
    <x v="58"/>
  </r>
  <r>
    <x v="0"/>
    <x v="33"/>
  </r>
  <r>
    <x v="2"/>
    <x v="7"/>
  </r>
  <r>
    <x v="2"/>
    <x v="8"/>
  </r>
  <r>
    <x v="0"/>
    <x v="7"/>
  </r>
  <r>
    <x v="0"/>
    <x v="7"/>
  </r>
  <r>
    <x v="1"/>
    <x v="9"/>
  </r>
  <r>
    <x v="1"/>
    <x v="12"/>
  </r>
  <r>
    <x v="1"/>
    <x v="12"/>
  </r>
  <r>
    <x v="0"/>
    <x v="7"/>
  </r>
  <r>
    <x v="0"/>
    <x v="9"/>
  </r>
  <r>
    <x v="0"/>
    <x v="39"/>
  </r>
  <r>
    <x v="0"/>
    <x v="4"/>
  </r>
  <r>
    <x v="0"/>
    <x v="6"/>
  </r>
  <r>
    <x v="2"/>
    <x v="36"/>
  </r>
  <r>
    <x v="0"/>
    <x v="7"/>
  </r>
  <r>
    <x v="0"/>
    <x v="9"/>
  </r>
  <r>
    <x v="0"/>
    <x v="5"/>
  </r>
  <r>
    <x v="0"/>
    <x v="37"/>
  </r>
  <r>
    <x v="0"/>
    <x v="11"/>
  </r>
  <r>
    <x v="2"/>
    <x v="12"/>
  </r>
  <r>
    <x v="2"/>
    <x v="4"/>
  </r>
  <r>
    <x v="1"/>
    <x v="10"/>
  </r>
  <r>
    <x v="0"/>
    <x v="8"/>
  </r>
  <r>
    <x v="1"/>
    <x v="19"/>
  </r>
  <r>
    <x v="1"/>
    <x v="37"/>
  </r>
  <r>
    <x v="1"/>
    <x v="1"/>
  </r>
  <r>
    <x v="1"/>
    <x v="10"/>
  </r>
  <r>
    <x v="1"/>
    <x v="10"/>
  </r>
  <r>
    <x v="2"/>
    <x v="7"/>
  </r>
  <r>
    <x v="0"/>
    <x v="12"/>
  </r>
  <r>
    <x v="0"/>
    <x v="10"/>
  </r>
  <r>
    <x v="1"/>
    <x v="12"/>
  </r>
  <r>
    <x v="2"/>
    <x v="7"/>
  </r>
  <r>
    <x v="0"/>
    <x v="4"/>
  </r>
  <r>
    <x v="0"/>
    <x v="11"/>
  </r>
  <r>
    <x v="0"/>
    <x v="5"/>
  </r>
  <r>
    <x v="1"/>
    <x v="31"/>
  </r>
  <r>
    <x v="0"/>
    <x v="5"/>
  </r>
  <r>
    <x v="0"/>
    <x v="5"/>
  </r>
  <r>
    <x v="1"/>
    <x v="8"/>
  </r>
  <r>
    <x v="0"/>
    <x v="10"/>
  </r>
  <r>
    <x v="0"/>
    <x v="10"/>
  </r>
  <r>
    <x v="1"/>
    <x v="5"/>
  </r>
  <r>
    <x v="0"/>
    <x v="10"/>
  </r>
  <r>
    <x v="0"/>
    <x v="12"/>
  </r>
  <r>
    <x v="1"/>
    <x v="50"/>
  </r>
  <r>
    <x v="0"/>
    <x v="4"/>
  </r>
  <r>
    <x v="1"/>
    <x v="12"/>
  </r>
  <r>
    <x v="0"/>
    <x v="12"/>
  </r>
  <r>
    <x v="2"/>
    <x v="4"/>
  </r>
  <r>
    <x v="1"/>
    <x v="8"/>
  </r>
  <r>
    <x v="0"/>
    <x v="4"/>
  </r>
  <r>
    <x v="2"/>
    <x v="12"/>
  </r>
  <r>
    <x v="0"/>
    <x v="9"/>
  </r>
  <r>
    <x v="2"/>
    <x v="12"/>
  </r>
  <r>
    <x v="0"/>
    <x v="0"/>
  </r>
  <r>
    <x v="0"/>
    <x v="11"/>
  </r>
  <r>
    <x v="0"/>
    <x v="39"/>
  </r>
  <r>
    <x v="0"/>
    <x v="12"/>
  </r>
  <r>
    <x v="0"/>
    <x v="10"/>
  </r>
  <r>
    <x v="0"/>
    <x v="12"/>
  </r>
  <r>
    <x v="0"/>
    <x v="9"/>
  </r>
  <r>
    <x v="0"/>
    <x v="50"/>
  </r>
  <r>
    <x v="0"/>
    <x v="9"/>
  </r>
  <r>
    <x v="0"/>
    <x v="0"/>
  </r>
  <r>
    <x v="1"/>
    <x v="10"/>
  </r>
  <r>
    <x v="0"/>
    <x v="9"/>
  </r>
  <r>
    <x v="1"/>
    <x v="12"/>
  </r>
  <r>
    <x v="1"/>
    <x v="6"/>
  </r>
  <r>
    <x v="1"/>
    <x v="31"/>
  </r>
  <r>
    <x v="1"/>
    <x v="12"/>
  </r>
  <r>
    <x v="1"/>
    <x v="5"/>
  </r>
  <r>
    <x v="0"/>
    <x v="9"/>
  </r>
  <r>
    <x v="0"/>
    <x v="3"/>
  </r>
  <r>
    <x v="0"/>
    <x v="12"/>
  </r>
  <r>
    <x v="0"/>
    <x v="8"/>
  </r>
  <r>
    <x v="0"/>
    <x v="3"/>
  </r>
  <r>
    <x v="0"/>
    <x v="3"/>
  </r>
  <r>
    <x v="0"/>
    <x v="19"/>
  </r>
  <r>
    <x v="0"/>
    <x v="10"/>
  </r>
  <r>
    <x v="0"/>
    <x v="14"/>
  </r>
  <r>
    <x v="0"/>
    <x v="9"/>
  </r>
  <r>
    <x v="1"/>
    <x v="59"/>
  </r>
  <r>
    <x v="0"/>
    <x v="12"/>
  </r>
  <r>
    <x v="1"/>
    <x v="7"/>
  </r>
  <r>
    <x v="0"/>
    <x v="3"/>
  </r>
  <r>
    <x v="0"/>
    <x v="36"/>
  </r>
  <r>
    <x v="1"/>
    <x v="12"/>
  </r>
  <r>
    <x v="1"/>
    <x v="1"/>
  </r>
  <r>
    <x v="1"/>
    <x v="52"/>
  </r>
  <r>
    <x v="1"/>
    <x v="19"/>
  </r>
  <r>
    <x v="1"/>
    <x v="9"/>
  </r>
  <r>
    <x v="1"/>
    <x v="7"/>
  </r>
  <r>
    <x v="0"/>
    <x v="5"/>
  </r>
  <r>
    <x v="1"/>
    <x v="5"/>
  </r>
  <r>
    <x v="0"/>
    <x v="9"/>
  </r>
  <r>
    <x v="1"/>
    <x v="12"/>
  </r>
  <r>
    <x v="1"/>
    <x v="5"/>
  </r>
  <r>
    <x v="1"/>
    <x v="8"/>
  </r>
  <r>
    <x v="0"/>
    <x v="19"/>
  </r>
  <r>
    <x v="0"/>
    <x v="21"/>
  </r>
  <r>
    <x v="0"/>
    <x v="1"/>
  </r>
  <r>
    <x v="0"/>
    <x v="9"/>
  </r>
  <r>
    <x v="0"/>
    <x v="10"/>
  </r>
  <r>
    <x v="0"/>
    <x v="3"/>
  </r>
  <r>
    <x v="1"/>
    <x v="50"/>
  </r>
  <r>
    <x v="1"/>
    <x v="14"/>
  </r>
  <r>
    <x v="0"/>
    <x v="5"/>
  </r>
  <r>
    <x v="1"/>
    <x v="9"/>
  </r>
  <r>
    <x v="0"/>
    <x v="24"/>
  </r>
  <r>
    <x v="0"/>
    <x v="6"/>
  </r>
  <r>
    <x v="1"/>
    <x v="44"/>
  </r>
  <r>
    <x v="0"/>
    <x v="7"/>
  </r>
  <r>
    <x v="0"/>
    <x v="9"/>
  </r>
  <r>
    <x v="1"/>
    <x v="8"/>
  </r>
  <r>
    <x v="2"/>
    <x v="12"/>
  </r>
  <r>
    <x v="0"/>
    <x v="5"/>
  </r>
  <r>
    <x v="1"/>
    <x v="9"/>
  </r>
  <r>
    <x v="0"/>
    <x v="12"/>
  </r>
  <r>
    <x v="1"/>
    <x v="12"/>
  </r>
  <r>
    <x v="1"/>
    <x v="8"/>
  </r>
  <r>
    <x v="0"/>
    <x v="51"/>
  </r>
  <r>
    <x v="1"/>
    <x v="24"/>
  </r>
  <r>
    <x v="1"/>
    <x v="10"/>
  </r>
  <r>
    <x v="0"/>
    <x v="4"/>
  </r>
  <r>
    <x v="0"/>
    <x v="10"/>
  </r>
  <r>
    <x v="0"/>
    <x v="10"/>
  </r>
  <r>
    <x v="2"/>
    <x v="7"/>
  </r>
  <r>
    <x v="0"/>
    <x v="19"/>
  </r>
  <r>
    <x v="1"/>
    <x v="1"/>
  </r>
  <r>
    <x v="0"/>
    <x v="7"/>
  </r>
  <r>
    <x v="0"/>
    <x v="5"/>
  </r>
  <r>
    <x v="1"/>
    <x v="14"/>
  </r>
  <r>
    <x v="0"/>
    <x v="10"/>
  </r>
  <r>
    <x v="0"/>
    <x v="5"/>
  </r>
  <r>
    <x v="0"/>
    <x v="19"/>
  </r>
  <r>
    <x v="0"/>
    <x v="5"/>
  </r>
  <r>
    <x v="0"/>
    <x v="12"/>
  </r>
  <r>
    <x v="0"/>
    <x v="35"/>
  </r>
  <r>
    <x v="0"/>
    <x v="19"/>
  </r>
  <r>
    <x v="0"/>
    <x v="12"/>
  </r>
  <r>
    <x v="0"/>
    <x v="10"/>
  </r>
  <r>
    <x v="2"/>
    <x v="5"/>
  </r>
  <r>
    <x v="0"/>
    <x v="19"/>
  </r>
  <r>
    <x v="2"/>
    <x v="5"/>
  </r>
  <r>
    <x v="0"/>
    <x v="3"/>
  </r>
  <r>
    <x v="2"/>
    <x v="8"/>
  </r>
  <r>
    <x v="0"/>
    <x v="4"/>
  </r>
  <r>
    <x v="1"/>
    <x v="9"/>
  </r>
  <r>
    <x v="1"/>
    <x v="51"/>
  </r>
  <r>
    <x v="1"/>
    <x v="10"/>
  </r>
  <r>
    <x v="1"/>
    <x v="4"/>
  </r>
  <r>
    <x v="1"/>
    <x v="19"/>
  </r>
  <r>
    <x v="2"/>
    <x v="38"/>
  </r>
  <r>
    <x v="0"/>
    <x v="10"/>
  </r>
  <r>
    <x v="0"/>
    <x v="12"/>
  </r>
  <r>
    <x v="0"/>
    <x v="24"/>
  </r>
  <r>
    <x v="0"/>
    <x v="24"/>
  </r>
  <r>
    <x v="2"/>
    <x v="10"/>
  </r>
  <r>
    <x v="0"/>
    <x v="24"/>
  </r>
  <r>
    <x v="0"/>
    <x v="5"/>
  </r>
  <r>
    <x v="0"/>
    <x v="6"/>
  </r>
  <r>
    <x v="1"/>
    <x v="12"/>
  </r>
  <r>
    <x v="1"/>
    <x v="19"/>
  </r>
  <r>
    <x v="0"/>
    <x v="38"/>
  </r>
  <r>
    <x v="0"/>
    <x v="19"/>
  </r>
  <r>
    <x v="2"/>
    <x v="9"/>
  </r>
  <r>
    <x v="2"/>
    <x v="19"/>
  </r>
  <r>
    <x v="0"/>
    <x v="5"/>
  </r>
  <r>
    <x v="0"/>
    <x v="19"/>
  </r>
  <r>
    <x v="0"/>
    <x v="5"/>
  </r>
  <r>
    <x v="0"/>
    <x v="9"/>
  </r>
  <r>
    <x v="1"/>
    <x v="5"/>
  </r>
  <r>
    <x v="0"/>
    <x v="5"/>
  </r>
  <r>
    <x v="0"/>
    <x v="12"/>
  </r>
  <r>
    <x v="1"/>
    <x v="16"/>
  </r>
  <r>
    <x v="0"/>
    <x v="19"/>
  </r>
  <r>
    <x v="0"/>
    <x v="5"/>
  </r>
  <r>
    <x v="1"/>
    <x v="24"/>
  </r>
  <r>
    <x v="1"/>
    <x v="10"/>
  </r>
  <r>
    <x v="1"/>
    <x v="44"/>
  </r>
  <r>
    <x v="0"/>
    <x v="5"/>
  </r>
  <r>
    <x v="0"/>
    <x v="19"/>
  </r>
  <r>
    <x v="1"/>
    <x v="3"/>
  </r>
  <r>
    <x v="1"/>
    <x v="10"/>
  </r>
  <r>
    <x v="1"/>
    <x v="59"/>
  </r>
  <r>
    <x v="0"/>
    <x v="24"/>
  </r>
  <r>
    <x v="1"/>
    <x v="6"/>
  </r>
  <r>
    <x v="2"/>
    <x v="19"/>
  </r>
  <r>
    <x v="0"/>
    <x v="10"/>
  </r>
  <r>
    <x v="0"/>
    <x v="4"/>
  </r>
  <r>
    <x v="0"/>
    <x v="9"/>
  </r>
  <r>
    <x v="0"/>
    <x v="9"/>
  </r>
  <r>
    <x v="1"/>
    <x v="8"/>
  </r>
  <r>
    <x v="1"/>
    <x v="12"/>
  </r>
  <r>
    <x v="0"/>
    <x v="51"/>
  </r>
  <r>
    <x v="1"/>
    <x v="6"/>
  </r>
  <r>
    <x v="1"/>
    <x v="6"/>
  </r>
  <r>
    <x v="0"/>
    <x v="60"/>
  </r>
  <r>
    <x v="0"/>
    <x v="5"/>
  </r>
  <r>
    <x v="0"/>
    <x v="9"/>
  </r>
  <r>
    <x v="1"/>
    <x v="10"/>
  </r>
  <r>
    <x v="0"/>
    <x v="19"/>
  </r>
  <r>
    <x v="1"/>
    <x v="19"/>
  </r>
  <r>
    <x v="1"/>
    <x v="9"/>
  </r>
  <r>
    <x v="1"/>
    <x v="0"/>
  </r>
  <r>
    <x v="0"/>
    <x v="12"/>
  </r>
  <r>
    <x v="0"/>
    <x v="16"/>
  </r>
  <r>
    <x v="0"/>
    <x v="3"/>
  </r>
  <r>
    <x v="1"/>
    <x v="61"/>
  </r>
  <r>
    <x v="0"/>
    <x v="19"/>
  </r>
  <r>
    <x v="2"/>
    <x v="38"/>
  </r>
  <r>
    <x v="2"/>
    <x v="3"/>
  </r>
  <r>
    <x v="2"/>
    <x v="9"/>
  </r>
  <r>
    <x v="0"/>
    <x v="12"/>
  </r>
  <r>
    <x v="1"/>
    <x v="3"/>
  </r>
  <r>
    <x v="1"/>
    <x v="30"/>
  </r>
  <r>
    <x v="1"/>
    <x v="5"/>
  </r>
  <r>
    <x v="1"/>
    <x v="5"/>
  </r>
  <r>
    <x v="1"/>
    <x v="6"/>
  </r>
  <r>
    <x v="1"/>
    <x v="24"/>
  </r>
  <r>
    <x v="0"/>
    <x v="10"/>
  </r>
  <r>
    <x v="0"/>
    <x v="12"/>
  </r>
  <r>
    <x v="0"/>
    <x v="24"/>
  </r>
  <r>
    <x v="0"/>
    <x v="51"/>
  </r>
  <r>
    <x v="0"/>
    <x v="0"/>
  </r>
  <r>
    <x v="0"/>
    <x v="10"/>
  </r>
  <r>
    <x v="1"/>
    <x v="9"/>
  </r>
  <r>
    <x v="2"/>
    <x v="38"/>
  </r>
  <r>
    <x v="1"/>
    <x v="47"/>
  </r>
  <r>
    <x v="1"/>
    <x v="4"/>
  </r>
  <r>
    <x v="2"/>
    <x v="47"/>
  </r>
  <r>
    <x v="1"/>
    <x v="62"/>
  </r>
  <r>
    <x v="0"/>
    <x v="63"/>
  </r>
  <r>
    <x v="0"/>
    <x v="43"/>
  </r>
  <r>
    <x v="0"/>
    <x v="64"/>
  </r>
  <r>
    <x v="0"/>
    <x v="10"/>
  </r>
  <r>
    <x v="0"/>
    <x v="5"/>
  </r>
  <r>
    <x v="0"/>
    <x v="7"/>
  </r>
  <r>
    <x v="1"/>
    <x v="10"/>
  </r>
  <r>
    <x v="0"/>
    <x v="5"/>
  </r>
  <r>
    <x v="0"/>
    <x v="1"/>
  </r>
  <r>
    <x v="0"/>
    <x v="10"/>
  </r>
  <r>
    <x v="0"/>
    <x v="5"/>
  </r>
  <r>
    <x v="1"/>
    <x v="12"/>
  </r>
  <r>
    <x v="1"/>
    <x v="19"/>
  </r>
  <r>
    <x v="1"/>
    <x v="19"/>
  </r>
  <r>
    <x v="0"/>
    <x v="4"/>
  </r>
  <r>
    <x v="0"/>
    <x v="51"/>
  </r>
  <r>
    <x v="0"/>
    <x v="5"/>
  </r>
  <r>
    <x v="0"/>
    <x v="10"/>
  </r>
  <r>
    <x v="0"/>
    <x v="12"/>
  </r>
  <r>
    <x v="2"/>
    <x v="12"/>
  </r>
  <r>
    <x v="2"/>
    <x v="8"/>
  </r>
  <r>
    <x v="2"/>
    <x v="4"/>
  </r>
  <r>
    <x v="2"/>
    <x v="51"/>
  </r>
  <r>
    <x v="0"/>
    <x v="10"/>
  </r>
  <r>
    <x v="0"/>
    <x v="0"/>
  </r>
  <r>
    <x v="0"/>
    <x v="19"/>
  </r>
  <r>
    <x v="0"/>
    <x v="19"/>
  </r>
  <r>
    <x v="1"/>
    <x v="5"/>
  </r>
  <r>
    <x v="0"/>
    <x v="3"/>
  </r>
  <r>
    <x v="0"/>
    <x v="5"/>
  </r>
  <r>
    <x v="0"/>
    <x v="10"/>
  </r>
  <r>
    <x v="1"/>
    <x v="10"/>
  </r>
  <r>
    <x v="2"/>
    <x v="2"/>
  </r>
  <r>
    <x v="0"/>
    <x v="12"/>
  </r>
  <r>
    <x v="0"/>
    <x v="19"/>
  </r>
  <r>
    <x v="1"/>
    <x v="38"/>
  </r>
  <r>
    <x v="0"/>
    <x v="10"/>
  </r>
  <r>
    <x v="0"/>
    <x v="10"/>
  </r>
  <r>
    <x v="0"/>
    <x v="16"/>
  </r>
  <r>
    <x v="0"/>
    <x v="3"/>
  </r>
  <r>
    <x v="0"/>
    <x v="12"/>
  </r>
  <r>
    <x v="1"/>
    <x v="5"/>
  </r>
  <r>
    <x v="0"/>
    <x v="10"/>
  </r>
  <r>
    <x v="2"/>
    <x v="19"/>
  </r>
  <r>
    <x v="0"/>
    <x v="5"/>
  </r>
  <r>
    <x v="1"/>
    <x v="7"/>
  </r>
  <r>
    <x v="0"/>
    <x v="16"/>
  </r>
  <r>
    <x v="0"/>
    <x v="24"/>
  </r>
  <r>
    <x v="0"/>
    <x v="19"/>
  </r>
  <r>
    <x v="0"/>
    <x v="12"/>
  </r>
  <r>
    <x v="0"/>
    <x v="5"/>
  </r>
  <r>
    <x v="0"/>
    <x v="10"/>
  </r>
  <r>
    <x v="1"/>
    <x v="16"/>
  </r>
  <r>
    <x v="1"/>
    <x v="4"/>
  </r>
  <r>
    <x v="1"/>
    <x v="28"/>
  </r>
  <r>
    <x v="0"/>
    <x v="10"/>
  </r>
  <r>
    <x v="2"/>
    <x v="19"/>
  </r>
  <r>
    <x v="0"/>
    <x v="5"/>
  </r>
  <r>
    <x v="2"/>
    <x v="2"/>
  </r>
  <r>
    <x v="0"/>
    <x v="10"/>
  </r>
  <r>
    <x v="0"/>
    <x v="19"/>
  </r>
  <r>
    <x v="0"/>
    <x v="12"/>
  </r>
  <r>
    <x v="1"/>
    <x v="4"/>
  </r>
  <r>
    <x v="2"/>
    <x v="10"/>
  </r>
  <r>
    <x v="0"/>
    <x v="19"/>
  </r>
  <r>
    <x v="1"/>
    <x v="12"/>
  </r>
  <r>
    <x v="2"/>
    <x v="8"/>
  </r>
  <r>
    <x v="0"/>
    <x v="4"/>
  </r>
  <r>
    <x v="0"/>
    <x v="19"/>
  </r>
  <r>
    <x v="0"/>
    <x v="5"/>
  </r>
  <r>
    <x v="0"/>
    <x v="19"/>
  </r>
  <r>
    <x v="1"/>
    <x v="12"/>
  </r>
  <r>
    <x v="0"/>
    <x v="5"/>
  </r>
  <r>
    <x v="1"/>
    <x v="4"/>
  </r>
  <r>
    <x v="0"/>
    <x v="6"/>
  </r>
  <r>
    <x v="0"/>
    <x v="0"/>
  </r>
  <r>
    <x v="2"/>
    <x v="10"/>
  </r>
  <r>
    <x v="1"/>
    <x v="4"/>
  </r>
  <r>
    <x v="2"/>
    <x v="10"/>
  </r>
  <r>
    <x v="0"/>
    <x v="19"/>
  </r>
  <r>
    <x v="2"/>
    <x v="6"/>
  </r>
  <r>
    <x v="0"/>
    <x v="19"/>
  </r>
  <r>
    <x v="0"/>
    <x v="5"/>
  </r>
  <r>
    <x v="1"/>
    <x v="5"/>
  </r>
  <r>
    <x v="1"/>
    <x v="7"/>
  </r>
  <r>
    <x v="1"/>
    <x v="51"/>
  </r>
  <r>
    <x v="0"/>
    <x v="5"/>
  </r>
  <r>
    <x v="1"/>
    <x v="10"/>
  </r>
  <r>
    <x v="1"/>
    <x v="12"/>
  </r>
  <r>
    <x v="2"/>
    <x v="5"/>
  </r>
  <r>
    <x v="0"/>
    <x v="0"/>
  </r>
  <r>
    <x v="2"/>
    <x v="5"/>
  </r>
  <r>
    <x v="2"/>
    <x v="19"/>
  </r>
  <r>
    <x v="0"/>
    <x v="10"/>
  </r>
  <r>
    <x v="0"/>
    <x v="10"/>
  </r>
  <r>
    <x v="0"/>
    <x v="8"/>
  </r>
  <r>
    <x v="0"/>
    <x v="65"/>
  </r>
  <r>
    <x v="0"/>
    <x v="0"/>
  </r>
  <r>
    <x v="1"/>
    <x v="60"/>
  </r>
  <r>
    <x v="0"/>
    <x v="19"/>
  </r>
  <r>
    <x v="2"/>
    <x v="5"/>
  </r>
  <r>
    <x v="1"/>
    <x v="1"/>
  </r>
  <r>
    <x v="2"/>
    <x v="12"/>
  </r>
  <r>
    <x v="2"/>
    <x v="4"/>
  </r>
  <r>
    <x v="2"/>
    <x v="51"/>
  </r>
  <r>
    <x v="1"/>
    <x v="10"/>
  </r>
  <r>
    <x v="1"/>
    <x v="12"/>
  </r>
  <r>
    <x v="0"/>
    <x v="5"/>
  </r>
  <r>
    <x v="0"/>
    <x v="5"/>
  </r>
  <r>
    <x v="0"/>
    <x v="9"/>
  </r>
  <r>
    <x v="0"/>
    <x v="12"/>
  </r>
  <r>
    <x v="0"/>
    <x v="10"/>
  </r>
  <r>
    <x v="0"/>
    <x v="19"/>
  </r>
  <r>
    <x v="0"/>
    <x v="4"/>
  </r>
  <r>
    <x v="1"/>
    <x v="7"/>
  </r>
  <r>
    <x v="1"/>
    <x v="51"/>
  </r>
  <r>
    <x v="1"/>
    <x v="10"/>
  </r>
  <r>
    <x v="1"/>
    <x v="10"/>
  </r>
  <r>
    <x v="1"/>
    <x v="5"/>
  </r>
  <r>
    <x v="1"/>
    <x v="19"/>
  </r>
  <r>
    <x v="2"/>
    <x v="49"/>
  </r>
  <r>
    <x v="1"/>
    <x v="12"/>
  </r>
  <r>
    <x v="0"/>
    <x v="10"/>
  </r>
  <r>
    <x v="0"/>
    <x v="12"/>
  </r>
  <r>
    <x v="0"/>
    <x v="10"/>
  </r>
  <r>
    <x v="1"/>
    <x v="47"/>
  </r>
  <r>
    <x v="0"/>
    <x v="51"/>
  </r>
  <r>
    <x v="0"/>
    <x v="1"/>
  </r>
  <r>
    <x v="0"/>
    <x v="5"/>
  </r>
  <r>
    <x v="1"/>
    <x v="8"/>
  </r>
  <r>
    <x v="0"/>
    <x v="16"/>
  </r>
  <r>
    <x v="0"/>
    <x v="3"/>
  </r>
  <r>
    <x v="1"/>
    <x v="19"/>
  </r>
  <r>
    <x v="0"/>
    <x v="19"/>
  </r>
  <r>
    <x v="0"/>
    <x v="24"/>
  </r>
  <r>
    <x v="0"/>
    <x v="0"/>
  </r>
  <r>
    <x v="0"/>
    <x v="5"/>
  </r>
  <r>
    <x v="0"/>
    <x v="3"/>
  </r>
  <r>
    <x v="0"/>
    <x v="12"/>
  </r>
  <r>
    <x v="0"/>
    <x v="5"/>
  </r>
  <r>
    <x v="0"/>
    <x v="1"/>
  </r>
  <r>
    <x v="0"/>
    <x v="9"/>
  </r>
  <r>
    <x v="0"/>
    <x v="5"/>
  </r>
  <r>
    <x v="0"/>
    <x v="12"/>
  </r>
  <r>
    <x v="0"/>
    <x v="16"/>
  </r>
  <r>
    <x v="0"/>
    <x v="24"/>
  </r>
  <r>
    <x v="0"/>
    <x v="6"/>
  </r>
  <r>
    <x v="1"/>
    <x v="0"/>
  </r>
  <r>
    <x v="1"/>
    <x v="4"/>
  </r>
  <r>
    <x v="0"/>
    <x v="19"/>
  </r>
  <r>
    <x v="0"/>
    <x v="10"/>
  </r>
  <r>
    <x v="0"/>
    <x v="8"/>
  </r>
  <r>
    <x v="2"/>
    <x v="5"/>
  </r>
  <r>
    <x v="0"/>
    <x v="3"/>
  </r>
  <r>
    <x v="0"/>
    <x v="1"/>
  </r>
  <r>
    <x v="0"/>
    <x v="10"/>
  </r>
  <r>
    <x v="0"/>
    <x v="10"/>
  </r>
  <r>
    <x v="1"/>
    <x v="1"/>
  </r>
  <r>
    <x v="1"/>
    <x v="5"/>
  </r>
  <r>
    <x v="0"/>
    <x v="38"/>
  </r>
  <r>
    <x v="0"/>
    <x v="1"/>
  </r>
  <r>
    <x v="0"/>
    <x v="10"/>
  </r>
  <r>
    <x v="0"/>
    <x v="12"/>
  </r>
  <r>
    <x v="1"/>
    <x v="44"/>
  </r>
  <r>
    <x v="1"/>
    <x v="66"/>
  </r>
  <r>
    <x v="1"/>
    <x v="67"/>
  </r>
  <r>
    <x v="2"/>
    <x v="46"/>
  </r>
  <r>
    <x v="1"/>
    <x v="68"/>
  </r>
  <r>
    <x v="2"/>
    <x v="12"/>
  </r>
  <r>
    <x v="1"/>
    <x v="8"/>
  </r>
  <r>
    <x v="1"/>
    <x v="12"/>
  </r>
  <r>
    <x v="1"/>
    <x v="19"/>
  </r>
  <r>
    <x v="1"/>
    <x v="19"/>
  </r>
  <r>
    <x v="1"/>
    <x v="0"/>
  </r>
  <r>
    <x v="1"/>
    <x v="3"/>
  </r>
  <r>
    <x v="1"/>
    <x v="4"/>
  </r>
  <r>
    <x v="1"/>
    <x v="5"/>
  </r>
  <r>
    <x v="0"/>
    <x v="8"/>
  </r>
  <r>
    <x v="0"/>
    <x v="12"/>
  </r>
  <r>
    <x v="1"/>
    <x v="5"/>
  </r>
  <r>
    <x v="0"/>
    <x v="10"/>
  </r>
  <r>
    <x v="0"/>
    <x v="7"/>
  </r>
  <r>
    <x v="1"/>
    <x v="12"/>
  </r>
  <r>
    <x v="0"/>
    <x v="65"/>
  </r>
  <r>
    <x v="1"/>
    <x v="69"/>
  </r>
  <r>
    <x v="1"/>
    <x v="54"/>
  </r>
  <r>
    <x v="0"/>
    <x v="10"/>
  </r>
  <r>
    <x v="0"/>
    <x v="5"/>
  </r>
  <r>
    <x v="2"/>
    <x v="5"/>
  </r>
  <r>
    <x v="0"/>
    <x v="9"/>
  </r>
  <r>
    <x v="0"/>
    <x v="5"/>
  </r>
  <r>
    <x v="0"/>
    <x v="12"/>
  </r>
  <r>
    <x v="0"/>
    <x v="5"/>
  </r>
  <r>
    <x v="0"/>
    <x v="3"/>
  </r>
  <r>
    <x v="0"/>
    <x v="24"/>
  </r>
  <r>
    <x v="0"/>
    <x v="10"/>
  </r>
  <r>
    <x v="2"/>
    <x v="12"/>
  </r>
  <r>
    <x v="0"/>
    <x v="52"/>
  </r>
  <r>
    <x v="0"/>
    <x v="12"/>
  </r>
  <r>
    <x v="0"/>
    <x v="24"/>
  </r>
  <r>
    <x v="0"/>
    <x v="5"/>
  </r>
  <r>
    <x v="0"/>
    <x v="10"/>
  </r>
  <r>
    <x v="0"/>
    <x v="10"/>
  </r>
  <r>
    <x v="0"/>
    <x v="49"/>
  </r>
  <r>
    <x v="0"/>
    <x v="0"/>
  </r>
  <r>
    <x v="1"/>
    <x v="5"/>
  </r>
  <r>
    <x v="0"/>
    <x v="10"/>
  </r>
  <r>
    <x v="1"/>
    <x v="10"/>
  </r>
  <r>
    <x v="1"/>
    <x v="12"/>
  </r>
  <r>
    <x v="1"/>
    <x v="19"/>
  </r>
  <r>
    <x v="1"/>
    <x v="5"/>
  </r>
  <r>
    <x v="1"/>
    <x v="19"/>
  </r>
  <r>
    <x v="1"/>
    <x v="3"/>
  </r>
  <r>
    <x v="0"/>
    <x v="9"/>
  </r>
  <r>
    <x v="0"/>
    <x v="10"/>
  </r>
  <r>
    <x v="0"/>
    <x v="3"/>
  </r>
  <r>
    <x v="0"/>
    <x v="12"/>
  </r>
  <r>
    <x v="0"/>
    <x v="24"/>
  </r>
  <r>
    <x v="0"/>
    <x v="51"/>
  </r>
  <r>
    <x v="0"/>
    <x v="5"/>
  </r>
  <r>
    <x v="0"/>
    <x v="19"/>
  </r>
  <r>
    <x v="1"/>
    <x v="5"/>
  </r>
  <r>
    <x v="1"/>
    <x v="51"/>
  </r>
  <r>
    <x v="1"/>
    <x v="5"/>
  </r>
  <r>
    <x v="0"/>
    <x v="10"/>
  </r>
  <r>
    <x v="1"/>
    <x v="19"/>
  </r>
  <r>
    <x v="0"/>
    <x v="6"/>
  </r>
  <r>
    <x v="0"/>
    <x v="5"/>
  </r>
  <r>
    <x v="0"/>
    <x v="19"/>
  </r>
  <r>
    <x v="1"/>
    <x v="3"/>
  </r>
  <r>
    <x v="2"/>
    <x v="10"/>
  </r>
  <r>
    <x v="2"/>
    <x v="4"/>
  </r>
  <r>
    <x v="2"/>
    <x v="19"/>
  </r>
  <r>
    <x v="1"/>
    <x v="7"/>
  </r>
  <r>
    <x v="1"/>
    <x v="10"/>
  </r>
  <r>
    <x v="2"/>
    <x v="3"/>
  </r>
  <r>
    <x v="1"/>
    <x v="52"/>
  </r>
  <r>
    <x v="1"/>
    <x v="12"/>
  </r>
  <r>
    <x v="1"/>
    <x v="5"/>
  </r>
  <r>
    <x v="0"/>
    <x v="4"/>
  </r>
  <r>
    <x v="0"/>
    <x v="5"/>
  </r>
  <r>
    <x v="0"/>
    <x v="12"/>
  </r>
  <r>
    <x v="2"/>
    <x v="5"/>
  </r>
  <r>
    <x v="0"/>
    <x v="4"/>
  </r>
  <r>
    <x v="2"/>
    <x v="24"/>
  </r>
  <r>
    <x v="2"/>
    <x v="7"/>
  </r>
  <r>
    <x v="0"/>
    <x v="3"/>
  </r>
  <r>
    <x v="0"/>
    <x v="12"/>
  </r>
  <r>
    <x v="0"/>
    <x v="3"/>
  </r>
  <r>
    <x v="2"/>
    <x v="19"/>
  </r>
  <r>
    <x v="1"/>
    <x v="7"/>
  </r>
  <r>
    <x v="0"/>
    <x v="10"/>
  </r>
  <r>
    <x v="0"/>
    <x v="3"/>
  </r>
  <r>
    <x v="1"/>
    <x v="24"/>
  </r>
  <r>
    <x v="0"/>
    <x v="7"/>
  </r>
  <r>
    <x v="0"/>
    <x v="7"/>
  </r>
  <r>
    <x v="0"/>
    <x v="8"/>
  </r>
  <r>
    <x v="1"/>
    <x v="52"/>
  </r>
  <r>
    <x v="0"/>
    <x v="51"/>
  </r>
  <r>
    <x v="0"/>
    <x v="64"/>
  </r>
  <r>
    <x v="2"/>
    <x v="4"/>
  </r>
  <r>
    <x v="0"/>
    <x v="7"/>
  </r>
  <r>
    <x v="0"/>
    <x v="10"/>
  </r>
  <r>
    <x v="0"/>
    <x v="5"/>
  </r>
  <r>
    <x v="0"/>
    <x v="5"/>
  </r>
  <r>
    <x v="1"/>
    <x v="10"/>
  </r>
  <r>
    <x v="0"/>
    <x v="10"/>
  </r>
  <r>
    <x v="0"/>
    <x v="70"/>
  </r>
  <r>
    <x v="0"/>
    <x v="71"/>
  </r>
  <r>
    <x v="1"/>
    <x v="5"/>
  </r>
  <r>
    <x v="0"/>
    <x v="51"/>
  </r>
  <r>
    <x v="0"/>
    <x v="51"/>
  </r>
  <r>
    <x v="1"/>
    <x v="10"/>
  </r>
  <r>
    <x v="1"/>
    <x v="5"/>
  </r>
  <r>
    <x v="1"/>
    <x v="47"/>
  </r>
  <r>
    <x v="0"/>
    <x v="16"/>
  </r>
  <r>
    <x v="0"/>
    <x v="49"/>
  </r>
  <r>
    <x v="0"/>
    <x v="5"/>
  </r>
  <r>
    <x v="0"/>
    <x v="52"/>
  </r>
  <r>
    <x v="0"/>
    <x v="8"/>
  </r>
  <r>
    <x v="2"/>
    <x v="1"/>
  </r>
  <r>
    <x v="1"/>
    <x v="16"/>
  </r>
  <r>
    <x v="2"/>
    <x v="3"/>
  </r>
  <r>
    <x v="1"/>
    <x v="5"/>
  </r>
  <r>
    <x v="0"/>
    <x v="7"/>
  </r>
  <r>
    <x v="0"/>
    <x v="8"/>
  </r>
  <r>
    <x v="0"/>
    <x v="12"/>
  </r>
  <r>
    <x v="1"/>
    <x v="4"/>
  </r>
  <r>
    <x v="1"/>
    <x v="8"/>
  </r>
  <r>
    <x v="0"/>
    <x v="19"/>
  </r>
  <r>
    <x v="0"/>
    <x v="5"/>
  </r>
  <r>
    <x v="1"/>
    <x v="12"/>
  </r>
  <r>
    <x v="0"/>
    <x v="5"/>
  </r>
  <r>
    <x v="1"/>
    <x v="52"/>
  </r>
  <r>
    <x v="2"/>
    <x v="8"/>
  </r>
  <r>
    <x v="0"/>
    <x v="8"/>
  </r>
  <r>
    <x v="1"/>
    <x v="8"/>
  </r>
  <r>
    <x v="0"/>
    <x v="5"/>
  </r>
  <r>
    <x v="1"/>
    <x v="19"/>
  </r>
  <r>
    <x v="0"/>
    <x v="19"/>
  </r>
  <r>
    <x v="1"/>
    <x v="10"/>
  </r>
  <r>
    <x v="1"/>
    <x v="12"/>
  </r>
  <r>
    <x v="2"/>
    <x v="24"/>
  </r>
  <r>
    <x v="1"/>
    <x v="3"/>
  </r>
  <r>
    <x v="0"/>
    <x v="24"/>
  </r>
  <r>
    <x v="1"/>
    <x v="0"/>
  </r>
  <r>
    <x v="0"/>
    <x v="10"/>
  </r>
  <r>
    <x v="1"/>
    <x v="7"/>
  </r>
  <r>
    <x v="1"/>
    <x v="4"/>
  </r>
  <r>
    <x v="0"/>
    <x v="10"/>
  </r>
  <r>
    <x v="0"/>
    <x v="22"/>
  </r>
  <r>
    <x v="0"/>
    <x v="19"/>
  </r>
  <r>
    <x v="0"/>
    <x v="7"/>
  </r>
  <r>
    <x v="2"/>
    <x v="19"/>
  </r>
  <r>
    <x v="0"/>
    <x v="12"/>
  </r>
  <r>
    <x v="1"/>
    <x v="65"/>
  </r>
  <r>
    <x v="1"/>
    <x v="72"/>
  </r>
  <r>
    <x v="0"/>
    <x v="5"/>
  </r>
  <r>
    <x v="2"/>
    <x v="12"/>
  </r>
  <r>
    <x v="0"/>
    <x v="4"/>
  </r>
  <r>
    <x v="1"/>
    <x v="19"/>
  </r>
  <r>
    <x v="1"/>
    <x v="19"/>
  </r>
  <r>
    <x v="2"/>
    <x v="3"/>
  </r>
  <r>
    <x v="0"/>
    <x v="12"/>
  </r>
  <r>
    <x v="0"/>
    <x v="24"/>
  </r>
  <r>
    <x v="0"/>
    <x v="16"/>
  </r>
  <r>
    <x v="1"/>
    <x v="19"/>
  </r>
  <r>
    <x v="0"/>
    <x v="9"/>
  </r>
  <r>
    <x v="1"/>
    <x v="52"/>
  </r>
  <r>
    <x v="0"/>
    <x v="12"/>
  </r>
  <r>
    <x v="1"/>
    <x v="10"/>
  </r>
  <r>
    <x v="1"/>
    <x v="16"/>
  </r>
  <r>
    <x v="1"/>
    <x v="5"/>
  </r>
  <r>
    <x v="1"/>
    <x v="4"/>
  </r>
  <r>
    <x v="2"/>
    <x v="19"/>
  </r>
  <r>
    <x v="2"/>
    <x v="16"/>
  </r>
  <r>
    <x v="0"/>
    <x v="12"/>
  </r>
  <r>
    <x v="1"/>
    <x v="9"/>
  </r>
  <r>
    <x v="0"/>
    <x v="19"/>
  </r>
  <r>
    <x v="2"/>
    <x v="52"/>
  </r>
  <r>
    <x v="0"/>
    <x v="51"/>
  </r>
  <r>
    <x v="0"/>
    <x v="5"/>
  </r>
  <r>
    <x v="1"/>
    <x v="28"/>
  </r>
  <r>
    <x v="0"/>
    <x v="19"/>
  </r>
  <r>
    <x v="0"/>
    <x v="49"/>
  </r>
  <r>
    <x v="2"/>
    <x v="12"/>
  </r>
  <r>
    <x v="2"/>
    <x v="5"/>
  </r>
  <r>
    <x v="2"/>
    <x v="49"/>
  </r>
  <r>
    <x v="0"/>
    <x v="10"/>
  </r>
  <r>
    <x v="0"/>
    <x v="36"/>
  </r>
  <r>
    <x v="0"/>
    <x v="51"/>
  </r>
  <r>
    <x v="0"/>
    <x v="51"/>
  </r>
  <r>
    <x v="1"/>
    <x v="10"/>
  </r>
  <r>
    <x v="1"/>
    <x v="3"/>
  </r>
  <r>
    <x v="0"/>
    <x v="19"/>
  </r>
  <r>
    <x v="0"/>
    <x v="19"/>
  </r>
  <r>
    <x v="0"/>
    <x v="52"/>
  </r>
  <r>
    <x v="0"/>
    <x v="8"/>
  </r>
  <r>
    <x v="0"/>
    <x v="19"/>
  </r>
  <r>
    <x v="0"/>
    <x v="4"/>
  </r>
  <r>
    <x v="1"/>
    <x v="10"/>
  </r>
  <r>
    <x v="1"/>
    <x v="52"/>
  </r>
  <r>
    <x v="0"/>
    <x v="24"/>
  </r>
  <r>
    <x v="0"/>
    <x v="5"/>
  </r>
  <r>
    <x v="0"/>
    <x v="3"/>
  </r>
  <r>
    <x v="0"/>
    <x v="30"/>
  </r>
  <r>
    <x v="0"/>
    <x v="4"/>
  </r>
  <r>
    <x v="1"/>
    <x v="51"/>
  </r>
  <r>
    <x v="1"/>
    <x v="3"/>
  </r>
  <r>
    <x v="1"/>
    <x v="16"/>
  </r>
  <r>
    <x v="1"/>
    <x v="5"/>
  </r>
  <r>
    <x v="0"/>
    <x v="5"/>
  </r>
  <r>
    <x v="0"/>
    <x v="5"/>
  </r>
  <r>
    <x v="1"/>
    <x v="19"/>
  </r>
  <r>
    <x v="0"/>
    <x v="51"/>
  </r>
  <r>
    <x v="0"/>
    <x v="16"/>
  </r>
  <r>
    <x v="0"/>
    <x v="65"/>
  </r>
  <r>
    <x v="0"/>
    <x v="19"/>
  </r>
  <r>
    <x v="0"/>
    <x v="10"/>
  </r>
  <r>
    <x v="0"/>
    <x v="5"/>
  </r>
  <r>
    <x v="1"/>
    <x v="3"/>
  </r>
  <r>
    <x v="2"/>
    <x v="5"/>
  </r>
  <r>
    <x v="0"/>
    <x v="10"/>
  </r>
  <r>
    <x v="0"/>
    <x v="7"/>
  </r>
  <r>
    <x v="1"/>
    <x v="49"/>
  </r>
  <r>
    <x v="1"/>
    <x v="12"/>
  </r>
  <r>
    <x v="0"/>
    <x v="16"/>
  </r>
  <r>
    <x v="2"/>
    <x v="19"/>
  </r>
  <r>
    <x v="0"/>
    <x v="10"/>
  </r>
  <r>
    <x v="0"/>
    <x v="5"/>
  </r>
  <r>
    <x v="0"/>
    <x v="5"/>
  </r>
  <r>
    <x v="1"/>
    <x v="49"/>
  </r>
  <r>
    <x v="0"/>
    <x v="24"/>
  </r>
  <r>
    <x v="1"/>
    <x v="49"/>
  </r>
  <r>
    <x v="1"/>
    <x v="10"/>
  </r>
  <r>
    <x v="0"/>
    <x v="19"/>
  </r>
  <r>
    <x v="0"/>
    <x v="19"/>
  </r>
  <r>
    <x v="0"/>
    <x v="10"/>
  </r>
  <r>
    <x v="0"/>
    <x v="24"/>
  </r>
  <r>
    <x v="0"/>
    <x v="10"/>
  </r>
  <r>
    <x v="0"/>
    <x v="51"/>
  </r>
  <r>
    <x v="0"/>
    <x v="5"/>
  </r>
  <r>
    <x v="0"/>
    <x v="10"/>
  </r>
  <r>
    <x v="0"/>
    <x v="25"/>
  </r>
  <r>
    <x v="0"/>
    <x v="1"/>
  </r>
  <r>
    <x v="0"/>
    <x v="10"/>
  </r>
  <r>
    <x v="1"/>
    <x v="10"/>
  </r>
  <r>
    <x v="1"/>
    <x v="19"/>
  </r>
  <r>
    <x v="0"/>
    <x v="12"/>
  </r>
  <r>
    <x v="0"/>
    <x v="10"/>
  </r>
  <r>
    <x v="0"/>
    <x v="19"/>
  </r>
  <r>
    <x v="0"/>
    <x v="10"/>
  </r>
  <r>
    <x v="0"/>
    <x v="50"/>
  </r>
  <r>
    <x v="0"/>
    <x v="45"/>
  </r>
  <r>
    <x v="0"/>
    <x v="14"/>
  </r>
  <r>
    <x v="0"/>
    <x v="20"/>
  </r>
  <r>
    <x v="0"/>
    <x v="10"/>
  </r>
  <r>
    <x v="0"/>
    <x v="3"/>
  </r>
  <r>
    <x v="0"/>
    <x v="49"/>
  </r>
  <r>
    <x v="2"/>
    <x v="0"/>
  </r>
  <r>
    <x v="0"/>
    <x v="12"/>
  </r>
  <r>
    <x v="0"/>
    <x v="0"/>
  </r>
  <r>
    <x v="1"/>
    <x v="12"/>
  </r>
  <r>
    <x v="1"/>
    <x v="5"/>
  </r>
  <r>
    <x v="1"/>
    <x v="5"/>
  </r>
  <r>
    <x v="0"/>
    <x v="19"/>
  </r>
  <r>
    <x v="0"/>
    <x v="19"/>
  </r>
  <r>
    <x v="0"/>
    <x v="51"/>
  </r>
  <r>
    <x v="0"/>
    <x v="19"/>
  </r>
  <r>
    <x v="0"/>
    <x v="10"/>
  </r>
  <r>
    <x v="0"/>
    <x v="3"/>
  </r>
  <r>
    <x v="1"/>
    <x v="19"/>
  </r>
  <r>
    <x v="0"/>
    <x v="51"/>
  </r>
  <r>
    <x v="0"/>
    <x v="16"/>
  </r>
  <r>
    <x v="1"/>
    <x v="52"/>
  </r>
  <r>
    <x v="0"/>
    <x v="12"/>
  </r>
  <r>
    <x v="0"/>
    <x v="10"/>
  </r>
  <r>
    <x v="0"/>
    <x v="19"/>
  </r>
  <r>
    <x v="0"/>
    <x v="65"/>
  </r>
  <r>
    <x v="0"/>
    <x v="3"/>
  </r>
  <r>
    <x v="0"/>
    <x v="65"/>
  </r>
  <r>
    <x v="0"/>
    <x v="19"/>
  </r>
  <r>
    <x v="0"/>
    <x v="5"/>
  </r>
  <r>
    <x v="0"/>
    <x v="16"/>
  </r>
  <r>
    <x v="2"/>
    <x v="24"/>
  </r>
  <r>
    <x v="0"/>
    <x v="24"/>
  </r>
  <r>
    <x v="0"/>
    <x v="10"/>
  </r>
  <r>
    <x v="0"/>
    <x v="52"/>
  </r>
  <r>
    <x v="0"/>
    <x v="3"/>
  </r>
  <r>
    <x v="0"/>
    <x v="10"/>
  </r>
  <r>
    <x v="1"/>
    <x v="3"/>
  </r>
  <r>
    <x v="0"/>
    <x v="12"/>
  </r>
  <r>
    <x v="0"/>
    <x v="65"/>
  </r>
  <r>
    <x v="0"/>
    <x v="5"/>
  </r>
  <r>
    <x v="0"/>
    <x v="24"/>
  </r>
  <r>
    <x v="1"/>
    <x v="51"/>
  </r>
  <r>
    <x v="0"/>
    <x v="5"/>
  </r>
  <r>
    <x v="0"/>
    <x v="10"/>
  </r>
  <r>
    <x v="0"/>
    <x v="51"/>
  </r>
  <r>
    <x v="0"/>
    <x v="5"/>
  </r>
  <r>
    <x v="0"/>
    <x v="3"/>
  </r>
  <r>
    <x v="0"/>
    <x v="3"/>
  </r>
  <r>
    <x v="0"/>
    <x v="24"/>
  </r>
  <r>
    <x v="0"/>
    <x v="72"/>
  </r>
  <r>
    <x v="2"/>
    <x v="16"/>
  </r>
  <r>
    <x v="0"/>
    <x v="24"/>
  </r>
  <r>
    <x v="1"/>
    <x v="3"/>
  </r>
  <r>
    <x v="0"/>
    <x v="12"/>
  </r>
  <r>
    <x v="0"/>
    <x v="3"/>
  </r>
  <r>
    <x v="0"/>
    <x v="19"/>
  </r>
  <r>
    <x v="0"/>
    <x v="19"/>
  </r>
  <r>
    <x v="0"/>
    <x v="19"/>
  </r>
  <r>
    <x v="1"/>
    <x v="19"/>
  </r>
  <r>
    <x v="0"/>
    <x v="49"/>
  </r>
  <r>
    <x v="2"/>
    <x v="16"/>
  </r>
  <r>
    <x v="1"/>
    <x v="65"/>
  </r>
  <r>
    <x v="0"/>
    <x v="4"/>
  </r>
  <r>
    <x v="0"/>
    <x v="10"/>
  </r>
  <r>
    <x v="0"/>
    <x v="24"/>
  </r>
  <r>
    <x v="1"/>
    <x v="30"/>
  </r>
  <r>
    <x v="1"/>
    <x v="24"/>
  </r>
  <r>
    <x v="2"/>
    <x v="29"/>
  </r>
  <r>
    <x v="2"/>
    <x v="51"/>
  </r>
  <r>
    <x v="1"/>
    <x v="16"/>
  </r>
  <r>
    <x v="0"/>
    <x v="10"/>
  </r>
  <r>
    <x v="0"/>
    <x v="19"/>
  </r>
  <r>
    <x v="0"/>
    <x v="64"/>
  </r>
  <r>
    <x v="1"/>
    <x v="5"/>
  </r>
  <r>
    <x v="1"/>
    <x v="10"/>
  </r>
  <r>
    <x v="0"/>
    <x v="51"/>
  </r>
  <r>
    <x v="0"/>
    <x v="24"/>
  </r>
  <r>
    <x v="0"/>
    <x v="52"/>
  </r>
  <r>
    <x v="0"/>
    <x v="46"/>
  </r>
  <r>
    <x v="2"/>
    <x v="16"/>
  </r>
  <r>
    <x v="2"/>
    <x v="17"/>
  </r>
  <r>
    <x v="0"/>
    <x v="51"/>
  </r>
  <r>
    <x v="0"/>
    <x v="30"/>
  </r>
  <r>
    <x v="1"/>
    <x v="24"/>
  </r>
  <r>
    <x v="1"/>
    <x v="73"/>
  </r>
  <r>
    <x v="2"/>
    <x v="10"/>
  </r>
  <r>
    <x v="1"/>
    <x v="29"/>
  </r>
  <r>
    <x v="1"/>
    <x v="52"/>
  </r>
  <r>
    <x v="1"/>
    <x v="19"/>
  </r>
  <r>
    <x v="0"/>
    <x v="24"/>
  </r>
  <r>
    <x v="1"/>
    <x v="51"/>
  </r>
  <r>
    <x v="2"/>
    <x v="74"/>
  </r>
  <r>
    <x v="0"/>
    <x v="10"/>
  </r>
  <r>
    <x v="2"/>
    <x v="52"/>
  </r>
  <r>
    <x v="0"/>
    <x v="52"/>
  </r>
  <r>
    <x v="0"/>
    <x v="51"/>
  </r>
  <r>
    <x v="0"/>
    <x v="28"/>
  </r>
  <r>
    <x v="0"/>
    <x v="66"/>
  </r>
  <r>
    <x v="1"/>
    <x v="3"/>
  </r>
  <r>
    <x v="2"/>
    <x v="49"/>
  </r>
  <r>
    <x v="1"/>
    <x v="3"/>
  </r>
  <r>
    <x v="1"/>
    <x v="30"/>
  </r>
  <r>
    <x v="2"/>
    <x v="3"/>
  </r>
  <r>
    <x v="0"/>
    <x v="19"/>
  </r>
  <r>
    <x v="0"/>
    <x v="5"/>
  </r>
  <r>
    <x v="0"/>
    <x v="16"/>
  </r>
  <r>
    <x v="1"/>
    <x v="52"/>
  </r>
  <r>
    <x v="1"/>
    <x v="75"/>
  </r>
  <r>
    <x v="0"/>
    <x v="51"/>
  </r>
  <r>
    <x v="1"/>
    <x v="51"/>
  </r>
  <r>
    <x v="2"/>
    <x v="17"/>
  </r>
  <r>
    <x v="2"/>
    <x v="38"/>
  </r>
  <r>
    <x v="1"/>
    <x v="19"/>
  </r>
  <r>
    <x v="2"/>
    <x v="52"/>
  </r>
  <r>
    <x v="2"/>
    <x v="49"/>
  </r>
  <r>
    <x v="1"/>
    <x v="52"/>
  </r>
  <r>
    <x v="1"/>
    <x v="5"/>
  </r>
  <r>
    <x v="0"/>
    <x v="5"/>
  </r>
  <r>
    <x v="0"/>
    <x v="38"/>
  </r>
  <r>
    <x v="0"/>
    <x v="52"/>
  </r>
  <r>
    <x v="0"/>
    <x v="49"/>
  </r>
  <r>
    <x v="1"/>
    <x v="31"/>
  </r>
  <r>
    <x v="1"/>
    <x v="65"/>
  </r>
  <r>
    <x v="1"/>
    <x v="49"/>
  </r>
  <r>
    <x v="1"/>
    <x v="3"/>
  </r>
  <r>
    <x v="0"/>
    <x v="47"/>
  </r>
  <r>
    <x v="0"/>
    <x v="65"/>
  </r>
  <r>
    <x v="1"/>
    <x v="3"/>
  </r>
  <r>
    <x v="0"/>
    <x v="23"/>
  </r>
  <r>
    <x v="0"/>
    <x v="4"/>
  </r>
  <r>
    <x v="0"/>
    <x v="16"/>
  </r>
  <r>
    <x v="0"/>
    <x v="29"/>
  </r>
  <r>
    <x v="0"/>
    <x v="44"/>
  </r>
  <r>
    <x v="0"/>
    <x v="19"/>
  </r>
  <r>
    <x v="0"/>
    <x v="51"/>
  </r>
  <r>
    <x v="0"/>
    <x v="3"/>
  </r>
  <r>
    <x v="0"/>
    <x v="3"/>
  </r>
  <r>
    <x v="0"/>
    <x v="59"/>
  </r>
  <r>
    <x v="0"/>
    <x v="30"/>
  </r>
  <r>
    <x v="0"/>
    <x v="30"/>
  </r>
  <r>
    <x v="1"/>
    <x v="5"/>
  </r>
  <r>
    <x v="0"/>
    <x v="10"/>
  </r>
  <r>
    <x v="0"/>
    <x v="24"/>
  </r>
  <r>
    <x v="0"/>
    <x v="5"/>
  </r>
  <r>
    <x v="1"/>
    <x v="24"/>
  </r>
  <r>
    <x v="2"/>
    <x v="76"/>
  </r>
  <r>
    <x v="2"/>
    <x v="4"/>
  </r>
  <r>
    <x v="0"/>
    <x v="12"/>
  </r>
  <r>
    <x v="2"/>
    <x v="49"/>
  </r>
  <r>
    <x v="0"/>
    <x v="49"/>
  </r>
  <r>
    <x v="1"/>
    <x v="46"/>
  </r>
  <r>
    <x v="1"/>
    <x v="14"/>
  </r>
  <r>
    <x v="0"/>
    <x v="51"/>
  </r>
  <r>
    <x v="0"/>
    <x v="4"/>
  </r>
  <r>
    <x v="1"/>
    <x v="5"/>
  </r>
  <r>
    <x v="0"/>
    <x v="65"/>
  </r>
  <r>
    <x v="0"/>
    <x v="51"/>
  </r>
  <r>
    <x v="0"/>
    <x v="77"/>
  </r>
  <r>
    <x v="0"/>
    <x v="78"/>
  </r>
  <r>
    <x v="1"/>
    <x v="49"/>
  </r>
  <r>
    <x v="0"/>
    <x v="10"/>
  </r>
  <r>
    <x v="2"/>
    <x v="49"/>
  </r>
  <r>
    <x v="1"/>
    <x v="16"/>
  </r>
  <r>
    <x v="0"/>
    <x v="3"/>
  </r>
  <r>
    <x v="0"/>
    <x v="51"/>
  </r>
  <r>
    <x v="0"/>
    <x v="3"/>
  </r>
  <r>
    <x v="1"/>
    <x v="12"/>
  </r>
  <r>
    <x v="0"/>
    <x v="3"/>
  </r>
  <r>
    <x v="0"/>
    <x v="3"/>
  </r>
  <r>
    <x v="0"/>
    <x v="16"/>
  </r>
  <r>
    <x v="0"/>
    <x v="47"/>
  </r>
  <r>
    <x v="0"/>
    <x v="24"/>
  </r>
  <r>
    <x v="0"/>
    <x v="3"/>
  </r>
  <r>
    <x v="0"/>
    <x v="51"/>
  </r>
  <r>
    <x v="0"/>
    <x v="17"/>
  </r>
  <r>
    <x v="0"/>
    <x v="19"/>
  </r>
  <r>
    <x v="0"/>
    <x v="16"/>
  </r>
  <r>
    <x v="0"/>
    <x v="52"/>
  </r>
  <r>
    <x v="0"/>
    <x v="51"/>
  </r>
  <r>
    <x v="0"/>
    <x v="65"/>
  </r>
  <r>
    <x v="0"/>
    <x v="10"/>
  </r>
  <r>
    <x v="0"/>
    <x v="19"/>
  </r>
  <r>
    <x v="2"/>
    <x v="49"/>
  </r>
  <r>
    <x v="0"/>
    <x v="5"/>
  </r>
  <r>
    <x v="0"/>
    <x v="24"/>
  </r>
  <r>
    <x v="0"/>
    <x v="24"/>
  </r>
  <r>
    <x v="0"/>
    <x v="4"/>
  </r>
  <r>
    <x v="0"/>
    <x v="0"/>
  </r>
  <r>
    <x v="0"/>
    <x v="51"/>
  </r>
  <r>
    <x v="1"/>
    <x v="10"/>
  </r>
  <r>
    <x v="1"/>
    <x v="10"/>
  </r>
  <r>
    <x v="1"/>
    <x v="10"/>
  </r>
  <r>
    <x v="0"/>
    <x v="24"/>
  </r>
  <r>
    <x v="0"/>
    <x v="51"/>
  </r>
  <r>
    <x v="0"/>
    <x v="4"/>
  </r>
  <r>
    <x v="0"/>
    <x v="24"/>
  </r>
  <r>
    <x v="0"/>
    <x v="3"/>
  </r>
  <r>
    <x v="0"/>
    <x v="4"/>
  </r>
  <r>
    <x v="1"/>
    <x v="23"/>
  </r>
  <r>
    <x v="0"/>
    <x v="51"/>
  </r>
  <r>
    <x v="0"/>
    <x v="72"/>
  </r>
  <r>
    <x v="0"/>
    <x v="51"/>
  </r>
  <r>
    <x v="1"/>
    <x v="16"/>
  </r>
  <r>
    <x v="0"/>
    <x v="24"/>
  </r>
  <r>
    <x v="2"/>
    <x v="3"/>
  </r>
  <r>
    <x v="0"/>
    <x v="16"/>
  </r>
  <r>
    <x v="1"/>
    <x v="19"/>
  </r>
  <r>
    <x v="0"/>
    <x v="19"/>
  </r>
  <r>
    <x v="0"/>
    <x v="5"/>
  </r>
  <r>
    <x v="0"/>
    <x v="5"/>
  </r>
  <r>
    <x v="2"/>
    <x v="4"/>
  </r>
  <r>
    <x v="0"/>
    <x v="3"/>
  </r>
  <r>
    <x v="0"/>
    <x v="49"/>
  </r>
  <r>
    <x v="0"/>
    <x v="24"/>
  </r>
  <r>
    <x v="0"/>
    <x v="16"/>
  </r>
  <r>
    <x v="0"/>
    <x v="38"/>
  </r>
  <r>
    <x v="2"/>
    <x v="4"/>
  </r>
  <r>
    <x v="0"/>
    <x v="19"/>
  </r>
  <r>
    <x v="1"/>
    <x v="79"/>
  </r>
  <r>
    <x v="1"/>
    <x v="66"/>
  </r>
  <r>
    <x v="1"/>
    <x v="19"/>
  </r>
  <r>
    <x v="1"/>
    <x v="12"/>
  </r>
  <r>
    <x v="0"/>
    <x v="5"/>
  </r>
  <r>
    <x v="0"/>
    <x v="4"/>
  </r>
  <r>
    <x v="0"/>
    <x v="19"/>
  </r>
  <r>
    <x v="0"/>
    <x v="10"/>
  </r>
  <r>
    <x v="0"/>
    <x v="4"/>
  </r>
  <r>
    <x v="0"/>
    <x v="4"/>
  </r>
  <r>
    <x v="0"/>
    <x v="0"/>
  </r>
  <r>
    <x v="0"/>
    <x v="15"/>
  </r>
  <r>
    <x v="0"/>
    <x v="6"/>
  </r>
  <r>
    <x v="1"/>
    <x v="16"/>
  </r>
  <r>
    <x v="1"/>
    <x v="49"/>
  </r>
  <r>
    <x v="0"/>
    <x v="24"/>
  </r>
  <r>
    <x v="1"/>
    <x v="4"/>
  </r>
  <r>
    <x v="1"/>
    <x v="29"/>
  </r>
  <r>
    <x v="1"/>
    <x v="77"/>
  </r>
  <r>
    <x v="0"/>
    <x v="10"/>
  </r>
  <r>
    <x v="0"/>
    <x v="49"/>
  </r>
  <r>
    <x v="0"/>
    <x v="23"/>
  </r>
  <r>
    <x v="0"/>
    <x v="5"/>
  </r>
  <r>
    <x v="1"/>
    <x v="0"/>
  </r>
  <r>
    <x v="0"/>
    <x v="24"/>
  </r>
  <r>
    <x v="1"/>
    <x v="62"/>
  </r>
  <r>
    <x v="1"/>
    <x v="23"/>
  </r>
  <r>
    <x v="0"/>
    <x v="44"/>
  </r>
  <r>
    <x v="0"/>
    <x v="65"/>
  </r>
  <r>
    <x v="0"/>
    <x v="8"/>
  </r>
  <r>
    <x v="0"/>
    <x v="36"/>
  </r>
  <r>
    <x v="1"/>
    <x v="17"/>
  </r>
  <r>
    <x v="1"/>
    <x v="10"/>
  </r>
  <r>
    <x v="0"/>
    <x v="49"/>
  </r>
  <r>
    <x v="0"/>
    <x v="10"/>
  </r>
  <r>
    <x v="0"/>
    <x v="3"/>
  </r>
  <r>
    <x v="0"/>
    <x v="24"/>
  </r>
  <r>
    <x v="1"/>
    <x v="3"/>
  </r>
  <r>
    <x v="1"/>
    <x v="0"/>
  </r>
  <r>
    <x v="2"/>
    <x v="12"/>
  </r>
  <r>
    <x v="2"/>
    <x v="3"/>
  </r>
  <r>
    <x v="2"/>
    <x v="49"/>
  </r>
  <r>
    <x v="0"/>
    <x v="5"/>
  </r>
  <r>
    <x v="0"/>
    <x v="65"/>
  </r>
  <r>
    <x v="1"/>
    <x v="19"/>
  </r>
  <r>
    <x v="0"/>
    <x v="24"/>
  </r>
  <r>
    <x v="0"/>
    <x v="3"/>
  </r>
  <r>
    <x v="2"/>
    <x v="16"/>
  </r>
  <r>
    <x v="0"/>
    <x v="19"/>
  </r>
  <r>
    <x v="1"/>
    <x v="0"/>
  </r>
  <r>
    <x v="0"/>
    <x v="65"/>
  </r>
  <r>
    <x v="0"/>
    <x v="15"/>
  </r>
  <r>
    <x v="1"/>
    <x v="19"/>
  </r>
  <r>
    <x v="1"/>
    <x v="5"/>
  </r>
  <r>
    <x v="0"/>
    <x v="3"/>
  </r>
  <r>
    <x v="0"/>
    <x v="0"/>
  </r>
  <r>
    <x v="1"/>
    <x v="4"/>
  </r>
  <r>
    <x v="0"/>
    <x v="25"/>
  </r>
  <r>
    <x v="0"/>
    <x v="65"/>
  </r>
  <r>
    <x v="0"/>
    <x v="15"/>
  </r>
  <r>
    <x v="0"/>
    <x v="24"/>
  </r>
  <r>
    <x v="0"/>
    <x v="64"/>
  </r>
  <r>
    <x v="0"/>
    <x v="4"/>
  </r>
  <r>
    <x v="1"/>
    <x v="80"/>
  </r>
  <r>
    <x v="1"/>
    <x v="8"/>
  </r>
  <r>
    <x v="0"/>
    <x v="5"/>
  </r>
  <r>
    <x v="0"/>
    <x v="23"/>
  </r>
  <r>
    <x v="2"/>
    <x v="5"/>
  </r>
  <r>
    <x v="0"/>
    <x v="4"/>
  </r>
  <r>
    <x v="2"/>
    <x v="38"/>
  </r>
  <r>
    <x v="0"/>
    <x v="22"/>
  </r>
  <r>
    <x v="0"/>
    <x v="19"/>
  </r>
  <r>
    <x v="0"/>
    <x v="0"/>
  </r>
  <r>
    <x v="1"/>
    <x v="54"/>
  </r>
  <r>
    <x v="0"/>
    <x v="51"/>
  </r>
  <r>
    <x v="0"/>
    <x v="24"/>
  </r>
  <r>
    <x v="2"/>
    <x v="5"/>
  </r>
  <r>
    <x v="0"/>
    <x v="12"/>
  </r>
  <r>
    <x v="0"/>
    <x v="13"/>
  </r>
  <r>
    <x v="0"/>
    <x v="16"/>
  </r>
  <r>
    <x v="0"/>
    <x v="3"/>
  </r>
  <r>
    <x v="0"/>
    <x v="10"/>
  </r>
  <r>
    <x v="0"/>
    <x v="3"/>
  </r>
  <r>
    <x v="1"/>
    <x v="0"/>
  </r>
  <r>
    <x v="0"/>
    <x v="10"/>
  </r>
  <r>
    <x v="0"/>
    <x v="10"/>
  </r>
  <r>
    <x v="2"/>
    <x v="24"/>
  </r>
  <r>
    <x v="0"/>
    <x v="38"/>
  </r>
  <r>
    <x v="0"/>
    <x v="10"/>
  </r>
  <r>
    <x v="0"/>
    <x v="51"/>
  </r>
  <r>
    <x v="0"/>
    <x v="24"/>
  </r>
  <r>
    <x v="0"/>
    <x v="3"/>
  </r>
  <r>
    <x v="2"/>
    <x v="19"/>
  </r>
  <r>
    <x v="1"/>
    <x v="24"/>
  </r>
  <r>
    <x v="1"/>
    <x v="19"/>
  </r>
  <r>
    <x v="0"/>
    <x v="16"/>
  </r>
  <r>
    <x v="0"/>
    <x v="19"/>
  </r>
  <r>
    <x v="0"/>
    <x v="29"/>
  </r>
  <r>
    <x v="0"/>
    <x v="78"/>
  </r>
  <r>
    <x v="0"/>
    <x v="59"/>
  </r>
  <r>
    <x v="2"/>
    <x v="38"/>
  </r>
  <r>
    <x v="1"/>
    <x v="77"/>
  </r>
  <r>
    <x v="2"/>
    <x v="3"/>
  </r>
  <r>
    <x v="0"/>
    <x v="76"/>
  </r>
  <r>
    <x v="0"/>
    <x v="5"/>
  </r>
  <r>
    <x v="0"/>
    <x v="3"/>
  </r>
  <r>
    <x v="0"/>
    <x v="10"/>
  </r>
  <r>
    <x v="0"/>
    <x v="3"/>
  </r>
  <r>
    <x v="0"/>
    <x v="19"/>
  </r>
  <r>
    <x v="0"/>
    <x v="38"/>
  </r>
  <r>
    <x v="0"/>
    <x v="9"/>
  </r>
  <r>
    <x v="0"/>
    <x v="4"/>
  </r>
  <r>
    <x v="0"/>
    <x v="24"/>
  </r>
  <r>
    <x v="0"/>
    <x v="5"/>
  </r>
  <r>
    <x v="0"/>
    <x v="47"/>
  </r>
  <r>
    <x v="0"/>
    <x v="52"/>
  </r>
  <r>
    <x v="1"/>
    <x v="31"/>
  </r>
  <r>
    <x v="1"/>
    <x v="10"/>
  </r>
  <r>
    <x v="1"/>
    <x v="3"/>
  </r>
  <r>
    <x v="0"/>
    <x v="12"/>
  </r>
  <r>
    <x v="0"/>
    <x v="76"/>
  </r>
  <r>
    <x v="0"/>
    <x v="3"/>
  </r>
  <r>
    <x v="0"/>
    <x v="24"/>
  </r>
  <r>
    <x v="0"/>
    <x v="53"/>
  </r>
  <r>
    <x v="0"/>
    <x v="3"/>
  </r>
  <r>
    <x v="2"/>
    <x v="3"/>
  </r>
  <r>
    <x v="1"/>
    <x v="36"/>
  </r>
  <r>
    <x v="2"/>
    <x v="1"/>
  </r>
  <r>
    <x v="2"/>
    <x v="51"/>
  </r>
  <r>
    <x v="0"/>
    <x v="3"/>
  </r>
  <r>
    <x v="0"/>
    <x v="24"/>
  </r>
  <r>
    <x v="0"/>
    <x v="49"/>
  </r>
  <r>
    <x v="0"/>
    <x v="76"/>
  </r>
  <r>
    <x v="0"/>
    <x v="72"/>
  </r>
  <r>
    <x v="0"/>
    <x v="63"/>
  </r>
  <r>
    <x v="1"/>
    <x v="4"/>
  </r>
  <r>
    <x v="0"/>
    <x v="3"/>
  </r>
  <r>
    <x v="0"/>
    <x v="0"/>
  </r>
  <r>
    <x v="1"/>
    <x v="5"/>
  </r>
  <r>
    <x v="2"/>
    <x v="26"/>
  </r>
  <r>
    <x v="0"/>
    <x v="19"/>
  </r>
  <r>
    <x v="0"/>
    <x v="7"/>
  </r>
  <r>
    <x v="0"/>
    <x v="76"/>
  </r>
  <r>
    <x v="0"/>
    <x v="24"/>
  </r>
  <r>
    <x v="0"/>
    <x v="3"/>
  </r>
  <r>
    <x v="0"/>
    <x v="76"/>
  </r>
  <r>
    <x v="0"/>
    <x v="51"/>
  </r>
  <r>
    <x v="0"/>
    <x v="81"/>
  </r>
  <r>
    <x v="0"/>
    <x v="51"/>
  </r>
  <r>
    <x v="2"/>
    <x v="7"/>
  </r>
  <r>
    <x v="0"/>
    <x v="19"/>
  </r>
  <r>
    <x v="0"/>
    <x v="19"/>
  </r>
  <r>
    <x v="0"/>
    <x v="36"/>
  </r>
  <r>
    <x v="0"/>
    <x v="38"/>
  </r>
  <r>
    <x v="0"/>
    <x v="16"/>
  </r>
  <r>
    <x v="1"/>
    <x v="77"/>
  </r>
  <r>
    <x v="0"/>
    <x v="10"/>
  </r>
  <r>
    <x v="0"/>
    <x v="36"/>
  </r>
  <r>
    <x v="2"/>
    <x v="36"/>
  </r>
  <r>
    <x v="0"/>
    <x v="4"/>
  </r>
  <r>
    <x v="2"/>
    <x v="49"/>
  </r>
  <r>
    <x v="0"/>
    <x v="3"/>
  </r>
  <r>
    <x v="0"/>
    <x v="3"/>
  </r>
  <r>
    <x v="0"/>
    <x v="3"/>
  </r>
  <r>
    <x v="1"/>
    <x v="3"/>
  </r>
  <r>
    <x v="2"/>
    <x v="44"/>
  </r>
  <r>
    <x v="0"/>
    <x v="9"/>
  </r>
  <r>
    <x v="0"/>
    <x v="16"/>
  </r>
  <r>
    <x v="2"/>
    <x v="4"/>
  </r>
  <r>
    <x v="0"/>
    <x v="3"/>
  </r>
  <r>
    <x v="1"/>
    <x v="24"/>
  </r>
  <r>
    <x v="0"/>
    <x v="36"/>
  </r>
  <r>
    <x v="0"/>
    <x v="30"/>
  </r>
  <r>
    <x v="0"/>
    <x v="19"/>
  </r>
  <r>
    <x v="0"/>
    <x v="51"/>
  </r>
  <r>
    <x v="0"/>
    <x v="10"/>
  </r>
  <r>
    <x v="0"/>
    <x v="10"/>
  </r>
  <r>
    <x v="0"/>
    <x v="77"/>
  </r>
  <r>
    <x v="0"/>
    <x v="39"/>
  </r>
  <r>
    <x v="0"/>
    <x v="4"/>
  </r>
  <r>
    <x v="0"/>
    <x v="50"/>
  </r>
  <r>
    <x v="0"/>
    <x v="10"/>
  </r>
  <r>
    <x v="0"/>
    <x v="7"/>
  </r>
  <r>
    <x v="0"/>
    <x v="8"/>
  </r>
  <r>
    <x v="1"/>
    <x v="82"/>
  </r>
  <r>
    <x v="0"/>
    <x v="50"/>
  </r>
  <r>
    <x v="1"/>
    <x v="46"/>
  </r>
  <r>
    <x v="0"/>
    <x v="17"/>
  </r>
  <r>
    <x v="1"/>
    <x v="16"/>
  </r>
  <r>
    <x v="0"/>
    <x v="19"/>
  </r>
  <r>
    <x v="0"/>
    <x v="3"/>
  </r>
  <r>
    <x v="0"/>
    <x v="10"/>
  </r>
  <r>
    <x v="0"/>
    <x v="5"/>
  </r>
  <r>
    <x v="0"/>
    <x v="19"/>
  </r>
  <r>
    <x v="0"/>
    <x v="24"/>
  </r>
  <r>
    <x v="0"/>
    <x v="4"/>
  </r>
  <r>
    <x v="0"/>
    <x v="36"/>
  </r>
  <r>
    <x v="0"/>
    <x v="19"/>
  </r>
  <r>
    <x v="0"/>
    <x v="9"/>
  </r>
  <r>
    <x v="2"/>
    <x v="19"/>
  </r>
  <r>
    <x v="0"/>
    <x v="19"/>
  </r>
  <r>
    <x v="0"/>
    <x v="5"/>
  </r>
  <r>
    <x v="0"/>
    <x v="5"/>
  </r>
  <r>
    <x v="0"/>
    <x v="12"/>
  </r>
  <r>
    <x v="0"/>
    <x v="19"/>
  </r>
  <r>
    <x v="0"/>
    <x v="51"/>
  </r>
  <r>
    <x v="0"/>
    <x v="52"/>
  </r>
  <r>
    <x v="0"/>
    <x v="52"/>
  </r>
  <r>
    <x v="1"/>
    <x v="61"/>
  </r>
  <r>
    <x v="1"/>
    <x v="83"/>
  </r>
  <r>
    <x v="0"/>
    <x v="5"/>
  </r>
  <r>
    <x v="0"/>
    <x v="6"/>
  </r>
  <r>
    <x v="0"/>
    <x v="6"/>
  </r>
  <r>
    <x v="0"/>
    <x v="84"/>
  </r>
  <r>
    <x v="0"/>
    <x v="19"/>
  </r>
  <r>
    <x v="0"/>
    <x v="12"/>
  </r>
  <r>
    <x v="0"/>
    <x v="76"/>
  </r>
  <r>
    <x v="0"/>
    <x v="24"/>
  </r>
  <r>
    <x v="0"/>
    <x v="10"/>
  </r>
  <r>
    <x v="0"/>
    <x v="16"/>
  </r>
  <r>
    <x v="0"/>
    <x v="11"/>
  </r>
  <r>
    <x v="0"/>
    <x v="10"/>
  </r>
  <r>
    <x v="0"/>
    <x v="19"/>
  </r>
  <r>
    <x v="0"/>
    <x v="19"/>
  </r>
  <r>
    <x v="0"/>
    <x v="76"/>
  </r>
  <r>
    <x v="1"/>
    <x v="40"/>
  </r>
  <r>
    <x v="0"/>
    <x v="23"/>
  </r>
  <r>
    <x v="0"/>
    <x v="9"/>
  </r>
  <r>
    <x v="1"/>
    <x v="51"/>
  </r>
  <r>
    <x v="0"/>
    <x v="78"/>
  </r>
  <r>
    <x v="0"/>
    <x v="51"/>
  </r>
  <r>
    <x v="0"/>
    <x v="8"/>
  </r>
  <r>
    <x v="0"/>
    <x v="36"/>
  </r>
  <r>
    <x v="0"/>
    <x v="19"/>
  </r>
  <r>
    <x v="0"/>
    <x v="12"/>
  </r>
  <r>
    <x v="2"/>
    <x v="3"/>
  </r>
  <r>
    <x v="0"/>
    <x v="10"/>
  </r>
  <r>
    <x v="0"/>
    <x v="10"/>
  </r>
  <r>
    <x v="0"/>
    <x v="24"/>
  </r>
  <r>
    <x v="0"/>
    <x v="77"/>
  </r>
  <r>
    <x v="0"/>
    <x v="24"/>
  </r>
  <r>
    <x v="0"/>
    <x v="4"/>
  </r>
  <r>
    <x v="0"/>
    <x v="7"/>
  </r>
  <r>
    <x v="0"/>
    <x v="39"/>
  </r>
  <r>
    <x v="0"/>
    <x v="37"/>
  </r>
  <r>
    <x v="0"/>
    <x v="10"/>
  </r>
  <r>
    <x v="1"/>
    <x v="0"/>
  </r>
  <r>
    <x v="0"/>
    <x v="36"/>
  </r>
  <r>
    <x v="0"/>
    <x v="16"/>
  </r>
  <r>
    <x v="0"/>
    <x v="3"/>
  </r>
  <r>
    <x v="0"/>
    <x v="39"/>
  </r>
  <r>
    <x v="0"/>
    <x v="51"/>
  </r>
  <r>
    <x v="0"/>
    <x v="4"/>
  </r>
  <r>
    <x v="0"/>
    <x v="7"/>
  </r>
  <r>
    <x v="0"/>
    <x v="4"/>
  </r>
  <r>
    <x v="0"/>
    <x v="14"/>
  </r>
  <r>
    <x v="2"/>
    <x v="14"/>
  </r>
  <r>
    <x v="0"/>
    <x v="12"/>
  </r>
  <r>
    <x v="0"/>
    <x v="6"/>
  </r>
  <r>
    <x v="0"/>
    <x v="8"/>
  </r>
  <r>
    <x v="0"/>
    <x v="3"/>
  </r>
  <r>
    <x v="0"/>
    <x v="19"/>
  </r>
  <r>
    <x v="0"/>
    <x v="12"/>
  </r>
  <r>
    <x v="0"/>
    <x v="51"/>
  </r>
  <r>
    <x v="0"/>
    <x v="4"/>
  </r>
  <r>
    <x v="1"/>
    <x v="7"/>
  </r>
  <r>
    <x v="1"/>
    <x v="19"/>
  </r>
  <r>
    <x v="0"/>
    <x v="24"/>
  </r>
  <r>
    <x v="0"/>
    <x v="10"/>
  </r>
  <r>
    <x v="0"/>
    <x v="36"/>
  </r>
  <r>
    <x v="0"/>
    <x v="5"/>
  </r>
  <r>
    <x v="0"/>
    <x v="0"/>
  </r>
  <r>
    <x v="0"/>
    <x v="24"/>
  </r>
  <r>
    <x v="1"/>
    <x v="10"/>
  </r>
  <r>
    <x v="2"/>
    <x v="39"/>
  </r>
  <r>
    <x v="0"/>
    <x v="24"/>
  </r>
  <r>
    <x v="0"/>
    <x v="9"/>
  </r>
  <r>
    <x v="0"/>
    <x v="9"/>
  </r>
  <r>
    <x v="0"/>
    <x v="37"/>
  </r>
  <r>
    <x v="0"/>
    <x v="76"/>
  </r>
  <r>
    <x v="0"/>
    <x v="46"/>
  </r>
  <r>
    <x v="0"/>
    <x v="52"/>
  </r>
  <r>
    <x v="1"/>
    <x v="54"/>
  </r>
  <r>
    <x v="1"/>
    <x v="64"/>
  </r>
  <r>
    <x v="1"/>
    <x v="74"/>
  </r>
  <r>
    <x v="1"/>
    <x v="54"/>
  </r>
  <r>
    <x v="1"/>
    <x v="80"/>
  </r>
  <r>
    <x v="0"/>
    <x v="37"/>
  </r>
  <r>
    <x v="0"/>
    <x v="24"/>
  </r>
  <r>
    <x v="0"/>
    <x v="7"/>
  </r>
  <r>
    <x v="0"/>
    <x v="77"/>
  </r>
  <r>
    <x v="0"/>
    <x v="24"/>
  </r>
  <r>
    <x v="0"/>
    <x v="38"/>
  </r>
  <r>
    <x v="0"/>
    <x v="8"/>
  </r>
  <r>
    <x v="0"/>
    <x v="1"/>
  </r>
  <r>
    <x v="0"/>
    <x v="8"/>
  </r>
  <r>
    <x v="0"/>
    <x v="76"/>
  </r>
  <r>
    <x v="0"/>
    <x v="25"/>
  </r>
  <r>
    <x v="0"/>
    <x v="6"/>
  </r>
  <r>
    <x v="0"/>
    <x v="37"/>
  </r>
  <r>
    <x v="0"/>
    <x v="40"/>
  </r>
  <r>
    <x v="1"/>
    <x v="9"/>
  </r>
  <r>
    <x v="0"/>
    <x v="37"/>
  </r>
  <r>
    <x v="0"/>
    <x v="15"/>
  </r>
  <r>
    <x v="0"/>
    <x v="5"/>
  </r>
  <r>
    <x v="0"/>
    <x v="23"/>
  </r>
  <r>
    <x v="0"/>
    <x v="8"/>
  </r>
  <r>
    <x v="0"/>
    <x v="13"/>
  </r>
  <r>
    <x v="0"/>
    <x v="5"/>
  </r>
  <r>
    <x v="0"/>
    <x v="81"/>
  </r>
  <r>
    <x v="0"/>
    <x v="59"/>
  </r>
  <r>
    <x v="0"/>
    <x v="49"/>
  </r>
  <r>
    <x v="0"/>
    <x v="19"/>
  </r>
  <r>
    <x v="0"/>
    <x v="43"/>
  </r>
  <r>
    <x v="0"/>
    <x v="24"/>
  </r>
  <r>
    <x v="0"/>
    <x v="6"/>
  </r>
  <r>
    <x v="0"/>
    <x v="37"/>
  </r>
  <r>
    <x v="0"/>
    <x v="40"/>
  </r>
  <r>
    <x v="0"/>
    <x v="82"/>
  </r>
  <r>
    <x v="0"/>
    <x v="62"/>
  </r>
  <r>
    <x v="0"/>
    <x v="36"/>
  </r>
  <r>
    <x v="0"/>
    <x v="38"/>
  </r>
  <r>
    <x v="0"/>
    <x v="18"/>
  </r>
  <r>
    <x v="0"/>
    <x v="76"/>
  </r>
  <r>
    <x v="0"/>
    <x v="6"/>
  </r>
  <r>
    <x v="0"/>
    <x v="49"/>
  </r>
  <r>
    <x v="0"/>
    <x v="19"/>
  </r>
  <r>
    <x v="0"/>
    <x v="36"/>
  </r>
  <r>
    <x v="0"/>
    <x v="24"/>
  </r>
  <r>
    <x v="0"/>
    <x v="64"/>
  </r>
  <r>
    <x v="2"/>
    <x v="29"/>
  </r>
  <r>
    <x v="0"/>
    <x v="43"/>
  </r>
  <r>
    <x v="0"/>
    <x v="49"/>
  </r>
  <r>
    <x v="0"/>
    <x v="24"/>
  </r>
  <r>
    <x v="0"/>
    <x v="51"/>
  </r>
  <r>
    <x v="0"/>
    <x v="2"/>
  </r>
  <r>
    <x v="0"/>
    <x v="51"/>
  </r>
  <r>
    <x v="0"/>
    <x v="85"/>
  </r>
  <r>
    <x v="0"/>
    <x v="6"/>
  </r>
  <r>
    <x v="0"/>
    <x v="4"/>
  </r>
  <r>
    <x v="0"/>
    <x v="1"/>
  </r>
  <r>
    <x v="0"/>
    <x v="23"/>
  </r>
  <r>
    <x v="0"/>
    <x v="61"/>
  </r>
  <r>
    <x v="0"/>
    <x v="35"/>
  </r>
  <r>
    <x v="1"/>
    <x v="41"/>
  </r>
  <r>
    <x v="0"/>
    <x v="0"/>
  </r>
  <r>
    <x v="0"/>
    <x v="49"/>
  </r>
  <r>
    <x v="1"/>
    <x v="65"/>
  </r>
  <r>
    <x v="1"/>
    <x v="14"/>
  </r>
  <r>
    <x v="1"/>
    <x v="19"/>
  </r>
  <r>
    <x v="0"/>
    <x v="14"/>
  </r>
  <r>
    <x v="0"/>
    <x v="24"/>
  </r>
  <r>
    <x v="0"/>
    <x v="22"/>
  </r>
  <r>
    <x v="0"/>
    <x v="1"/>
  </r>
  <r>
    <x v="0"/>
    <x v="59"/>
  </r>
  <r>
    <x v="0"/>
    <x v="16"/>
  </r>
  <r>
    <x v="0"/>
    <x v="86"/>
  </r>
  <r>
    <x v="0"/>
    <x v="20"/>
  </r>
  <r>
    <x v="0"/>
    <x v="4"/>
  </r>
  <r>
    <x v="0"/>
    <x v="1"/>
  </r>
  <r>
    <x v="0"/>
    <x v="5"/>
  </r>
  <r>
    <x v="0"/>
    <x v="14"/>
  </r>
  <r>
    <x v="0"/>
    <x v="36"/>
  </r>
  <r>
    <x v="0"/>
    <x v="51"/>
  </r>
  <r>
    <x v="1"/>
    <x v="59"/>
  </r>
  <r>
    <x v="0"/>
    <x v="24"/>
  </r>
  <r>
    <x v="0"/>
    <x v="11"/>
  </r>
  <r>
    <x v="0"/>
    <x v="40"/>
  </r>
  <r>
    <x v="0"/>
    <x v="81"/>
  </r>
  <r>
    <x v="0"/>
    <x v="30"/>
  </r>
  <r>
    <x v="0"/>
    <x v="39"/>
  </r>
  <r>
    <x v="1"/>
    <x v="6"/>
  </r>
  <r>
    <x v="0"/>
    <x v="46"/>
  </r>
  <r>
    <x v="1"/>
    <x v="74"/>
  </r>
  <r>
    <x v="0"/>
    <x v="35"/>
  </r>
  <r>
    <x v="0"/>
    <x v="78"/>
  </r>
  <r>
    <x v="0"/>
    <x v="37"/>
  </r>
  <r>
    <x v="0"/>
    <x v="81"/>
  </r>
  <r>
    <x v="1"/>
    <x v="1"/>
  </r>
  <r>
    <x v="0"/>
    <x v="44"/>
  </r>
  <r>
    <x v="0"/>
    <x v="1"/>
  </r>
  <r>
    <x v="0"/>
    <x v="9"/>
  </r>
  <r>
    <x v="0"/>
    <x v="51"/>
  </r>
  <r>
    <x v="0"/>
    <x v="18"/>
  </r>
  <r>
    <x v="2"/>
    <x v="44"/>
  </r>
  <r>
    <x v="0"/>
    <x v="72"/>
  </r>
  <r>
    <x v="0"/>
    <x v="24"/>
  </r>
  <r>
    <x v="0"/>
    <x v="84"/>
  </r>
  <r>
    <x v="0"/>
    <x v="29"/>
  </r>
  <r>
    <x v="0"/>
    <x v="87"/>
  </r>
  <r>
    <x v="0"/>
    <x v="65"/>
  </r>
  <r>
    <x v="0"/>
    <x v="40"/>
  </r>
  <r>
    <x v="0"/>
    <x v="81"/>
  </r>
  <r>
    <x v="0"/>
    <x v="3"/>
  </r>
  <r>
    <x v="0"/>
    <x v="3"/>
  </r>
  <r>
    <x v="1"/>
    <x v="88"/>
  </r>
  <r>
    <x v="1"/>
    <x v="65"/>
  </r>
  <r>
    <x v="0"/>
    <x v="73"/>
  </r>
  <r>
    <x v="0"/>
    <x v="5"/>
  </r>
  <r>
    <x v="0"/>
    <x v="76"/>
  </r>
  <r>
    <x v="0"/>
    <x v="12"/>
  </r>
  <r>
    <x v="0"/>
    <x v="32"/>
  </r>
  <r>
    <x v="0"/>
    <x v="77"/>
  </r>
  <r>
    <x v="1"/>
    <x v="9"/>
  </r>
  <r>
    <x v="2"/>
    <x v="76"/>
  </r>
  <r>
    <x v="0"/>
    <x v="4"/>
  </r>
  <r>
    <x v="0"/>
    <x v="19"/>
  </r>
  <r>
    <x v="0"/>
    <x v="30"/>
  </r>
  <r>
    <x v="0"/>
    <x v="7"/>
  </r>
  <r>
    <x v="2"/>
    <x v="49"/>
  </r>
  <r>
    <x v="0"/>
    <x v="65"/>
  </r>
  <r>
    <x v="0"/>
    <x v="52"/>
  </r>
  <r>
    <x v="0"/>
    <x v="51"/>
  </r>
  <r>
    <x v="0"/>
    <x v="73"/>
  </r>
  <r>
    <x v="1"/>
    <x v="36"/>
  </r>
  <r>
    <x v="0"/>
    <x v="36"/>
  </r>
  <r>
    <x v="0"/>
    <x v="65"/>
  </r>
  <r>
    <x v="0"/>
    <x v="5"/>
  </r>
  <r>
    <x v="0"/>
    <x v="5"/>
  </r>
  <r>
    <x v="0"/>
    <x v="0"/>
  </r>
  <r>
    <x v="0"/>
    <x v="32"/>
  </r>
  <r>
    <x v="0"/>
    <x v="38"/>
  </r>
  <r>
    <x v="1"/>
    <x v="3"/>
  </r>
  <r>
    <x v="2"/>
    <x v="10"/>
  </r>
  <r>
    <x v="0"/>
    <x v="10"/>
  </r>
  <r>
    <x v="0"/>
    <x v="62"/>
  </r>
  <r>
    <x v="0"/>
    <x v="38"/>
  </r>
  <r>
    <x v="0"/>
    <x v="14"/>
  </r>
  <r>
    <x v="2"/>
    <x v="37"/>
  </r>
  <r>
    <x v="0"/>
    <x v="24"/>
  </r>
  <r>
    <x v="0"/>
    <x v="38"/>
  </r>
  <r>
    <x v="0"/>
    <x v="65"/>
  </r>
  <r>
    <x v="0"/>
    <x v="81"/>
  </r>
  <r>
    <x v="0"/>
    <x v="24"/>
  </r>
  <r>
    <x v="0"/>
    <x v="19"/>
  </r>
  <r>
    <x v="0"/>
    <x v="6"/>
  </r>
  <r>
    <x v="0"/>
    <x v="65"/>
  </r>
  <r>
    <x v="0"/>
    <x v="7"/>
  </r>
  <r>
    <x v="0"/>
    <x v="84"/>
  </r>
  <r>
    <x v="0"/>
    <x v="24"/>
  </r>
  <r>
    <x v="0"/>
    <x v="24"/>
  </r>
  <r>
    <x v="0"/>
    <x v="19"/>
  </r>
  <r>
    <x v="1"/>
    <x v="5"/>
  </r>
  <r>
    <x v="0"/>
    <x v="18"/>
  </r>
  <r>
    <x v="1"/>
    <x v="23"/>
  </r>
  <r>
    <x v="0"/>
    <x v="10"/>
  </r>
  <r>
    <x v="0"/>
    <x v="44"/>
  </r>
  <r>
    <x v="0"/>
    <x v="14"/>
  </r>
  <r>
    <x v="0"/>
    <x v="38"/>
  </r>
  <r>
    <x v="0"/>
    <x v="72"/>
  </r>
  <r>
    <x v="0"/>
    <x v="39"/>
  </r>
  <r>
    <x v="0"/>
    <x v="8"/>
  </r>
  <r>
    <x v="0"/>
    <x v="49"/>
  </r>
  <r>
    <x v="0"/>
    <x v="0"/>
  </r>
  <r>
    <x v="0"/>
    <x v="13"/>
  </r>
  <r>
    <x v="0"/>
    <x v="81"/>
  </r>
  <r>
    <x v="0"/>
    <x v="8"/>
  </r>
  <r>
    <x v="0"/>
    <x v="77"/>
  </r>
  <r>
    <x v="0"/>
    <x v="72"/>
  </r>
  <r>
    <x v="0"/>
    <x v="23"/>
  </r>
  <r>
    <x v="0"/>
    <x v="20"/>
  </r>
  <r>
    <x v="1"/>
    <x v="0"/>
  </r>
  <r>
    <x v="1"/>
    <x v="44"/>
  </r>
  <r>
    <x v="2"/>
    <x v="6"/>
  </r>
  <r>
    <x v="0"/>
    <x v="30"/>
  </r>
  <r>
    <x v="0"/>
    <x v="13"/>
  </r>
  <r>
    <x v="0"/>
    <x v="36"/>
  </r>
  <r>
    <x v="0"/>
    <x v="19"/>
  </r>
  <r>
    <x v="0"/>
    <x v="6"/>
  </r>
  <r>
    <x v="0"/>
    <x v="51"/>
  </r>
  <r>
    <x v="1"/>
    <x v="59"/>
  </r>
  <r>
    <x v="0"/>
    <x v="3"/>
  </r>
  <r>
    <x v="0"/>
    <x v="64"/>
  </r>
  <r>
    <x v="0"/>
    <x v="49"/>
  </r>
  <r>
    <x v="0"/>
    <x v="44"/>
  </r>
  <r>
    <x v="0"/>
    <x v="3"/>
  </r>
  <r>
    <x v="0"/>
    <x v="36"/>
  </r>
  <r>
    <x v="0"/>
    <x v="51"/>
  </r>
  <r>
    <x v="2"/>
    <x v="36"/>
  </r>
  <r>
    <x v="2"/>
    <x v="15"/>
  </r>
  <r>
    <x v="0"/>
    <x v="24"/>
  </r>
  <r>
    <x v="0"/>
    <x v="81"/>
  </r>
  <r>
    <x v="0"/>
    <x v="65"/>
  </r>
  <r>
    <x v="0"/>
    <x v="31"/>
  </r>
  <r>
    <x v="0"/>
    <x v="77"/>
  </r>
  <r>
    <x v="1"/>
    <x v="81"/>
  </r>
  <r>
    <x v="1"/>
    <x v="37"/>
  </r>
  <r>
    <x v="2"/>
    <x v="76"/>
  </r>
  <r>
    <x v="0"/>
    <x v="29"/>
  </r>
  <r>
    <x v="0"/>
    <x v="29"/>
  </r>
  <r>
    <x v="0"/>
    <x v="11"/>
  </r>
  <r>
    <x v="0"/>
    <x v="5"/>
  </r>
  <r>
    <x v="0"/>
    <x v="44"/>
  </r>
  <r>
    <x v="0"/>
    <x v="47"/>
  </r>
  <r>
    <x v="0"/>
    <x v="59"/>
  </r>
  <r>
    <x v="0"/>
    <x v="3"/>
  </r>
  <r>
    <x v="0"/>
    <x v="3"/>
  </r>
  <r>
    <x v="2"/>
    <x v="39"/>
  </r>
  <r>
    <x v="0"/>
    <x v="77"/>
  </r>
  <r>
    <x v="0"/>
    <x v="31"/>
  </r>
  <r>
    <x v="1"/>
    <x v="86"/>
  </r>
  <r>
    <x v="0"/>
    <x v="29"/>
  </r>
  <r>
    <x v="0"/>
    <x v="76"/>
  </r>
  <r>
    <x v="0"/>
    <x v="84"/>
  </r>
  <r>
    <x v="0"/>
    <x v="38"/>
  </r>
  <r>
    <x v="0"/>
    <x v="23"/>
  </r>
  <r>
    <x v="0"/>
    <x v="3"/>
  </r>
  <r>
    <x v="0"/>
    <x v="36"/>
  </r>
  <r>
    <x v="0"/>
    <x v="16"/>
  </r>
  <r>
    <x v="0"/>
    <x v="65"/>
  </r>
  <r>
    <x v="1"/>
    <x v="30"/>
  </r>
  <r>
    <x v="1"/>
    <x v="38"/>
  </r>
  <r>
    <x v="1"/>
    <x v="80"/>
  </r>
  <r>
    <x v="1"/>
    <x v="13"/>
  </r>
  <r>
    <x v="0"/>
    <x v="6"/>
  </r>
  <r>
    <x v="1"/>
    <x v="14"/>
  </r>
  <r>
    <x v="1"/>
    <x v="9"/>
  </r>
  <r>
    <x v="0"/>
    <x v="50"/>
  </r>
  <r>
    <x v="0"/>
    <x v="78"/>
  </r>
  <r>
    <x v="0"/>
    <x v="15"/>
  </r>
  <r>
    <x v="0"/>
    <x v="19"/>
  </r>
  <r>
    <x v="0"/>
    <x v="76"/>
  </r>
  <r>
    <x v="0"/>
    <x v="59"/>
  </r>
  <r>
    <x v="0"/>
    <x v="19"/>
  </r>
  <r>
    <x v="0"/>
    <x v="76"/>
  </r>
  <r>
    <x v="0"/>
    <x v="29"/>
  </r>
  <r>
    <x v="0"/>
    <x v="89"/>
  </r>
  <r>
    <x v="1"/>
    <x v="2"/>
  </r>
  <r>
    <x v="0"/>
    <x v="51"/>
  </r>
  <r>
    <x v="0"/>
    <x v="76"/>
  </r>
  <r>
    <x v="0"/>
    <x v="17"/>
  </r>
  <r>
    <x v="1"/>
    <x v="19"/>
  </r>
  <r>
    <x v="1"/>
    <x v="12"/>
  </r>
  <r>
    <x v="2"/>
    <x v="24"/>
  </r>
  <r>
    <x v="0"/>
    <x v="9"/>
  </r>
  <r>
    <x v="0"/>
    <x v="23"/>
  </r>
  <r>
    <x v="0"/>
    <x v="52"/>
  </r>
  <r>
    <x v="0"/>
    <x v="52"/>
  </r>
  <r>
    <x v="2"/>
    <x v="15"/>
  </r>
  <r>
    <x v="0"/>
    <x v="78"/>
  </r>
  <r>
    <x v="2"/>
    <x v="8"/>
  </r>
  <r>
    <x v="0"/>
    <x v="84"/>
  </r>
  <r>
    <x v="0"/>
    <x v="38"/>
  </r>
  <r>
    <x v="0"/>
    <x v="12"/>
  </r>
  <r>
    <x v="0"/>
    <x v="4"/>
  </r>
  <r>
    <x v="0"/>
    <x v="12"/>
  </r>
  <r>
    <x v="0"/>
    <x v="9"/>
  </r>
  <r>
    <x v="0"/>
    <x v="30"/>
  </r>
  <r>
    <x v="0"/>
    <x v="14"/>
  </r>
  <r>
    <x v="1"/>
    <x v="46"/>
  </r>
  <r>
    <x v="0"/>
    <x v="47"/>
  </r>
  <r>
    <x v="0"/>
    <x v="23"/>
  </r>
  <r>
    <x v="0"/>
    <x v="65"/>
  </r>
  <r>
    <x v="0"/>
    <x v="9"/>
  </r>
  <r>
    <x v="0"/>
    <x v="86"/>
  </r>
  <r>
    <x v="1"/>
    <x v="3"/>
  </r>
  <r>
    <x v="0"/>
    <x v="5"/>
  </r>
  <r>
    <x v="0"/>
    <x v="3"/>
  </r>
  <r>
    <x v="0"/>
    <x v="38"/>
  </r>
  <r>
    <x v="0"/>
    <x v="29"/>
  </r>
  <r>
    <x v="2"/>
    <x v="5"/>
  </r>
  <r>
    <x v="0"/>
    <x v="78"/>
  </r>
  <r>
    <x v="0"/>
    <x v="15"/>
  </r>
  <r>
    <x v="2"/>
    <x v="36"/>
  </r>
  <r>
    <x v="0"/>
    <x v="13"/>
  </r>
  <r>
    <x v="0"/>
    <x v="14"/>
  </r>
  <r>
    <x v="0"/>
    <x v="55"/>
  </r>
  <r>
    <x v="1"/>
    <x v="17"/>
  </r>
  <r>
    <x v="0"/>
    <x v="59"/>
  </r>
  <r>
    <x v="0"/>
    <x v="19"/>
  </r>
  <r>
    <x v="0"/>
    <x v="38"/>
  </r>
  <r>
    <x v="0"/>
    <x v="3"/>
  </r>
  <r>
    <x v="0"/>
    <x v="10"/>
  </r>
  <r>
    <x v="0"/>
    <x v="55"/>
  </r>
  <r>
    <x v="0"/>
    <x v="46"/>
  </r>
  <r>
    <x v="0"/>
    <x v="43"/>
  </r>
  <r>
    <x v="1"/>
    <x v="47"/>
  </r>
  <r>
    <x v="0"/>
    <x v="10"/>
  </r>
  <r>
    <x v="0"/>
    <x v="16"/>
  </r>
  <r>
    <x v="2"/>
    <x v="8"/>
  </r>
  <r>
    <x v="0"/>
    <x v="78"/>
  </r>
  <r>
    <x v="0"/>
    <x v="29"/>
  </r>
  <r>
    <x v="0"/>
    <x v="77"/>
  </r>
  <r>
    <x v="0"/>
    <x v="76"/>
  </r>
  <r>
    <x v="0"/>
    <x v="88"/>
  </r>
  <r>
    <x v="0"/>
    <x v="44"/>
  </r>
  <r>
    <x v="1"/>
    <x v="65"/>
  </r>
  <r>
    <x v="0"/>
    <x v="81"/>
  </r>
  <r>
    <x v="0"/>
    <x v="73"/>
  </r>
  <r>
    <x v="0"/>
    <x v="47"/>
  </r>
  <r>
    <x v="0"/>
    <x v="29"/>
  </r>
  <r>
    <x v="0"/>
    <x v="16"/>
  </r>
  <r>
    <x v="0"/>
    <x v="19"/>
  </r>
  <r>
    <x v="0"/>
    <x v="51"/>
  </r>
  <r>
    <x v="0"/>
    <x v="5"/>
  </r>
  <r>
    <x v="0"/>
    <x v="78"/>
  </r>
  <r>
    <x v="0"/>
    <x v="29"/>
  </r>
  <r>
    <x v="0"/>
    <x v="16"/>
  </r>
  <r>
    <x v="0"/>
    <x v="61"/>
  </r>
  <r>
    <x v="0"/>
    <x v="6"/>
  </r>
  <r>
    <x v="0"/>
    <x v="53"/>
  </r>
  <r>
    <x v="0"/>
    <x v="73"/>
  </r>
  <r>
    <x v="0"/>
    <x v="90"/>
  </r>
  <r>
    <x v="0"/>
    <x v="86"/>
  </r>
  <r>
    <x v="0"/>
    <x v="52"/>
  </r>
  <r>
    <x v="0"/>
    <x v="81"/>
  </r>
  <r>
    <x v="1"/>
    <x v="9"/>
  </r>
  <r>
    <x v="0"/>
    <x v="24"/>
  </r>
  <r>
    <x v="1"/>
    <x v="65"/>
  </r>
  <r>
    <x v="0"/>
    <x v="15"/>
  </r>
  <r>
    <x v="0"/>
    <x v="80"/>
  </r>
  <r>
    <x v="0"/>
    <x v="88"/>
  </r>
  <r>
    <x v="0"/>
    <x v="83"/>
  </r>
  <r>
    <x v="0"/>
    <x v="65"/>
  </r>
  <r>
    <x v="0"/>
    <x v="59"/>
  </r>
  <r>
    <x v="1"/>
    <x v="52"/>
  </r>
  <r>
    <x v="0"/>
    <x v="29"/>
  </r>
  <r>
    <x v="0"/>
    <x v="16"/>
  </r>
  <r>
    <x v="0"/>
    <x v="17"/>
  </r>
  <r>
    <x v="1"/>
    <x v="3"/>
  </r>
  <r>
    <x v="0"/>
    <x v="28"/>
  </r>
  <r>
    <x v="0"/>
    <x v="55"/>
  </r>
  <r>
    <x v="0"/>
    <x v="17"/>
  </r>
  <r>
    <x v="0"/>
    <x v="17"/>
  </r>
  <r>
    <x v="1"/>
    <x v="24"/>
  </r>
  <r>
    <x v="0"/>
    <x v="49"/>
  </r>
  <r>
    <x v="0"/>
    <x v="28"/>
  </r>
  <r>
    <x v="0"/>
    <x v="88"/>
  </r>
  <r>
    <x v="0"/>
    <x v="10"/>
  </r>
  <r>
    <x v="0"/>
    <x v="23"/>
  </r>
  <r>
    <x v="0"/>
    <x v="91"/>
  </r>
  <r>
    <x v="0"/>
    <x v="84"/>
  </r>
  <r>
    <x v="1"/>
    <x v="47"/>
  </r>
  <r>
    <x v="0"/>
    <x v="47"/>
  </r>
  <r>
    <x v="1"/>
    <x v="5"/>
  </r>
  <r>
    <x v="0"/>
    <x v="52"/>
  </r>
  <r>
    <x v="0"/>
    <x v="15"/>
  </r>
  <r>
    <x v="0"/>
    <x v="65"/>
  </r>
  <r>
    <x v="0"/>
    <x v="86"/>
  </r>
  <r>
    <x v="0"/>
    <x v="73"/>
  </r>
  <r>
    <x v="0"/>
    <x v="44"/>
  </r>
  <r>
    <x v="0"/>
    <x v="39"/>
  </r>
  <r>
    <x v="0"/>
    <x v="36"/>
  </r>
  <r>
    <x v="0"/>
    <x v="73"/>
  </r>
  <r>
    <x v="0"/>
    <x v="88"/>
  </r>
  <r>
    <x v="0"/>
    <x v="6"/>
  </r>
  <r>
    <x v="1"/>
    <x v="15"/>
  </r>
  <r>
    <x v="1"/>
    <x v="24"/>
  </r>
  <r>
    <x v="0"/>
    <x v="47"/>
  </r>
  <r>
    <x v="0"/>
    <x v="39"/>
  </r>
  <r>
    <x v="1"/>
    <x v="65"/>
  </r>
  <r>
    <x v="1"/>
    <x v="67"/>
  </r>
  <r>
    <x v="0"/>
    <x v="20"/>
  </r>
  <r>
    <x v="0"/>
    <x v="23"/>
  </r>
  <r>
    <x v="2"/>
    <x v="84"/>
  </r>
  <r>
    <x v="0"/>
    <x v="3"/>
  </r>
  <r>
    <x v="2"/>
    <x v="81"/>
  </r>
  <r>
    <x v="2"/>
    <x v="19"/>
  </r>
  <r>
    <x v="0"/>
    <x v="9"/>
  </r>
  <r>
    <x v="0"/>
    <x v="38"/>
  </r>
  <r>
    <x v="1"/>
    <x v="51"/>
  </r>
  <r>
    <x v="1"/>
    <x v="19"/>
  </r>
  <r>
    <x v="2"/>
    <x v="47"/>
  </r>
  <r>
    <x v="1"/>
    <x v="22"/>
  </r>
  <r>
    <x v="1"/>
    <x v="46"/>
  </r>
  <r>
    <x v="2"/>
    <x v="29"/>
  </r>
  <r>
    <x v="2"/>
    <x v="50"/>
  </r>
  <r>
    <x v="0"/>
    <x v="24"/>
  </r>
  <r>
    <x v="2"/>
    <x v="66"/>
  </r>
  <r>
    <x v="0"/>
    <x v="25"/>
  </r>
  <r>
    <x v="0"/>
    <x v="46"/>
  </r>
  <r>
    <x v="1"/>
    <x v="73"/>
  </r>
  <r>
    <x v="1"/>
    <x v="31"/>
  </r>
  <r>
    <x v="0"/>
    <x v="38"/>
  </r>
  <r>
    <x v="0"/>
    <x v="81"/>
  </r>
  <r>
    <x v="2"/>
    <x v="29"/>
  </r>
  <r>
    <x v="0"/>
    <x v="24"/>
  </r>
  <r>
    <x v="0"/>
    <x v="5"/>
  </r>
  <r>
    <x v="2"/>
    <x v="49"/>
  </r>
  <r>
    <x v="0"/>
    <x v="42"/>
  </r>
  <r>
    <x v="0"/>
    <x v="92"/>
  </r>
  <r>
    <x v="0"/>
    <x v="47"/>
  </r>
  <r>
    <x v="1"/>
    <x v="11"/>
  </r>
  <r>
    <x v="2"/>
    <x v="15"/>
  </r>
  <r>
    <x v="1"/>
    <x v="36"/>
  </r>
  <r>
    <x v="2"/>
    <x v="12"/>
  </r>
  <r>
    <x v="1"/>
    <x v="86"/>
  </r>
  <r>
    <x v="0"/>
    <x v="93"/>
  </r>
  <r>
    <x v="1"/>
    <x v="43"/>
  </r>
  <r>
    <x v="2"/>
    <x v="15"/>
  </r>
  <r>
    <x v="1"/>
    <x v="79"/>
  </r>
  <r>
    <x v="1"/>
    <x v="54"/>
  </r>
  <r>
    <x v="1"/>
    <x v="65"/>
  </r>
  <r>
    <x v="2"/>
    <x v="7"/>
  </r>
  <r>
    <x v="1"/>
    <x v="30"/>
  </r>
  <r>
    <x v="0"/>
    <x v="24"/>
  </r>
  <r>
    <x v="0"/>
    <x v="29"/>
  </r>
  <r>
    <x v="1"/>
    <x v="10"/>
  </r>
  <r>
    <x v="0"/>
    <x v="84"/>
  </r>
  <r>
    <x v="0"/>
    <x v="86"/>
  </r>
  <r>
    <x v="1"/>
    <x v="52"/>
  </r>
  <r>
    <x v="1"/>
    <x v="23"/>
  </r>
  <r>
    <x v="1"/>
    <x v="5"/>
  </r>
  <r>
    <x v="0"/>
    <x v="29"/>
  </r>
  <r>
    <x v="1"/>
    <x v="24"/>
  </r>
  <r>
    <x v="0"/>
    <x v="88"/>
  </r>
  <r>
    <x v="1"/>
    <x v="86"/>
  </r>
  <r>
    <x v="1"/>
    <x v="54"/>
  </r>
  <r>
    <x v="1"/>
    <x v="74"/>
  </r>
  <r>
    <x v="2"/>
    <x v="46"/>
  </r>
  <r>
    <x v="0"/>
    <x v="52"/>
  </r>
  <r>
    <x v="2"/>
    <x v="77"/>
  </r>
  <r>
    <x v="0"/>
    <x v="65"/>
  </r>
  <r>
    <x v="2"/>
    <x v="17"/>
  </r>
  <r>
    <x v="1"/>
    <x v="44"/>
  </r>
  <r>
    <x v="2"/>
    <x v="37"/>
  </r>
  <r>
    <x v="1"/>
    <x v="74"/>
  </r>
  <r>
    <x v="2"/>
    <x v="6"/>
  </r>
  <r>
    <x v="1"/>
    <x v="81"/>
  </r>
  <r>
    <x v="1"/>
    <x v="59"/>
  </r>
  <r>
    <x v="1"/>
    <x v="94"/>
  </r>
  <r>
    <x v="1"/>
    <x v="95"/>
  </r>
  <r>
    <x v="1"/>
    <x v="28"/>
  </r>
  <r>
    <x v="2"/>
    <x v="80"/>
  </r>
  <r>
    <x v="1"/>
    <x v="30"/>
  </r>
  <r>
    <x v="0"/>
    <x v="29"/>
  </r>
  <r>
    <x v="0"/>
    <x v="15"/>
  </r>
  <r>
    <x v="1"/>
    <x v="23"/>
  </r>
  <r>
    <x v="0"/>
    <x v="76"/>
  </r>
  <r>
    <x v="0"/>
    <x v="88"/>
  </r>
  <r>
    <x v="0"/>
    <x v="15"/>
  </r>
  <r>
    <x v="0"/>
    <x v="16"/>
  </r>
  <r>
    <x v="0"/>
    <x v="46"/>
  </r>
  <r>
    <x v="1"/>
    <x v="54"/>
  </r>
  <r>
    <x v="2"/>
    <x v="90"/>
  </r>
  <r>
    <x v="0"/>
    <x v="67"/>
  </r>
  <r>
    <x v="0"/>
    <x v="78"/>
  </r>
  <r>
    <x v="2"/>
    <x v="23"/>
  </r>
  <r>
    <x v="1"/>
    <x v="78"/>
  </r>
  <r>
    <x v="2"/>
    <x v="44"/>
  </r>
  <r>
    <x v="1"/>
    <x v="96"/>
  </r>
  <r>
    <x v="2"/>
    <x v="23"/>
  </r>
  <r>
    <x v="1"/>
    <x v="46"/>
  </r>
  <r>
    <x v="1"/>
    <x v="54"/>
  </r>
  <r>
    <x v="0"/>
    <x v="44"/>
  </r>
  <r>
    <x v="1"/>
    <x v="78"/>
  </r>
  <r>
    <x v="1"/>
    <x v="91"/>
  </r>
  <r>
    <x v="1"/>
    <x v="97"/>
  </r>
  <r>
    <x v="1"/>
    <x v="5"/>
  </r>
  <r>
    <x v="1"/>
    <x v="98"/>
  </r>
  <r>
    <x v="1"/>
    <x v="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1">
  <r>
    <x v="0"/>
    <n v="72"/>
  </r>
  <r>
    <x v="0"/>
    <n v="75"/>
  </r>
  <r>
    <x v="0"/>
    <n v="76"/>
  </r>
  <r>
    <x v="1"/>
    <n v="66"/>
  </r>
  <r>
    <x v="1"/>
    <n v="70"/>
  </r>
  <r>
    <x v="0"/>
    <n v="69"/>
  </r>
  <r>
    <x v="1"/>
    <n v="69"/>
  </r>
  <r>
    <x v="1"/>
    <n v="70"/>
  </r>
  <r>
    <x v="1"/>
    <n v="67.5"/>
  </r>
  <r>
    <x v="1"/>
    <n v="72"/>
  </r>
  <r>
    <x v="1"/>
    <n v="73"/>
  </r>
  <r>
    <x v="0"/>
    <n v="72"/>
  </r>
  <r>
    <x v="0"/>
    <n v="73"/>
  </r>
  <r>
    <x v="0"/>
    <n v="70"/>
  </r>
  <r>
    <x v="1"/>
    <n v="72"/>
  </r>
  <r>
    <x v="1"/>
    <n v="74"/>
  </r>
  <r>
    <x v="0"/>
    <n v="68.5"/>
  </r>
  <r>
    <x v="0"/>
    <n v="74"/>
  </r>
  <r>
    <x v="0"/>
    <n v="76"/>
  </r>
  <r>
    <x v="0"/>
    <n v="68"/>
  </r>
  <r>
    <x v="0"/>
    <n v="71.5"/>
  </r>
  <r>
    <x v="0"/>
    <n v="75"/>
  </r>
  <r>
    <x v="1"/>
    <n v="71"/>
  </r>
  <r>
    <x v="1"/>
    <n v="76"/>
  </r>
  <r>
    <x v="1"/>
    <n v="77"/>
  </r>
  <r>
    <x v="1"/>
    <n v="76"/>
  </r>
  <r>
    <x v="0"/>
    <n v="73"/>
  </r>
  <r>
    <x v="0"/>
    <n v="70"/>
  </r>
  <r>
    <x v="0"/>
    <n v="76"/>
  </r>
  <r>
    <x v="0"/>
    <n v="75"/>
  </r>
  <r>
    <x v="0"/>
    <n v="75"/>
  </r>
  <r>
    <x v="0"/>
    <n v="69.5"/>
  </r>
  <r>
    <x v="0"/>
    <n v="73"/>
  </r>
  <r>
    <x v="0"/>
    <n v="70"/>
  </r>
  <r>
    <x v="0"/>
    <n v="62.5"/>
  </r>
  <r>
    <x v="0"/>
    <n v="69"/>
  </r>
  <r>
    <x v="0"/>
    <n v="67.5"/>
  </r>
  <r>
    <x v="0"/>
    <n v="68"/>
  </r>
  <r>
    <x v="0"/>
    <n v="63"/>
  </r>
  <r>
    <x v="0"/>
    <n v="58"/>
  </r>
  <r>
    <x v="0"/>
    <n v="70"/>
  </r>
  <r>
    <x v="2"/>
    <n v="69.5"/>
  </r>
  <r>
    <x v="0"/>
    <n v="69"/>
  </r>
  <r>
    <x v="1"/>
    <n v="77.5"/>
  </r>
  <r>
    <x v="0"/>
    <n v="72"/>
  </r>
  <r>
    <x v="0"/>
    <n v="75"/>
  </r>
  <r>
    <x v="0"/>
    <n v="72"/>
  </r>
  <r>
    <x v="0"/>
    <n v="70"/>
  </r>
  <r>
    <x v="0"/>
    <n v="71"/>
  </r>
  <r>
    <x v="0"/>
    <n v="63"/>
  </r>
  <r>
    <x v="1"/>
    <n v="73"/>
  </r>
  <r>
    <x v="0"/>
    <n v="73"/>
  </r>
  <r>
    <x v="1"/>
    <n v="67.5"/>
  </r>
  <r>
    <x v="1"/>
    <n v="66"/>
  </r>
  <r>
    <x v="1"/>
    <n v="67"/>
  </r>
  <r>
    <x v="0"/>
    <n v="73"/>
  </r>
  <r>
    <x v="0"/>
    <n v="74"/>
  </r>
  <r>
    <x v="0"/>
    <n v="70"/>
  </r>
  <r>
    <x v="0"/>
    <n v="74"/>
  </r>
  <r>
    <x v="1"/>
    <n v="71"/>
  </r>
  <r>
    <x v="1"/>
    <n v="69"/>
  </r>
  <r>
    <x v="1"/>
    <n v="69"/>
  </r>
  <r>
    <x v="1"/>
    <n v="76"/>
  </r>
  <r>
    <x v="0"/>
    <n v="75.5"/>
  </r>
  <r>
    <x v="2"/>
    <n v="76"/>
  </r>
  <r>
    <x v="0"/>
    <n v="68"/>
  </r>
  <r>
    <x v="0"/>
    <n v="71"/>
  </r>
  <r>
    <x v="0"/>
    <n v="67"/>
  </r>
  <r>
    <x v="0"/>
    <n v="73"/>
  </r>
  <r>
    <x v="0"/>
    <n v="69"/>
  </r>
  <r>
    <x v="1"/>
    <n v="81"/>
  </r>
  <r>
    <x v="1"/>
    <n v="76"/>
  </r>
  <r>
    <x v="0"/>
    <n v="71"/>
  </r>
  <r>
    <x v="0"/>
    <n v="74"/>
  </r>
  <r>
    <x v="0"/>
    <n v="68"/>
  </r>
  <r>
    <x v="0"/>
    <n v="68.5"/>
  </r>
  <r>
    <x v="1"/>
    <n v="79"/>
  </r>
  <r>
    <x v="0"/>
    <n v="69"/>
  </r>
  <r>
    <x v="1"/>
    <n v="77"/>
  </r>
  <r>
    <x v="0"/>
    <n v="76"/>
  </r>
  <r>
    <x v="0"/>
    <n v="71"/>
  </r>
  <r>
    <x v="0"/>
    <n v="76"/>
  </r>
  <r>
    <x v="0"/>
    <n v="70"/>
  </r>
  <r>
    <x v="1"/>
    <n v="69"/>
  </r>
  <r>
    <x v="1"/>
    <n v="77.5"/>
  </r>
  <r>
    <x v="0"/>
    <n v="70"/>
  </r>
  <r>
    <x v="1"/>
    <n v="73"/>
  </r>
  <r>
    <x v="0"/>
    <n v="76"/>
  </r>
  <r>
    <x v="0"/>
    <n v="72"/>
  </r>
  <r>
    <x v="2"/>
    <n v="77.5"/>
  </r>
  <r>
    <x v="1"/>
    <n v="76"/>
  </r>
  <r>
    <x v="1"/>
    <n v="77.5"/>
  </r>
  <r>
    <x v="1"/>
    <n v="76"/>
  </r>
  <r>
    <x v="0"/>
    <n v="74"/>
  </r>
  <r>
    <x v="0"/>
    <n v="76"/>
  </r>
  <r>
    <x v="0"/>
    <n v="73"/>
  </r>
  <r>
    <x v="0"/>
    <n v="69"/>
  </r>
  <r>
    <x v="1"/>
    <n v="68.5"/>
  </r>
  <r>
    <x v="1"/>
    <n v="73"/>
  </r>
  <r>
    <x v="1"/>
    <n v="74"/>
  </r>
  <r>
    <x v="1"/>
    <n v="76"/>
  </r>
  <r>
    <x v="0"/>
    <n v="73"/>
  </r>
  <r>
    <x v="1"/>
    <n v="75"/>
  </r>
  <r>
    <x v="0"/>
    <n v="73"/>
  </r>
  <r>
    <x v="2"/>
    <n v="76"/>
  </r>
  <r>
    <x v="0"/>
    <n v="73"/>
  </r>
  <r>
    <x v="0"/>
    <n v="63.5"/>
  </r>
  <r>
    <x v="0"/>
    <n v="63"/>
  </r>
  <r>
    <x v="0"/>
    <n v="75"/>
  </r>
  <r>
    <x v="0"/>
    <n v="73"/>
  </r>
  <r>
    <x v="0"/>
    <n v="68"/>
  </r>
  <r>
    <x v="1"/>
    <n v="77"/>
  </r>
  <r>
    <x v="0"/>
    <n v="73"/>
  </r>
  <r>
    <x v="0"/>
    <n v="72"/>
  </r>
  <r>
    <x v="0"/>
    <n v="79"/>
  </r>
  <r>
    <x v="0"/>
    <n v="73"/>
  </r>
  <r>
    <x v="0"/>
    <n v="73"/>
  </r>
  <r>
    <x v="0"/>
    <n v="81"/>
  </r>
  <r>
    <x v="0"/>
    <n v="76"/>
  </r>
  <r>
    <x v="0"/>
    <n v="71"/>
  </r>
  <r>
    <x v="0"/>
    <n v="73"/>
  </r>
  <r>
    <x v="0"/>
    <n v="69"/>
  </r>
  <r>
    <x v="1"/>
    <n v="70"/>
  </r>
  <r>
    <x v="1"/>
    <n v="75"/>
  </r>
  <r>
    <x v="0"/>
    <n v="74"/>
  </r>
  <r>
    <x v="0"/>
    <n v="74"/>
  </r>
  <r>
    <x v="0"/>
    <n v="77"/>
  </r>
  <r>
    <x v="0"/>
    <n v="71"/>
  </r>
  <r>
    <x v="0"/>
    <n v="71"/>
  </r>
  <r>
    <x v="0"/>
    <n v="70"/>
  </r>
  <r>
    <x v="0"/>
    <n v="75"/>
  </r>
  <r>
    <x v="0"/>
    <n v="65"/>
  </r>
  <r>
    <x v="1"/>
    <n v="78"/>
  </r>
  <r>
    <x v="0"/>
    <n v="76"/>
  </r>
  <r>
    <x v="2"/>
    <n v="82"/>
  </r>
  <r>
    <x v="0"/>
    <n v="77"/>
  </r>
  <r>
    <x v="0"/>
    <n v="73"/>
  </r>
  <r>
    <x v="2"/>
    <n v="77"/>
  </r>
  <r>
    <x v="2"/>
    <n v="80.5"/>
  </r>
  <r>
    <x v="2"/>
    <n v="76"/>
  </r>
  <r>
    <x v="2"/>
    <n v="75"/>
  </r>
  <r>
    <x v="2"/>
    <n v="79"/>
  </r>
  <r>
    <x v="1"/>
    <n v="76"/>
  </r>
  <r>
    <x v="0"/>
    <n v="75"/>
  </r>
  <r>
    <x v="0"/>
    <n v="71"/>
  </r>
  <r>
    <x v="0"/>
    <n v="74"/>
  </r>
  <r>
    <x v="1"/>
    <n v="52"/>
  </r>
  <r>
    <x v="1"/>
    <n v="59"/>
  </r>
  <r>
    <x v="0"/>
    <n v="57"/>
  </r>
  <r>
    <x v="2"/>
    <n v="69"/>
  </r>
  <r>
    <x v="1"/>
    <n v="69"/>
  </r>
  <r>
    <x v="2"/>
    <n v="71"/>
  </r>
  <r>
    <x v="0"/>
    <n v="74"/>
  </r>
  <r>
    <x v="1"/>
    <n v="71"/>
  </r>
  <r>
    <x v="1"/>
    <n v="72.5"/>
  </r>
  <r>
    <x v="0"/>
    <n v="73"/>
  </r>
  <r>
    <x v="1"/>
    <n v="68"/>
  </r>
  <r>
    <x v="0"/>
    <n v="69"/>
  </r>
  <r>
    <x v="0"/>
    <n v="74"/>
  </r>
  <r>
    <x v="1"/>
    <n v="65"/>
  </r>
  <r>
    <x v="1"/>
    <n v="69"/>
  </r>
  <r>
    <x v="1"/>
    <n v="68.5"/>
  </r>
  <r>
    <x v="0"/>
    <n v="68.5"/>
  </r>
  <r>
    <x v="0"/>
    <n v="70"/>
  </r>
  <r>
    <x v="0"/>
    <n v="69.5"/>
  </r>
  <r>
    <x v="0"/>
    <n v="68"/>
  </r>
  <r>
    <x v="0"/>
    <n v="71"/>
  </r>
  <r>
    <x v="1"/>
    <n v="70"/>
  </r>
  <r>
    <x v="1"/>
    <n v="78"/>
  </r>
  <r>
    <x v="1"/>
    <n v="68.5"/>
  </r>
  <r>
    <x v="0"/>
    <n v="67"/>
  </r>
  <r>
    <x v="1"/>
    <n v="67"/>
  </r>
  <r>
    <x v="1"/>
    <n v="73"/>
  </r>
  <r>
    <x v="1"/>
    <n v="76"/>
  </r>
  <r>
    <x v="0"/>
    <n v="71.5"/>
  </r>
  <r>
    <x v="2"/>
    <n v="75"/>
  </r>
  <r>
    <x v="0"/>
    <n v="73"/>
  </r>
  <r>
    <x v="0"/>
    <n v="78"/>
  </r>
  <r>
    <x v="1"/>
    <n v="76"/>
  </r>
  <r>
    <x v="1"/>
    <n v="74"/>
  </r>
  <r>
    <x v="0"/>
    <n v="75"/>
  </r>
  <r>
    <x v="0"/>
    <n v="74"/>
  </r>
  <r>
    <x v="0"/>
    <n v="69"/>
  </r>
  <r>
    <x v="0"/>
    <n v="71"/>
  </r>
  <r>
    <x v="0"/>
    <n v="79.5"/>
  </r>
  <r>
    <x v="1"/>
    <n v="78.5"/>
  </r>
  <r>
    <x v="0"/>
    <n v="74"/>
  </r>
  <r>
    <x v="0"/>
    <n v="70"/>
  </r>
  <r>
    <x v="0"/>
    <n v="72"/>
  </r>
  <r>
    <x v="0"/>
    <n v="68"/>
  </r>
  <r>
    <x v="0"/>
    <n v="69.5"/>
  </r>
  <r>
    <x v="0"/>
    <n v="71"/>
  </r>
  <r>
    <x v="0"/>
    <n v="69.5"/>
  </r>
  <r>
    <x v="0"/>
    <n v="68.5"/>
  </r>
  <r>
    <x v="0"/>
    <n v="70"/>
  </r>
  <r>
    <x v="1"/>
    <n v="75"/>
  </r>
  <r>
    <x v="0"/>
    <n v="77"/>
  </r>
  <r>
    <x v="1"/>
    <n v="71"/>
  </r>
  <r>
    <x v="1"/>
    <n v="74"/>
  </r>
  <r>
    <x v="1"/>
    <n v="78"/>
  </r>
  <r>
    <x v="1"/>
    <n v="73"/>
  </r>
  <r>
    <x v="1"/>
    <n v="58"/>
  </r>
  <r>
    <x v="1"/>
    <n v="70"/>
  </r>
  <r>
    <x v="1"/>
    <n v="73"/>
  </r>
  <r>
    <x v="0"/>
    <n v="75"/>
  </r>
  <r>
    <x v="0"/>
    <n v="76"/>
  </r>
  <r>
    <x v="0"/>
    <n v="73"/>
  </r>
  <r>
    <x v="0"/>
    <n v="71"/>
  </r>
  <r>
    <x v="0"/>
    <n v="75"/>
  </r>
  <r>
    <x v="1"/>
    <n v="76"/>
  </r>
  <r>
    <x v="1"/>
    <n v="77"/>
  </r>
  <r>
    <x v="1"/>
    <n v="75"/>
  </r>
  <r>
    <x v="1"/>
    <n v="77"/>
  </r>
  <r>
    <x v="0"/>
    <n v="69"/>
  </r>
  <r>
    <x v="0"/>
    <n v="67"/>
  </r>
  <r>
    <x v="0"/>
    <n v="76"/>
  </r>
  <r>
    <x v="1"/>
    <n v="72.5"/>
  </r>
  <r>
    <x v="0"/>
    <n v="74"/>
  </r>
  <r>
    <x v="2"/>
    <n v="77"/>
  </r>
  <r>
    <x v="0"/>
    <n v="87"/>
  </r>
  <r>
    <x v="0"/>
    <n v="77"/>
  </r>
  <r>
    <x v="0"/>
    <n v="77.5"/>
  </r>
  <r>
    <x v="0"/>
    <n v="80"/>
  </r>
  <r>
    <x v="0"/>
    <n v="78.5"/>
  </r>
  <r>
    <x v="0"/>
    <n v="68"/>
  </r>
  <r>
    <x v="1"/>
    <n v="71"/>
  </r>
  <r>
    <x v="1"/>
    <n v="76"/>
  </r>
  <r>
    <x v="1"/>
    <n v="75"/>
  </r>
  <r>
    <x v="1"/>
    <n v="66.5"/>
  </r>
  <r>
    <x v="1"/>
    <n v="68.5"/>
  </r>
  <r>
    <x v="1"/>
    <n v="74"/>
  </r>
  <r>
    <x v="1"/>
    <n v="76"/>
  </r>
  <r>
    <x v="0"/>
    <n v="67"/>
  </r>
  <r>
    <x v="0"/>
    <n v="72"/>
  </r>
  <r>
    <x v="1"/>
    <n v="72"/>
  </r>
  <r>
    <x v="1"/>
    <n v="77"/>
  </r>
  <r>
    <x v="1"/>
    <n v="72"/>
  </r>
  <r>
    <x v="0"/>
    <n v="72"/>
  </r>
  <r>
    <x v="0"/>
    <n v="70"/>
  </r>
  <r>
    <x v="0"/>
    <n v="66"/>
  </r>
  <r>
    <x v="1"/>
    <n v="67.5"/>
  </r>
  <r>
    <x v="1"/>
    <n v="75"/>
  </r>
  <r>
    <x v="1"/>
    <n v="71"/>
  </r>
  <r>
    <x v="0"/>
    <n v="76"/>
  </r>
  <r>
    <x v="0"/>
    <n v="70"/>
  </r>
  <r>
    <x v="0"/>
    <n v="74.5"/>
  </r>
  <r>
    <x v="1"/>
    <n v="65.5"/>
  </r>
  <r>
    <x v="1"/>
    <n v="69"/>
  </r>
  <r>
    <x v="0"/>
    <n v="73"/>
  </r>
  <r>
    <x v="0"/>
    <n v="74"/>
  </r>
  <r>
    <x v="0"/>
    <n v="70.5"/>
  </r>
  <r>
    <x v="0"/>
    <n v="74.5"/>
  </r>
  <r>
    <x v="0"/>
    <n v="80.5"/>
  </r>
  <r>
    <x v="2"/>
    <n v="76.5"/>
  </r>
  <r>
    <x v="1"/>
    <n v="73"/>
  </r>
  <r>
    <x v="1"/>
    <n v="72"/>
  </r>
  <r>
    <x v="0"/>
    <n v="68"/>
  </r>
  <r>
    <x v="0"/>
    <n v="73"/>
  </r>
  <r>
    <x v="0"/>
    <n v="74"/>
  </r>
  <r>
    <x v="0"/>
    <n v="77"/>
  </r>
  <r>
    <x v="0"/>
    <n v="77"/>
  </r>
  <r>
    <x v="1"/>
    <n v="71"/>
  </r>
  <r>
    <x v="2"/>
    <n v="76"/>
  </r>
  <r>
    <x v="1"/>
    <n v="67"/>
  </r>
  <r>
    <x v="1"/>
    <n v="71"/>
  </r>
  <r>
    <x v="1"/>
    <n v="77"/>
  </r>
  <r>
    <x v="1"/>
    <n v="79.5"/>
  </r>
  <r>
    <x v="1"/>
    <n v="71.5"/>
  </r>
  <r>
    <x v="1"/>
    <n v="78.5"/>
  </r>
  <r>
    <x v="0"/>
    <n v="76"/>
  </r>
  <r>
    <x v="0"/>
    <n v="75.5"/>
  </r>
  <r>
    <x v="0"/>
    <n v="71"/>
  </r>
  <r>
    <x v="0"/>
    <n v="73"/>
  </r>
  <r>
    <x v="1"/>
    <n v="75"/>
  </r>
  <r>
    <x v="1"/>
    <n v="69.5"/>
  </r>
  <r>
    <x v="2"/>
    <n v="71.5"/>
  </r>
  <r>
    <x v="0"/>
    <n v="73"/>
  </r>
  <r>
    <x v="0"/>
    <n v="70"/>
  </r>
  <r>
    <x v="0"/>
    <n v="71"/>
  </r>
  <r>
    <x v="0"/>
    <n v="78.5"/>
  </r>
  <r>
    <x v="1"/>
    <n v="78.5"/>
  </r>
  <r>
    <x v="0"/>
    <n v="72"/>
  </r>
  <r>
    <x v="0"/>
    <n v="70"/>
  </r>
  <r>
    <x v="0"/>
    <n v="67.5"/>
  </r>
  <r>
    <x v="0"/>
    <n v="68"/>
  </r>
  <r>
    <x v="0"/>
    <n v="78"/>
  </r>
  <r>
    <x v="1"/>
    <n v="82.5"/>
  </r>
  <r>
    <x v="0"/>
    <n v="74.5"/>
  </r>
  <r>
    <x v="0"/>
    <n v="73"/>
  </r>
  <r>
    <x v="0"/>
    <n v="71"/>
  </r>
  <r>
    <x v="0"/>
    <n v="77"/>
  </r>
  <r>
    <x v="0"/>
    <n v="70.5"/>
  </r>
  <r>
    <x v="1"/>
    <n v="70"/>
  </r>
  <r>
    <x v="1"/>
    <n v="76"/>
  </r>
  <r>
    <x v="1"/>
    <n v="79"/>
  </r>
  <r>
    <x v="2"/>
    <n v="75"/>
  </r>
  <r>
    <x v="0"/>
    <n v="70"/>
  </r>
  <r>
    <x v="0"/>
    <n v="75.5"/>
  </r>
  <r>
    <x v="1"/>
    <n v="74"/>
  </r>
  <r>
    <x v="0"/>
    <n v="71"/>
  </r>
  <r>
    <x v="2"/>
    <n v="84.5"/>
  </r>
  <r>
    <x v="1"/>
    <n v="53.5"/>
  </r>
  <r>
    <x v="1"/>
    <n v="79"/>
  </r>
  <r>
    <x v="0"/>
    <n v="72"/>
  </r>
  <r>
    <x v="1"/>
    <n v="75"/>
  </r>
  <r>
    <x v="2"/>
    <n v="68"/>
  </r>
  <r>
    <x v="1"/>
    <n v="73"/>
  </r>
  <r>
    <x v="1"/>
    <n v="73"/>
  </r>
  <r>
    <x v="1"/>
    <n v="65"/>
  </r>
  <r>
    <x v="1"/>
    <n v="72"/>
  </r>
  <r>
    <x v="0"/>
    <n v="73"/>
  </r>
  <r>
    <x v="0"/>
    <n v="69"/>
  </r>
  <r>
    <x v="0"/>
    <n v="77.5"/>
  </r>
  <r>
    <x v="1"/>
    <n v="63"/>
  </r>
  <r>
    <x v="0"/>
    <n v="72"/>
  </r>
  <r>
    <x v="1"/>
    <n v="75"/>
  </r>
  <r>
    <x v="1"/>
    <n v="72.5"/>
  </r>
  <r>
    <x v="0"/>
    <n v="57.5"/>
  </r>
  <r>
    <x v="2"/>
    <n v="66"/>
  </r>
  <r>
    <x v="0"/>
    <n v="81.5"/>
  </r>
  <r>
    <x v="1"/>
    <n v="65.5"/>
  </r>
  <r>
    <x v="0"/>
    <n v="71.5"/>
  </r>
  <r>
    <x v="1"/>
    <n v="53.5"/>
  </r>
  <r>
    <x v="0"/>
    <n v="73"/>
  </r>
  <r>
    <x v="0"/>
    <n v="58.5"/>
  </r>
  <r>
    <x v="0"/>
    <n v="72.5"/>
  </r>
  <r>
    <x v="0"/>
    <n v="66"/>
  </r>
  <r>
    <x v="0"/>
    <n v="73"/>
  </r>
  <r>
    <x v="2"/>
    <n v="73"/>
  </r>
  <r>
    <x v="2"/>
    <n v="74"/>
  </r>
  <r>
    <x v="0"/>
    <n v="69"/>
  </r>
  <r>
    <x v="0"/>
    <n v="75"/>
  </r>
  <r>
    <x v="1"/>
    <n v="72"/>
  </r>
  <r>
    <x v="1"/>
    <n v="70"/>
  </r>
  <r>
    <x v="1"/>
    <n v="73"/>
  </r>
  <r>
    <x v="0"/>
    <n v="68"/>
  </r>
  <r>
    <x v="1"/>
    <n v="72"/>
  </r>
  <r>
    <x v="1"/>
    <n v="71"/>
  </r>
  <r>
    <x v="0"/>
    <n v="68"/>
  </r>
  <r>
    <x v="1"/>
    <n v="76.5"/>
  </r>
  <r>
    <x v="0"/>
    <n v="71"/>
  </r>
  <r>
    <x v="0"/>
    <n v="67.5"/>
  </r>
  <r>
    <x v="2"/>
    <n v="68"/>
  </r>
  <r>
    <x v="1"/>
    <n v="72"/>
  </r>
  <r>
    <x v="0"/>
    <n v="72"/>
  </r>
  <r>
    <x v="0"/>
    <n v="69"/>
  </r>
  <r>
    <x v="1"/>
    <n v="53"/>
  </r>
  <r>
    <x v="0"/>
    <n v="69"/>
  </r>
  <r>
    <x v="0"/>
    <n v="74"/>
  </r>
  <r>
    <x v="0"/>
    <n v="71"/>
  </r>
  <r>
    <x v="0"/>
    <n v="75"/>
  </r>
  <r>
    <x v="0"/>
    <n v="69"/>
  </r>
  <r>
    <x v="0"/>
    <n v="74"/>
  </r>
  <r>
    <x v="2"/>
    <n v="71"/>
  </r>
  <r>
    <x v="0"/>
    <n v="70.5"/>
  </r>
  <r>
    <x v="1"/>
    <n v="70"/>
  </r>
  <r>
    <x v="2"/>
    <n v="74.5"/>
  </r>
  <r>
    <x v="0"/>
    <n v="87"/>
  </r>
  <r>
    <x v="0"/>
    <n v="73"/>
  </r>
  <r>
    <x v="2"/>
    <n v="71"/>
  </r>
  <r>
    <x v="1"/>
    <n v="73"/>
  </r>
  <r>
    <x v="2"/>
    <n v="67"/>
  </r>
  <r>
    <x v="2"/>
    <n v="67.5"/>
  </r>
  <r>
    <x v="0"/>
    <n v="73"/>
  </r>
  <r>
    <x v="0"/>
    <n v="66"/>
  </r>
  <r>
    <x v="0"/>
    <n v="69"/>
  </r>
  <r>
    <x v="0"/>
    <n v="72"/>
  </r>
  <r>
    <x v="0"/>
    <n v="68"/>
  </r>
  <r>
    <x v="0"/>
    <n v="52"/>
  </r>
  <r>
    <x v="0"/>
    <n v="71"/>
  </r>
  <r>
    <x v="0"/>
    <n v="67"/>
  </r>
  <r>
    <x v="1"/>
    <n v="75"/>
  </r>
  <r>
    <x v="2"/>
    <n v="75"/>
  </r>
  <r>
    <x v="1"/>
    <n v="68"/>
  </r>
  <r>
    <x v="1"/>
    <n v="69"/>
  </r>
  <r>
    <x v="1"/>
    <n v="70"/>
  </r>
  <r>
    <x v="0"/>
    <n v="71"/>
  </r>
  <r>
    <x v="1"/>
    <n v="70"/>
  </r>
  <r>
    <x v="1"/>
    <n v="75"/>
  </r>
  <r>
    <x v="1"/>
    <n v="68"/>
  </r>
  <r>
    <x v="1"/>
    <n v="66"/>
  </r>
  <r>
    <x v="1"/>
    <n v="71"/>
  </r>
  <r>
    <x v="1"/>
    <n v="75"/>
  </r>
  <r>
    <x v="1"/>
    <n v="73"/>
  </r>
  <r>
    <x v="0"/>
    <n v="72"/>
  </r>
  <r>
    <x v="0"/>
    <n v="68"/>
  </r>
  <r>
    <x v="0"/>
    <n v="65"/>
  </r>
  <r>
    <x v="1"/>
    <n v="75"/>
  </r>
  <r>
    <x v="0"/>
    <n v="69"/>
  </r>
  <r>
    <x v="2"/>
    <n v="75"/>
  </r>
  <r>
    <x v="1"/>
    <n v="73"/>
  </r>
  <r>
    <x v="1"/>
    <n v="75"/>
  </r>
  <r>
    <x v="1"/>
    <n v="65"/>
  </r>
  <r>
    <x v="2"/>
    <n v="72"/>
  </r>
  <r>
    <x v="1"/>
    <n v="58"/>
  </r>
  <r>
    <x v="0"/>
    <n v="66"/>
  </r>
  <r>
    <x v="0"/>
    <n v="68"/>
  </r>
  <r>
    <x v="0"/>
    <n v="69"/>
  </r>
  <r>
    <x v="1"/>
    <n v="58"/>
  </r>
  <r>
    <x v="2"/>
    <n v="77.5"/>
  </r>
  <r>
    <x v="0"/>
    <n v="74"/>
  </r>
  <r>
    <x v="2"/>
    <n v="62"/>
  </r>
  <r>
    <x v="0"/>
    <n v="69"/>
  </r>
  <r>
    <x v="0"/>
    <n v="68"/>
  </r>
  <r>
    <x v="0"/>
    <n v="74"/>
  </r>
  <r>
    <x v="0"/>
    <n v="76"/>
  </r>
  <r>
    <x v="0"/>
    <n v="74"/>
  </r>
  <r>
    <x v="0"/>
    <n v="71"/>
  </r>
  <r>
    <x v="1"/>
    <n v="71"/>
  </r>
  <r>
    <x v="0"/>
    <n v="82"/>
  </r>
  <r>
    <x v="0"/>
    <n v="69"/>
  </r>
  <r>
    <x v="0"/>
    <n v="69"/>
  </r>
  <r>
    <x v="0"/>
    <n v="68"/>
  </r>
  <r>
    <x v="0"/>
    <n v="72"/>
  </r>
  <r>
    <x v="1"/>
    <n v="68.5"/>
  </r>
  <r>
    <x v="1"/>
    <n v="71"/>
  </r>
  <r>
    <x v="1"/>
    <n v="72"/>
  </r>
  <r>
    <x v="1"/>
    <n v="67.5"/>
  </r>
  <r>
    <x v="1"/>
    <n v="70"/>
  </r>
  <r>
    <x v="2"/>
    <n v="68.5"/>
  </r>
  <r>
    <x v="1"/>
    <n v="68"/>
  </r>
  <r>
    <x v="1"/>
    <n v="71"/>
  </r>
  <r>
    <x v="2"/>
    <n v="69"/>
  </r>
  <r>
    <x v="0"/>
    <n v="69"/>
  </r>
  <r>
    <x v="0"/>
    <n v="72"/>
  </r>
  <r>
    <x v="0"/>
    <n v="68.5"/>
  </r>
  <r>
    <x v="1"/>
    <n v="68"/>
  </r>
  <r>
    <x v="1"/>
    <n v="69"/>
  </r>
  <r>
    <x v="0"/>
    <n v="72"/>
  </r>
  <r>
    <x v="0"/>
    <n v="68"/>
  </r>
  <r>
    <x v="0"/>
    <n v="73.5"/>
  </r>
  <r>
    <x v="1"/>
    <n v="72"/>
  </r>
  <r>
    <x v="0"/>
    <n v="72"/>
  </r>
  <r>
    <x v="0"/>
    <n v="73"/>
  </r>
  <r>
    <x v="2"/>
    <n v="66"/>
  </r>
  <r>
    <x v="0"/>
    <n v="69"/>
  </r>
  <r>
    <x v="0"/>
    <n v="71"/>
  </r>
  <r>
    <x v="0"/>
    <n v="70"/>
  </r>
  <r>
    <x v="0"/>
    <n v="68.5"/>
  </r>
  <r>
    <x v="1"/>
    <n v="76"/>
  </r>
  <r>
    <x v="0"/>
    <n v="67"/>
  </r>
  <r>
    <x v="0"/>
    <n v="65"/>
  </r>
  <r>
    <x v="0"/>
    <n v="67"/>
  </r>
  <r>
    <x v="0"/>
    <n v="68"/>
  </r>
  <r>
    <x v="0"/>
    <n v="68"/>
  </r>
  <r>
    <x v="0"/>
    <n v="72"/>
  </r>
  <r>
    <x v="0"/>
    <n v="72.5"/>
  </r>
  <r>
    <x v="1"/>
    <n v="71.5"/>
  </r>
  <r>
    <x v="0"/>
    <n v="72"/>
  </r>
  <r>
    <x v="1"/>
    <n v="68"/>
  </r>
  <r>
    <x v="0"/>
    <n v="70.5"/>
  </r>
  <r>
    <x v="0"/>
    <n v="67"/>
  </r>
  <r>
    <x v="0"/>
    <n v="67"/>
  </r>
  <r>
    <x v="2"/>
    <n v="77.5"/>
  </r>
  <r>
    <x v="1"/>
    <n v="71"/>
  </r>
  <r>
    <x v="1"/>
    <n v="64"/>
  </r>
  <r>
    <x v="1"/>
    <n v="72"/>
  </r>
  <r>
    <x v="0"/>
    <n v="70"/>
  </r>
  <r>
    <x v="0"/>
    <n v="65.5"/>
  </r>
  <r>
    <x v="2"/>
    <n v="62"/>
  </r>
  <r>
    <x v="0"/>
    <n v="67.5"/>
  </r>
  <r>
    <x v="0"/>
    <n v="69"/>
  </r>
  <r>
    <x v="0"/>
    <n v="71"/>
  </r>
  <r>
    <x v="0"/>
    <n v="68"/>
  </r>
  <r>
    <x v="1"/>
    <n v="67.5"/>
  </r>
  <r>
    <x v="0"/>
    <n v="68"/>
  </r>
  <r>
    <x v="1"/>
    <n v="67"/>
  </r>
  <r>
    <x v="1"/>
    <n v="71"/>
  </r>
  <r>
    <x v="0"/>
    <n v="61"/>
  </r>
  <r>
    <x v="1"/>
    <n v="67"/>
  </r>
  <r>
    <x v="0"/>
    <n v="68"/>
  </r>
  <r>
    <x v="1"/>
    <n v="67"/>
  </r>
  <r>
    <x v="1"/>
    <n v="69"/>
  </r>
  <r>
    <x v="0"/>
    <n v="71"/>
  </r>
  <r>
    <x v="1"/>
    <n v="73"/>
  </r>
  <r>
    <x v="1"/>
    <n v="68.5"/>
  </r>
  <r>
    <x v="0"/>
    <n v="66"/>
  </r>
  <r>
    <x v="0"/>
    <n v="68.5"/>
  </r>
  <r>
    <x v="0"/>
    <n v="71"/>
  </r>
  <r>
    <x v="2"/>
    <n v="62"/>
  </r>
  <r>
    <x v="0"/>
    <n v="65"/>
  </r>
  <r>
    <x v="0"/>
    <n v="73"/>
  </r>
  <r>
    <x v="0"/>
    <n v="68.5"/>
  </r>
  <r>
    <x v="0"/>
    <n v="70"/>
  </r>
  <r>
    <x v="0"/>
    <n v="72"/>
  </r>
  <r>
    <x v="0"/>
    <n v="67"/>
  </r>
  <r>
    <x v="1"/>
    <n v="67.5"/>
  </r>
  <r>
    <x v="1"/>
    <n v="67.5"/>
  </r>
  <r>
    <x v="2"/>
    <n v="73.5"/>
  </r>
  <r>
    <x v="0"/>
    <n v="68"/>
  </r>
  <r>
    <x v="1"/>
    <n v="66"/>
  </r>
  <r>
    <x v="1"/>
    <n v="66.5"/>
  </r>
  <r>
    <x v="1"/>
    <n v="68.5"/>
  </r>
  <r>
    <x v="0"/>
    <n v="70"/>
  </r>
  <r>
    <x v="0"/>
    <n v="71"/>
  </r>
  <r>
    <x v="0"/>
    <n v="66"/>
  </r>
  <r>
    <x v="0"/>
    <n v="71"/>
  </r>
  <r>
    <x v="2"/>
    <n v="66"/>
  </r>
  <r>
    <x v="0"/>
    <n v="72"/>
  </r>
  <r>
    <x v="1"/>
    <n v="72"/>
  </r>
  <r>
    <x v="0"/>
    <n v="71"/>
  </r>
  <r>
    <x v="1"/>
    <n v="73"/>
  </r>
  <r>
    <x v="0"/>
    <n v="68.5"/>
  </r>
  <r>
    <x v="2"/>
    <n v="71"/>
  </r>
  <r>
    <x v="0"/>
    <n v="73"/>
  </r>
  <r>
    <x v="0"/>
    <n v="72"/>
  </r>
  <r>
    <x v="0"/>
    <n v="65"/>
  </r>
  <r>
    <x v="0"/>
    <n v="70"/>
  </r>
  <r>
    <x v="0"/>
    <n v="72"/>
  </r>
  <r>
    <x v="1"/>
    <n v="73"/>
  </r>
  <r>
    <x v="0"/>
    <n v="67"/>
  </r>
  <r>
    <x v="1"/>
    <n v="72"/>
  </r>
  <r>
    <x v="1"/>
    <n v="68.5"/>
  </r>
  <r>
    <x v="1"/>
    <n v="71"/>
  </r>
  <r>
    <x v="1"/>
    <n v="43"/>
  </r>
  <r>
    <x v="2"/>
    <n v="50"/>
  </r>
  <r>
    <x v="1"/>
    <n v="48.5"/>
  </r>
  <r>
    <x v="1"/>
    <n v="38.5"/>
  </r>
  <r>
    <x v="0"/>
    <n v="42.5"/>
  </r>
  <r>
    <x v="1"/>
    <n v="68"/>
  </r>
  <r>
    <x v="0"/>
    <n v="66"/>
  </r>
  <r>
    <x v="0"/>
    <n v="69.5"/>
  </r>
  <r>
    <x v="1"/>
    <n v="73.5"/>
  </r>
  <r>
    <x v="0"/>
    <n v="68.5"/>
  </r>
  <r>
    <x v="0"/>
    <n v="63"/>
  </r>
  <r>
    <x v="0"/>
    <n v="67"/>
  </r>
  <r>
    <x v="0"/>
    <n v="67.5"/>
  </r>
  <r>
    <x v="0"/>
    <n v="69"/>
  </r>
  <r>
    <x v="0"/>
    <n v="75"/>
  </r>
  <r>
    <x v="0"/>
    <n v="66.5"/>
  </r>
  <r>
    <x v="0"/>
    <n v="69"/>
  </r>
  <r>
    <x v="0"/>
    <n v="67.5"/>
  </r>
  <r>
    <x v="0"/>
    <n v="67"/>
  </r>
  <r>
    <x v="0"/>
    <n v="69"/>
  </r>
  <r>
    <x v="0"/>
    <n v="74"/>
  </r>
  <r>
    <x v="1"/>
    <n v="69"/>
  </r>
  <r>
    <x v="2"/>
    <n v="69"/>
  </r>
  <r>
    <x v="1"/>
    <n v="58"/>
  </r>
  <r>
    <x v="0"/>
    <n v="74"/>
  </r>
  <r>
    <x v="0"/>
    <n v="74"/>
  </r>
  <r>
    <x v="1"/>
    <n v="69"/>
  </r>
  <r>
    <x v="0"/>
    <n v="65"/>
  </r>
  <r>
    <x v="0"/>
    <n v="73"/>
  </r>
  <r>
    <x v="0"/>
    <n v="70.5"/>
  </r>
  <r>
    <x v="0"/>
    <n v="68"/>
  </r>
  <r>
    <x v="0"/>
    <n v="71"/>
  </r>
  <r>
    <x v="0"/>
    <n v="69"/>
  </r>
  <r>
    <x v="1"/>
    <n v="71"/>
  </r>
  <r>
    <x v="1"/>
    <n v="74"/>
  </r>
  <r>
    <x v="0"/>
    <n v="69"/>
  </r>
  <r>
    <x v="0"/>
    <n v="69"/>
  </r>
  <r>
    <x v="1"/>
    <n v="74"/>
  </r>
  <r>
    <x v="1"/>
    <n v="71"/>
  </r>
  <r>
    <x v="0"/>
    <n v="76.5"/>
  </r>
  <r>
    <x v="0"/>
    <n v="68"/>
  </r>
  <r>
    <x v="2"/>
    <n v="75.5"/>
  </r>
  <r>
    <x v="0"/>
    <n v="68.5"/>
  </r>
  <r>
    <x v="0"/>
    <n v="73"/>
  </r>
  <r>
    <x v="0"/>
    <n v="68.5"/>
  </r>
  <r>
    <x v="0"/>
    <n v="68.5"/>
  </r>
  <r>
    <x v="0"/>
    <n v="67.5"/>
  </r>
  <r>
    <x v="0"/>
    <n v="71"/>
  </r>
  <r>
    <x v="1"/>
    <n v="67"/>
  </r>
  <r>
    <x v="0"/>
    <n v="68"/>
  </r>
  <r>
    <x v="0"/>
    <n v="74"/>
  </r>
  <r>
    <x v="0"/>
    <n v="63"/>
  </r>
  <r>
    <x v="2"/>
    <n v="68"/>
  </r>
  <r>
    <x v="0"/>
    <n v="75.5"/>
  </r>
  <r>
    <x v="2"/>
    <n v="73"/>
  </r>
  <r>
    <x v="1"/>
    <n v="76"/>
  </r>
  <r>
    <x v="0"/>
    <n v="71"/>
  </r>
  <r>
    <x v="0"/>
    <n v="83"/>
  </r>
  <r>
    <x v="0"/>
    <n v="78.5"/>
  </r>
  <r>
    <x v="2"/>
    <n v="73"/>
  </r>
  <r>
    <x v="2"/>
    <n v="74"/>
  </r>
  <r>
    <x v="0"/>
    <n v="73"/>
  </r>
  <r>
    <x v="0"/>
    <n v="73"/>
  </r>
  <r>
    <x v="1"/>
    <n v="68.5"/>
  </r>
  <r>
    <x v="1"/>
    <n v="71"/>
  </r>
  <r>
    <x v="1"/>
    <n v="71"/>
  </r>
  <r>
    <x v="0"/>
    <n v="73"/>
  </r>
  <r>
    <x v="0"/>
    <n v="68.5"/>
  </r>
  <r>
    <x v="0"/>
    <n v="70.5"/>
  </r>
  <r>
    <x v="0"/>
    <n v="70"/>
  </r>
  <r>
    <x v="0"/>
    <n v="67.5"/>
  </r>
  <r>
    <x v="2"/>
    <n v="66.5"/>
  </r>
  <r>
    <x v="0"/>
    <n v="73"/>
  </r>
  <r>
    <x v="0"/>
    <n v="68.5"/>
  </r>
  <r>
    <x v="0"/>
    <n v="69"/>
  </r>
  <r>
    <x v="0"/>
    <n v="74.5"/>
  </r>
  <r>
    <x v="0"/>
    <n v="71.5"/>
  </r>
  <r>
    <x v="2"/>
    <n v="71"/>
  </r>
  <r>
    <x v="2"/>
    <n v="70"/>
  </r>
  <r>
    <x v="1"/>
    <n v="68"/>
  </r>
  <r>
    <x v="0"/>
    <n v="74"/>
  </r>
  <r>
    <x v="1"/>
    <n v="67"/>
  </r>
  <r>
    <x v="1"/>
    <n v="74.5"/>
  </r>
  <r>
    <x v="1"/>
    <n v="75"/>
  </r>
  <r>
    <x v="1"/>
    <n v="68"/>
  </r>
  <r>
    <x v="1"/>
    <n v="68"/>
  </r>
  <r>
    <x v="2"/>
    <n v="73"/>
  </r>
  <r>
    <x v="0"/>
    <n v="71"/>
  </r>
  <r>
    <x v="0"/>
    <n v="68"/>
  </r>
  <r>
    <x v="1"/>
    <n v="71"/>
  </r>
  <r>
    <x v="2"/>
    <n v="73"/>
  </r>
  <r>
    <x v="0"/>
    <n v="70"/>
  </r>
  <r>
    <x v="0"/>
    <n v="71.5"/>
  </r>
  <r>
    <x v="0"/>
    <n v="69"/>
  </r>
  <r>
    <x v="1"/>
    <n v="72.5"/>
  </r>
  <r>
    <x v="0"/>
    <n v="69"/>
  </r>
  <r>
    <x v="0"/>
    <n v="69"/>
  </r>
  <r>
    <x v="1"/>
    <n v="74"/>
  </r>
  <r>
    <x v="0"/>
    <n v="68"/>
  </r>
  <r>
    <x v="0"/>
    <n v="68"/>
  </r>
  <r>
    <x v="1"/>
    <n v="69"/>
  </r>
  <r>
    <x v="0"/>
    <n v="68"/>
  </r>
  <r>
    <x v="0"/>
    <n v="71"/>
  </r>
  <r>
    <x v="1"/>
    <n v="73.5"/>
  </r>
  <r>
    <x v="0"/>
    <n v="70"/>
  </r>
  <r>
    <x v="1"/>
    <n v="71"/>
  </r>
  <r>
    <x v="0"/>
    <n v="71"/>
  </r>
  <r>
    <x v="2"/>
    <n v="70"/>
  </r>
  <r>
    <x v="1"/>
    <n v="74"/>
  </r>
  <r>
    <x v="0"/>
    <n v="70"/>
  </r>
  <r>
    <x v="2"/>
    <n v="71"/>
  </r>
  <r>
    <x v="0"/>
    <n v="68.5"/>
  </r>
  <r>
    <x v="2"/>
    <n v="71"/>
  </r>
  <r>
    <x v="0"/>
    <n v="72"/>
  </r>
  <r>
    <x v="0"/>
    <n v="71.5"/>
  </r>
  <r>
    <x v="0"/>
    <n v="70.5"/>
  </r>
  <r>
    <x v="0"/>
    <n v="71"/>
  </r>
  <r>
    <x v="0"/>
    <n v="68"/>
  </r>
  <r>
    <x v="0"/>
    <n v="71"/>
  </r>
  <r>
    <x v="0"/>
    <n v="68.5"/>
  </r>
  <r>
    <x v="0"/>
    <n v="73.5"/>
  </r>
  <r>
    <x v="0"/>
    <n v="68.5"/>
  </r>
  <r>
    <x v="0"/>
    <n v="72"/>
  </r>
  <r>
    <x v="1"/>
    <n v="68"/>
  </r>
  <r>
    <x v="0"/>
    <n v="68.5"/>
  </r>
  <r>
    <x v="1"/>
    <n v="71"/>
  </r>
  <r>
    <x v="1"/>
    <n v="67.5"/>
  </r>
  <r>
    <x v="1"/>
    <n v="72.5"/>
  </r>
  <r>
    <x v="1"/>
    <n v="71"/>
  </r>
  <r>
    <x v="1"/>
    <n v="69"/>
  </r>
  <r>
    <x v="0"/>
    <n v="68.5"/>
  </r>
  <r>
    <x v="0"/>
    <n v="66"/>
  </r>
  <r>
    <x v="0"/>
    <n v="71"/>
  </r>
  <r>
    <x v="0"/>
    <n v="74"/>
  </r>
  <r>
    <x v="0"/>
    <n v="66"/>
  </r>
  <r>
    <x v="0"/>
    <n v="66"/>
  </r>
  <r>
    <x v="0"/>
    <n v="67"/>
  </r>
  <r>
    <x v="0"/>
    <n v="68"/>
  </r>
  <r>
    <x v="0"/>
    <n v="69.5"/>
  </r>
  <r>
    <x v="0"/>
    <n v="68.5"/>
  </r>
  <r>
    <x v="1"/>
    <n v="56"/>
  </r>
  <r>
    <x v="0"/>
    <n v="71"/>
  </r>
  <r>
    <x v="1"/>
    <n v="73"/>
  </r>
  <r>
    <x v="0"/>
    <n v="66"/>
  </r>
  <r>
    <x v="0"/>
    <n v="66.5"/>
  </r>
  <r>
    <x v="1"/>
    <n v="71"/>
  </r>
  <r>
    <x v="1"/>
    <n v="75"/>
  </r>
  <r>
    <x v="1"/>
    <n v="61"/>
  </r>
  <r>
    <x v="1"/>
    <n v="67"/>
  </r>
  <r>
    <x v="1"/>
    <n v="68.5"/>
  </r>
  <r>
    <x v="1"/>
    <n v="73"/>
  </r>
  <r>
    <x v="0"/>
    <n v="69"/>
  </r>
  <r>
    <x v="1"/>
    <n v="69"/>
  </r>
  <r>
    <x v="0"/>
    <n v="68.5"/>
  </r>
  <r>
    <x v="1"/>
    <n v="71"/>
  </r>
  <r>
    <x v="1"/>
    <n v="69"/>
  </r>
  <r>
    <x v="1"/>
    <n v="74"/>
  </r>
  <r>
    <x v="0"/>
    <n v="67"/>
  </r>
  <r>
    <x v="0"/>
    <n v="81"/>
  </r>
  <r>
    <x v="0"/>
    <n v="75"/>
  </r>
  <r>
    <x v="0"/>
    <n v="68.5"/>
  </r>
  <r>
    <x v="0"/>
    <n v="68"/>
  </r>
  <r>
    <x v="0"/>
    <n v="66"/>
  </r>
  <r>
    <x v="1"/>
    <n v="73.5"/>
  </r>
  <r>
    <x v="1"/>
    <n v="69.5"/>
  </r>
  <r>
    <x v="0"/>
    <n v="69"/>
  </r>
  <r>
    <x v="1"/>
    <n v="68.5"/>
  </r>
  <r>
    <x v="0"/>
    <n v="65"/>
  </r>
  <r>
    <x v="0"/>
    <n v="67.5"/>
  </r>
  <r>
    <x v="1"/>
    <n v="57.5"/>
  </r>
  <r>
    <x v="0"/>
    <n v="73"/>
  </r>
  <r>
    <x v="0"/>
    <n v="68.5"/>
  </r>
  <r>
    <x v="1"/>
    <n v="74"/>
  </r>
  <r>
    <x v="2"/>
    <n v="71"/>
  </r>
  <r>
    <x v="0"/>
    <n v="69"/>
  </r>
  <r>
    <x v="1"/>
    <n v="68.5"/>
  </r>
  <r>
    <x v="0"/>
    <n v="71"/>
  </r>
  <r>
    <x v="1"/>
    <n v="71"/>
  </r>
  <r>
    <x v="1"/>
    <n v="74"/>
  </r>
  <r>
    <x v="0"/>
    <n v="64"/>
  </r>
  <r>
    <x v="1"/>
    <n v="65"/>
  </r>
  <r>
    <x v="1"/>
    <n v="68"/>
  </r>
  <r>
    <x v="0"/>
    <n v="70"/>
  </r>
  <r>
    <x v="0"/>
    <n v="68"/>
  </r>
  <r>
    <x v="0"/>
    <n v="68"/>
  </r>
  <r>
    <x v="2"/>
    <n v="73"/>
  </r>
  <r>
    <x v="0"/>
    <n v="67"/>
  </r>
  <r>
    <x v="1"/>
    <n v="75"/>
  </r>
  <r>
    <x v="0"/>
    <n v="73"/>
  </r>
  <r>
    <x v="0"/>
    <n v="69"/>
  </r>
  <r>
    <x v="1"/>
    <n v="69.5"/>
  </r>
  <r>
    <x v="0"/>
    <n v="68"/>
  </r>
  <r>
    <x v="0"/>
    <n v="69"/>
  </r>
  <r>
    <x v="0"/>
    <n v="67"/>
  </r>
  <r>
    <x v="0"/>
    <n v="69"/>
  </r>
  <r>
    <x v="0"/>
    <n v="71"/>
  </r>
  <r>
    <x v="0"/>
    <n v="80"/>
  </r>
  <r>
    <x v="0"/>
    <n v="67"/>
  </r>
  <r>
    <x v="0"/>
    <n v="71"/>
  </r>
  <r>
    <x v="0"/>
    <n v="68"/>
  </r>
  <r>
    <x v="2"/>
    <n v="69"/>
  </r>
  <r>
    <x v="0"/>
    <n v="67"/>
  </r>
  <r>
    <x v="2"/>
    <n v="69"/>
  </r>
  <r>
    <x v="0"/>
    <n v="66"/>
  </r>
  <r>
    <x v="2"/>
    <n v="74"/>
  </r>
  <r>
    <x v="0"/>
    <n v="70"/>
  </r>
  <r>
    <x v="1"/>
    <n v="68.5"/>
  </r>
  <r>
    <x v="1"/>
    <n v="64"/>
  </r>
  <r>
    <x v="1"/>
    <n v="68"/>
  </r>
  <r>
    <x v="1"/>
    <n v="70"/>
  </r>
  <r>
    <x v="1"/>
    <n v="67"/>
  </r>
  <r>
    <x v="2"/>
    <n v="65.5"/>
  </r>
  <r>
    <x v="0"/>
    <n v="68"/>
  </r>
  <r>
    <x v="0"/>
    <n v="71"/>
  </r>
  <r>
    <x v="0"/>
    <n v="65"/>
  </r>
  <r>
    <x v="0"/>
    <n v="65"/>
  </r>
  <r>
    <x v="2"/>
    <n v="68"/>
  </r>
  <r>
    <x v="0"/>
    <n v="65"/>
  </r>
  <r>
    <x v="0"/>
    <n v="69"/>
  </r>
  <r>
    <x v="0"/>
    <n v="67.5"/>
  </r>
  <r>
    <x v="1"/>
    <n v="71"/>
  </r>
  <r>
    <x v="1"/>
    <n v="67"/>
  </r>
  <r>
    <x v="0"/>
    <n v="65.5"/>
  </r>
  <r>
    <x v="0"/>
    <n v="67"/>
  </r>
  <r>
    <x v="2"/>
    <n v="68.5"/>
  </r>
  <r>
    <x v="2"/>
    <n v="67"/>
  </r>
  <r>
    <x v="0"/>
    <n v="69"/>
  </r>
  <r>
    <x v="0"/>
    <n v="67"/>
  </r>
  <r>
    <x v="0"/>
    <n v="69"/>
  </r>
  <r>
    <x v="0"/>
    <n v="68.5"/>
  </r>
  <r>
    <x v="1"/>
    <n v="69"/>
  </r>
  <r>
    <x v="0"/>
    <n v="69"/>
  </r>
  <r>
    <x v="0"/>
    <n v="71"/>
  </r>
  <r>
    <x v="1"/>
    <n v="63"/>
  </r>
  <r>
    <x v="0"/>
    <n v="67"/>
  </r>
  <r>
    <x v="0"/>
    <n v="69"/>
  </r>
  <r>
    <x v="1"/>
    <n v="65"/>
  </r>
  <r>
    <x v="1"/>
    <n v="68"/>
  </r>
  <r>
    <x v="1"/>
    <n v="57.5"/>
  </r>
  <r>
    <x v="0"/>
    <n v="69"/>
  </r>
  <r>
    <x v="0"/>
    <n v="67"/>
  </r>
  <r>
    <x v="1"/>
    <n v="66"/>
  </r>
  <r>
    <x v="1"/>
    <n v="68"/>
  </r>
  <r>
    <x v="1"/>
    <n v="56"/>
  </r>
  <r>
    <x v="0"/>
    <n v="65"/>
  </r>
  <r>
    <x v="1"/>
    <n v="67.5"/>
  </r>
  <r>
    <x v="2"/>
    <n v="67"/>
  </r>
  <r>
    <x v="0"/>
    <n v="68"/>
  </r>
  <r>
    <x v="0"/>
    <n v="70"/>
  </r>
  <r>
    <x v="0"/>
    <n v="68.5"/>
  </r>
  <r>
    <x v="0"/>
    <n v="68.5"/>
  </r>
  <r>
    <x v="1"/>
    <n v="74"/>
  </r>
  <r>
    <x v="1"/>
    <n v="71"/>
  </r>
  <r>
    <x v="0"/>
    <n v="64"/>
  </r>
  <r>
    <x v="1"/>
    <n v="67.5"/>
  </r>
  <r>
    <x v="1"/>
    <n v="67.5"/>
  </r>
  <r>
    <x v="0"/>
    <n v="84"/>
  </r>
  <r>
    <x v="0"/>
    <n v="69"/>
  </r>
  <r>
    <x v="0"/>
    <n v="68.5"/>
  </r>
  <r>
    <x v="1"/>
    <n v="68"/>
  </r>
  <r>
    <x v="0"/>
    <n v="67"/>
  </r>
  <r>
    <x v="1"/>
    <n v="67"/>
  </r>
  <r>
    <x v="1"/>
    <n v="68.5"/>
  </r>
  <r>
    <x v="1"/>
    <n v="72"/>
  </r>
  <r>
    <x v="0"/>
    <n v="71"/>
  </r>
  <r>
    <x v="0"/>
    <n v="63"/>
  </r>
  <r>
    <x v="0"/>
    <n v="66"/>
  </r>
  <r>
    <x v="1"/>
    <n v="51.5"/>
  </r>
  <r>
    <x v="0"/>
    <n v="67"/>
  </r>
  <r>
    <x v="2"/>
    <n v="65.5"/>
  </r>
  <r>
    <x v="2"/>
    <n v="66"/>
  </r>
  <r>
    <x v="2"/>
    <n v="68.5"/>
  </r>
  <r>
    <x v="0"/>
    <n v="71"/>
  </r>
  <r>
    <x v="1"/>
    <n v="66"/>
  </r>
  <r>
    <x v="1"/>
    <n v="57"/>
  </r>
  <r>
    <x v="1"/>
    <n v="69"/>
  </r>
  <r>
    <x v="1"/>
    <n v="69"/>
  </r>
  <r>
    <x v="1"/>
    <n v="67.5"/>
  </r>
  <r>
    <x v="1"/>
    <n v="65"/>
  </r>
  <r>
    <x v="0"/>
    <n v="68"/>
  </r>
  <r>
    <x v="0"/>
    <n v="71"/>
  </r>
  <r>
    <x v="0"/>
    <n v="65"/>
  </r>
  <r>
    <x v="0"/>
    <n v="64"/>
  </r>
  <r>
    <x v="0"/>
    <n v="72"/>
  </r>
  <r>
    <x v="0"/>
    <n v="68"/>
  </r>
  <r>
    <x v="1"/>
    <n v="68.5"/>
  </r>
  <r>
    <x v="2"/>
    <n v="65.5"/>
  </r>
  <r>
    <x v="1"/>
    <n v="53"/>
  </r>
  <r>
    <x v="1"/>
    <n v="70"/>
  </r>
  <r>
    <x v="2"/>
    <n v="53"/>
  </r>
  <r>
    <x v="1"/>
    <n v="47"/>
  </r>
  <r>
    <x v="0"/>
    <n v="45"/>
  </r>
  <r>
    <x v="0"/>
    <n v="53.5"/>
  </r>
  <r>
    <x v="0"/>
    <n v="54"/>
  </r>
  <r>
    <x v="0"/>
    <n v="68"/>
  </r>
  <r>
    <x v="0"/>
    <n v="69"/>
  </r>
  <r>
    <x v="0"/>
    <n v="73"/>
  </r>
  <r>
    <x v="1"/>
    <n v="68"/>
  </r>
  <r>
    <x v="0"/>
    <n v="69"/>
  </r>
  <r>
    <x v="0"/>
    <n v="75"/>
  </r>
  <r>
    <x v="0"/>
    <n v="68"/>
  </r>
  <r>
    <x v="0"/>
    <n v="69"/>
  </r>
  <r>
    <x v="1"/>
    <n v="71"/>
  </r>
  <r>
    <x v="1"/>
    <n v="67"/>
  </r>
  <r>
    <x v="1"/>
    <n v="67"/>
  </r>
  <r>
    <x v="0"/>
    <n v="70"/>
  </r>
  <r>
    <x v="0"/>
    <n v="64"/>
  </r>
  <r>
    <x v="0"/>
    <n v="69"/>
  </r>
  <r>
    <x v="0"/>
    <n v="68"/>
  </r>
  <r>
    <x v="0"/>
    <n v="71"/>
  </r>
  <r>
    <x v="2"/>
    <n v="71"/>
  </r>
  <r>
    <x v="2"/>
    <n v="74"/>
  </r>
  <r>
    <x v="2"/>
    <n v="70"/>
  </r>
  <r>
    <x v="2"/>
    <n v="64"/>
  </r>
  <r>
    <x v="0"/>
    <n v="68"/>
  </r>
  <r>
    <x v="0"/>
    <n v="72"/>
  </r>
  <r>
    <x v="0"/>
    <n v="67"/>
  </r>
  <r>
    <x v="0"/>
    <n v="67"/>
  </r>
  <r>
    <x v="1"/>
    <n v="69"/>
  </r>
  <r>
    <x v="0"/>
    <n v="66"/>
  </r>
  <r>
    <x v="0"/>
    <n v="69"/>
  </r>
  <r>
    <x v="0"/>
    <n v="68"/>
  </r>
  <r>
    <x v="1"/>
    <n v="68"/>
  </r>
  <r>
    <x v="2"/>
    <n v="76"/>
  </r>
  <r>
    <x v="0"/>
    <n v="71"/>
  </r>
  <r>
    <x v="0"/>
    <n v="67"/>
  </r>
  <r>
    <x v="1"/>
    <n v="65.5"/>
  </r>
  <r>
    <x v="0"/>
    <n v="68"/>
  </r>
  <r>
    <x v="0"/>
    <n v="68"/>
  </r>
  <r>
    <x v="0"/>
    <n v="63"/>
  </r>
  <r>
    <x v="0"/>
    <n v="66"/>
  </r>
  <r>
    <x v="0"/>
    <n v="71"/>
  </r>
  <r>
    <x v="1"/>
    <n v="69"/>
  </r>
  <r>
    <x v="0"/>
    <n v="68"/>
  </r>
  <r>
    <x v="2"/>
    <n v="67"/>
  </r>
  <r>
    <x v="0"/>
    <n v="69"/>
  </r>
  <r>
    <x v="1"/>
    <n v="73"/>
  </r>
  <r>
    <x v="0"/>
    <n v="63"/>
  </r>
  <r>
    <x v="0"/>
    <n v="65"/>
  </r>
  <r>
    <x v="0"/>
    <n v="67"/>
  </r>
  <r>
    <x v="0"/>
    <n v="71"/>
  </r>
  <r>
    <x v="0"/>
    <n v="69"/>
  </r>
  <r>
    <x v="0"/>
    <n v="68"/>
  </r>
  <r>
    <x v="1"/>
    <n v="63"/>
  </r>
  <r>
    <x v="1"/>
    <n v="70"/>
  </r>
  <r>
    <x v="1"/>
    <n v="52"/>
  </r>
  <r>
    <x v="0"/>
    <n v="68"/>
  </r>
  <r>
    <x v="2"/>
    <n v="67"/>
  </r>
  <r>
    <x v="0"/>
    <n v="69"/>
  </r>
  <r>
    <x v="2"/>
    <n v="76"/>
  </r>
  <r>
    <x v="0"/>
    <n v="68"/>
  </r>
  <r>
    <x v="0"/>
    <n v="67"/>
  </r>
  <r>
    <x v="0"/>
    <n v="71"/>
  </r>
  <r>
    <x v="1"/>
    <n v="70"/>
  </r>
  <r>
    <x v="2"/>
    <n v="68"/>
  </r>
  <r>
    <x v="0"/>
    <n v="67"/>
  </r>
  <r>
    <x v="1"/>
    <n v="71"/>
  </r>
  <r>
    <x v="2"/>
    <n v="74"/>
  </r>
  <r>
    <x v="0"/>
    <n v="70"/>
  </r>
  <r>
    <x v="0"/>
    <n v="67"/>
  </r>
  <r>
    <x v="0"/>
    <n v="69"/>
  </r>
  <r>
    <x v="0"/>
    <n v="67"/>
  </r>
  <r>
    <x v="1"/>
    <n v="71"/>
  </r>
  <r>
    <x v="0"/>
    <n v="69"/>
  </r>
  <r>
    <x v="1"/>
    <n v="70"/>
  </r>
  <r>
    <x v="0"/>
    <n v="67.5"/>
  </r>
  <r>
    <x v="0"/>
    <n v="72"/>
  </r>
  <r>
    <x v="2"/>
    <n v="68"/>
  </r>
  <r>
    <x v="1"/>
    <n v="70"/>
  </r>
  <r>
    <x v="2"/>
    <n v="68"/>
  </r>
  <r>
    <x v="0"/>
    <n v="67"/>
  </r>
  <r>
    <x v="2"/>
    <n v="67.5"/>
  </r>
  <r>
    <x v="0"/>
    <n v="67"/>
  </r>
  <r>
    <x v="0"/>
    <n v="69"/>
  </r>
  <r>
    <x v="1"/>
    <n v="69"/>
  </r>
  <r>
    <x v="1"/>
    <n v="73"/>
  </r>
  <r>
    <x v="1"/>
    <n v="64"/>
  </r>
  <r>
    <x v="0"/>
    <n v="69"/>
  </r>
  <r>
    <x v="1"/>
    <n v="68"/>
  </r>
  <r>
    <x v="1"/>
    <n v="71"/>
  </r>
  <r>
    <x v="2"/>
    <n v="69"/>
  </r>
  <r>
    <x v="0"/>
    <n v="72"/>
  </r>
  <r>
    <x v="2"/>
    <n v="69"/>
  </r>
  <r>
    <x v="2"/>
    <n v="67"/>
  </r>
  <r>
    <x v="0"/>
    <n v="68"/>
  </r>
  <r>
    <x v="0"/>
    <n v="68"/>
  </r>
  <r>
    <x v="0"/>
    <n v="74"/>
  </r>
  <r>
    <x v="0"/>
    <n v="60"/>
  </r>
  <r>
    <x v="0"/>
    <n v="72"/>
  </r>
  <r>
    <x v="1"/>
    <n v="84"/>
  </r>
  <r>
    <x v="0"/>
    <n v="67"/>
  </r>
  <r>
    <x v="2"/>
    <n v="69"/>
  </r>
  <r>
    <x v="1"/>
    <n v="75"/>
  </r>
  <r>
    <x v="2"/>
    <n v="71"/>
  </r>
  <r>
    <x v="2"/>
    <n v="70"/>
  </r>
  <r>
    <x v="2"/>
    <n v="64"/>
  </r>
  <r>
    <x v="1"/>
    <n v="68"/>
  </r>
  <r>
    <x v="1"/>
    <n v="71"/>
  </r>
  <r>
    <x v="0"/>
    <n v="69"/>
  </r>
  <r>
    <x v="0"/>
    <n v="69"/>
  </r>
  <r>
    <x v="0"/>
    <n v="68.5"/>
  </r>
  <r>
    <x v="0"/>
    <n v="71"/>
  </r>
  <r>
    <x v="0"/>
    <n v="68"/>
  </r>
  <r>
    <x v="0"/>
    <n v="67"/>
  </r>
  <r>
    <x v="0"/>
    <n v="70"/>
  </r>
  <r>
    <x v="1"/>
    <n v="73"/>
  </r>
  <r>
    <x v="1"/>
    <n v="64"/>
  </r>
  <r>
    <x v="1"/>
    <n v="68"/>
  </r>
  <r>
    <x v="1"/>
    <n v="68"/>
  </r>
  <r>
    <x v="1"/>
    <n v="69"/>
  </r>
  <r>
    <x v="1"/>
    <n v="67"/>
  </r>
  <r>
    <x v="2"/>
    <n v="62"/>
  </r>
  <r>
    <x v="1"/>
    <n v="71"/>
  </r>
  <r>
    <x v="0"/>
    <n v="68"/>
  </r>
  <r>
    <x v="0"/>
    <n v="71"/>
  </r>
  <r>
    <x v="0"/>
    <n v="68"/>
  </r>
  <r>
    <x v="1"/>
    <n v="53"/>
  </r>
  <r>
    <x v="0"/>
    <n v="64"/>
  </r>
  <r>
    <x v="0"/>
    <n v="75"/>
  </r>
  <r>
    <x v="0"/>
    <n v="69"/>
  </r>
  <r>
    <x v="1"/>
    <n v="74"/>
  </r>
  <r>
    <x v="0"/>
    <n v="63"/>
  </r>
  <r>
    <x v="0"/>
    <n v="66"/>
  </r>
  <r>
    <x v="1"/>
    <n v="67"/>
  </r>
  <r>
    <x v="0"/>
    <n v="67"/>
  </r>
  <r>
    <x v="0"/>
    <n v="65"/>
  </r>
  <r>
    <x v="0"/>
    <n v="72"/>
  </r>
  <r>
    <x v="0"/>
    <n v="69"/>
  </r>
  <r>
    <x v="0"/>
    <n v="66"/>
  </r>
  <r>
    <x v="0"/>
    <n v="71"/>
  </r>
  <r>
    <x v="0"/>
    <n v="69"/>
  </r>
  <r>
    <x v="0"/>
    <n v="75"/>
  </r>
  <r>
    <x v="0"/>
    <n v="68.5"/>
  </r>
  <r>
    <x v="0"/>
    <n v="69"/>
  </r>
  <r>
    <x v="0"/>
    <n v="71"/>
  </r>
  <r>
    <x v="0"/>
    <n v="63"/>
  </r>
  <r>
    <x v="0"/>
    <n v="65"/>
  </r>
  <r>
    <x v="0"/>
    <n v="67.5"/>
  </r>
  <r>
    <x v="1"/>
    <n v="72"/>
  </r>
  <r>
    <x v="1"/>
    <n v="70"/>
  </r>
  <r>
    <x v="0"/>
    <n v="67"/>
  </r>
  <r>
    <x v="0"/>
    <n v="68"/>
  </r>
  <r>
    <x v="0"/>
    <n v="74"/>
  </r>
  <r>
    <x v="2"/>
    <n v="69"/>
  </r>
  <r>
    <x v="0"/>
    <n v="66"/>
  </r>
  <r>
    <x v="0"/>
    <n v="75"/>
  </r>
  <r>
    <x v="0"/>
    <n v="68"/>
  </r>
  <r>
    <x v="0"/>
    <n v="68"/>
  </r>
  <r>
    <x v="1"/>
    <n v="75"/>
  </r>
  <r>
    <x v="1"/>
    <n v="69"/>
  </r>
  <r>
    <x v="0"/>
    <n v="65.5"/>
  </r>
  <r>
    <x v="0"/>
    <n v="75"/>
  </r>
  <r>
    <x v="0"/>
    <n v="68"/>
  </r>
  <r>
    <x v="0"/>
    <n v="71"/>
  </r>
  <r>
    <x v="1"/>
    <n v="57.5"/>
  </r>
  <r>
    <x v="1"/>
    <n v="42"/>
  </r>
  <r>
    <x v="1"/>
    <n v="46"/>
  </r>
  <r>
    <x v="2"/>
    <n v="58.5"/>
  </r>
  <r>
    <x v="1"/>
    <n v="41.5"/>
  </r>
  <r>
    <x v="2"/>
    <n v="71"/>
  </r>
  <r>
    <x v="1"/>
    <n v="74"/>
  </r>
  <r>
    <x v="1"/>
    <n v="71"/>
  </r>
  <r>
    <x v="1"/>
    <n v="67"/>
  </r>
  <r>
    <x v="1"/>
    <n v="67"/>
  </r>
  <r>
    <x v="1"/>
    <n v="72"/>
  </r>
  <r>
    <x v="1"/>
    <n v="66"/>
  </r>
  <r>
    <x v="1"/>
    <n v="70"/>
  </r>
  <r>
    <x v="1"/>
    <n v="69"/>
  </r>
  <r>
    <x v="0"/>
    <n v="74"/>
  </r>
  <r>
    <x v="0"/>
    <n v="71"/>
  </r>
  <r>
    <x v="1"/>
    <n v="69"/>
  </r>
  <r>
    <x v="0"/>
    <n v="68"/>
  </r>
  <r>
    <x v="0"/>
    <n v="73"/>
  </r>
  <r>
    <x v="1"/>
    <n v="71"/>
  </r>
  <r>
    <x v="0"/>
    <n v="60"/>
  </r>
  <r>
    <x v="1"/>
    <n v="93"/>
  </r>
  <r>
    <x v="1"/>
    <n v="50"/>
  </r>
  <r>
    <x v="0"/>
    <n v="68"/>
  </r>
  <r>
    <x v="0"/>
    <n v="69"/>
  </r>
  <r>
    <x v="2"/>
    <n v="69"/>
  </r>
  <r>
    <x v="0"/>
    <n v="68.5"/>
  </r>
  <r>
    <x v="0"/>
    <n v="69"/>
  </r>
  <r>
    <x v="0"/>
    <n v="71"/>
  </r>
  <r>
    <x v="0"/>
    <n v="69"/>
  </r>
  <r>
    <x v="0"/>
    <n v="66"/>
  </r>
  <r>
    <x v="0"/>
    <n v="65"/>
  </r>
  <r>
    <x v="0"/>
    <n v="68"/>
  </r>
  <r>
    <x v="2"/>
    <n v="71"/>
  </r>
  <r>
    <x v="0"/>
    <n v="61"/>
  </r>
  <r>
    <x v="0"/>
    <n v="71"/>
  </r>
  <r>
    <x v="0"/>
    <n v="65"/>
  </r>
  <r>
    <x v="0"/>
    <n v="69"/>
  </r>
  <r>
    <x v="0"/>
    <n v="68"/>
  </r>
  <r>
    <x v="0"/>
    <n v="68"/>
  </r>
  <r>
    <x v="0"/>
    <n v="62"/>
  </r>
  <r>
    <x v="0"/>
    <n v="72"/>
  </r>
  <r>
    <x v="1"/>
    <n v="69"/>
  </r>
  <r>
    <x v="0"/>
    <n v="68"/>
  </r>
  <r>
    <x v="1"/>
    <n v="68"/>
  </r>
  <r>
    <x v="1"/>
    <n v="71"/>
  </r>
  <r>
    <x v="1"/>
    <n v="67"/>
  </r>
  <r>
    <x v="1"/>
    <n v="69"/>
  </r>
  <r>
    <x v="1"/>
    <n v="67"/>
  </r>
  <r>
    <x v="1"/>
    <n v="66"/>
  </r>
  <r>
    <x v="0"/>
    <n v="68.5"/>
  </r>
  <r>
    <x v="0"/>
    <n v="68"/>
  </r>
  <r>
    <x v="0"/>
    <n v="66"/>
  </r>
  <r>
    <x v="0"/>
    <n v="71"/>
  </r>
  <r>
    <x v="0"/>
    <n v="65"/>
  </r>
  <r>
    <x v="0"/>
    <n v="64"/>
  </r>
  <r>
    <x v="0"/>
    <n v="69"/>
  </r>
  <r>
    <x v="0"/>
    <n v="67"/>
  </r>
  <r>
    <x v="1"/>
    <n v="69"/>
  </r>
  <r>
    <x v="1"/>
    <n v="64"/>
  </r>
  <r>
    <x v="1"/>
    <n v="69"/>
  </r>
  <r>
    <x v="0"/>
    <n v="68"/>
  </r>
  <r>
    <x v="1"/>
    <n v="67"/>
  </r>
  <r>
    <x v="0"/>
    <n v="67.5"/>
  </r>
  <r>
    <x v="0"/>
    <n v="69"/>
  </r>
  <r>
    <x v="0"/>
    <n v="67"/>
  </r>
  <r>
    <x v="1"/>
    <n v="66"/>
  </r>
  <r>
    <x v="2"/>
    <n v="68"/>
  </r>
  <r>
    <x v="2"/>
    <n v="70"/>
  </r>
  <r>
    <x v="2"/>
    <n v="67"/>
  </r>
  <r>
    <x v="1"/>
    <n v="73"/>
  </r>
  <r>
    <x v="1"/>
    <n v="68"/>
  </r>
  <r>
    <x v="2"/>
    <n v="66"/>
  </r>
  <r>
    <x v="1"/>
    <n v="61"/>
  </r>
  <r>
    <x v="1"/>
    <n v="71"/>
  </r>
  <r>
    <x v="1"/>
    <n v="69"/>
  </r>
  <r>
    <x v="0"/>
    <n v="70"/>
  </r>
  <r>
    <x v="0"/>
    <n v="69"/>
  </r>
  <r>
    <x v="0"/>
    <n v="71"/>
  </r>
  <r>
    <x v="2"/>
    <n v="69"/>
  </r>
  <r>
    <x v="0"/>
    <n v="70"/>
  </r>
  <r>
    <x v="2"/>
    <n v="65"/>
  </r>
  <r>
    <x v="2"/>
    <n v="73"/>
  </r>
  <r>
    <x v="0"/>
    <n v="66"/>
  </r>
  <r>
    <x v="0"/>
    <n v="71"/>
  </r>
  <r>
    <x v="0"/>
    <n v="66"/>
  </r>
  <r>
    <x v="2"/>
    <n v="67"/>
  </r>
  <r>
    <x v="1"/>
    <n v="73"/>
  </r>
  <r>
    <x v="0"/>
    <n v="68"/>
  </r>
  <r>
    <x v="0"/>
    <n v="66"/>
  </r>
  <r>
    <x v="1"/>
    <n v="65"/>
  </r>
  <r>
    <x v="0"/>
    <n v="73"/>
  </r>
  <r>
    <x v="0"/>
    <n v="73"/>
  </r>
  <r>
    <x v="0"/>
    <n v="74"/>
  </r>
  <r>
    <x v="1"/>
    <n v="61"/>
  </r>
  <r>
    <x v="0"/>
    <n v="64"/>
  </r>
  <r>
    <x v="0"/>
    <n v="54"/>
  </r>
  <r>
    <x v="2"/>
    <n v="70"/>
  </r>
  <r>
    <x v="0"/>
    <n v="73"/>
  </r>
  <r>
    <x v="0"/>
    <n v="68"/>
  </r>
  <r>
    <x v="0"/>
    <n v="69"/>
  </r>
  <r>
    <x v="0"/>
    <n v="69"/>
  </r>
  <r>
    <x v="1"/>
    <n v="68"/>
  </r>
  <r>
    <x v="0"/>
    <n v="68"/>
  </r>
  <r>
    <x v="0"/>
    <n v="95"/>
  </r>
  <r>
    <x v="0"/>
    <n v="85.5"/>
  </r>
  <r>
    <x v="1"/>
    <n v="69"/>
  </r>
  <r>
    <x v="0"/>
    <n v="64"/>
  </r>
  <r>
    <x v="0"/>
    <n v="64"/>
  </r>
  <r>
    <x v="1"/>
    <n v="68"/>
  </r>
  <r>
    <x v="1"/>
    <n v="69"/>
  </r>
  <r>
    <x v="1"/>
    <n v="53"/>
  </r>
  <r>
    <x v="0"/>
    <n v="63"/>
  </r>
  <r>
    <x v="0"/>
    <n v="62"/>
  </r>
  <r>
    <x v="0"/>
    <n v="69"/>
  </r>
  <r>
    <x v="0"/>
    <n v="61"/>
  </r>
  <r>
    <x v="0"/>
    <n v="74"/>
  </r>
  <r>
    <x v="2"/>
    <n v="75"/>
  </r>
  <r>
    <x v="1"/>
    <n v="63"/>
  </r>
  <r>
    <x v="2"/>
    <n v="66"/>
  </r>
  <r>
    <x v="1"/>
    <n v="69"/>
  </r>
  <r>
    <x v="0"/>
    <n v="73"/>
  </r>
  <r>
    <x v="0"/>
    <n v="74"/>
  </r>
  <r>
    <x v="0"/>
    <n v="71"/>
  </r>
  <r>
    <x v="1"/>
    <n v="70"/>
  </r>
  <r>
    <x v="1"/>
    <n v="74"/>
  </r>
  <r>
    <x v="0"/>
    <n v="67"/>
  </r>
  <r>
    <x v="0"/>
    <n v="69"/>
  </r>
  <r>
    <x v="1"/>
    <n v="71"/>
  </r>
  <r>
    <x v="0"/>
    <n v="69"/>
  </r>
  <r>
    <x v="1"/>
    <n v="61"/>
  </r>
  <r>
    <x v="2"/>
    <n v="74"/>
  </r>
  <r>
    <x v="0"/>
    <n v="74"/>
  </r>
  <r>
    <x v="1"/>
    <n v="74"/>
  </r>
  <r>
    <x v="0"/>
    <n v="69"/>
  </r>
  <r>
    <x v="1"/>
    <n v="67"/>
  </r>
  <r>
    <x v="0"/>
    <n v="67"/>
  </r>
  <r>
    <x v="1"/>
    <n v="68"/>
  </r>
  <r>
    <x v="1"/>
    <n v="71"/>
  </r>
  <r>
    <x v="2"/>
    <n v="65"/>
  </r>
  <r>
    <x v="1"/>
    <n v="66"/>
  </r>
  <r>
    <x v="0"/>
    <n v="65"/>
  </r>
  <r>
    <x v="1"/>
    <n v="72"/>
  </r>
  <r>
    <x v="0"/>
    <n v="68"/>
  </r>
  <r>
    <x v="1"/>
    <n v="73"/>
  </r>
  <r>
    <x v="1"/>
    <n v="70"/>
  </r>
  <r>
    <x v="0"/>
    <n v="68"/>
  </r>
  <r>
    <x v="0"/>
    <n v="79"/>
  </r>
  <r>
    <x v="0"/>
    <n v="67"/>
  </r>
  <r>
    <x v="0"/>
    <n v="73"/>
  </r>
  <r>
    <x v="2"/>
    <n v="67"/>
  </r>
  <r>
    <x v="0"/>
    <n v="71"/>
  </r>
  <r>
    <x v="1"/>
    <n v="60"/>
  </r>
  <r>
    <x v="1"/>
    <n v="55"/>
  </r>
  <r>
    <x v="0"/>
    <n v="69"/>
  </r>
  <r>
    <x v="2"/>
    <n v="71"/>
  </r>
  <r>
    <x v="0"/>
    <n v="70"/>
  </r>
  <r>
    <x v="1"/>
    <n v="67"/>
  </r>
  <r>
    <x v="1"/>
    <n v="67"/>
  </r>
  <r>
    <x v="2"/>
    <n v="66"/>
  </r>
  <r>
    <x v="0"/>
    <n v="71"/>
  </r>
  <r>
    <x v="0"/>
    <n v="65"/>
  </r>
  <r>
    <x v="0"/>
    <n v="63"/>
  </r>
  <r>
    <x v="1"/>
    <n v="67"/>
  </r>
  <r>
    <x v="0"/>
    <n v="68.5"/>
  </r>
  <r>
    <x v="1"/>
    <n v="61"/>
  </r>
  <r>
    <x v="0"/>
    <n v="71"/>
  </r>
  <r>
    <x v="1"/>
    <n v="68"/>
  </r>
  <r>
    <x v="1"/>
    <n v="63"/>
  </r>
  <r>
    <x v="1"/>
    <n v="69"/>
  </r>
  <r>
    <x v="1"/>
    <n v="70"/>
  </r>
  <r>
    <x v="2"/>
    <n v="67"/>
  </r>
  <r>
    <x v="2"/>
    <n v="63"/>
  </r>
  <r>
    <x v="0"/>
    <n v="71"/>
  </r>
  <r>
    <x v="1"/>
    <n v="68.5"/>
  </r>
  <r>
    <x v="0"/>
    <n v="67"/>
  </r>
  <r>
    <x v="2"/>
    <n v="61"/>
  </r>
  <r>
    <x v="0"/>
    <n v="64"/>
  </r>
  <r>
    <x v="0"/>
    <n v="69"/>
  </r>
  <r>
    <x v="1"/>
    <n v="52"/>
  </r>
  <r>
    <x v="0"/>
    <n v="67"/>
  </r>
  <r>
    <x v="0"/>
    <n v="62"/>
  </r>
  <r>
    <x v="2"/>
    <n v="71"/>
  </r>
  <r>
    <x v="2"/>
    <n v="69"/>
  </r>
  <r>
    <x v="2"/>
    <n v="62"/>
  </r>
  <r>
    <x v="0"/>
    <n v="68"/>
  </r>
  <r>
    <x v="0"/>
    <n v="66.5"/>
  </r>
  <r>
    <x v="0"/>
    <n v="64"/>
  </r>
  <r>
    <x v="0"/>
    <n v="64"/>
  </r>
  <r>
    <x v="1"/>
    <n v="68"/>
  </r>
  <r>
    <x v="1"/>
    <n v="66"/>
  </r>
  <r>
    <x v="0"/>
    <n v="67"/>
  </r>
  <r>
    <x v="0"/>
    <n v="67"/>
  </r>
  <r>
    <x v="0"/>
    <n v="61"/>
  </r>
  <r>
    <x v="0"/>
    <n v="74"/>
  </r>
  <r>
    <x v="0"/>
    <n v="67"/>
  </r>
  <r>
    <x v="0"/>
    <n v="70"/>
  </r>
  <r>
    <x v="1"/>
    <n v="68"/>
  </r>
  <r>
    <x v="1"/>
    <n v="61"/>
  </r>
  <r>
    <x v="0"/>
    <n v="65"/>
  </r>
  <r>
    <x v="0"/>
    <n v="69"/>
  </r>
  <r>
    <x v="0"/>
    <n v="66"/>
  </r>
  <r>
    <x v="0"/>
    <n v="57"/>
  </r>
  <r>
    <x v="0"/>
    <n v="70"/>
  </r>
  <r>
    <x v="1"/>
    <n v="64"/>
  </r>
  <r>
    <x v="1"/>
    <n v="66"/>
  </r>
  <r>
    <x v="1"/>
    <n v="63"/>
  </r>
  <r>
    <x v="1"/>
    <n v="69"/>
  </r>
  <r>
    <x v="0"/>
    <n v="69"/>
  </r>
  <r>
    <x v="0"/>
    <n v="69"/>
  </r>
  <r>
    <x v="1"/>
    <n v="67"/>
  </r>
  <r>
    <x v="0"/>
    <n v="64"/>
  </r>
  <r>
    <x v="0"/>
    <n v="63"/>
  </r>
  <r>
    <x v="0"/>
    <n v="60"/>
  </r>
  <r>
    <x v="0"/>
    <n v="67"/>
  </r>
  <r>
    <x v="0"/>
    <n v="68"/>
  </r>
  <r>
    <x v="0"/>
    <n v="69"/>
  </r>
  <r>
    <x v="1"/>
    <n v="66"/>
  </r>
  <r>
    <x v="2"/>
    <n v="69"/>
  </r>
  <r>
    <x v="0"/>
    <n v="68"/>
  </r>
  <r>
    <x v="0"/>
    <n v="73"/>
  </r>
  <r>
    <x v="1"/>
    <n v="62"/>
  </r>
  <r>
    <x v="1"/>
    <n v="71"/>
  </r>
  <r>
    <x v="0"/>
    <n v="63"/>
  </r>
  <r>
    <x v="2"/>
    <n v="67"/>
  </r>
  <r>
    <x v="0"/>
    <n v="68"/>
  </r>
  <r>
    <x v="0"/>
    <n v="69"/>
  </r>
  <r>
    <x v="0"/>
    <n v="69"/>
  </r>
  <r>
    <x v="1"/>
    <n v="62"/>
  </r>
  <r>
    <x v="0"/>
    <n v="65"/>
  </r>
  <r>
    <x v="1"/>
    <n v="62"/>
  </r>
  <r>
    <x v="1"/>
    <n v="68"/>
  </r>
  <r>
    <x v="0"/>
    <n v="67"/>
  </r>
  <r>
    <x v="0"/>
    <n v="67"/>
  </r>
  <r>
    <x v="0"/>
    <n v="68"/>
  </r>
  <r>
    <x v="0"/>
    <n v="65"/>
  </r>
  <r>
    <x v="0"/>
    <n v="68"/>
  </r>
  <r>
    <x v="0"/>
    <n v="64"/>
  </r>
  <r>
    <x v="0"/>
    <n v="69"/>
  </r>
  <r>
    <x v="0"/>
    <n v="68"/>
  </r>
  <r>
    <x v="0"/>
    <n v="78"/>
  </r>
  <r>
    <x v="0"/>
    <n v="75"/>
  </r>
  <r>
    <x v="0"/>
    <n v="68"/>
  </r>
  <r>
    <x v="1"/>
    <n v="68"/>
  </r>
  <r>
    <x v="1"/>
    <n v="67"/>
  </r>
  <r>
    <x v="0"/>
    <n v="71"/>
  </r>
  <r>
    <x v="0"/>
    <n v="68"/>
  </r>
  <r>
    <x v="0"/>
    <n v="67"/>
  </r>
  <r>
    <x v="0"/>
    <n v="68"/>
  </r>
  <r>
    <x v="0"/>
    <n v="73.5"/>
  </r>
  <r>
    <x v="0"/>
    <n v="81.5"/>
  </r>
  <r>
    <x v="0"/>
    <n v="69.5"/>
  </r>
  <r>
    <x v="0"/>
    <n v="75.5"/>
  </r>
  <r>
    <x v="0"/>
    <n v="68"/>
  </r>
  <r>
    <x v="0"/>
    <n v="66"/>
  </r>
  <r>
    <x v="0"/>
    <n v="62"/>
  </r>
  <r>
    <x v="2"/>
    <n v="72"/>
  </r>
  <r>
    <x v="0"/>
    <n v="71"/>
  </r>
  <r>
    <x v="0"/>
    <n v="72"/>
  </r>
  <r>
    <x v="1"/>
    <n v="71"/>
  </r>
  <r>
    <x v="1"/>
    <n v="69"/>
  </r>
  <r>
    <x v="1"/>
    <n v="69"/>
  </r>
  <r>
    <x v="0"/>
    <n v="67"/>
  </r>
  <r>
    <x v="0"/>
    <n v="67"/>
  </r>
  <r>
    <x v="0"/>
    <n v="64"/>
  </r>
  <r>
    <x v="0"/>
    <n v="67"/>
  </r>
  <r>
    <x v="0"/>
    <n v="68"/>
  </r>
  <r>
    <x v="0"/>
    <n v="66"/>
  </r>
  <r>
    <x v="1"/>
    <n v="67"/>
  </r>
  <r>
    <x v="0"/>
    <n v="64"/>
  </r>
  <r>
    <x v="0"/>
    <n v="63"/>
  </r>
  <r>
    <x v="1"/>
    <n v="61"/>
  </r>
  <r>
    <x v="0"/>
    <n v="71"/>
  </r>
  <r>
    <x v="0"/>
    <n v="68"/>
  </r>
  <r>
    <x v="0"/>
    <n v="67"/>
  </r>
  <r>
    <x v="0"/>
    <n v="60"/>
  </r>
  <r>
    <x v="0"/>
    <n v="66"/>
  </r>
  <r>
    <x v="0"/>
    <n v="60"/>
  </r>
  <r>
    <x v="0"/>
    <n v="67"/>
  </r>
  <r>
    <x v="0"/>
    <n v="69"/>
  </r>
  <r>
    <x v="0"/>
    <n v="63"/>
  </r>
  <r>
    <x v="2"/>
    <n v="65"/>
  </r>
  <r>
    <x v="0"/>
    <n v="65"/>
  </r>
  <r>
    <x v="0"/>
    <n v="68"/>
  </r>
  <r>
    <x v="0"/>
    <n v="61"/>
  </r>
  <r>
    <x v="0"/>
    <n v="66"/>
  </r>
  <r>
    <x v="0"/>
    <n v="68"/>
  </r>
  <r>
    <x v="1"/>
    <n v="66"/>
  </r>
  <r>
    <x v="0"/>
    <n v="71"/>
  </r>
  <r>
    <x v="0"/>
    <n v="60"/>
  </r>
  <r>
    <x v="0"/>
    <n v="69"/>
  </r>
  <r>
    <x v="0"/>
    <n v="65"/>
  </r>
  <r>
    <x v="1"/>
    <n v="64"/>
  </r>
  <r>
    <x v="0"/>
    <n v="69"/>
  </r>
  <r>
    <x v="0"/>
    <n v="68"/>
  </r>
  <r>
    <x v="0"/>
    <n v="64"/>
  </r>
  <r>
    <x v="0"/>
    <n v="69"/>
  </r>
  <r>
    <x v="0"/>
    <n v="66"/>
  </r>
  <r>
    <x v="0"/>
    <n v="66"/>
  </r>
  <r>
    <x v="0"/>
    <n v="65"/>
  </r>
  <r>
    <x v="0"/>
    <n v="55"/>
  </r>
  <r>
    <x v="2"/>
    <n v="63"/>
  </r>
  <r>
    <x v="0"/>
    <n v="65"/>
  </r>
  <r>
    <x v="1"/>
    <n v="66"/>
  </r>
  <r>
    <x v="0"/>
    <n v="71"/>
  </r>
  <r>
    <x v="0"/>
    <n v="66"/>
  </r>
  <r>
    <x v="0"/>
    <n v="67"/>
  </r>
  <r>
    <x v="0"/>
    <n v="67"/>
  </r>
  <r>
    <x v="0"/>
    <n v="67"/>
  </r>
  <r>
    <x v="1"/>
    <n v="67"/>
  </r>
  <r>
    <x v="0"/>
    <n v="62"/>
  </r>
  <r>
    <x v="2"/>
    <n v="63"/>
  </r>
  <r>
    <x v="1"/>
    <n v="60"/>
  </r>
  <r>
    <x v="0"/>
    <n v="70"/>
  </r>
  <r>
    <x v="0"/>
    <n v="68"/>
  </r>
  <r>
    <x v="0"/>
    <n v="65"/>
  </r>
  <r>
    <x v="1"/>
    <n v="57"/>
  </r>
  <r>
    <x v="1"/>
    <n v="65"/>
  </r>
  <r>
    <x v="2"/>
    <n v="59"/>
  </r>
  <r>
    <x v="2"/>
    <n v="64"/>
  </r>
  <r>
    <x v="1"/>
    <n v="63"/>
  </r>
  <r>
    <x v="0"/>
    <n v="68"/>
  </r>
  <r>
    <x v="0"/>
    <n v="67"/>
  </r>
  <r>
    <x v="0"/>
    <n v="54"/>
  </r>
  <r>
    <x v="1"/>
    <n v="69"/>
  </r>
  <r>
    <x v="1"/>
    <n v="68"/>
  </r>
  <r>
    <x v="0"/>
    <n v="64"/>
  </r>
  <r>
    <x v="0"/>
    <n v="65"/>
  </r>
  <r>
    <x v="0"/>
    <n v="61"/>
  </r>
  <r>
    <x v="0"/>
    <n v="58.5"/>
  </r>
  <r>
    <x v="2"/>
    <n v="63"/>
  </r>
  <r>
    <x v="2"/>
    <n v="58"/>
  </r>
  <r>
    <x v="0"/>
    <n v="64"/>
  </r>
  <r>
    <x v="0"/>
    <n v="57"/>
  </r>
  <r>
    <x v="1"/>
    <n v="65"/>
  </r>
  <r>
    <x v="1"/>
    <n v="52.5"/>
  </r>
  <r>
    <x v="2"/>
    <n v="68"/>
  </r>
  <r>
    <x v="1"/>
    <n v="59"/>
  </r>
  <r>
    <x v="1"/>
    <n v="61"/>
  </r>
  <r>
    <x v="1"/>
    <n v="67"/>
  </r>
  <r>
    <x v="0"/>
    <n v="65"/>
  </r>
  <r>
    <x v="1"/>
    <n v="64"/>
  </r>
  <r>
    <x v="2"/>
    <n v="51"/>
  </r>
  <r>
    <x v="0"/>
    <n v="68"/>
  </r>
  <r>
    <x v="2"/>
    <n v="61"/>
  </r>
  <r>
    <x v="0"/>
    <n v="61"/>
  </r>
  <r>
    <x v="0"/>
    <n v="64"/>
  </r>
  <r>
    <x v="0"/>
    <n v="52"/>
  </r>
  <r>
    <x v="0"/>
    <n v="42"/>
  </r>
  <r>
    <x v="1"/>
    <n v="66"/>
  </r>
  <r>
    <x v="2"/>
    <n v="62"/>
  </r>
  <r>
    <x v="1"/>
    <n v="66"/>
  </r>
  <r>
    <x v="1"/>
    <n v="57"/>
  </r>
  <r>
    <x v="2"/>
    <n v="66"/>
  </r>
  <r>
    <x v="0"/>
    <n v="67"/>
  </r>
  <r>
    <x v="0"/>
    <n v="69"/>
  </r>
  <r>
    <x v="0"/>
    <n v="63"/>
  </r>
  <r>
    <x v="1"/>
    <n v="61"/>
  </r>
  <r>
    <x v="1"/>
    <n v="40"/>
  </r>
  <r>
    <x v="0"/>
    <n v="64"/>
  </r>
  <r>
    <x v="1"/>
    <n v="64"/>
  </r>
  <r>
    <x v="2"/>
    <n v="58"/>
  </r>
  <r>
    <x v="2"/>
    <n v="65.5"/>
  </r>
  <r>
    <x v="1"/>
    <n v="67"/>
  </r>
  <r>
    <x v="2"/>
    <n v="61"/>
  </r>
  <r>
    <x v="2"/>
    <n v="62"/>
  </r>
  <r>
    <x v="1"/>
    <n v="61"/>
  </r>
  <r>
    <x v="1"/>
    <n v="69"/>
  </r>
  <r>
    <x v="0"/>
    <n v="69"/>
  </r>
  <r>
    <x v="0"/>
    <n v="65.5"/>
  </r>
  <r>
    <x v="0"/>
    <n v="61"/>
  </r>
  <r>
    <x v="0"/>
    <n v="62"/>
  </r>
  <r>
    <x v="1"/>
    <n v="72.5"/>
  </r>
  <r>
    <x v="1"/>
    <n v="60"/>
  </r>
  <r>
    <x v="1"/>
    <n v="62"/>
  </r>
  <r>
    <x v="1"/>
    <n v="66"/>
  </r>
  <r>
    <x v="0"/>
    <n v="53"/>
  </r>
  <r>
    <x v="0"/>
    <n v="60"/>
  </r>
  <r>
    <x v="1"/>
    <n v="66"/>
  </r>
  <r>
    <x v="0"/>
    <n v="63.5"/>
  </r>
  <r>
    <x v="0"/>
    <n v="70"/>
  </r>
  <r>
    <x v="0"/>
    <n v="63"/>
  </r>
  <r>
    <x v="0"/>
    <n v="59"/>
  </r>
  <r>
    <x v="0"/>
    <n v="57.5"/>
  </r>
  <r>
    <x v="0"/>
    <n v="67"/>
  </r>
  <r>
    <x v="0"/>
    <n v="64"/>
  </r>
  <r>
    <x v="0"/>
    <n v="66"/>
  </r>
  <r>
    <x v="0"/>
    <n v="66"/>
  </r>
  <r>
    <x v="0"/>
    <n v="56"/>
  </r>
  <r>
    <x v="0"/>
    <n v="57"/>
  </r>
  <r>
    <x v="0"/>
    <n v="57"/>
  </r>
  <r>
    <x v="1"/>
    <n v="69"/>
  </r>
  <r>
    <x v="0"/>
    <n v="68"/>
  </r>
  <r>
    <x v="0"/>
    <n v="65"/>
  </r>
  <r>
    <x v="0"/>
    <n v="69"/>
  </r>
  <r>
    <x v="1"/>
    <n v="65"/>
  </r>
  <r>
    <x v="2"/>
    <n v="64.5"/>
  </r>
  <r>
    <x v="2"/>
    <n v="70"/>
  </r>
  <r>
    <x v="0"/>
    <n v="71"/>
  </r>
  <r>
    <x v="2"/>
    <n v="62"/>
  </r>
  <r>
    <x v="0"/>
    <n v="62"/>
  </r>
  <r>
    <x v="1"/>
    <n v="58.5"/>
  </r>
  <r>
    <x v="1"/>
    <n v="69.5"/>
  </r>
  <r>
    <x v="0"/>
    <n v="64"/>
  </r>
  <r>
    <x v="0"/>
    <n v="70"/>
  </r>
  <r>
    <x v="1"/>
    <n v="69"/>
  </r>
  <r>
    <x v="0"/>
    <n v="60"/>
  </r>
  <r>
    <x v="0"/>
    <n v="64"/>
  </r>
  <r>
    <x v="0"/>
    <n v="61.5"/>
  </r>
  <r>
    <x v="0"/>
    <n v="59.5"/>
  </r>
  <r>
    <x v="1"/>
    <n v="62"/>
  </r>
  <r>
    <x v="0"/>
    <n v="68"/>
  </r>
  <r>
    <x v="2"/>
    <n v="62"/>
  </r>
  <r>
    <x v="1"/>
    <n v="63"/>
  </r>
  <r>
    <x v="0"/>
    <n v="66"/>
  </r>
  <r>
    <x v="0"/>
    <n v="64"/>
  </r>
  <r>
    <x v="0"/>
    <n v="66"/>
  </r>
  <r>
    <x v="1"/>
    <n v="71"/>
  </r>
  <r>
    <x v="0"/>
    <n v="66"/>
  </r>
  <r>
    <x v="0"/>
    <n v="66"/>
  </r>
  <r>
    <x v="0"/>
    <n v="63"/>
  </r>
  <r>
    <x v="0"/>
    <n v="53"/>
  </r>
  <r>
    <x v="0"/>
    <n v="65"/>
  </r>
  <r>
    <x v="0"/>
    <n v="66"/>
  </r>
  <r>
    <x v="0"/>
    <n v="64"/>
  </r>
  <r>
    <x v="0"/>
    <n v="58"/>
  </r>
  <r>
    <x v="0"/>
    <n v="67"/>
  </r>
  <r>
    <x v="0"/>
    <n v="63"/>
  </r>
  <r>
    <x v="0"/>
    <n v="61"/>
  </r>
  <r>
    <x v="0"/>
    <n v="64"/>
  </r>
  <r>
    <x v="0"/>
    <n v="60"/>
  </r>
  <r>
    <x v="0"/>
    <n v="68"/>
  </r>
  <r>
    <x v="0"/>
    <n v="67"/>
  </r>
  <r>
    <x v="2"/>
    <n v="62"/>
  </r>
  <r>
    <x v="0"/>
    <n v="69"/>
  </r>
  <r>
    <x v="0"/>
    <n v="65"/>
  </r>
  <r>
    <x v="0"/>
    <n v="65"/>
  </r>
  <r>
    <x v="0"/>
    <n v="70"/>
  </r>
  <r>
    <x v="0"/>
    <n v="72"/>
  </r>
  <r>
    <x v="0"/>
    <n v="64"/>
  </r>
  <r>
    <x v="1"/>
    <n v="68"/>
  </r>
  <r>
    <x v="1"/>
    <n v="68"/>
  </r>
  <r>
    <x v="1"/>
    <n v="68"/>
  </r>
  <r>
    <x v="0"/>
    <n v="65"/>
  </r>
  <r>
    <x v="0"/>
    <n v="64"/>
  </r>
  <r>
    <x v="0"/>
    <n v="70"/>
  </r>
  <r>
    <x v="0"/>
    <n v="65"/>
  </r>
  <r>
    <x v="0"/>
    <n v="66"/>
  </r>
  <r>
    <x v="0"/>
    <n v="70"/>
  </r>
  <r>
    <x v="1"/>
    <n v="63.5"/>
  </r>
  <r>
    <x v="0"/>
    <n v="64"/>
  </r>
  <r>
    <x v="0"/>
    <n v="55"/>
  </r>
  <r>
    <x v="0"/>
    <n v="64"/>
  </r>
  <r>
    <x v="1"/>
    <n v="63"/>
  </r>
  <r>
    <x v="0"/>
    <n v="65"/>
  </r>
  <r>
    <x v="2"/>
    <n v="66"/>
  </r>
  <r>
    <x v="0"/>
    <n v="63"/>
  </r>
  <r>
    <x v="1"/>
    <n v="67"/>
  </r>
  <r>
    <x v="0"/>
    <n v="67"/>
  </r>
  <r>
    <x v="0"/>
    <n v="69"/>
  </r>
  <r>
    <x v="0"/>
    <n v="69"/>
  </r>
  <r>
    <x v="2"/>
    <n v="70"/>
  </r>
  <r>
    <x v="0"/>
    <n v="66"/>
  </r>
  <r>
    <x v="0"/>
    <n v="62"/>
  </r>
  <r>
    <x v="0"/>
    <n v="65"/>
  </r>
  <r>
    <x v="0"/>
    <n v="63"/>
  </r>
  <r>
    <x v="0"/>
    <n v="65.5"/>
  </r>
  <r>
    <x v="2"/>
    <n v="70"/>
  </r>
  <r>
    <x v="0"/>
    <n v="67"/>
  </r>
  <r>
    <x v="1"/>
    <n v="44"/>
  </r>
  <r>
    <x v="1"/>
    <n v="42"/>
  </r>
  <r>
    <x v="1"/>
    <n v="67"/>
  </r>
  <r>
    <x v="1"/>
    <n v="71"/>
  </r>
  <r>
    <x v="0"/>
    <n v="69"/>
  </r>
  <r>
    <x v="0"/>
    <n v="70"/>
  </r>
  <r>
    <x v="0"/>
    <n v="67"/>
  </r>
  <r>
    <x v="0"/>
    <n v="68"/>
  </r>
  <r>
    <x v="0"/>
    <n v="70"/>
  </r>
  <r>
    <x v="0"/>
    <n v="70"/>
  </r>
  <r>
    <x v="0"/>
    <n v="72"/>
  </r>
  <r>
    <x v="0"/>
    <n v="62.5"/>
  </r>
  <r>
    <x v="0"/>
    <n v="67.5"/>
  </r>
  <r>
    <x v="1"/>
    <n v="63"/>
  </r>
  <r>
    <x v="1"/>
    <n v="62"/>
  </r>
  <r>
    <x v="0"/>
    <n v="65"/>
  </r>
  <r>
    <x v="1"/>
    <n v="70"/>
  </r>
  <r>
    <x v="1"/>
    <n v="59"/>
  </r>
  <r>
    <x v="1"/>
    <n v="61.5"/>
  </r>
  <r>
    <x v="0"/>
    <n v="68"/>
  </r>
  <r>
    <x v="0"/>
    <n v="62"/>
  </r>
  <r>
    <x v="0"/>
    <n v="63.5"/>
  </r>
  <r>
    <x v="0"/>
    <n v="69"/>
  </r>
  <r>
    <x v="1"/>
    <n v="72"/>
  </r>
  <r>
    <x v="0"/>
    <n v="65"/>
  </r>
  <r>
    <x v="1"/>
    <n v="47"/>
  </r>
  <r>
    <x v="1"/>
    <n v="63.5"/>
  </r>
  <r>
    <x v="0"/>
    <n v="57.5"/>
  </r>
  <r>
    <x v="0"/>
    <n v="60"/>
  </r>
  <r>
    <x v="0"/>
    <n v="74"/>
  </r>
  <r>
    <x v="0"/>
    <n v="66.5"/>
  </r>
  <r>
    <x v="1"/>
    <n v="58"/>
  </r>
  <r>
    <x v="1"/>
    <n v="68"/>
  </r>
  <r>
    <x v="0"/>
    <n v="62"/>
  </r>
  <r>
    <x v="0"/>
    <n v="68"/>
  </r>
  <r>
    <x v="0"/>
    <n v="66"/>
  </r>
  <r>
    <x v="0"/>
    <n v="65"/>
  </r>
  <r>
    <x v="1"/>
    <n v="66"/>
  </r>
  <r>
    <x v="1"/>
    <n v="72"/>
  </r>
  <r>
    <x v="2"/>
    <n v="71"/>
  </r>
  <r>
    <x v="2"/>
    <n v="66"/>
  </r>
  <r>
    <x v="2"/>
    <n v="62"/>
  </r>
  <r>
    <x v="0"/>
    <n v="69"/>
  </r>
  <r>
    <x v="0"/>
    <n v="60"/>
  </r>
  <r>
    <x v="1"/>
    <n v="67"/>
  </r>
  <r>
    <x v="0"/>
    <n v="65"/>
  </r>
  <r>
    <x v="0"/>
    <n v="66"/>
  </r>
  <r>
    <x v="2"/>
    <n v="63"/>
  </r>
  <r>
    <x v="0"/>
    <n v="67"/>
  </r>
  <r>
    <x v="1"/>
    <n v="72"/>
  </r>
  <r>
    <x v="0"/>
    <n v="60"/>
  </r>
  <r>
    <x v="0"/>
    <n v="62.5"/>
  </r>
  <r>
    <x v="1"/>
    <n v="67"/>
  </r>
  <r>
    <x v="1"/>
    <n v="69"/>
  </r>
  <r>
    <x v="0"/>
    <n v="66"/>
  </r>
  <r>
    <x v="0"/>
    <n v="72"/>
  </r>
  <r>
    <x v="1"/>
    <n v="70"/>
  </r>
  <r>
    <x v="0"/>
    <n v="78"/>
  </r>
  <r>
    <x v="0"/>
    <n v="60"/>
  </r>
  <r>
    <x v="0"/>
    <n v="62.5"/>
  </r>
  <r>
    <x v="0"/>
    <n v="65"/>
  </r>
  <r>
    <x v="0"/>
    <n v="54"/>
  </r>
  <r>
    <x v="0"/>
    <n v="70"/>
  </r>
  <r>
    <x v="1"/>
    <n v="49.5"/>
  </r>
  <r>
    <x v="1"/>
    <n v="74"/>
  </r>
  <r>
    <x v="0"/>
    <n v="69"/>
  </r>
  <r>
    <x v="0"/>
    <n v="63.5"/>
  </r>
  <r>
    <x v="2"/>
    <n v="69"/>
  </r>
  <r>
    <x v="0"/>
    <n v="70"/>
  </r>
  <r>
    <x v="2"/>
    <n v="65.5"/>
  </r>
  <r>
    <x v="0"/>
    <n v="79"/>
  </r>
  <r>
    <x v="0"/>
    <n v="67"/>
  </r>
  <r>
    <x v="0"/>
    <n v="72"/>
  </r>
  <r>
    <x v="1"/>
    <n v="50"/>
  </r>
  <r>
    <x v="0"/>
    <n v="64"/>
  </r>
  <r>
    <x v="0"/>
    <n v="65"/>
  </r>
  <r>
    <x v="2"/>
    <n v="69"/>
  </r>
  <r>
    <x v="0"/>
    <n v="71"/>
  </r>
  <r>
    <x v="0"/>
    <n v="77"/>
  </r>
  <r>
    <x v="0"/>
    <n v="63"/>
  </r>
  <r>
    <x v="0"/>
    <n v="66"/>
  </r>
  <r>
    <x v="0"/>
    <n v="68"/>
  </r>
  <r>
    <x v="0"/>
    <n v="66"/>
  </r>
  <r>
    <x v="1"/>
    <n v="72"/>
  </r>
  <r>
    <x v="0"/>
    <n v="68"/>
  </r>
  <r>
    <x v="0"/>
    <n v="68"/>
  </r>
  <r>
    <x v="2"/>
    <n v="65"/>
  </r>
  <r>
    <x v="0"/>
    <n v="65.5"/>
  </r>
  <r>
    <x v="0"/>
    <n v="68"/>
  </r>
  <r>
    <x v="0"/>
    <n v="64"/>
  </r>
  <r>
    <x v="0"/>
    <n v="65"/>
  </r>
  <r>
    <x v="0"/>
    <n v="66"/>
  </r>
  <r>
    <x v="2"/>
    <n v="67"/>
  </r>
  <r>
    <x v="1"/>
    <n v="65"/>
  </r>
  <r>
    <x v="1"/>
    <n v="67"/>
  </r>
  <r>
    <x v="0"/>
    <n v="63"/>
  </r>
  <r>
    <x v="0"/>
    <n v="67"/>
  </r>
  <r>
    <x v="0"/>
    <n v="59"/>
  </r>
  <r>
    <x v="0"/>
    <n v="59.5"/>
  </r>
  <r>
    <x v="0"/>
    <n v="56"/>
  </r>
  <r>
    <x v="2"/>
    <n v="65.5"/>
  </r>
  <r>
    <x v="1"/>
    <n v="61.5"/>
  </r>
  <r>
    <x v="2"/>
    <n v="66"/>
  </r>
  <r>
    <x v="0"/>
    <n v="64.5"/>
  </r>
  <r>
    <x v="0"/>
    <n v="69"/>
  </r>
  <r>
    <x v="0"/>
    <n v="66"/>
  </r>
  <r>
    <x v="0"/>
    <n v="68"/>
  </r>
  <r>
    <x v="0"/>
    <n v="66"/>
  </r>
  <r>
    <x v="0"/>
    <n v="67"/>
  </r>
  <r>
    <x v="0"/>
    <n v="65.5"/>
  </r>
  <r>
    <x v="0"/>
    <n v="68.5"/>
  </r>
  <r>
    <x v="0"/>
    <n v="70"/>
  </r>
  <r>
    <x v="0"/>
    <n v="65"/>
  </r>
  <r>
    <x v="0"/>
    <n v="69"/>
  </r>
  <r>
    <x v="0"/>
    <n v="53"/>
  </r>
  <r>
    <x v="0"/>
    <n v="61"/>
  </r>
  <r>
    <x v="1"/>
    <n v="72.5"/>
  </r>
  <r>
    <x v="1"/>
    <n v="68"/>
  </r>
  <r>
    <x v="1"/>
    <n v="66"/>
  </r>
  <r>
    <x v="0"/>
    <n v="71"/>
  </r>
  <r>
    <x v="0"/>
    <n v="64.5"/>
  </r>
  <r>
    <x v="0"/>
    <n v="66"/>
  </r>
  <r>
    <x v="0"/>
    <n v="65"/>
  </r>
  <r>
    <x v="0"/>
    <n v="43"/>
  </r>
  <r>
    <x v="0"/>
    <n v="66"/>
  </r>
  <r>
    <x v="2"/>
    <n v="66"/>
  </r>
  <r>
    <x v="1"/>
    <n v="66.5"/>
  </r>
  <r>
    <x v="2"/>
    <n v="75"/>
  </r>
  <r>
    <x v="2"/>
    <n v="64"/>
  </r>
  <r>
    <x v="0"/>
    <n v="66"/>
  </r>
  <r>
    <x v="0"/>
    <n v="65"/>
  </r>
  <r>
    <x v="0"/>
    <n v="62"/>
  </r>
  <r>
    <x v="0"/>
    <n v="64.5"/>
  </r>
  <r>
    <x v="0"/>
    <n v="55"/>
  </r>
  <r>
    <x v="0"/>
    <n v="45"/>
  </r>
  <r>
    <x v="1"/>
    <n v="70"/>
  </r>
  <r>
    <x v="0"/>
    <n v="66"/>
  </r>
  <r>
    <x v="0"/>
    <n v="72"/>
  </r>
  <r>
    <x v="1"/>
    <n v="69"/>
  </r>
  <r>
    <x v="2"/>
    <n v="82"/>
  </r>
  <r>
    <x v="0"/>
    <n v="67"/>
  </r>
  <r>
    <x v="0"/>
    <n v="73"/>
  </r>
  <r>
    <x v="0"/>
    <n v="64.5"/>
  </r>
  <r>
    <x v="0"/>
    <n v="65"/>
  </r>
  <r>
    <x v="0"/>
    <n v="66"/>
  </r>
  <r>
    <x v="0"/>
    <n v="64.5"/>
  </r>
  <r>
    <x v="0"/>
    <n v="64"/>
  </r>
  <r>
    <x v="0"/>
    <n v="60.5"/>
  </r>
  <r>
    <x v="0"/>
    <n v="64"/>
  </r>
  <r>
    <x v="2"/>
    <n v="73"/>
  </r>
  <r>
    <x v="0"/>
    <n v="67"/>
  </r>
  <r>
    <x v="0"/>
    <n v="67"/>
  </r>
  <r>
    <x v="0"/>
    <n v="66.5"/>
  </r>
  <r>
    <x v="0"/>
    <n v="65.5"/>
  </r>
  <r>
    <x v="0"/>
    <n v="63"/>
  </r>
  <r>
    <x v="1"/>
    <n v="61.5"/>
  </r>
  <r>
    <x v="0"/>
    <n v="68"/>
  </r>
  <r>
    <x v="0"/>
    <n v="66.5"/>
  </r>
  <r>
    <x v="2"/>
    <n v="66.5"/>
  </r>
  <r>
    <x v="0"/>
    <n v="70"/>
  </r>
  <r>
    <x v="2"/>
    <n v="62"/>
  </r>
  <r>
    <x v="0"/>
    <n v="66"/>
  </r>
  <r>
    <x v="0"/>
    <n v="66"/>
  </r>
  <r>
    <x v="0"/>
    <n v="66"/>
  </r>
  <r>
    <x v="1"/>
    <n v="66"/>
  </r>
  <r>
    <x v="2"/>
    <n v="57.5"/>
  </r>
  <r>
    <x v="0"/>
    <n v="68.5"/>
  </r>
  <r>
    <x v="0"/>
    <n v="63"/>
  </r>
  <r>
    <x v="2"/>
    <n v="70"/>
  </r>
  <r>
    <x v="0"/>
    <n v="66"/>
  </r>
  <r>
    <x v="1"/>
    <n v="65"/>
  </r>
  <r>
    <x v="0"/>
    <n v="66.5"/>
  </r>
  <r>
    <x v="0"/>
    <n v="57"/>
  </r>
  <r>
    <x v="0"/>
    <n v="67"/>
  </r>
  <r>
    <x v="0"/>
    <n v="64"/>
  </r>
  <r>
    <x v="0"/>
    <n v="68"/>
  </r>
  <r>
    <x v="0"/>
    <n v="68"/>
  </r>
  <r>
    <x v="0"/>
    <n v="61.5"/>
  </r>
  <r>
    <x v="0"/>
    <n v="70.5"/>
  </r>
  <r>
    <x v="0"/>
    <n v="70"/>
  </r>
  <r>
    <x v="0"/>
    <n v="73.5"/>
  </r>
  <r>
    <x v="0"/>
    <n v="68"/>
  </r>
  <r>
    <x v="0"/>
    <n v="73"/>
  </r>
  <r>
    <x v="0"/>
    <n v="74"/>
  </r>
  <r>
    <x v="1"/>
    <n v="47.5"/>
  </r>
  <r>
    <x v="0"/>
    <n v="73.5"/>
  </r>
  <r>
    <x v="1"/>
    <n v="58.5"/>
  </r>
  <r>
    <x v="0"/>
    <n v="58"/>
  </r>
  <r>
    <x v="1"/>
    <n v="63"/>
  </r>
  <r>
    <x v="0"/>
    <n v="67"/>
  </r>
  <r>
    <x v="0"/>
    <n v="66"/>
  </r>
  <r>
    <x v="0"/>
    <n v="68"/>
  </r>
  <r>
    <x v="0"/>
    <n v="69"/>
  </r>
  <r>
    <x v="0"/>
    <n v="67"/>
  </r>
  <r>
    <x v="0"/>
    <n v="65"/>
  </r>
  <r>
    <x v="0"/>
    <n v="70"/>
  </r>
  <r>
    <x v="0"/>
    <n v="66.5"/>
  </r>
  <r>
    <x v="0"/>
    <n v="67"/>
  </r>
  <r>
    <x v="0"/>
    <n v="68.5"/>
  </r>
  <r>
    <x v="2"/>
    <n v="67"/>
  </r>
  <r>
    <x v="0"/>
    <n v="67"/>
  </r>
  <r>
    <x v="0"/>
    <n v="69"/>
  </r>
  <r>
    <x v="0"/>
    <n v="69"/>
  </r>
  <r>
    <x v="0"/>
    <n v="71"/>
  </r>
  <r>
    <x v="0"/>
    <n v="67"/>
  </r>
  <r>
    <x v="0"/>
    <n v="64"/>
  </r>
  <r>
    <x v="0"/>
    <n v="61"/>
  </r>
  <r>
    <x v="0"/>
    <n v="61"/>
  </r>
  <r>
    <x v="1"/>
    <n v="51.5"/>
  </r>
  <r>
    <x v="1"/>
    <n v="49"/>
  </r>
  <r>
    <x v="0"/>
    <n v="69"/>
  </r>
  <r>
    <x v="0"/>
    <n v="67.5"/>
  </r>
  <r>
    <x v="0"/>
    <n v="67.5"/>
  </r>
  <r>
    <x v="0"/>
    <n v="56.5"/>
  </r>
  <r>
    <x v="0"/>
    <n v="67"/>
  </r>
  <r>
    <x v="0"/>
    <n v="71"/>
  </r>
  <r>
    <x v="0"/>
    <n v="64.5"/>
  </r>
  <r>
    <x v="0"/>
    <n v="65"/>
  </r>
  <r>
    <x v="0"/>
    <n v="68"/>
  </r>
  <r>
    <x v="0"/>
    <n v="63"/>
  </r>
  <r>
    <x v="0"/>
    <n v="71.5"/>
  </r>
  <r>
    <x v="0"/>
    <n v="68"/>
  </r>
  <r>
    <x v="0"/>
    <n v="67"/>
  </r>
  <r>
    <x v="0"/>
    <n v="67"/>
  </r>
  <r>
    <x v="0"/>
    <n v="64.5"/>
  </r>
  <r>
    <x v="1"/>
    <n v="76.5"/>
  </r>
  <r>
    <x v="0"/>
    <n v="63.5"/>
  </r>
  <r>
    <x v="0"/>
    <n v="68.5"/>
  </r>
  <r>
    <x v="1"/>
    <n v="64"/>
  </r>
  <r>
    <x v="0"/>
    <n v="59.5"/>
  </r>
  <r>
    <x v="0"/>
    <n v="64"/>
  </r>
  <r>
    <x v="0"/>
    <n v="74"/>
  </r>
  <r>
    <x v="0"/>
    <n v="66.5"/>
  </r>
  <r>
    <x v="0"/>
    <n v="67"/>
  </r>
  <r>
    <x v="0"/>
    <n v="71"/>
  </r>
  <r>
    <x v="2"/>
    <n v="66"/>
  </r>
  <r>
    <x v="0"/>
    <n v="68"/>
  </r>
  <r>
    <x v="0"/>
    <n v="68"/>
  </r>
  <r>
    <x v="0"/>
    <n v="65"/>
  </r>
  <r>
    <x v="0"/>
    <n v="61.5"/>
  </r>
  <r>
    <x v="0"/>
    <n v="65"/>
  </r>
  <r>
    <x v="0"/>
    <n v="70"/>
  </r>
  <r>
    <x v="0"/>
    <n v="73"/>
  </r>
  <r>
    <x v="0"/>
    <n v="70.5"/>
  </r>
  <r>
    <x v="0"/>
    <n v="74.5"/>
  </r>
  <r>
    <x v="0"/>
    <n v="68"/>
  </r>
  <r>
    <x v="1"/>
    <n v="72"/>
  </r>
  <r>
    <x v="0"/>
    <n v="66.5"/>
  </r>
  <r>
    <x v="0"/>
    <n v="63"/>
  </r>
  <r>
    <x v="0"/>
    <n v="66"/>
  </r>
  <r>
    <x v="0"/>
    <n v="70.5"/>
  </r>
  <r>
    <x v="0"/>
    <n v="64"/>
  </r>
  <r>
    <x v="0"/>
    <n v="70"/>
  </r>
  <r>
    <x v="0"/>
    <n v="73"/>
  </r>
  <r>
    <x v="0"/>
    <n v="70"/>
  </r>
  <r>
    <x v="0"/>
    <n v="69.5"/>
  </r>
  <r>
    <x v="2"/>
    <n v="69.5"/>
  </r>
  <r>
    <x v="0"/>
    <n v="71"/>
  </r>
  <r>
    <x v="0"/>
    <n v="67.5"/>
  </r>
  <r>
    <x v="0"/>
    <n v="74"/>
  </r>
  <r>
    <x v="0"/>
    <n v="66"/>
  </r>
  <r>
    <x v="0"/>
    <n v="67"/>
  </r>
  <r>
    <x v="0"/>
    <n v="71"/>
  </r>
  <r>
    <x v="0"/>
    <n v="64"/>
  </r>
  <r>
    <x v="0"/>
    <n v="70"/>
  </r>
  <r>
    <x v="1"/>
    <n v="73"/>
  </r>
  <r>
    <x v="1"/>
    <n v="67"/>
  </r>
  <r>
    <x v="0"/>
    <n v="65"/>
  </r>
  <r>
    <x v="0"/>
    <n v="68"/>
  </r>
  <r>
    <x v="0"/>
    <n v="66.5"/>
  </r>
  <r>
    <x v="0"/>
    <n v="69"/>
  </r>
  <r>
    <x v="0"/>
    <n v="72"/>
  </r>
  <r>
    <x v="0"/>
    <n v="65"/>
  </r>
  <r>
    <x v="1"/>
    <n v="68"/>
  </r>
  <r>
    <x v="2"/>
    <n v="70.5"/>
  </r>
  <r>
    <x v="0"/>
    <n v="65"/>
  </r>
  <r>
    <x v="0"/>
    <n v="68.5"/>
  </r>
  <r>
    <x v="0"/>
    <n v="68.5"/>
  </r>
  <r>
    <x v="0"/>
    <n v="74.5"/>
  </r>
  <r>
    <x v="0"/>
    <n v="64.5"/>
  </r>
  <r>
    <x v="0"/>
    <n v="58.5"/>
  </r>
  <r>
    <x v="0"/>
    <n v="61"/>
  </r>
  <r>
    <x v="1"/>
    <n v="50"/>
  </r>
  <r>
    <x v="1"/>
    <n v="54"/>
  </r>
  <r>
    <x v="1"/>
    <n v="51"/>
  </r>
  <r>
    <x v="1"/>
    <n v="50"/>
  </r>
  <r>
    <x v="1"/>
    <n v="49.5"/>
  </r>
  <r>
    <x v="0"/>
    <n v="74.5"/>
  </r>
  <r>
    <x v="0"/>
    <n v="65"/>
  </r>
  <r>
    <x v="0"/>
    <n v="73"/>
  </r>
  <r>
    <x v="0"/>
    <n v="61.5"/>
  </r>
  <r>
    <x v="0"/>
    <n v="65"/>
  </r>
  <r>
    <x v="0"/>
    <n v="65.5"/>
  </r>
  <r>
    <x v="0"/>
    <n v="74"/>
  </r>
  <r>
    <x v="0"/>
    <n v="75"/>
  </r>
  <r>
    <x v="0"/>
    <n v="74"/>
  </r>
  <r>
    <x v="0"/>
    <n v="64.5"/>
  </r>
  <r>
    <x v="0"/>
    <n v="78"/>
  </r>
  <r>
    <x v="0"/>
    <n v="67.5"/>
  </r>
  <r>
    <x v="0"/>
    <n v="74.5"/>
  </r>
  <r>
    <x v="0"/>
    <n v="76.5"/>
  </r>
  <r>
    <x v="1"/>
    <n v="68.5"/>
  </r>
  <r>
    <x v="0"/>
    <n v="74.5"/>
  </r>
  <r>
    <x v="0"/>
    <n v="62.5"/>
  </r>
  <r>
    <x v="0"/>
    <n v="69"/>
  </r>
  <r>
    <x v="0"/>
    <n v="63.5"/>
  </r>
  <r>
    <x v="0"/>
    <n v="74"/>
  </r>
  <r>
    <x v="0"/>
    <n v="77"/>
  </r>
  <r>
    <x v="0"/>
    <n v="69"/>
  </r>
  <r>
    <x v="0"/>
    <n v="60.5"/>
  </r>
  <r>
    <x v="0"/>
    <n v="56"/>
  </r>
  <r>
    <x v="0"/>
    <n v="62"/>
  </r>
  <r>
    <x v="0"/>
    <n v="67"/>
  </r>
  <r>
    <x v="0"/>
    <n v="53.5"/>
  </r>
  <r>
    <x v="0"/>
    <n v="65"/>
  </r>
  <r>
    <x v="0"/>
    <n v="67.5"/>
  </r>
  <r>
    <x v="0"/>
    <n v="74.5"/>
  </r>
  <r>
    <x v="0"/>
    <n v="76.5"/>
  </r>
  <r>
    <x v="0"/>
    <n v="47.5"/>
  </r>
  <r>
    <x v="0"/>
    <n v="47"/>
  </r>
  <r>
    <x v="0"/>
    <n v="66.5"/>
  </r>
  <r>
    <x v="0"/>
    <n v="65.5"/>
  </r>
  <r>
    <x v="0"/>
    <n v="77.5"/>
  </r>
  <r>
    <x v="0"/>
    <n v="64.5"/>
  </r>
  <r>
    <x v="0"/>
    <n v="67.5"/>
  </r>
  <r>
    <x v="0"/>
    <n v="62"/>
  </r>
  <r>
    <x v="0"/>
    <n v="67"/>
  </r>
  <r>
    <x v="0"/>
    <n v="66.5"/>
  </r>
  <r>
    <x v="0"/>
    <n v="65"/>
  </r>
  <r>
    <x v="0"/>
    <n v="54"/>
  </r>
  <r>
    <x v="2"/>
    <n v="59"/>
  </r>
  <r>
    <x v="0"/>
    <n v="53.5"/>
  </r>
  <r>
    <x v="0"/>
    <n v="62"/>
  </r>
  <r>
    <x v="0"/>
    <n v="65"/>
  </r>
  <r>
    <x v="0"/>
    <n v="64"/>
  </r>
  <r>
    <x v="0"/>
    <n v="76"/>
  </r>
  <r>
    <x v="0"/>
    <n v="64"/>
  </r>
  <r>
    <x v="0"/>
    <n v="88.5"/>
  </r>
  <r>
    <x v="0"/>
    <n v="67.5"/>
  </r>
  <r>
    <x v="0"/>
    <n v="70"/>
  </r>
  <r>
    <x v="0"/>
    <n v="75"/>
  </r>
  <r>
    <x v="0"/>
    <n v="63.5"/>
  </r>
  <r>
    <x v="0"/>
    <n v="51.5"/>
  </r>
  <r>
    <x v="0"/>
    <n v="80"/>
  </r>
  <r>
    <x v="1"/>
    <n v="82.5"/>
  </r>
  <r>
    <x v="0"/>
    <n v="72"/>
  </r>
  <r>
    <x v="0"/>
    <n v="62"/>
  </r>
  <r>
    <x v="1"/>
    <n v="60"/>
  </r>
  <r>
    <x v="1"/>
    <n v="69.5"/>
  </r>
  <r>
    <x v="1"/>
    <n v="67"/>
  </r>
  <r>
    <x v="0"/>
    <n v="69.5"/>
  </r>
  <r>
    <x v="0"/>
    <n v="65"/>
  </r>
  <r>
    <x v="0"/>
    <n v="79"/>
  </r>
  <r>
    <x v="0"/>
    <n v="75"/>
  </r>
  <r>
    <x v="0"/>
    <n v="56"/>
  </r>
  <r>
    <x v="0"/>
    <n v="63"/>
  </r>
  <r>
    <x v="0"/>
    <n v="55.5"/>
  </r>
  <r>
    <x v="0"/>
    <n v="75.5"/>
  </r>
  <r>
    <x v="0"/>
    <n v="70"/>
  </r>
  <r>
    <x v="0"/>
    <n v="75"/>
  </r>
  <r>
    <x v="0"/>
    <n v="69"/>
  </r>
  <r>
    <x v="0"/>
    <n v="69.5"/>
  </r>
  <r>
    <x v="0"/>
    <n v="66.5"/>
  </r>
  <r>
    <x v="0"/>
    <n v="64"/>
  </r>
  <r>
    <x v="1"/>
    <n v="56"/>
  </r>
  <r>
    <x v="0"/>
    <n v="65"/>
  </r>
  <r>
    <x v="0"/>
    <n v="71.5"/>
  </r>
  <r>
    <x v="0"/>
    <n v="76.5"/>
  </r>
  <r>
    <x v="0"/>
    <n v="60.5"/>
  </r>
  <r>
    <x v="0"/>
    <n v="57"/>
  </r>
  <r>
    <x v="0"/>
    <n v="70.5"/>
  </r>
  <r>
    <x v="1"/>
    <n v="67.5"/>
  </r>
  <r>
    <x v="0"/>
    <n v="58.5"/>
  </r>
  <r>
    <x v="1"/>
    <n v="51"/>
  </r>
  <r>
    <x v="0"/>
    <n v="80"/>
  </r>
  <r>
    <x v="0"/>
    <n v="59.5"/>
  </r>
  <r>
    <x v="0"/>
    <n v="74.5"/>
  </r>
  <r>
    <x v="0"/>
    <n v="60.5"/>
  </r>
  <r>
    <x v="1"/>
    <n v="75"/>
  </r>
  <r>
    <x v="0"/>
    <n v="57.5"/>
  </r>
  <r>
    <x v="0"/>
    <n v="75"/>
  </r>
  <r>
    <x v="0"/>
    <n v="68.5"/>
  </r>
  <r>
    <x v="0"/>
    <n v="64"/>
  </r>
  <r>
    <x v="0"/>
    <n v="77.5"/>
  </r>
  <r>
    <x v="2"/>
    <n v="57.5"/>
  </r>
  <r>
    <x v="0"/>
    <n v="55"/>
  </r>
  <r>
    <x v="0"/>
    <n v="65"/>
  </r>
  <r>
    <x v="0"/>
    <n v="56.5"/>
  </r>
  <r>
    <x v="0"/>
    <n v="59"/>
  </r>
  <r>
    <x v="0"/>
    <n v="87.5"/>
  </r>
  <r>
    <x v="0"/>
    <n v="60"/>
  </r>
  <r>
    <x v="0"/>
    <n v="76.5"/>
  </r>
  <r>
    <x v="0"/>
    <n v="60.5"/>
  </r>
  <r>
    <x v="0"/>
    <n v="66"/>
  </r>
  <r>
    <x v="0"/>
    <n v="66"/>
  </r>
  <r>
    <x v="1"/>
    <n v="54.5"/>
  </r>
  <r>
    <x v="1"/>
    <n v="60"/>
  </r>
  <r>
    <x v="0"/>
    <n v="52.5"/>
  </r>
  <r>
    <x v="0"/>
    <n v="69"/>
  </r>
  <r>
    <x v="0"/>
    <n v="64.5"/>
  </r>
  <r>
    <x v="0"/>
    <n v="71"/>
  </r>
  <r>
    <x v="0"/>
    <n v="79.5"/>
  </r>
  <r>
    <x v="0"/>
    <n v="61.5"/>
  </r>
  <r>
    <x v="1"/>
    <n v="68.5"/>
  </r>
  <r>
    <x v="2"/>
    <n v="64.5"/>
  </r>
  <r>
    <x v="0"/>
    <n v="70"/>
  </r>
  <r>
    <x v="0"/>
    <n v="67"/>
  </r>
  <r>
    <x v="0"/>
    <n v="57"/>
  </r>
  <r>
    <x v="0"/>
    <n v="73"/>
  </r>
  <r>
    <x v="2"/>
    <n v="62"/>
  </r>
  <r>
    <x v="0"/>
    <n v="60"/>
  </r>
  <r>
    <x v="0"/>
    <n v="61"/>
  </r>
  <r>
    <x v="0"/>
    <n v="64"/>
  </r>
  <r>
    <x v="0"/>
    <n v="52.5"/>
  </r>
  <r>
    <x v="1"/>
    <n v="66.5"/>
  </r>
  <r>
    <x v="0"/>
    <n v="66.5"/>
  </r>
  <r>
    <x v="0"/>
    <n v="60"/>
  </r>
  <r>
    <x v="0"/>
    <n v="69"/>
  </r>
  <r>
    <x v="0"/>
    <n v="69"/>
  </r>
  <r>
    <x v="0"/>
    <n v="72"/>
  </r>
  <r>
    <x v="0"/>
    <n v="79.5"/>
  </r>
  <r>
    <x v="0"/>
    <n v="65.5"/>
  </r>
  <r>
    <x v="1"/>
    <n v="66"/>
  </r>
  <r>
    <x v="2"/>
    <n v="68"/>
  </r>
  <r>
    <x v="0"/>
    <n v="68"/>
  </r>
  <r>
    <x v="0"/>
    <n v="47"/>
  </r>
  <r>
    <x v="0"/>
    <n v="65.5"/>
  </r>
  <r>
    <x v="0"/>
    <n v="69.5"/>
  </r>
  <r>
    <x v="2"/>
    <n v="74.5"/>
  </r>
  <r>
    <x v="0"/>
    <n v="65"/>
  </r>
  <r>
    <x v="0"/>
    <n v="65.5"/>
  </r>
  <r>
    <x v="0"/>
    <n v="60"/>
  </r>
  <r>
    <x v="0"/>
    <n v="60.5"/>
  </r>
  <r>
    <x v="0"/>
    <n v="65"/>
  </r>
  <r>
    <x v="0"/>
    <n v="67"/>
  </r>
  <r>
    <x v="0"/>
    <n v="67.5"/>
  </r>
  <r>
    <x v="0"/>
    <n v="60"/>
  </r>
  <r>
    <x v="0"/>
    <n v="73"/>
  </r>
  <r>
    <x v="0"/>
    <n v="56.5"/>
  </r>
  <r>
    <x v="0"/>
    <n v="65"/>
  </r>
  <r>
    <x v="0"/>
    <n v="65"/>
  </r>
  <r>
    <x v="0"/>
    <n v="67"/>
  </r>
  <r>
    <x v="1"/>
    <n v="69"/>
  </r>
  <r>
    <x v="0"/>
    <n v="77.5"/>
  </r>
  <r>
    <x v="1"/>
    <n v="63.5"/>
  </r>
  <r>
    <x v="0"/>
    <n v="68"/>
  </r>
  <r>
    <x v="0"/>
    <n v="57.5"/>
  </r>
  <r>
    <x v="0"/>
    <n v="69.5"/>
  </r>
  <r>
    <x v="0"/>
    <n v="65.5"/>
  </r>
  <r>
    <x v="0"/>
    <n v="55"/>
  </r>
  <r>
    <x v="0"/>
    <n v="70.5"/>
  </r>
  <r>
    <x v="0"/>
    <n v="74"/>
  </r>
  <r>
    <x v="0"/>
    <n v="62"/>
  </r>
  <r>
    <x v="0"/>
    <n v="72"/>
  </r>
  <r>
    <x v="0"/>
    <n v="77"/>
  </r>
  <r>
    <x v="0"/>
    <n v="60.5"/>
  </r>
  <r>
    <x v="0"/>
    <n v="74"/>
  </r>
  <r>
    <x v="0"/>
    <n v="61.5"/>
  </r>
  <r>
    <x v="0"/>
    <n v="55"/>
  </r>
  <r>
    <x v="0"/>
    <n v="63.5"/>
  </r>
  <r>
    <x v="0"/>
    <n v="75.5"/>
  </r>
  <r>
    <x v="1"/>
    <n v="72"/>
  </r>
  <r>
    <x v="1"/>
    <n v="57.5"/>
  </r>
  <r>
    <x v="2"/>
    <n v="67.5"/>
  </r>
  <r>
    <x v="0"/>
    <n v="57"/>
  </r>
  <r>
    <x v="0"/>
    <n v="77"/>
  </r>
  <r>
    <x v="0"/>
    <n v="66.5"/>
  </r>
  <r>
    <x v="0"/>
    <n v="67"/>
  </r>
  <r>
    <x v="0"/>
    <n v="67.5"/>
  </r>
  <r>
    <x v="0"/>
    <n v="64"/>
  </r>
  <r>
    <x v="1"/>
    <n v="56"/>
  </r>
  <r>
    <x v="0"/>
    <n v="66"/>
  </r>
  <r>
    <x v="0"/>
    <n v="54"/>
  </r>
  <r>
    <x v="0"/>
    <n v="62"/>
  </r>
  <r>
    <x v="0"/>
    <n v="57.5"/>
  </r>
  <r>
    <x v="0"/>
    <n v="66"/>
  </r>
  <r>
    <x v="0"/>
    <n v="66.5"/>
  </r>
  <r>
    <x v="0"/>
    <n v="64"/>
  </r>
  <r>
    <x v="2"/>
    <n v="66.5"/>
  </r>
  <r>
    <x v="2"/>
    <n v="62.5"/>
  </r>
  <r>
    <x v="0"/>
    <n v="65"/>
  </r>
  <r>
    <x v="0"/>
    <n v="60.5"/>
  </r>
  <r>
    <x v="0"/>
    <n v="60"/>
  </r>
  <r>
    <x v="0"/>
    <n v="72.5"/>
  </r>
  <r>
    <x v="0"/>
    <n v="61.5"/>
  </r>
  <r>
    <x v="1"/>
    <n v="60.5"/>
  </r>
  <r>
    <x v="1"/>
    <n v="74.5"/>
  </r>
  <r>
    <x v="2"/>
    <n v="64.5"/>
  </r>
  <r>
    <x v="0"/>
    <n v="59"/>
  </r>
  <r>
    <x v="0"/>
    <n v="59"/>
  </r>
  <r>
    <x v="0"/>
    <n v="71.5"/>
  </r>
  <r>
    <x v="0"/>
    <n v="69"/>
  </r>
  <r>
    <x v="0"/>
    <n v="57.5"/>
  </r>
  <r>
    <x v="0"/>
    <n v="53"/>
  </r>
  <r>
    <x v="0"/>
    <n v="56"/>
  </r>
  <r>
    <x v="0"/>
    <n v="66"/>
  </r>
  <r>
    <x v="0"/>
    <n v="66"/>
  </r>
  <r>
    <x v="2"/>
    <n v="70.5"/>
  </r>
  <r>
    <x v="0"/>
    <n v="61.5"/>
  </r>
  <r>
    <x v="0"/>
    <n v="72.5"/>
  </r>
  <r>
    <x v="1"/>
    <n v="55.5"/>
  </r>
  <r>
    <x v="0"/>
    <n v="59"/>
  </r>
  <r>
    <x v="0"/>
    <n v="64.5"/>
  </r>
  <r>
    <x v="0"/>
    <n v="56.5"/>
  </r>
  <r>
    <x v="0"/>
    <n v="65.5"/>
  </r>
  <r>
    <x v="0"/>
    <n v="63.5"/>
  </r>
  <r>
    <x v="0"/>
    <n v="66"/>
  </r>
  <r>
    <x v="0"/>
    <n v="66.5"/>
  </r>
  <r>
    <x v="0"/>
    <n v="63"/>
  </r>
  <r>
    <x v="0"/>
    <n v="60"/>
  </r>
  <r>
    <x v="1"/>
    <n v="57"/>
  </r>
  <r>
    <x v="1"/>
    <n v="65.5"/>
  </r>
  <r>
    <x v="1"/>
    <n v="49.5"/>
  </r>
  <r>
    <x v="1"/>
    <n v="77"/>
  </r>
  <r>
    <x v="0"/>
    <n v="67.5"/>
  </r>
  <r>
    <x v="1"/>
    <n v="69.5"/>
  </r>
  <r>
    <x v="1"/>
    <n v="68.5"/>
  </r>
  <r>
    <x v="0"/>
    <n v="73.5"/>
  </r>
  <r>
    <x v="0"/>
    <n v="59.5"/>
  </r>
  <r>
    <x v="0"/>
    <n v="62.5"/>
  </r>
  <r>
    <x v="0"/>
    <n v="67"/>
  </r>
  <r>
    <x v="0"/>
    <n v="64.5"/>
  </r>
  <r>
    <x v="0"/>
    <n v="56"/>
  </r>
  <r>
    <x v="0"/>
    <n v="67"/>
  </r>
  <r>
    <x v="0"/>
    <n v="64.5"/>
  </r>
  <r>
    <x v="0"/>
    <n v="59"/>
  </r>
  <r>
    <x v="0"/>
    <n v="50.5"/>
  </r>
  <r>
    <x v="1"/>
    <n v="76"/>
  </r>
  <r>
    <x v="0"/>
    <n v="64"/>
  </r>
  <r>
    <x v="0"/>
    <n v="64.5"/>
  </r>
  <r>
    <x v="0"/>
    <n v="58"/>
  </r>
  <r>
    <x v="1"/>
    <n v="67"/>
  </r>
  <r>
    <x v="1"/>
    <n v="71"/>
  </r>
  <r>
    <x v="2"/>
    <n v="65"/>
  </r>
  <r>
    <x v="0"/>
    <n v="68.5"/>
  </r>
  <r>
    <x v="0"/>
    <n v="63.5"/>
  </r>
  <r>
    <x v="0"/>
    <n v="61"/>
  </r>
  <r>
    <x v="0"/>
    <n v="61"/>
  </r>
  <r>
    <x v="2"/>
    <n v="62.5"/>
  </r>
  <r>
    <x v="0"/>
    <n v="59.5"/>
  </r>
  <r>
    <x v="2"/>
    <n v="74"/>
  </r>
  <r>
    <x v="0"/>
    <n v="56.5"/>
  </r>
  <r>
    <x v="0"/>
    <n v="65.5"/>
  </r>
  <r>
    <x v="0"/>
    <n v="71"/>
  </r>
  <r>
    <x v="0"/>
    <n v="70"/>
  </r>
  <r>
    <x v="0"/>
    <n v="71"/>
  </r>
  <r>
    <x v="0"/>
    <n v="68.5"/>
  </r>
  <r>
    <x v="0"/>
    <n v="57"/>
  </r>
  <r>
    <x v="0"/>
    <n v="69.5"/>
  </r>
  <r>
    <x v="1"/>
    <n v="58.5"/>
  </r>
  <r>
    <x v="0"/>
    <n v="53"/>
  </r>
  <r>
    <x v="0"/>
    <n v="63.5"/>
  </r>
  <r>
    <x v="0"/>
    <n v="60"/>
  </r>
  <r>
    <x v="0"/>
    <n v="68.5"/>
  </r>
  <r>
    <x v="0"/>
    <n v="55.5"/>
  </r>
  <r>
    <x v="1"/>
    <n v="66"/>
  </r>
  <r>
    <x v="0"/>
    <n v="69"/>
  </r>
  <r>
    <x v="0"/>
    <n v="66"/>
  </r>
  <r>
    <x v="0"/>
    <n v="65.5"/>
  </r>
  <r>
    <x v="0"/>
    <n v="59"/>
  </r>
  <r>
    <x v="2"/>
    <n v="69"/>
  </r>
  <r>
    <x v="0"/>
    <n v="59.5"/>
  </r>
  <r>
    <x v="0"/>
    <n v="62.5"/>
  </r>
  <r>
    <x v="2"/>
    <n v="66.5"/>
  </r>
  <r>
    <x v="0"/>
    <n v="77"/>
  </r>
  <r>
    <x v="0"/>
    <n v="69.5"/>
  </r>
  <r>
    <x v="0"/>
    <n v="48.5"/>
  </r>
  <r>
    <x v="1"/>
    <n v="58"/>
  </r>
  <r>
    <x v="0"/>
    <n v="56"/>
  </r>
  <r>
    <x v="0"/>
    <n v="67"/>
  </r>
  <r>
    <x v="0"/>
    <n v="65.5"/>
  </r>
  <r>
    <x v="0"/>
    <n v="66"/>
  </r>
  <r>
    <x v="0"/>
    <n v="68"/>
  </r>
  <r>
    <x v="0"/>
    <n v="48.5"/>
  </r>
  <r>
    <x v="0"/>
    <n v="58.5"/>
  </r>
  <r>
    <x v="0"/>
    <n v="53.5"/>
  </r>
  <r>
    <x v="1"/>
    <n v="53"/>
  </r>
  <r>
    <x v="0"/>
    <n v="68"/>
  </r>
  <r>
    <x v="0"/>
    <n v="63"/>
  </r>
  <r>
    <x v="2"/>
    <n v="74"/>
  </r>
  <r>
    <x v="0"/>
    <n v="59.5"/>
  </r>
  <r>
    <x v="0"/>
    <n v="59"/>
  </r>
  <r>
    <x v="0"/>
    <n v="61.5"/>
  </r>
  <r>
    <x v="0"/>
    <n v="64.5"/>
  </r>
  <r>
    <x v="0"/>
    <n v="54.5"/>
  </r>
  <r>
    <x v="0"/>
    <n v="57.5"/>
  </r>
  <r>
    <x v="1"/>
    <n v="60"/>
  </r>
  <r>
    <x v="0"/>
    <n v="60.5"/>
  </r>
  <r>
    <x v="0"/>
    <n v="52.5"/>
  </r>
  <r>
    <x v="0"/>
    <n v="53"/>
  </r>
  <r>
    <x v="0"/>
    <n v="59"/>
  </r>
  <r>
    <x v="0"/>
    <n v="63"/>
  </r>
  <r>
    <x v="0"/>
    <n v="67"/>
  </r>
  <r>
    <x v="0"/>
    <n v="64"/>
  </r>
  <r>
    <x v="0"/>
    <n v="69"/>
  </r>
  <r>
    <x v="0"/>
    <n v="59.5"/>
  </r>
  <r>
    <x v="0"/>
    <n v="59"/>
  </r>
  <r>
    <x v="0"/>
    <n v="63"/>
  </r>
  <r>
    <x v="0"/>
    <n v="51.5"/>
  </r>
  <r>
    <x v="0"/>
    <n v="67.5"/>
  </r>
  <r>
    <x v="0"/>
    <n v="43"/>
  </r>
  <r>
    <x v="0"/>
    <n v="52.5"/>
  </r>
  <r>
    <x v="0"/>
    <n v="46.5"/>
  </r>
  <r>
    <x v="0"/>
    <n v="55.5"/>
  </r>
  <r>
    <x v="0"/>
    <n v="61"/>
  </r>
  <r>
    <x v="0"/>
    <n v="60.5"/>
  </r>
  <r>
    <x v="1"/>
    <n v="68.5"/>
  </r>
  <r>
    <x v="0"/>
    <n v="65"/>
  </r>
  <r>
    <x v="1"/>
    <n v="60"/>
  </r>
  <r>
    <x v="0"/>
    <n v="62.5"/>
  </r>
  <r>
    <x v="0"/>
    <n v="49.5"/>
  </r>
  <r>
    <x v="0"/>
    <n v="54.5"/>
  </r>
  <r>
    <x v="0"/>
    <n v="49"/>
  </r>
  <r>
    <x v="0"/>
    <n v="60"/>
  </r>
  <r>
    <x v="0"/>
    <n v="56"/>
  </r>
  <r>
    <x v="1"/>
    <n v="61"/>
  </r>
  <r>
    <x v="0"/>
    <n v="59"/>
  </r>
  <r>
    <x v="0"/>
    <n v="63"/>
  </r>
  <r>
    <x v="0"/>
    <n v="58"/>
  </r>
  <r>
    <x v="1"/>
    <n v="66"/>
  </r>
  <r>
    <x v="0"/>
    <n v="52"/>
  </r>
  <r>
    <x v="0"/>
    <n v="48.5"/>
  </r>
  <r>
    <x v="0"/>
    <n v="58"/>
  </r>
  <r>
    <x v="0"/>
    <n v="58"/>
  </r>
  <r>
    <x v="1"/>
    <n v="65"/>
  </r>
  <r>
    <x v="0"/>
    <n v="62"/>
  </r>
  <r>
    <x v="0"/>
    <n v="52"/>
  </r>
  <r>
    <x v="0"/>
    <n v="54.5"/>
  </r>
  <r>
    <x v="0"/>
    <n v="68"/>
  </r>
  <r>
    <x v="0"/>
    <n v="63.5"/>
  </r>
  <r>
    <x v="0"/>
    <n v="44.5"/>
  </r>
  <r>
    <x v="0"/>
    <n v="56.5"/>
  </r>
  <r>
    <x v="1"/>
    <n v="53"/>
  </r>
  <r>
    <x v="0"/>
    <n v="53"/>
  </r>
  <r>
    <x v="1"/>
    <n v="69"/>
  </r>
  <r>
    <x v="0"/>
    <n v="61"/>
  </r>
  <r>
    <x v="0"/>
    <n v="62.5"/>
  </r>
  <r>
    <x v="0"/>
    <n v="60"/>
  </r>
  <r>
    <x v="0"/>
    <n v="55.5"/>
  </r>
  <r>
    <x v="0"/>
    <n v="52.5"/>
  </r>
  <r>
    <x v="0"/>
    <n v="57.5"/>
  </r>
  <r>
    <x v="0"/>
    <n v="70.5"/>
  </r>
  <r>
    <x v="0"/>
    <n v="66.5"/>
  </r>
  <r>
    <x v="0"/>
    <n v="52.5"/>
  </r>
  <r>
    <x v="0"/>
    <n v="54.5"/>
  </r>
  <r>
    <x v="0"/>
    <n v="67.5"/>
  </r>
  <r>
    <x v="1"/>
    <n v="62.5"/>
  </r>
  <r>
    <x v="1"/>
    <n v="65"/>
  </r>
  <r>
    <x v="0"/>
    <n v="53"/>
  </r>
  <r>
    <x v="0"/>
    <n v="70.5"/>
  </r>
  <r>
    <x v="1"/>
    <n v="60"/>
  </r>
  <r>
    <x v="1"/>
    <n v="46"/>
  </r>
  <r>
    <x v="0"/>
    <n v="75.5"/>
  </r>
  <r>
    <x v="0"/>
    <n v="63.5"/>
  </r>
  <r>
    <x v="2"/>
    <n v="56.5"/>
  </r>
  <r>
    <x v="0"/>
    <n v="66"/>
  </r>
  <r>
    <x v="2"/>
    <n v="60.5"/>
  </r>
  <r>
    <x v="2"/>
    <n v="67"/>
  </r>
  <r>
    <x v="0"/>
    <n v="68.5"/>
  </r>
  <r>
    <x v="0"/>
    <n v="65.5"/>
  </r>
  <r>
    <x v="1"/>
    <n v="64"/>
  </r>
  <r>
    <x v="1"/>
    <n v="67"/>
  </r>
  <r>
    <x v="2"/>
    <n v="53"/>
  </r>
  <r>
    <x v="1"/>
    <n v="79"/>
  </r>
  <r>
    <x v="1"/>
    <n v="58.5"/>
  </r>
  <r>
    <x v="2"/>
    <n v="59"/>
  </r>
  <r>
    <x v="2"/>
    <n v="73.5"/>
  </r>
  <r>
    <x v="0"/>
    <n v="65"/>
  </r>
  <r>
    <x v="2"/>
    <n v="42"/>
  </r>
  <r>
    <x v="0"/>
    <n v="78"/>
  </r>
  <r>
    <x v="0"/>
    <n v="58.5"/>
  </r>
  <r>
    <x v="1"/>
    <n v="52.5"/>
  </r>
  <r>
    <x v="1"/>
    <n v="72.5"/>
  </r>
  <r>
    <x v="0"/>
    <n v="65.5"/>
  </r>
  <r>
    <x v="0"/>
    <n v="60.5"/>
  </r>
  <r>
    <x v="2"/>
    <n v="59"/>
  </r>
  <r>
    <x v="0"/>
    <n v="65"/>
  </r>
  <r>
    <x v="0"/>
    <n v="69"/>
  </r>
  <r>
    <x v="2"/>
    <n v="62"/>
  </r>
  <r>
    <x v="0"/>
    <n v="84.5"/>
  </r>
  <r>
    <x v="0"/>
    <n v="85"/>
  </r>
  <r>
    <x v="0"/>
    <n v="53"/>
  </r>
  <r>
    <x v="1"/>
    <n v="71.5"/>
  </r>
  <r>
    <x v="2"/>
    <n v="62.5"/>
  </r>
  <r>
    <x v="1"/>
    <n v="66.5"/>
  </r>
  <r>
    <x v="2"/>
    <n v="71"/>
  </r>
  <r>
    <x v="1"/>
    <n v="55.5"/>
  </r>
  <r>
    <x v="0"/>
    <n v="86"/>
  </r>
  <r>
    <x v="1"/>
    <n v="53.5"/>
  </r>
  <r>
    <x v="2"/>
    <n v="62.5"/>
  </r>
  <r>
    <x v="1"/>
    <n v="44"/>
  </r>
  <r>
    <x v="1"/>
    <n v="50"/>
  </r>
  <r>
    <x v="1"/>
    <n v="60"/>
  </r>
  <r>
    <x v="2"/>
    <n v="73"/>
  </r>
  <r>
    <x v="1"/>
    <n v="57"/>
  </r>
  <r>
    <x v="0"/>
    <n v="65"/>
  </r>
  <r>
    <x v="0"/>
    <n v="59"/>
  </r>
  <r>
    <x v="1"/>
    <n v="68"/>
  </r>
  <r>
    <x v="0"/>
    <n v="56.5"/>
  </r>
  <r>
    <x v="0"/>
    <n v="55.5"/>
  </r>
  <r>
    <x v="1"/>
    <n v="61"/>
  </r>
  <r>
    <x v="1"/>
    <n v="63.5"/>
  </r>
  <r>
    <x v="1"/>
    <n v="69"/>
  </r>
  <r>
    <x v="0"/>
    <n v="59"/>
  </r>
  <r>
    <x v="1"/>
    <n v="65"/>
  </r>
  <r>
    <x v="0"/>
    <n v="54.5"/>
  </r>
  <r>
    <x v="1"/>
    <n v="55.5"/>
  </r>
  <r>
    <x v="1"/>
    <n v="50"/>
  </r>
  <r>
    <x v="1"/>
    <n v="51"/>
  </r>
  <r>
    <x v="2"/>
    <n v="58.5"/>
  </r>
  <r>
    <x v="0"/>
    <n v="61"/>
  </r>
  <r>
    <x v="2"/>
    <n v="61.5"/>
  </r>
  <r>
    <x v="0"/>
    <n v="60"/>
  </r>
  <r>
    <x v="2"/>
    <n v="58"/>
  </r>
  <r>
    <x v="1"/>
    <n v="57.5"/>
  </r>
  <r>
    <x v="2"/>
    <n v="74.5"/>
  </r>
  <r>
    <x v="1"/>
    <n v="51"/>
  </r>
  <r>
    <x v="2"/>
    <n v="67.5"/>
  </r>
  <r>
    <x v="1"/>
    <n v="60.5"/>
  </r>
  <r>
    <x v="1"/>
    <n v="56"/>
  </r>
  <r>
    <x v="1"/>
    <n v="37"/>
  </r>
  <r>
    <x v="1"/>
    <n v="48"/>
  </r>
  <r>
    <x v="1"/>
    <n v="52"/>
  </r>
  <r>
    <x v="2"/>
    <n v="49.5"/>
  </r>
  <r>
    <x v="1"/>
    <n v="57"/>
  </r>
  <r>
    <x v="0"/>
    <n v="59"/>
  </r>
  <r>
    <x v="0"/>
    <n v="62.5"/>
  </r>
  <r>
    <x v="1"/>
    <n v="63.5"/>
  </r>
  <r>
    <x v="0"/>
    <n v="64.5"/>
  </r>
  <r>
    <x v="0"/>
    <n v="54.5"/>
  </r>
  <r>
    <x v="0"/>
    <n v="62.5"/>
  </r>
  <r>
    <x v="0"/>
    <n v="63"/>
  </r>
  <r>
    <x v="0"/>
    <n v="58.5"/>
  </r>
  <r>
    <x v="1"/>
    <n v="50"/>
  </r>
  <r>
    <x v="2"/>
    <n v="46.5"/>
  </r>
  <r>
    <x v="0"/>
    <n v="46"/>
  </r>
  <r>
    <x v="0"/>
    <n v="59.5"/>
  </r>
  <r>
    <x v="2"/>
    <n v="63.5"/>
  </r>
  <r>
    <x v="1"/>
    <n v="59.5"/>
  </r>
  <r>
    <x v="2"/>
    <n v="57.5"/>
  </r>
  <r>
    <x v="1"/>
    <n v="39"/>
  </r>
  <r>
    <x v="2"/>
    <n v="63.5"/>
  </r>
  <r>
    <x v="1"/>
    <n v="58.5"/>
  </r>
  <r>
    <x v="1"/>
    <n v="50"/>
  </r>
  <r>
    <x v="0"/>
    <n v="57.5"/>
  </r>
  <r>
    <x v="1"/>
    <n v="59.5"/>
  </r>
  <r>
    <x v="1"/>
    <n v="44.5"/>
  </r>
  <r>
    <x v="1"/>
    <n v="33"/>
  </r>
  <r>
    <x v="1"/>
    <n v="69"/>
  </r>
  <r>
    <x v="1"/>
    <n v="40.5"/>
  </r>
  <r>
    <x v="1"/>
    <n v="41"/>
  </r>
  <r>
    <x v="3"/>
    <m/>
  </r>
  <r>
    <x v="3"/>
    <m/>
  </r>
  <r>
    <x v="3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8">
  <r>
    <s v="Colombia Finca Campo Hermosa"/>
    <n v="94"/>
    <s v="Light"/>
    <n v="62"/>
    <n v="82"/>
    <n v="13.22"/>
    <s v="USA"/>
    <s v="Colombia"/>
    <x v="0"/>
  </r>
  <r>
    <s v="Colombia Finca La Sirena Mango Co-Ferment"/>
    <n v="94"/>
    <s v="Light"/>
    <n v="63"/>
    <n v="87"/>
    <n v="10.14"/>
    <s v="USA"/>
    <s v="Colombia"/>
    <x v="0"/>
  </r>
  <r>
    <s v="In Bloom"/>
    <n v="94"/>
    <s v="Light"/>
    <n v="64"/>
    <n v="88"/>
    <n v="10"/>
    <s v="USA"/>
    <s v="Ethiopia"/>
    <x v="1"/>
  </r>
  <r>
    <s v="Ethiopia Washed Kaffa Gimbo Lot Rich Espresso"/>
    <n v="96"/>
    <s v="Medium Light"/>
    <n v="55"/>
    <n v="77"/>
    <n v="110.23"/>
    <s v="Taiwan"/>
    <s v="Ethiopia"/>
    <x v="1"/>
  </r>
  <r>
    <s v="Ethiopia Natural Gute Bona"/>
    <n v="95"/>
    <s v="Medium Light"/>
    <n v="62"/>
    <n v="78"/>
    <n v="176.37"/>
    <s v="Taiwan"/>
    <s v="Ethiopia"/>
    <x v="1"/>
  </r>
  <r>
    <s v="White Geisha Blend Espresso"/>
    <n v="95"/>
    <s v="Medium Light"/>
    <n v="60"/>
    <n v="78"/>
    <n v="17.2"/>
    <s v="Taiwan"/>
    <s v="Ethiopia"/>
    <x v="1"/>
  </r>
  <r>
    <s v="Yunlin Natural Geisha CPAG-1"/>
    <n v="95"/>
    <s v="Medium Light"/>
    <n v="60"/>
    <n v="78"/>
    <n v="705.47"/>
    <s v="Taiwan"/>
    <s v="Taiwan"/>
    <x v="2"/>
  </r>
  <r>
    <s v="Colombia Natural Huila Eulises Guzman"/>
    <n v="94"/>
    <s v="Medium Light"/>
    <n v="60"/>
    <n v="80"/>
    <n v="154.32"/>
    <s v="Taiwan"/>
    <s v="Colombia"/>
    <x v="0"/>
  </r>
  <r>
    <s v="Peru Washed Cusco Buena Vista Soola SL09"/>
    <n v="94"/>
    <s v="Medium Light"/>
    <n v="58"/>
    <n v="77"/>
    <n v="264.55"/>
    <s v="Taiwan"/>
    <s v="Peru"/>
    <x v="0"/>
  </r>
  <r>
    <s v="Yunlin Natural Geisha"/>
    <n v="94"/>
    <s v="Light"/>
    <n v="60"/>
    <n v="84"/>
    <n v="529.1"/>
    <s v="Taiwan"/>
    <s v="Taiwan"/>
    <x v="2"/>
  </r>
  <r>
    <s v="Hechi"/>
    <n v="94"/>
    <s v="Light"/>
    <n v="60"/>
    <n v="86"/>
    <n v="145.5"/>
    <s v="Taiwan"/>
    <s v="Ethiopia"/>
    <x v="1"/>
  </r>
  <r>
    <s v="Las Margaritas Sudan Rume"/>
    <n v="95"/>
    <s v="Light"/>
    <n v="60"/>
    <n v="84"/>
    <n v="11.9"/>
    <s v="USA"/>
    <s v="Colombia"/>
    <x v="0"/>
  </r>
  <r>
    <s v="Wilton Benitez Geisha"/>
    <n v="95"/>
    <s v="Light"/>
    <n v="62"/>
    <n v="84"/>
    <n v="11.46"/>
    <s v="USA"/>
    <s v="Colombia"/>
    <x v="0"/>
  </r>
  <r>
    <s v="Itumpi Tanzania"/>
    <n v="94"/>
    <s v="Medium Light"/>
    <n v="59"/>
    <n v="81"/>
    <n v="6.47"/>
    <s v="USA"/>
    <s v="Tanzania"/>
    <x v="1"/>
  </r>
  <r>
    <s v="Ethiopia Yirgacheffe G1 Gotiti Angel Station Geisha Washed"/>
    <n v="94"/>
    <s v="Light"/>
    <n v="62"/>
    <n v="82"/>
    <n v="275"/>
    <s v="Taiwan"/>
    <s v="Ethiopia"/>
    <x v="1"/>
  </r>
  <r>
    <s v="Ethiopia Guji Hambela Buku Abel Bastet Geisha Washed"/>
    <n v="94"/>
    <s v="Light"/>
    <n v="63"/>
    <n v="85"/>
    <n v="275"/>
    <s v="Taiwan"/>
    <s v="Ethiopia"/>
    <x v="1"/>
  </r>
  <r>
    <s v="Finca Cruz Loma Ecuador Geisha"/>
    <n v="96"/>
    <s v="Medium Light"/>
    <n v="60"/>
    <n v="77"/>
    <n v="14.11"/>
    <s v="USA"/>
    <s v="Ecuador"/>
    <x v="0"/>
  </r>
  <r>
    <s v="Costa Rica Finca El CaГ±al"/>
    <n v="95"/>
    <s v="Light"/>
    <n v="60"/>
    <n v="88"/>
    <n v="8.82"/>
    <s v="USA"/>
    <s v="Costa Rica"/>
    <x v="0"/>
  </r>
  <r>
    <s v="Hambela Dabaye Ethiopia"/>
    <n v="95"/>
    <s v="Light"/>
    <n v="65"/>
    <n v="87"/>
    <n v="10.58"/>
    <s v="USA"/>
    <s v="Ethiopia"/>
    <x v="1"/>
  </r>
  <r>
    <s v="Brazil Vinhal Grape Starfruit"/>
    <n v="94"/>
    <s v="Medium Light"/>
    <n v="59"/>
    <n v="77"/>
    <n v="6.17"/>
    <s v="USA"/>
    <s v="Brazil"/>
    <x v="0"/>
  </r>
  <r>
    <s v="Duwancho Natural Ethiopia"/>
    <n v="94"/>
    <s v="Light"/>
    <n v="61"/>
    <n v="82"/>
    <n v="8.23"/>
    <s v="USA"/>
    <s v="Ethiopia"/>
    <x v="1"/>
  </r>
  <r>
    <s v="Colombia Finca Santa Barbara Gesha Anaerobic Honey"/>
    <n v="95"/>
    <s v="Light"/>
    <n v="63"/>
    <n v="87"/>
    <n v="9.41"/>
    <s v="USA"/>
    <s v="Colombia"/>
    <x v="0"/>
  </r>
  <r>
    <s v="Colombia Faver Emir Ninco Pink Bourbon"/>
    <n v="94"/>
    <s v="Light"/>
    <n v="61"/>
    <n v="81"/>
    <n v="246.47"/>
    <s v="Taiwan"/>
    <s v="Colombia"/>
    <x v="0"/>
  </r>
  <r>
    <s v="Ethiopia Yirgacheffe Earl Grey Peach"/>
    <n v="94"/>
    <s v="Light"/>
    <n v="65"/>
    <n v="87"/>
    <n v="145.06"/>
    <s v="Taiwan"/>
    <s v="Ethiopia"/>
    <x v="1"/>
  </r>
  <r>
    <s v="Colombia Cauca Lusitania Geisha Washed"/>
    <n v="94"/>
    <s v="Light"/>
    <n v="66"/>
    <n v="88"/>
    <n v="470"/>
    <s v="Taiwan"/>
    <s v="Colombia"/>
    <x v="0"/>
  </r>
  <r>
    <s v="Kenya Kirinyaga Karamundi Washed AB"/>
    <n v="95"/>
    <s v="Light"/>
    <n v="66"/>
    <n v="86"/>
    <n v="211.64"/>
    <s v="Taiwan"/>
    <s v="Kenya"/>
    <x v="1"/>
  </r>
  <r>
    <s v="KaК»Е« Morning Glory"/>
    <n v="97"/>
    <s v="Light"/>
    <n v="62"/>
    <n v="84"/>
    <n v="16.75"/>
    <s v="USA"/>
    <s v="USA"/>
    <x v="0"/>
  </r>
  <r>
    <s v="KaК»Е« Yellow Bourbon"/>
    <n v="95"/>
    <s v="Medium Light"/>
    <n v="60"/>
    <n v="80"/>
    <n v="15.52"/>
    <s v="USA"/>
    <s v="USA"/>
    <x v="0"/>
  </r>
  <r>
    <s v="Colombia San Adolfo Huila"/>
    <n v="95"/>
    <s v="Light"/>
    <n v="65"/>
    <n v="87"/>
    <n v="17.64"/>
    <s v="USA"/>
    <s v="Colombia"/>
    <x v="0"/>
  </r>
  <r>
    <s v="Rwanda Kungahara Carbonic Maceration"/>
    <n v="95"/>
    <s v="Light"/>
    <n v="64"/>
    <n v="86"/>
    <n v="8.23"/>
    <s v="USA"/>
    <s v="Rwanda"/>
    <x v="1"/>
  </r>
  <r>
    <s v="Ecuador La Papaya Pacamara"/>
    <n v="95"/>
    <s v="Light"/>
    <n v="64"/>
    <n v="86"/>
    <n v="12.79"/>
    <s v="USA"/>
    <s v="Ecuador"/>
    <x v="0"/>
  </r>
  <r>
    <s v="Peru Churupampa Pacamara"/>
    <n v="94"/>
    <s v="Medium Light"/>
    <n v="59"/>
    <n v="80"/>
    <n v="6.47"/>
    <s v="USA"/>
    <s v="Peru"/>
    <x v="0"/>
  </r>
  <r>
    <s v="Ethiopia Ayla Sidamo"/>
    <n v="95"/>
    <s v="Light"/>
    <n v="62"/>
    <n v="84"/>
    <n v="5.88"/>
    <s v="USA"/>
    <s v="Ethiopia"/>
    <x v="1"/>
  </r>
  <r>
    <s v="Ethiopia Mullugeta Muntasha"/>
    <n v="94"/>
    <s v="Medium Light"/>
    <n v="61"/>
    <n v="79"/>
    <n v="6.76"/>
    <s v="USA"/>
    <s v="Ethiopia"/>
    <x v="1"/>
  </r>
  <r>
    <s v="KaвЂ™u Giant Maragogipe"/>
    <n v="94"/>
    <s v="Medium Light"/>
    <n v="52"/>
    <n v="73"/>
    <n v="14.81"/>
    <s v="USA"/>
    <s v="USA"/>
    <x v="0"/>
  </r>
  <r>
    <s v="KaвЂ™u Red Bourbon"/>
    <n v="95"/>
    <s v="Medium Light"/>
    <n v="60"/>
    <n v="78"/>
    <n v="15.52"/>
    <s v="USA"/>
    <s v="USA"/>
    <x v="0"/>
  </r>
  <r>
    <s v="Kona Bloom"/>
    <n v="94"/>
    <s v="Medium Light"/>
    <n v="57"/>
    <n v="78"/>
    <n v="15.52"/>
    <s v="USA"/>
    <s v="USA"/>
    <x v="0"/>
  </r>
  <r>
    <s v="Guatemala Retiro del Quisaya Washed Process"/>
    <n v="94"/>
    <s v="Medium Light"/>
    <n v="57"/>
    <n v="79"/>
    <n v="5.86"/>
    <s v="USA"/>
    <s v="Guatemala"/>
    <x v="0"/>
  </r>
  <r>
    <s v="Ethiopian Single Origin"/>
    <n v="94"/>
    <s v="Medium Light"/>
    <n v="52"/>
    <n v="74"/>
    <n v="4.99"/>
    <s v="USA"/>
    <s v="Ethiopia"/>
    <x v="1"/>
  </r>
  <r>
    <s v="Colombia Finca Al Paraiso YвЂ“05 Lychee"/>
    <n v="95"/>
    <s v="Medium"/>
    <n v="52"/>
    <n v="64"/>
    <n v="8.9700000000000006"/>
    <s v="USA"/>
    <s v="Colombia"/>
    <x v="0"/>
  </r>
  <r>
    <s v="Colombia Las Perlitas Anaerobic Honey"/>
    <n v="94"/>
    <s v="Medium Light"/>
    <n v="59"/>
    <n v="81"/>
    <n v="11.01"/>
    <s v="USA"/>
    <s v="Colombia"/>
    <x v="0"/>
  </r>
  <r>
    <s v="Panama Altieri Luci Geisha Natural Cold Dry Ferment"/>
    <n v="94"/>
    <s v="Medium Light"/>
    <n v="58"/>
    <n v="81"/>
    <n v="35.26"/>
    <s v="USA"/>
    <s v="Panama"/>
    <x v="0"/>
  </r>
  <r>
    <s v="Costa Rica La Minita"/>
    <n v="94"/>
    <s v="Medium Light"/>
    <n v="56"/>
    <n v="82"/>
    <n v="6.47"/>
    <s v="USA"/>
    <s v="Costa Rica"/>
    <x v="0"/>
  </r>
  <r>
    <s v="Ethiopia Guji Grape GildVine Natural G1"/>
    <n v="94"/>
    <s v="Light"/>
    <n v="67"/>
    <n v="88"/>
    <n v="220.26"/>
    <s v="Taiwan"/>
    <s v="Ethiopia"/>
    <x v="1"/>
  </r>
  <r>
    <s v="Kenya Baragwi Guama AA Washed"/>
    <n v="95"/>
    <s v="Light"/>
    <n v="61"/>
    <n v="83"/>
    <n v="6.17"/>
    <s v="USA"/>
    <s v="Kenya"/>
    <x v="1"/>
  </r>
  <r>
    <s v="Potosi Pink Bourbon Natural Colombia"/>
    <n v="96"/>
    <s v="Light"/>
    <n v="64"/>
    <n v="86"/>
    <n v="12.79"/>
    <s v="USA"/>
    <s v="Colombia"/>
    <x v="0"/>
  </r>
  <r>
    <s v="Wilton Benitez Sudan Rume Colombia"/>
    <n v="95"/>
    <s v="Light"/>
    <n v="62"/>
    <n v="82"/>
    <n v="11.02"/>
    <s v="USA"/>
    <s v="Colombia"/>
    <x v="0"/>
  </r>
  <r>
    <s v="Kangocho Kenya"/>
    <n v="95"/>
    <s v="Medium Light"/>
    <n v="59"/>
    <n v="81"/>
    <n v="7.35"/>
    <s v="USA"/>
    <s v="Kenya"/>
    <x v="1"/>
  </r>
  <r>
    <s v="La Esperanza Mandela"/>
    <n v="95"/>
    <s v="Light"/>
    <n v="62"/>
    <n v="80"/>
    <n v="11.9"/>
    <s v="USA"/>
    <s v="Colombia"/>
    <x v="0"/>
  </r>
  <r>
    <s v="Mexico Alva Flores"/>
    <n v="94"/>
    <s v="Medium Light"/>
    <n v="54"/>
    <n v="72"/>
    <n v="5.29"/>
    <s v="USA"/>
    <s v="Mexico"/>
    <x v="0"/>
  </r>
  <r>
    <s v="Ethiopia Natural Sidama Blue Donkey Lot 2"/>
    <n v="96"/>
    <s v="Light"/>
    <n v="62"/>
    <n v="84"/>
    <n v="154.32"/>
    <s v="Taiwan"/>
    <s v="Ethiopia"/>
    <x v="1"/>
  </r>
  <r>
    <s v="Trust the Process Costa Rica Finca Carrizal SL28 Black Diamond Natural"/>
    <n v="95"/>
    <s v="Light"/>
    <n v="62"/>
    <n v="84"/>
    <n v="10.58"/>
    <s v="USA"/>
    <s v="Costa Rica"/>
    <x v="0"/>
  </r>
  <r>
    <s v="Guatemala Washed Finca El General Gesha"/>
    <n v="94"/>
    <s v="Medium Light"/>
    <n v="58"/>
    <n v="77"/>
    <n v="370.37"/>
    <s v="Taiwan"/>
    <s v="Guatemala"/>
    <x v="0"/>
  </r>
  <r>
    <s v="Guatemala Finca El General Bourbon Honey Espresso"/>
    <n v="94"/>
    <s v="Medium Light"/>
    <n v="56"/>
    <n v="76"/>
    <n v="370.37"/>
    <s v="Taiwan"/>
    <s v="Guatemala"/>
    <x v="0"/>
  </r>
  <r>
    <s v="True Love Espresso Blend"/>
    <n v="94"/>
    <s v="Medium Light"/>
    <n v="57"/>
    <n v="77"/>
    <n v="114.64"/>
    <s v="Taiwan"/>
    <s v="Guatemala"/>
    <x v="0"/>
  </r>
  <r>
    <s v="Colombia Sebastian Ramirez Washed Pink Bourbon"/>
    <n v="97"/>
    <s v="Light"/>
    <n v="62"/>
    <n v="84"/>
    <n v="8.82"/>
    <s v="USA"/>
    <s v="Colombia"/>
    <x v="0"/>
  </r>
  <r>
    <s v="Colombia Manos Juntas Anaerobic Natural"/>
    <n v="94"/>
    <s v="Light"/>
    <n v="63"/>
    <n v="85"/>
    <n v="5.29"/>
    <s v="USA"/>
    <s v="Colombia"/>
    <x v="0"/>
  </r>
  <r>
    <s v="Ecuador La Papaya Geisha Natural"/>
    <n v="96"/>
    <s v="Medium Light"/>
    <n v="61"/>
    <n v="79"/>
    <n v="16.75"/>
    <s v="USA"/>
    <s v="Ecuador"/>
    <x v="0"/>
  </r>
  <r>
    <s v="Yemen Al Obrah"/>
    <n v="95"/>
    <s v="Light"/>
    <n v="62"/>
    <n v="86"/>
    <n v="18.52"/>
    <s v="USA"/>
    <s v="Yemen"/>
    <x v="1"/>
  </r>
  <r>
    <s v="Kenya Embu"/>
    <n v="95"/>
    <s v="Light"/>
    <n v="62"/>
    <n v="80"/>
    <n v="528.63"/>
    <s v="Taiwan"/>
    <s v="Kenya"/>
    <x v="1"/>
  </r>
  <r>
    <s v="Yemen Ismaili"/>
    <n v="94"/>
    <s v="Medium Light"/>
    <n v="57"/>
    <n v="81"/>
    <n v="528.63"/>
    <s v="Taiwan"/>
    <s v="Yemen"/>
    <x v="1"/>
  </r>
  <r>
    <s v="Guatemala Acatenango Geisha"/>
    <n v="94"/>
    <s v="Medium Light"/>
    <n v="59"/>
    <n v="79"/>
    <n v="528.63"/>
    <s v="Taiwan"/>
    <s v="Guatemala"/>
    <x v="0"/>
  </r>
  <r>
    <s v="Ethiopia Bench-Maji Lucy Geisha Anaerobic Natural"/>
    <n v="94"/>
    <s v="Light"/>
    <n v="64"/>
    <n v="88"/>
    <n v="300"/>
    <s v="Taiwan"/>
    <s v="Ethiopia"/>
    <x v="1"/>
  </r>
  <r>
    <s v="Wilton Benitez Colombia Yellow Bourbon"/>
    <n v="96"/>
    <s v="Light"/>
    <n v="63"/>
    <n v="88"/>
    <n v="9.6999999999999993"/>
    <s v="USA"/>
    <s v="Colombia"/>
    <x v="0"/>
  </r>
  <r>
    <s v="Kona Tropical Punch Washed"/>
    <n v="95"/>
    <s v="Light"/>
    <n v="68"/>
    <n v="84"/>
    <n v="44.09"/>
    <s v="USA"/>
    <s v="USA"/>
    <x v="0"/>
  </r>
  <r>
    <s v="Granate"/>
    <n v="94"/>
    <s v="Medium Light"/>
    <n v="57"/>
    <n v="79"/>
    <n v="5.4"/>
    <s v="Peru"/>
    <s v="Peru"/>
    <x v="0"/>
  </r>
  <r>
    <s v="Kenya Kirinyaga"/>
    <n v="95"/>
    <s v="Light"/>
    <n v="60"/>
    <n v="82"/>
    <n v="7.35"/>
    <s v="USA"/>
    <s v="Kenya"/>
    <x v="1"/>
  </r>
  <r>
    <s v="Costa Rica San Diego"/>
    <n v="94"/>
    <s v="Medium Light"/>
    <n v="57"/>
    <n v="77"/>
    <n v="6.47"/>
    <s v="USA"/>
    <s v="Costa Rica"/>
    <x v="0"/>
  </r>
  <r>
    <s v="Costa Rica La Candelilla Geisha"/>
    <n v="94"/>
    <s v="Light"/>
    <n v="62"/>
    <n v="84"/>
    <n v="10.29"/>
    <s v="USA"/>
    <s v="Costa Rica"/>
    <x v="0"/>
  </r>
  <r>
    <s v="Ethiopia Agaro Duromina"/>
    <n v="94"/>
    <s v="Medium Light"/>
    <n v="59"/>
    <n v="79"/>
    <n v="6.47"/>
    <s v="USA"/>
    <s v="Ethiopia"/>
    <x v="1"/>
  </r>
  <r>
    <s v="Panama Renaissance Series Flora Geisha Washed"/>
    <n v="94"/>
    <s v="Light"/>
    <n v="68"/>
    <n v="94"/>
    <n v="352.42"/>
    <s v="Taiwan"/>
    <s v="Panama"/>
    <x v="0"/>
  </r>
  <r>
    <s v="Colombia San Martin Bourbon Aji Star Fruit Peach Honey"/>
    <n v="95"/>
    <s v="Light"/>
    <n v="64"/>
    <n v="88"/>
    <n v="325"/>
    <s v="Taiwan"/>
    <s v="Colombia"/>
    <x v="0"/>
  </r>
  <r>
    <s v="Taiwan COE #3 Alishan Zhou Zhu Yuan Geisha Natural"/>
    <n v="94"/>
    <s v="Light"/>
    <n v="62"/>
    <n v="80"/>
    <n v="2"/>
    <s v="Taiwan"/>
    <s v="Taiwan"/>
    <x v="2"/>
  </r>
  <r>
    <s v="Las Margaritas Colombia Sudan Rume Natural"/>
    <n v="95"/>
    <s v="Light"/>
    <n v="62"/>
    <n v="86"/>
    <n v="11.02"/>
    <s v="USA"/>
    <s v="Colombia"/>
    <x v="0"/>
  </r>
  <r>
    <s v="Yabitu Koba Ethiopia"/>
    <n v="95"/>
    <s v="Medium Light"/>
    <n v="58"/>
    <n v="78"/>
    <n v="6.76"/>
    <s v="USA"/>
    <s v="Ethiopia"/>
    <x v="1"/>
  </r>
  <r>
    <s v="Pantan Musara Sumatra"/>
    <n v="94"/>
    <s v="Medium Light"/>
    <n v="57"/>
    <n v="80"/>
    <n v="6.76"/>
    <s v="USA"/>
    <s v="Indonesia"/>
    <x v="2"/>
  </r>
  <r>
    <s v="Ethiopia Yirgacheffe Misty Valley Aricha Washed G1"/>
    <n v="94"/>
    <s v="Light"/>
    <n v="65"/>
    <n v="93"/>
    <n v="149.47"/>
    <s v="Taiwan"/>
    <s v="Ethiopia"/>
    <x v="1"/>
  </r>
  <r>
    <s v="Guatemala El Soccoro Maracaturra Washed"/>
    <n v="94"/>
    <s v="Medium Light"/>
    <n v="60"/>
    <n v="78"/>
    <n v="5.88"/>
    <s v="USA"/>
    <s v="Guatemala"/>
    <x v="0"/>
  </r>
  <r>
    <s v="Ethiopia Sidama Bensa Alo Single Variety 74158 Natural"/>
    <n v="94"/>
    <s v="Light"/>
    <n v="66"/>
    <n v="88"/>
    <n v="743.36"/>
    <s v="Taiwan"/>
    <s v="Ethiopia"/>
    <x v="1"/>
  </r>
  <r>
    <s v="El Salvador Loma La Gloria Unicorn Natural"/>
    <n v="95"/>
    <s v="Light"/>
    <n v="64"/>
    <n v="88"/>
    <n v="10.23"/>
    <s v="USA"/>
    <s v="El Salvador"/>
    <x v="0"/>
  </r>
  <r>
    <s v="Costa Rica Las Lajas SL-28 Natural"/>
    <n v="94"/>
    <s v="Light"/>
    <n v="58"/>
    <n v="84"/>
    <n v="8.82"/>
    <s v="USA"/>
    <s v="Costa Rica"/>
    <x v="0"/>
  </r>
  <r>
    <s v="Ethiopia Faysel Abdosh"/>
    <n v="94"/>
    <s v="Light"/>
    <n v="64"/>
    <n v="88"/>
    <n v="5.88"/>
    <s v="USA"/>
    <s v="Ethiopia"/>
    <x v="1"/>
  </r>
  <r>
    <s v="Kenya Kii"/>
    <n v="94"/>
    <s v="Medium Light"/>
    <n v="58"/>
    <n v="82"/>
    <n v="10.4"/>
    <s v="USA"/>
    <s v="Kenya"/>
    <x v="1"/>
  </r>
  <r>
    <s v="Ethiopia Guji Bishala G1 Red Honey"/>
    <n v="94"/>
    <s v="Medium Light"/>
    <n v="58"/>
    <n v="80"/>
    <n v="202.82"/>
    <s v="Taiwan"/>
    <s v="Ethiopia"/>
    <x v="1"/>
  </r>
  <r>
    <s v="Ethiopia Sidama Bensa Shantawene Gatta Kenean Dukamo Anaerobic Natural G1"/>
    <n v="94"/>
    <s v="Light"/>
    <n v="66"/>
    <n v="89"/>
    <n v="317.45999999999998"/>
    <s v="Taiwan"/>
    <s v="Ethiopia"/>
    <x v="1"/>
  </r>
  <r>
    <s v="Kenya Nyeri Hill AB"/>
    <n v="96"/>
    <s v="Medium Light"/>
    <n v="58"/>
    <n v="82"/>
    <n v="6.91"/>
    <s v="USA"/>
    <s v="Kenya"/>
    <x v="1"/>
  </r>
  <r>
    <s v="Ethiopia Sidama  Bombe Natural"/>
    <n v="94"/>
    <s v="Light"/>
    <n v="61"/>
    <n v="85"/>
    <n v="175"/>
    <s v="Taiwan"/>
    <s v="Ethiopia"/>
    <x v="1"/>
  </r>
  <r>
    <s v="Ethiopia Kayon Mountain"/>
    <n v="95"/>
    <s v="Light"/>
    <n v="64"/>
    <n v="88"/>
    <n v="7.05"/>
    <s v="USA"/>
    <s v="Ethiopia"/>
    <x v="1"/>
  </r>
  <r>
    <s v="Colombia Red Sunset"/>
    <n v="94"/>
    <s v="Light"/>
    <n v="60"/>
    <n v="84"/>
    <n v="7.94"/>
    <s v="USA"/>
    <s v="Colombia"/>
    <x v="0"/>
  </r>
  <r>
    <s v="Ethiopia Gesha Village Lot 108"/>
    <n v="94"/>
    <s v="Light"/>
    <n v="66"/>
    <n v="89"/>
    <n v="60"/>
    <s v="USA"/>
    <s v="Ethiopia"/>
    <x v="1"/>
  </r>
  <r>
    <s v="Panama Geisha Vuelta DRD Natural Lot GN-01"/>
    <n v="97"/>
    <s v="Light"/>
    <n v="64"/>
    <n v="88"/>
    <n v="2000"/>
    <s v="USA"/>
    <s v="Panama"/>
    <x v="0"/>
  </r>
  <r>
    <s v="Panama Kaizen Lot GW-01"/>
    <n v="96"/>
    <s v="Light"/>
    <n v="65"/>
    <n v="90"/>
    <n v="2000"/>
    <s v="USA"/>
    <s v="Panama"/>
    <x v="0"/>
  </r>
  <r>
    <s v="Kona Geisha Champagne Natural"/>
    <n v="95"/>
    <s v="Light"/>
    <n v="64"/>
    <n v="88"/>
    <n v="176.37"/>
    <s v="USA"/>
    <s v="USA"/>
    <x v="0"/>
  </r>
  <r>
    <s v="Ethiopia Nano Genji Lot #8"/>
    <n v="94"/>
    <s v="Light"/>
    <n v="64"/>
    <n v="84"/>
    <n v="6.47"/>
    <s v="USA"/>
    <s v="Ethiopia"/>
    <x v="1"/>
  </r>
  <r>
    <s v="Colombia Hacienda La Pradera Mokka"/>
    <n v="94"/>
    <s v="Light"/>
    <n v="64"/>
    <n v="88"/>
    <n v="12.35"/>
    <s v="USA"/>
    <s v="Colombia"/>
    <x v="0"/>
  </r>
  <r>
    <s v="La Piragua Pink Bourbon Colombia"/>
    <n v="94"/>
    <s v="Light"/>
    <n v="62"/>
    <n v="84"/>
    <n v="6.47"/>
    <s v="USA"/>
    <s v="Colombia"/>
    <x v="0"/>
  </r>
  <r>
    <s v="Kenya Baragwi Guama"/>
    <n v="94"/>
    <s v="Medium Light"/>
    <n v="60"/>
    <n v="78"/>
    <n v="6.47"/>
    <s v="USA"/>
    <s v="Kenya"/>
    <x v="1"/>
  </r>
  <r>
    <s v="Ethiopia Washed Uraga More Floral Kurume Espresso"/>
    <n v="95"/>
    <s v="Medium Light"/>
    <n v="58"/>
    <n v="79"/>
    <n v="119.05"/>
    <s v="Taiwan"/>
    <s v="Ethiopia"/>
    <x v="1"/>
  </r>
  <r>
    <s v="Ethiopia Natural Sidama ALO Village FL"/>
    <n v="95"/>
    <s v="Light"/>
    <n v="62"/>
    <n v="84"/>
    <n v="423.28"/>
    <s v="Taiwan"/>
    <s v="Ethiopia"/>
    <x v="1"/>
  </r>
  <r>
    <s v="Ethiopia Washed Sidama Bura Karamo 74158"/>
    <n v="95"/>
    <s v="Light"/>
    <n v="64"/>
    <n v="84"/>
    <n v="141.09"/>
    <s v="Taiwan"/>
    <s v="Ethiopia"/>
    <x v="1"/>
  </r>
  <r>
    <s v="Ethiopia Natural Guji Hambella Wamena Buku G1"/>
    <n v="94"/>
    <s v="Light"/>
    <n v="64"/>
    <n v="88"/>
    <n v="141.09"/>
    <s v="Taiwan"/>
    <s v="Ethiopia"/>
    <x v="1"/>
  </r>
  <r>
    <s v="Guatemala Naranjas Nadando"/>
    <n v="95"/>
    <s v="Light"/>
    <n v="62"/>
    <n v="84"/>
    <n v="7.76"/>
    <s v="USA"/>
    <s v="Guatemala"/>
    <x v="0"/>
  </r>
  <r>
    <s v="Songstress Geisha"/>
    <n v="95"/>
    <s v="Light"/>
    <n v="64"/>
    <n v="86"/>
    <n v="163.13999999999999"/>
    <s v="Taiwan"/>
    <s v="Ethiopia"/>
    <x v="1"/>
  </r>
  <r>
    <s v="Ethiopia Gesha Village Surma 1931 Mossto Anaerobic Honey"/>
    <n v="95"/>
    <s v="Light"/>
    <n v="62"/>
    <n v="84"/>
    <n v="23.52"/>
    <s v="USA"/>
    <s v="Ethiopia"/>
    <x v="1"/>
  </r>
  <r>
    <s v="Panama Bambito Estate Geisha"/>
    <n v="95"/>
    <s v="Light"/>
    <n v="64"/>
    <n v="88"/>
    <n v="34.17"/>
    <s v="USA"/>
    <s v="Panama"/>
    <x v="0"/>
  </r>
  <r>
    <s v="Colombia Efren Echeverry"/>
    <n v="94"/>
    <s v="Light"/>
    <n v="62"/>
    <n v="84"/>
    <n v="7.35"/>
    <s v="USA"/>
    <s v="Colombia"/>
    <x v="0"/>
  </r>
  <r>
    <s v="Pueo Blend"/>
    <n v="94"/>
    <s v="Medium Light"/>
    <n v="50"/>
    <n v="77"/>
    <n v="7.05"/>
    <s v="USA"/>
    <s v="Unknown"/>
    <x v="3"/>
  </r>
  <r>
    <s v="Wai Meli Morning"/>
    <n v="94"/>
    <s v="Medium Light"/>
    <n v="54"/>
    <n v="72"/>
    <n v="10.58"/>
    <s v="USA"/>
    <s v="Unknown"/>
    <x v="3"/>
  </r>
  <r>
    <s v="Ayla Bombe Natural"/>
    <n v="94"/>
    <s v="Light"/>
    <n v="63"/>
    <n v="87"/>
    <n v="6.47"/>
    <s v="USA"/>
    <s v="Ethiopia"/>
    <x v="1"/>
  </r>
  <r>
    <s v="Wilton Benitez Striped Bourbon Colombia"/>
    <n v="94"/>
    <s v="Light"/>
    <n v="62"/>
    <n v="84"/>
    <n v="11.02"/>
    <s v="USA"/>
    <s v="Colombia"/>
    <x v="0"/>
  </r>
  <r>
    <s v="Buena Vista Pink Bourbon Colombia"/>
    <n v="94"/>
    <s v="Medium Light"/>
    <n v="59"/>
    <n v="77"/>
    <n v="9.6999999999999993"/>
    <s v="USA"/>
    <s v="Colombia"/>
    <x v="0"/>
  </r>
  <r>
    <s v="Yunlin Washed Geisha"/>
    <n v="96"/>
    <s v="Light"/>
    <n v="64"/>
    <n v="90"/>
    <n v="666.67"/>
    <s v="Taiwan"/>
    <s v="Taiwan"/>
    <x v="2"/>
  </r>
  <r>
    <s v="Ethiopia Banko Washed"/>
    <n v="96"/>
    <s v="Light"/>
    <n v="62"/>
    <n v="84"/>
    <n v="7.05"/>
    <s v="USA"/>
    <s v="Ethiopia"/>
    <x v="1"/>
  </r>
  <r>
    <s v="Colombia Villa Betulia CM Sidra"/>
    <n v="96"/>
    <s v="Light"/>
    <n v="60"/>
    <n v="84"/>
    <n v="20.28"/>
    <s v="USA"/>
    <s v="Colombia"/>
    <x v="0"/>
  </r>
  <r>
    <s v="Ethiopia Anaerobic Worka Sakaro"/>
    <n v="95"/>
    <s v="Light"/>
    <n v="66"/>
    <n v="92"/>
    <n v="7.05"/>
    <s v="USA"/>
    <s v="Ethiopia"/>
    <x v="1"/>
  </r>
  <r>
    <s v="Costa Rica Hacienda Sonora Natural Milenio"/>
    <n v="94"/>
    <s v="Light"/>
    <n v="62"/>
    <n v="84"/>
    <n v="8.3800000000000008"/>
    <s v="USA"/>
    <s v="Costa Rica"/>
    <x v="0"/>
  </r>
  <r>
    <s v="Costa Rica Alma Negra Natural"/>
    <n v="94"/>
    <s v="Light"/>
    <n v="58"/>
    <n v="88"/>
    <n v="7.35"/>
    <s v="USA"/>
    <s v="Costa Rica"/>
    <x v="0"/>
  </r>
  <r>
    <s v="El Salvador Finca Santa Sofia Natural Kenya"/>
    <n v="94"/>
    <s v="Light"/>
    <n v="68"/>
    <n v="94"/>
    <n v="9.6999999999999993"/>
    <s v="USA"/>
    <s v="El Salvador"/>
    <x v="0"/>
  </r>
  <r>
    <s v="Colombia Aponte Honey"/>
    <n v="94"/>
    <s v="Light"/>
    <n v="64"/>
    <n v="88"/>
    <n v="6.76"/>
    <s v="USA"/>
    <s v="Colombia"/>
    <x v="0"/>
  </r>
  <r>
    <s v="Finca Huixoc Geisha"/>
    <n v="94"/>
    <s v="Light"/>
    <n v="60"/>
    <n v="82"/>
    <n v="7.05"/>
    <s v="Guatemala"/>
    <s v="Guatemala"/>
    <x v="0"/>
  </r>
  <r>
    <s v="Costa Rica Rivense Finca El Mango Honey Process"/>
    <n v="94"/>
    <s v="Light"/>
    <n v="62"/>
    <n v="84"/>
    <n v="4.7"/>
    <s v="USA"/>
    <s v="Costa Rica"/>
    <x v="0"/>
  </r>
  <r>
    <s v="El Salvador Unicorn"/>
    <n v="94"/>
    <s v="Medium Light"/>
    <n v="58"/>
    <n v="80"/>
    <n v="10.58"/>
    <s v="USA"/>
    <s v="El Salvador"/>
    <x v="0"/>
  </r>
  <r>
    <s v="Kenya Kiamwangi Factory AA TOP"/>
    <n v="94"/>
    <s v="Medium Light"/>
    <n v="60"/>
    <n v="80"/>
    <n v="171.52"/>
    <s v="Taiwan"/>
    <s v="Kenya"/>
    <x v="1"/>
  </r>
  <r>
    <s v="Ethiopia Sidama Bensa Hamasho Washed TOH#2"/>
    <n v="94"/>
    <s v="Light"/>
    <n v="64"/>
    <n v="86"/>
    <n v="153.88"/>
    <s v="Taiwan"/>
    <s v="Ethiopia"/>
    <x v="1"/>
  </r>
  <r>
    <s v="Costa Rica Red Java Honey Finca Los Pinitos"/>
    <n v="95"/>
    <s v="Light"/>
    <n v="60"/>
    <n v="88"/>
    <n v="8.52"/>
    <s v="USA"/>
    <s v="Costa Rica"/>
    <x v="0"/>
  </r>
  <r>
    <s v="Costa Rica Finca El CaГ±al Double Diamond"/>
    <n v="94"/>
    <s v="Light"/>
    <n v="62"/>
    <n v="86"/>
    <n v="8.23"/>
    <s v="USA"/>
    <s v="Costa Rica"/>
    <x v="0"/>
  </r>
  <r>
    <s v="Honduras Roger Dominguez"/>
    <n v="94"/>
    <s v="Light"/>
    <n v="66"/>
    <n v="88"/>
    <n v="8.82"/>
    <s v="USA"/>
    <s v="Honduras"/>
    <x v="0"/>
  </r>
  <r>
    <s v="Ngurueri Kenya"/>
    <n v="94"/>
    <s v="Light"/>
    <n v="62"/>
    <n v="80"/>
    <n v="6.47"/>
    <s v="USA"/>
    <s v="Kenya"/>
    <x v="1"/>
  </r>
  <r>
    <s v="Cruz Loma Ecuador"/>
    <n v="94"/>
    <s v="Light"/>
    <n v="60"/>
    <n v="82"/>
    <n v="9.6999999999999993"/>
    <s v="USA"/>
    <s v="Ecuador"/>
    <x v="0"/>
  </r>
  <r>
    <s v="Colombia Monteblanco Nectar Citrullus Secret Stash"/>
    <n v="94"/>
    <s v="Medium Light"/>
    <n v="58"/>
    <n v="82"/>
    <n v="8.82"/>
    <s v="USA"/>
    <s v="Colombia"/>
    <x v="0"/>
  </r>
  <r>
    <s v="Costa Rica La Laguna Lot Secret Stash"/>
    <n v="94"/>
    <s v="Light"/>
    <n v="64"/>
    <n v="86"/>
    <n v="8.82"/>
    <s v="USA"/>
    <s v="Costa Rica"/>
    <x v="0"/>
  </r>
  <r>
    <s v="Ballista Espresso"/>
    <n v="94"/>
    <s v="Medium Light"/>
    <n v="56"/>
    <n v="74"/>
    <n v="5.42"/>
    <s v="USA"/>
    <s v="Brazil"/>
    <x v="0"/>
  </r>
  <r>
    <s v="Ethiopia Natural Lion 88"/>
    <n v="94"/>
    <s v="Light"/>
    <n v="66"/>
    <n v="90"/>
    <n v="220.46"/>
    <s v="Taiwan"/>
    <s v="Ethiopia"/>
    <x v="1"/>
  </r>
  <r>
    <s v="Panama Lamastus Family Elida Estate Loma Geisha Washed"/>
    <n v="97"/>
    <s v="Light"/>
    <n v="64"/>
    <n v="88"/>
    <n v="0.88"/>
    <s v="Taiwan"/>
    <s v="Panama"/>
    <x v="0"/>
  </r>
  <r>
    <s v="Colombia El Paraiso Geisha Anti-Maceration"/>
    <n v="95"/>
    <s v="Light"/>
    <n v="70"/>
    <n v="94"/>
    <n v="58"/>
    <s v="Japan"/>
    <s v="Colombia"/>
    <x v="0"/>
  </r>
  <r>
    <s v="Ethiopia Alo Chilaka Natural"/>
    <n v="94"/>
    <s v="Light"/>
    <n v="66"/>
    <n v="88"/>
    <n v="6.47"/>
    <s v="USA"/>
    <s v="Ethiopia"/>
    <x v="1"/>
  </r>
  <r>
    <s v="Panama Bambito Gesha"/>
    <n v="94"/>
    <s v="Light"/>
    <n v="62"/>
    <n v="84"/>
    <n v="24.25"/>
    <s v="USA"/>
    <s v="Panama"/>
    <x v="0"/>
  </r>
  <r>
    <s v="Panama Geisha Vuelta DRD Natural"/>
    <n v="97"/>
    <s v="Light"/>
    <n v="66"/>
    <n v="88"/>
    <n v="77.599999999999994"/>
    <s v="USA"/>
    <s v="Panama"/>
    <x v="0"/>
  </r>
  <r>
    <s v="Kona S12 Kaffa Washed"/>
    <n v="96"/>
    <s v="Light"/>
    <n v="67"/>
    <n v="94"/>
    <n v="88.18"/>
    <s v="USA"/>
    <s v="USA"/>
    <x v="0"/>
  </r>
  <r>
    <s v="Kona Geisha RosГ© Washed"/>
    <n v="96"/>
    <s v="Light"/>
    <n v="64"/>
    <n v="88"/>
    <n v="88.18"/>
    <s v="USA"/>
    <s v="USA"/>
    <x v="0"/>
  </r>
  <r>
    <s v="Colombia Cafe La Granja Pink Bourbon"/>
    <n v="96"/>
    <s v="Light"/>
    <n v="62"/>
    <n v="88"/>
    <n v="28"/>
    <s v="USA"/>
    <s v="Colombia"/>
    <x v="0"/>
  </r>
  <r>
    <s v="Colombia Cafe La Granja Sudan Rume Natural"/>
    <n v="95"/>
    <s v="Light"/>
    <n v="66"/>
    <n v="92"/>
    <n v="28"/>
    <s v="USA"/>
    <s v="Colombia"/>
    <x v="0"/>
  </r>
  <r>
    <s v="Panama Tierra Blanca C-5 Geisha Washed BOP-GW-05"/>
    <n v="97"/>
    <s v="Light"/>
    <n v="64"/>
    <n v="88"/>
    <n v="617.28"/>
    <s v="Taiwan"/>
    <s v="Panama"/>
    <x v="0"/>
  </r>
  <r>
    <s v="Kenya AA Kangiri New Irati"/>
    <n v="95"/>
    <s v="Light"/>
    <n v="66"/>
    <n v="84"/>
    <n v="5.59"/>
    <s v="USA"/>
    <s v="Kenya"/>
    <x v="1"/>
  </r>
  <r>
    <s v="Costa Rica Central Valley Honey Geisha"/>
    <n v="94"/>
    <s v="Light"/>
    <n v="62"/>
    <n v="80"/>
    <n v="9.41"/>
    <s v="USA"/>
    <s v="Costa Rica"/>
    <x v="0"/>
  </r>
  <r>
    <s v="Ethiopia Sidama Bombe G1 Washed"/>
    <n v="94"/>
    <s v="Light"/>
    <n v="64"/>
    <n v="84"/>
    <n v="5.59"/>
    <s v="USA"/>
    <s v="Ethiopia"/>
    <x v="1"/>
  </r>
  <r>
    <s v="Kenya AA Aries Return Espresso"/>
    <n v="96"/>
    <s v="Medium"/>
    <n v="44"/>
    <n v="60"/>
    <n v="418.87"/>
    <s v="Taiwan"/>
    <s v="Kenya"/>
    <x v="1"/>
  </r>
  <r>
    <s v="Kenya AllвЂ™s Well Peaberry Espresso"/>
    <n v="96"/>
    <s v="Medium"/>
    <n v="46"/>
    <n v="72"/>
    <n v="396.83"/>
    <s v="Taiwan"/>
    <s v="Kenya"/>
    <x v="1"/>
  </r>
  <r>
    <s v="Espresso No. 6 Finca San JosГ© OcaГ±a"/>
    <n v="96"/>
    <s v="Medium"/>
    <n v="50"/>
    <n v="64"/>
    <n v="7.35"/>
    <s v="Guatemala"/>
    <s v="Guatemala"/>
    <x v="0"/>
  </r>
  <r>
    <s v="Kahiko Orange"/>
    <n v="98"/>
    <s v="Medium Light"/>
    <n v="54"/>
    <n v="84"/>
    <n v="44.07"/>
    <s v="USA"/>
    <s v="Unknown"/>
    <x v="3"/>
  </r>
  <r>
    <s v="Kenya Washed Kiambu Yara Estate PB TOP"/>
    <n v="97"/>
    <s v="Medium Light"/>
    <n v="58"/>
    <n v="80"/>
    <n v="264.55"/>
    <s v="Taiwan"/>
    <s v="Kenya"/>
    <x v="1"/>
  </r>
  <r>
    <s v="Kona Orange"/>
    <n v="96"/>
    <s v="Light"/>
    <n v="58"/>
    <n v="84"/>
    <n v="35.25"/>
    <s v="USA"/>
    <s v="USA"/>
    <x v="0"/>
  </r>
  <r>
    <s v="Colombia Wilton Benitez Sudan Rume"/>
    <n v="96"/>
    <s v="Light"/>
    <n v="64"/>
    <n v="84"/>
    <n v="12.79"/>
    <s v="USA"/>
    <s v="Colombia"/>
    <x v="0"/>
  </r>
  <r>
    <s v="Ethiopia Washed Gute 74110 Lot JH"/>
    <n v="95"/>
    <s v="Light"/>
    <n v="60"/>
    <n v="82"/>
    <n v="211.64"/>
    <s v="Taiwan"/>
    <s v="Ethiopia"/>
    <x v="1"/>
  </r>
  <r>
    <s v="Ethiopia Natural Sidama Bura Karamo 74158"/>
    <n v="95"/>
    <s v="Light"/>
    <n v="57"/>
    <n v="88"/>
    <n v="211.64"/>
    <s v="Taiwan"/>
    <s v="Ethiopia"/>
    <x v="1"/>
  </r>
  <r>
    <s v="Taiwan Honey Alishan Ming Yang Yuan Gesha"/>
    <n v="95"/>
    <s v="Light"/>
    <n v="62"/>
    <n v="84"/>
    <n v="0.88"/>
    <s v="Taiwan"/>
    <s v="Taiwan"/>
    <x v="2"/>
  </r>
  <r>
    <s v="Kenya Washed Kiambu AB TOP Lot Yerihar"/>
    <n v="94"/>
    <s v="Medium Light"/>
    <n v="58"/>
    <n v="78"/>
    <n v="154.32"/>
    <s v="Taiwan"/>
    <s v="Kenya"/>
    <x v="1"/>
  </r>
  <r>
    <s v="Kenya Ibonia Estate"/>
    <n v="95"/>
    <s v="Medium Light"/>
    <n v="58"/>
    <n v="80"/>
    <n v="7.05"/>
    <s v="USA"/>
    <s v="Kenya"/>
    <x v="1"/>
  </r>
  <r>
    <s v="Ethiopia Worka Sakaro"/>
    <n v="94"/>
    <s v="Light"/>
    <n v="62"/>
    <n v="86"/>
    <n v="7.94"/>
    <s v="USA"/>
    <s v="Ethiopia"/>
    <x v="1"/>
  </r>
  <r>
    <s v="Guatemala Washed Huehuetenango Joya Verde"/>
    <n v="94"/>
    <s v="Medium Light"/>
    <n v="56"/>
    <n v="74"/>
    <n v="114.64"/>
    <s v="Taiwan"/>
    <s v="Guatemala"/>
    <x v="0"/>
  </r>
  <r>
    <s v="Ethiopia Washed Guji Uraga Tebe Burka"/>
    <n v="94"/>
    <s v="Medium Light"/>
    <n v="58"/>
    <n v="80"/>
    <n v="145.5"/>
    <s v="Taiwan"/>
    <s v="Ethiopia"/>
    <x v="1"/>
  </r>
  <r>
    <s v="Ethiopia Natural Sidama ALO Village SKY Project FL"/>
    <n v="94"/>
    <s v="Medium Light"/>
    <n v="60"/>
    <n v="77"/>
    <n v="432.1"/>
    <s v="Taiwan"/>
    <s v="Ethiopia"/>
    <x v="1"/>
  </r>
  <r>
    <s v="Taiwan Natural Alishan Chi Tsai Liu Li Ecological Farm"/>
    <n v="94"/>
    <s v="Medium Light"/>
    <n v="60"/>
    <n v="77"/>
    <n v="0.88"/>
    <s v="Taiwan"/>
    <s v="Taiwan"/>
    <x v="2"/>
  </r>
  <r>
    <s v="Wilton Benitez SL28"/>
    <n v="96"/>
    <s v="Medium Light"/>
    <n v="58"/>
    <n v="82"/>
    <n v="14.55"/>
    <s v="USA"/>
    <s v="Colombia"/>
    <x v="0"/>
  </r>
  <r>
    <s v="Kolla Bolcha #6 Ethiopia"/>
    <n v="94"/>
    <s v="Medium Light"/>
    <n v="60"/>
    <n v="79"/>
    <n v="5.88"/>
    <s v="USA"/>
    <s v="Ethiopia"/>
    <x v="1"/>
  </r>
  <r>
    <s v="Bener Meriah Sumatra"/>
    <n v="94"/>
    <s v="Medium Light"/>
    <n v="59"/>
    <n v="77"/>
    <n v="5.88"/>
    <s v="USA"/>
    <s v="Indonesia"/>
    <x v="2"/>
  </r>
  <r>
    <s v="Yemen Haraaz"/>
    <n v="96"/>
    <s v="Light"/>
    <n v="60"/>
    <n v="82"/>
    <n v="16"/>
    <s v="USA"/>
    <s v="Yemen"/>
    <x v="1"/>
  </r>
  <r>
    <s v="Ethiopia Yirgacheffe Hama Honey"/>
    <n v="95"/>
    <s v="Medium Light"/>
    <n v="59"/>
    <n v="81"/>
    <n v="264.32"/>
    <s v="Taiwan"/>
    <s v="Ethiopia"/>
    <x v="1"/>
  </r>
  <r>
    <s v="Colombia Finca Santuario Red Bourbon Natural"/>
    <n v="95"/>
    <s v="Light"/>
    <n v="62"/>
    <n v="94"/>
    <n v="264.32"/>
    <s v="Taiwan"/>
    <s v="Colombia"/>
    <x v="0"/>
  </r>
  <r>
    <s v="Ethiopia Yirgacheffe Gutiti Gargari Natural"/>
    <n v="94"/>
    <s v="Medium Light"/>
    <n v="60"/>
    <n v="77"/>
    <n v="198.24"/>
    <s v="Taiwan"/>
    <s v="Ethiopia"/>
    <x v="1"/>
  </r>
  <r>
    <s v="130 Blend"/>
    <n v="94"/>
    <s v="Medium Light"/>
    <n v="55"/>
    <n v="79"/>
    <n v="5.59"/>
    <s v="USA"/>
    <s v="Ethiopia"/>
    <x v="1"/>
  </r>
  <r>
    <s v="Ethiopia Bench Maji Gori Gesha ORO Yeast Natural G1"/>
    <n v="94"/>
    <s v="Medium Light"/>
    <n v="55"/>
    <n v="79"/>
    <n v="343.61"/>
    <s v="Taiwan"/>
    <s v="Ethiopia"/>
    <x v="1"/>
  </r>
  <r>
    <s v="Fruits Melody"/>
    <n v="94"/>
    <s v="Light"/>
    <n v="65"/>
    <n v="81"/>
    <n v="171.81"/>
    <s v="Taiwan"/>
    <s v="Ethiopia"/>
    <x v="1"/>
  </r>
  <r>
    <s v="Kenya Melwa AA Washed"/>
    <n v="94"/>
    <s v="Light"/>
    <n v="64"/>
    <n v="88"/>
    <n v="211.45"/>
    <s v="Taiwan"/>
    <s v="Kenya"/>
    <x v="1"/>
  </r>
  <r>
    <s v="Colombia Wilton Benitez Thermal Shock Red Bourbon"/>
    <n v="94"/>
    <s v="Light"/>
    <n v="60"/>
    <n v="83"/>
    <n v="16.75"/>
    <s v="USA"/>
    <s v="Colombia"/>
    <x v="0"/>
  </r>
  <r>
    <s v="Panama Elida Estate Geisha Natural ASD T3D Auction Lot EG6"/>
    <n v="97"/>
    <s v="Light"/>
    <n v="66"/>
    <n v="84"/>
    <n v="70.55"/>
    <s v="Taiwan"/>
    <s v="Panama"/>
    <x v="0"/>
  </r>
  <r>
    <s v="El Salvador La Providencia Maria Pacas Bernadina Honey"/>
    <n v="95"/>
    <s v="Light"/>
    <n v="62"/>
    <n v="84"/>
    <n v="11.54"/>
    <s v="USA"/>
    <s v="El Salvador"/>
    <x v="0"/>
  </r>
  <r>
    <s v="Colombia El Vergel Martha Montenegro Rubi Marti Anaerobic"/>
    <n v="95"/>
    <s v="Light"/>
    <n v="66"/>
    <n v="90"/>
    <n v="13.89"/>
    <s v="USA"/>
    <s v="Colombia"/>
    <x v="0"/>
  </r>
  <r>
    <s v="Ethiopia West Arsi Washed G1"/>
    <n v="95"/>
    <s v="Light"/>
    <n v="64"/>
    <n v="88"/>
    <n v="244.44"/>
    <s v="Taiwan"/>
    <s v="Ethiopia"/>
    <x v="1"/>
  </r>
  <r>
    <s v="Ethiopia Washed Yirgacheffe Chelbesa SNNPR Gedeo G1"/>
    <n v="94"/>
    <s v="Light"/>
    <n v="64"/>
    <n v="84"/>
    <n v="211.64"/>
    <s v="Taiwan"/>
    <s v="Ethiopia"/>
    <x v="1"/>
  </r>
  <r>
    <s v="Colombia Lulo Wonka Wonka &amp; Sebastian Gomez"/>
    <n v="96"/>
    <s v="Light"/>
    <n v="64"/>
    <n v="86"/>
    <n v="8.81"/>
    <s v="USA"/>
    <s v="Colombia"/>
    <x v="0"/>
  </r>
  <r>
    <s v="Colombia Finca La Reserva"/>
    <n v="94"/>
    <s v="Light"/>
    <n v="64"/>
    <n v="84"/>
    <n v="8.81"/>
    <s v="USA"/>
    <s v="Colombia"/>
    <x v="0"/>
  </r>
  <r>
    <s v="Ethiopia Washed Ayla Bombe"/>
    <n v="94"/>
    <s v="Medium Light"/>
    <n v="59"/>
    <n v="79"/>
    <n v="5.59"/>
    <s v="USA"/>
    <s v="Ethiopia"/>
    <x v="1"/>
  </r>
  <r>
    <s v="Ethiopia Mr. Ocholo Bedecho"/>
    <n v="95"/>
    <s v="Light"/>
    <n v="58"/>
    <n v="84"/>
    <n v="6.47"/>
    <s v="USA"/>
    <s v="Ethiopia"/>
    <x v="1"/>
  </r>
  <r>
    <s v="Colombia Pink Champagne El Mirador Blend"/>
    <n v="94"/>
    <s v="Light"/>
    <n v="66"/>
    <n v="93"/>
    <n v="10.23"/>
    <s v="USA"/>
    <s v="Colombia"/>
    <x v="0"/>
  </r>
  <r>
    <s v="Guatemala El Injerto Malawi Geisha Washed"/>
    <n v="95"/>
    <s v="Light"/>
    <n v="69"/>
    <n v="88"/>
    <n v="950"/>
    <s v="Taiwan"/>
    <s v="Guatemala"/>
    <x v="0"/>
  </r>
  <r>
    <s v="Guatemala El Injerto Legendary Geisha Natural Lot E1-06"/>
    <n v="94"/>
    <s v="Light"/>
    <n v="60"/>
    <n v="88"/>
    <n v="20.87"/>
    <s v="Taiwan"/>
    <s v="Guatemala"/>
    <x v="0"/>
  </r>
  <r>
    <s v="Guatemala Washed Finca La Hermosa Gesha Peaberry"/>
    <n v="94"/>
    <s v="Medium Light"/>
    <n v="56"/>
    <n v="84"/>
    <n v="19.36"/>
    <s v="Taiwan"/>
    <s v="Guatemala"/>
    <x v="0"/>
  </r>
  <r>
    <s v="Qunqana Ethiopia"/>
    <n v="95"/>
    <s v="Light"/>
    <n v="63"/>
    <n v="81"/>
    <n v="6.76"/>
    <s v="USA"/>
    <s v="Ethiopia"/>
    <x v="1"/>
  </r>
  <r>
    <s v="Finca La Reserva Colombia Gesha Honey"/>
    <n v="95"/>
    <s v="Medium Light"/>
    <n v="59"/>
    <n v="77"/>
    <n v="9.6999999999999993"/>
    <s v="USA"/>
    <s v="Colombia"/>
    <x v="0"/>
  </r>
  <r>
    <s v="Ethiopia Ayla Bombe"/>
    <n v="96"/>
    <s v="Medium Light"/>
    <n v="61"/>
    <n v="78"/>
    <n v="5.88"/>
    <s v="USA"/>
    <s v="Ethiopia"/>
    <x v="1"/>
  </r>
  <r>
    <s v="Ethiopia Arbegona Yaye Washed"/>
    <n v="95"/>
    <s v="Light"/>
    <n v="62"/>
    <n v="80"/>
    <n v="7.05"/>
    <s v="USA"/>
    <s v="Ethiopia"/>
    <x v="1"/>
  </r>
  <r>
    <s v="Sumatra Putra Gayo Natural"/>
    <n v="94"/>
    <s v="Medium Light"/>
    <n v="60"/>
    <n v="79"/>
    <n v="6.76"/>
    <s v="USA"/>
    <s v="Indonesia"/>
    <x v="2"/>
  </r>
  <r>
    <s v="El Salvador Finca Plan del Hoyo Microlot"/>
    <n v="94"/>
    <s v="Medium Light"/>
    <n v="60"/>
    <n v="77"/>
    <n v="4.7"/>
    <s v="USA"/>
    <s v="El Salvador"/>
    <x v="0"/>
  </r>
  <r>
    <s v="Kenya Kichwa Tembo"/>
    <n v="94"/>
    <s v="Medium Light"/>
    <n v="59"/>
    <n v="81"/>
    <n v="8.23"/>
    <s v="USA"/>
    <s v="Kenya"/>
    <x v="1"/>
  </r>
  <r>
    <s v="Ethiopia Sidama Alice Orchard Natural G1"/>
    <n v="95"/>
    <s v="Light"/>
    <n v="64"/>
    <n v="86"/>
    <n v="242.29"/>
    <s v="Taiwan"/>
    <s v="Ethiopia"/>
    <x v="1"/>
  </r>
  <r>
    <s v="Colombia Fruit Loops Gesha Washed"/>
    <n v="94"/>
    <s v="Light"/>
    <n v="65"/>
    <n v="89"/>
    <n v="22.33"/>
    <s v="USA"/>
    <s v="Colombia"/>
    <x v="0"/>
  </r>
  <r>
    <s v="Kenya Gachatha AA Top"/>
    <n v="94"/>
    <s v="Light"/>
    <n v="62"/>
    <n v="80"/>
    <n v="136.24"/>
    <s v="Taiwan"/>
    <s v="Kenya"/>
    <x v="1"/>
  </r>
  <r>
    <s v="Ethiopia Bench-Maji Lucy Station Geisha Washed"/>
    <n v="94"/>
    <s v="Light"/>
    <n v="64"/>
    <n v="84"/>
    <n v="149.47"/>
    <s v="Taiwan"/>
    <s v="Ethiopia"/>
    <x v="1"/>
  </r>
  <r>
    <s v="Ethiopia Yirgacheffe Lalisa Black Honey TOH#2"/>
    <n v="94"/>
    <s v="Light"/>
    <n v="66"/>
    <n v="90"/>
    <n v="197.97"/>
    <s v="Taiwan"/>
    <s v="Ethiopia"/>
    <x v="1"/>
  </r>
  <r>
    <s v="Panama Hacienda La Esmeralda Nano GIGANTE 4FC-N Geisha Washed"/>
    <n v="97"/>
    <s v="Light"/>
    <n v="62"/>
    <n v="84"/>
    <n v="6000"/>
    <s v="Taiwan"/>
    <s v="Panama"/>
    <x v="0"/>
  </r>
  <r>
    <s v="Kenya Washed Kiambu AA"/>
    <n v="96"/>
    <s v="Medium"/>
    <n v="47"/>
    <n v="69"/>
    <n v="127.87"/>
    <s v="Taiwan"/>
    <s v="Kenya"/>
    <x v="1"/>
  </r>
  <r>
    <s v="Kenya Washed Kiambu Maganjo AA TOP"/>
    <n v="95"/>
    <s v="Medium Light"/>
    <n v="58"/>
    <n v="82"/>
    <n v="154.32"/>
    <s v="Taiwan"/>
    <s v="Kenya"/>
    <x v="1"/>
  </r>
  <r>
    <s v="Ethiopia Washed Yirgacheffe Botabaa Lot"/>
    <n v="95"/>
    <s v="Light"/>
    <n v="62"/>
    <n v="84"/>
    <n v="145.5"/>
    <s v="Taiwan"/>
    <s v="Ethiopia"/>
    <x v="1"/>
  </r>
  <r>
    <s v="Ecuador Galo Morales"/>
    <n v="94"/>
    <s v="Light"/>
    <n v="64"/>
    <n v="86"/>
    <n v="8.82"/>
    <s v="USA"/>
    <s v="Ecuador"/>
    <x v="0"/>
  </r>
  <r>
    <s v="Orange Bourbon Natural"/>
    <n v="95"/>
    <s v="Light"/>
    <n v="64"/>
    <n v="88"/>
    <n v="15.43"/>
    <s v="USA"/>
    <s v="Unknown"/>
    <x v="3"/>
  </r>
  <r>
    <s v="Ethiopia Yirgacheffe Huke Premium Washed G1"/>
    <n v="95"/>
    <s v="Light"/>
    <n v="64"/>
    <n v="82"/>
    <n v="6.17"/>
    <s v="USA"/>
    <s v="Ethiopia"/>
    <x v="1"/>
  </r>
  <r>
    <s v="Ethiopia Yirgacheffe Huke Premium Natural G1"/>
    <n v="94"/>
    <s v="Light"/>
    <n v="62"/>
    <n v="80"/>
    <n v="6.17"/>
    <s v="USA"/>
    <s v="Ethiopia"/>
    <x v="1"/>
  </r>
  <r>
    <s v="Colombia El Vergel #1"/>
    <n v="94"/>
    <s v="Light"/>
    <n v="64"/>
    <n v="86"/>
    <n v="4.41"/>
    <s v="USA"/>
    <s v="Colombia"/>
    <x v="0"/>
  </r>
  <r>
    <s v="Ethiopia Sidama Bensa"/>
    <n v="94"/>
    <s v="Light"/>
    <n v="65"/>
    <n v="87"/>
    <n v="175"/>
    <s v="Taiwan"/>
    <s v="Ethiopia"/>
    <x v="1"/>
  </r>
  <r>
    <s v="Ethiopia Guji Rosechee Washed G1"/>
    <n v="94"/>
    <s v="Light"/>
    <n v="66"/>
    <n v="88"/>
    <n v="264.32"/>
    <s v="Taiwan"/>
    <s v="Ethiopia"/>
    <x v="1"/>
  </r>
  <r>
    <s v="Ethiopia Bench-Maji Lucy Geisha"/>
    <n v="94"/>
    <s v="Light"/>
    <n v="66"/>
    <n v="84"/>
    <n v="190"/>
    <s v="Taiwan"/>
    <s v="Ethiopia"/>
    <x v="1"/>
  </r>
  <r>
    <s v="Ethiopia Oromi Guji Hamela Wamena Tirtira Goyo Natural G1"/>
    <n v="95"/>
    <s v="Light"/>
    <n v="66"/>
    <n v="88"/>
    <n v="211.64"/>
    <s v="Taiwan"/>
    <s v="Ethiopia"/>
    <x v="1"/>
  </r>
  <r>
    <s v="Acacia Hills Geisha"/>
    <n v="96"/>
    <s v="Medium Light"/>
    <n v="58"/>
    <n v="80"/>
    <n v="10.58"/>
    <s v="USA"/>
    <s v="Tanzania"/>
    <x v="1"/>
  </r>
  <r>
    <s v="Nsoga Iweyza Tanzania"/>
    <n v="95"/>
    <s v="Medium Light"/>
    <n v="57"/>
    <n v="77"/>
    <n v="10.58"/>
    <s v="USA"/>
    <s v="Tanzania"/>
    <x v="1"/>
  </r>
  <r>
    <s v="Wilton Benitez Java"/>
    <n v="96"/>
    <s v="Light"/>
    <n v="59"/>
    <n v="93"/>
    <n v="8.82"/>
    <s v="USA"/>
    <s v="Colombia"/>
    <x v="0"/>
  </r>
  <r>
    <s v="Ethiopia Guji Narcissus Washed G1"/>
    <n v="94"/>
    <s v="Light"/>
    <n v="63"/>
    <n v="82"/>
    <n v="255.51"/>
    <s v="Taiwan"/>
    <s v="Ethiopia"/>
    <x v="1"/>
  </r>
  <r>
    <s v="Asobombo Colombia"/>
    <n v="94"/>
    <s v="Light"/>
    <n v="63"/>
    <n v="85"/>
    <n v="5.88"/>
    <s v="USA"/>
    <s v="Colombia"/>
    <x v="0"/>
  </r>
  <r>
    <s v="Panama Hacienda La Esmeralda Special Nano Geisha Gigante Washed Euphora Lot"/>
    <n v="96"/>
    <s v="Light"/>
    <n v="66"/>
    <n v="88"/>
    <n v="79.37"/>
    <s v="Taiwan"/>
    <s v="Panama"/>
    <x v="0"/>
  </r>
  <r>
    <s v="Costa Rica Las Lajas Black Diamond Bourbon"/>
    <n v="95"/>
    <s v="Light"/>
    <n v="72"/>
    <n v="102"/>
    <n v="8.23"/>
    <s v="USA"/>
    <s v="Costa Rica"/>
    <x v="0"/>
  </r>
  <r>
    <s v="Colombia Wilton Benitez Red Bourbon"/>
    <n v="94"/>
    <s v="Light"/>
    <n v="66"/>
    <n v="88"/>
    <n v="12.4"/>
    <s v="USA"/>
    <s v="Colombia"/>
    <x v="0"/>
  </r>
  <r>
    <s v="Colombia Wilton Benitez Yellow Bourbon"/>
    <n v="94"/>
    <s v="Light"/>
    <n v="65"/>
    <n v="90"/>
    <n v="12.4"/>
    <s v="USA"/>
    <s v="Colombia"/>
    <x v="0"/>
  </r>
  <r>
    <s v="Colombia Wilton Benitez Gesha Thermal Shock Wine Yeast"/>
    <n v="96"/>
    <s v="Light"/>
    <n v="68"/>
    <n v="92"/>
    <n v="24.8"/>
    <s v="USA"/>
    <s v="Colombia"/>
    <x v="0"/>
  </r>
  <r>
    <s v="Colombia Wilton Benitez Striped Bourbon Thermal Shock"/>
    <n v="95"/>
    <s v="Light"/>
    <n v="65"/>
    <n v="92"/>
    <n v="24.8"/>
    <s v="USA"/>
    <s v="Colombia"/>
    <x v="0"/>
  </r>
  <r>
    <s v="Ethiopia Mulish"/>
    <n v="94"/>
    <s v="Medium Light"/>
    <n v="58"/>
    <n v="78"/>
    <n v="7.5"/>
    <s v="USA"/>
    <s v="Ethiopia"/>
    <x v="1"/>
  </r>
  <r>
    <s v="Ethiopia Gesha Village Oma Gesha 1931 Natural"/>
    <n v="96"/>
    <s v="Light"/>
    <n v="59"/>
    <n v="83"/>
    <n v="799"/>
    <s v="Taiwan"/>
    <s v="Ethiopia"/>
    <x v="1"/>
  </r>
  <r>
    <s v="Ethiopia Djimma Limu Gummay Baby Geisha Washed"/>
    <n v="95"/>
    <s v="Light"/>
    <n v="64"/>
    <n v="88"/>
    <n v="158.29"/>
    <s v="Taiwan"/>
    <s v="Ethiopia"/>
    <x v="1"/>
  </r>
  <r>
    <s v="Ethiopia Yirgacheffe Kochere Halo Hartume Washed G1"/>
    <n v="94"/>
    <s v="Light"/>
    <n v="64"/>
    <n v="86"/>
    <n v="254.55"/>
    <s v="Taiwan"/>
    <s v="Ethiopia"/>
    <x v="1"/>
  </r>
  <r>
    <s v="Ethiopia Guji Bule Hambela TOH#1"/>
    <n v="94"/>
    <s v="Medium Light"/>
    <n v="57"/>
    <n v="76"/>
    <n v="264.11"/>
    <s v="Taiwan"/>
    <s v="Ethiopia"/>
    <x v="1"/>
  </r>
  <r>
    <s v="Ethiopia Natural Sidama Bensa Blue Donkey 24/1"/>
    <n v="96"/>
    <s v="Medium Light"/>
    <n v="60"/>
    <n v="77"/>
    <n v="154.32"/>
    <s v="Taiwan"/>
    <s v="Ethiopia"/>
    <x v="1"/>
  </r>
  <r>
    <s v="Peru Washed Los Santos Farm Gesha"/>
    <n v="95"/>
    <s v="Light"/>
    <n v="64"/>
    <n v="84"/>
    <n v="198.41"/>
    <s v="Taiwan"/>
    <s v="Peru"/>
    <x v="0"/>
  </r>
  <r>
    <s v="Peru Black Honey Los Santos Farm Gesha"/>
    <n v="94"/>
    <s v="Light"/>
    <n v="64"/>
    <n v="88"/>
    <n v="180.78"/>
    <s v="Taiwan"/>
    <s v="Peru"/>
    <x v="0"/>
  </r>
  <r>
    <s v="Nyeri Hill Kenya"/>
    <n v="94"/>
    <s v="Medium Light"/>
    <n v="58"/>
    <n v="76"/>
    <n v="6.76"/>
    <s v="USA"/>
    <s v="Kenya"/>
    <x v="1"/>
  </r>
  <r>
    <s v="Colombia Tabi La Roca"/>
    <n v="94"/>
    <s v="Light"/>
    <n v="57"/>
    <n v="87"/>
    <n v="14.99"/>
    <s v="USA"/>
    <s v="Colombia"/>
    <x v="0"/>
  </r>
  <r>
    <s v="Ethiopia Sidama West Arsi Nansebo Natural G1"/>
    <n v="95"/>
    <s v="Light"/>
    <n v="58"/>
    <n v="86"/>
    <n v="211.45"/>
    <s v="Taiwan"/>
    <s v="Ethiopia"/>
    <x v="1"/>
  </r>
  <r>
    <s v="Ethiopia Moonlight Delight Wine Process Natural"/>
    <n v="94"/>
    <s v="Light"/>
    <n v="66"/>
    <n v="88"/>
    <n v="330.4"/>
    <s v="Taiwan"/>
    <s v="Ethiopia"/>
    <x v="1"/>
  </r>
  <r>
    <s v="Colombia Caldas Twilight Geisha Natural"/>
    <n v="94"/>
    <s v="Light"/>
    <n v="58"/>
    <n v="86"/>
    <n v="330.4"/>
    <s v="Taiwan"/>
    <s v="Colombia"/>
    <x v="0"/>
  </r>
  <r>
    <s v="Wilton Benitez Orange Bourbon"/>
    <n v="95"/>
    <s v="Light"/>
    <n v="63"/>
    <n v="81"/>
    <n v="11.02"/>
    <s v="USA"/>
    <s v="Colombia"/>
    <x v="0"/>
  </r>
  <r>
    <s v="Costa Rica TarrazГє Tirra"/>
    <n v="94"/>
    <s v="Medium Light"/>
    <n v="58"/>
    <n v="82"/>
    <n v="7.05"/>
    <s v="USA"/>
    <s v="Costa Rica"/>
    <x v="0"/>
  </r>
  <r>
    <s v="Kona Maragogype"/>
    <n v="94"/>
    <s v="Medium Light"/>
    <n v="56"/>
    <n v="76"/>
    <n v="18.64"/>
    <s v="USA"/>
    <s v="USA"/>
    <x v="0"/>
  </r>
  <r>
    <s v="Ethiopia Natural Sidama Bensa Bombe"/>
    <n v="95"/>
    <s v="Medium Light"/>
    <n v="58"/>
    <n v="77"/>
    <n v="123.46"/>
    <s v="Taiwan"/>
    <s v="Ethiopia"/>
    <x v="1"/>
  </r>
  <r>
    <s v="Ethiopia Washed Bench Maji Baby Lucy Gesha"/>
    <n v="94"/>
    <s v="Light"/>
    <n v="64"/>
    <n v="86"/>
    <n v="132.28"/>
    <s v="Taiwan"/>
    <s v="Ethiopia"/>
    <x v="1"/>
  </r>
  <r>
    <s v="Taiwan Natural Meishan Ching-Ye Farm Lot 0116"/>
    <n v="94"/>
    <s v="Light"/>
    <n v="62"/>
    <n v="80"/>
    <n v="352.73"/>
    <s v="Taiwan"/>
    <s v="Taiwan"/>
    <x v="2"/>
  </r>
  <r>
    <s v="Gesha Spirits"/>
    <n v="96"/>
    <s v="Light"/>
    <n v="64"/>
    <n v="88"/>
    <n v="16.309999999999999"/>
    <s v="USA"/>
    <s v="Colombia"/>
    <x v="0"/>
  </r>
  <r>
    <s v="Colombia El Jardin Anaerobic Natural"/>
    <n v="94"/>
    <s v="Medium Light"/>
    <n v="59"/>
    <n v="81"/>
    <n v="6.16"/>
    <s v="USA"/>
    <s v="Colombia"/>
    <x v="0"/>
  </r>
  <r>
    <s v="Colombia Los Nogales Yellow Bourbon"/>
    <n v="94"/>
    <s v="Light"/>
    <n v="63"/>
    <n v="86"/>
    <n v="18.670000000000002"/>
    <s v="Japan"/>
    <s v="Colombia"/>
    <x v="0"/>
  </r>
  <r>
    <s v="Ethiopia Chelba Natural"/>
    <n v="94"/>
    <s v="Medium Light"/>
    <n v="51"/>
    <n v="80"/>
    <n v="175"/>
    <s v="Taiwan"/>
    <s v="Ethiopia"/>
    <x v="1"/>
  </r>
  <r>
    <s v="Tanzania Karatu Acacia Hills Geisha Washed AB Espresso"/>
    <n v="94"/>
    <s v="Medium Light"/>
    <n v="58"/>
    <n v="80"/>
    <n v="399"/>
    <s v="Taiwan"/>
    <s v="Tanzania"/>
    <x v="1"/>
  </r>
  <r>
    <s v="Las Margaritas Geisha Honey"/>
    <n v="95"/>
    <s v="Light"/>
    <n v="62"/>
    <n v="84"/>
    <n v="11.02"/>
    <s v="USA"/>
    <s v="Colombia"/>
    <x v="0"/>
  </r>
  <r>
    <s v="Colombia Papayo"/>
    <n v="94"/>
    <s v="Light"/>
    <n v="62"/>
    <n v="86"/>
    <n v="8.82"/>
    <s v="USA"/>
    <s v="Colombia"/>
    <x v="0"/>
  </r>
  <r>
    <s v="Las Margaritas Sudan Rume Natural"/>
    <n v="94"/>
    <s v="Medium Light"/>
    <n v="59"/>
    <n v="82"/>
    <n v="17.64"/>
    <s v="USA"/>
    <s v="Colombia"/>
    <x v="0"/>
  </r>
  <r>
    <s v="Colombia Green Apple Castillo"/>
    <n v="94"/>
    <s v="Light"/>
    <n v="63"/>
    <n v="86"/>
    <n v="18.52"/>
    <s v="USA"/>
    <s v="Colombia"/>
    <x v="0"/>
  </r>
  <r>
    <s v="Colombia La Palma Y TucГЎn Heroes Series Geisha"/>
    <n v="94"/>
    <s v="Light"/>
    <n v="64"/>
    <n v="97"/>
    <n v="12.78"/>
    <s v="USA"/>
    <s v="Colombia"/>
    <x v="0"/>
  </r>
  <r>
    <s v="Ethiopia Sidamo Bensa Anaerobic Washed"/>
    <n v="94"/>
    <s v="Light"/>
    <n v="59"/>
    <n v="94"/>
    <n v="93.77"/>
    <s v="Taiwan"/>
    <s v="Ethiopia"/>
    <x v="1"/>
  </r>
  <r>
    <s v="Ethiopia Sidama Orange Blossom Washed G1"/>
    <n v="94"/>
    <s v="Light"/>
    <n v="64"/>
    <n v="82"/>
    <n v="220.26"/>
    <s v="Taiwan"/>
    <s v="Ethiopia"/>
    <x v="1"/>
  </r>
  <r>
    <s v="Ethiopia Washed Sidama Bensa Single Variety 74158"/>
    <n v="94"/>
    <s v="Light"/>
    <n v="62"/>
    <n v="82"/>
    <n v="264.32"/>
    <s v="Taiwan"/>
    <s v="Ethiopia"/>
    <x v="1"/>
  </r>
  <r>
    <s v="Guatemala Bella Carmona"/>
    <n v="94"/>
    <s v="Medium Light"/>
    <n v="57"/>
    <n v="79"/>
    <n v="5.88"/>
    <s v="USA"/>
    <s v="Guatemala"/>
    <x v="0"/>
  </r>
  <r>
    <s v="Wilton Benitez Sidra"/>
    <n v="95"/>
    <s v="Light"/>
    <n v="57"/>
    <n v="89"/>
    <n v="11.46"/>
    <s v="USA"/>
    <s v="Colombia"/>
    <x v="0"/>
  </r>
  <r>
    <s v="Putra Gayo Sumatra"/>
    <n v="94"/>
    <s v="Light"/>
    <n v="60"/>
    <n v="88"/>
    <n v="6.76"/>
    <s v="USA"/>
    <s v="Indonesia"/>
    <x v="2"/>
  </r>
  <r>
    <s v="Colombia JosГ© JuliГЎn Giraldo Pink Bourbon Panela Sticky"/>
    <n v="95"/>
    <s v="Light"/>
    <n v="65"/>
    <n v="89"/>
    <n v="17"/>
    <s v="USA"/>
    <s v="Colombia"/>
    <x v="0"/>
  </r>
  <r>
    <s v="Kenya Gatirima AA"/>
    <n v="94"/>
    <s v="Light"/>
    <n v="66"/>
    <n v="88"/>
    <n v="6.76"/>
    <s v="USA"/>
    <s v="Kenya"/>
    <x v="1"/>
  </r>
  <r>
    <s v="Kenya Washed Kirinyaga Getuya AA Top"/>
    <n v="96"/>
    <s v="Light"/>
    <n v="62"/>
    <n v="80"/>
    <n v="158.72999999999999"/>
    <s v="Taiwan"/>
    <s v="Kenya"/>
    <x v="1"/>
  </r>
  <r>
    <s v="Ethiopia Natural Sidama Espresso"/>
    <n v="95"/>
    <s v="Light"/>
    <n v="66"/>
    <n v="86"/>
    <n v="97"/>
    <s v="Taiwan"/>
    <s v="Ethiopia"/>
    <x v="1"/>
  </r>
  <r>
    <s v="True Love Espresso Blend"/>
    <n v="94"/>
    <s v="Medium Light"/>
    <n v="57"/>
    <n v="77"/>
    <n v="114.64"/>
    <s v="Taiwan"/>
    <s v="Guatemala"/>
    <x v="0"/>
  </r>
  <r>
    <s v="Guatemala Honey Finca El General Gesha"/>
    <n v="94"/>
    <s v="Light"/>
    <n v="62"/>
    <n v="80"/>
    <n v="264.55"/>
    <s v="Taiwan"/>
    <s v="Guatemala"/>
    <x v="0"/>
  </r>
  <r>
    <s v="Ethiopia Natural Sidama Bacha 74110"/>
    <n v="95"/>
    <s v="Light"/>
    <n v="66"/>
    <n v="88"/>
    <n v="143.30000000000001"/>
    <s v="Taiwan"/>
    <s v="Ethiopia"/>
    <x v="1"/>
  </r>
  <r>
    <s v="Ethiopia Yirgacheffe Adame G1 Washed 95"/>
    <n v="95"/>
    <s v="Light"/>
    <n v="67"/>
    <n v="92"/>
    <n v="140.65"/>
    <s v="Taiwan"/>
    <s v="Ethiopia"/>
    <x v="1"/>
  </r>
  <r>
    <s v="Colombia Linarco Rodriguez Ospina Pink Bourbon Washed 94"/>
    <n v="94"/>
    <s v="Light"/>
    <n v="62"/>
    <n v="81"/>
    <n v="268.52"/>
    <s v="Taiwan"/>
    <s v="Colombia"/>
    <x v="0"/>
  </r>
  <r>
    <s v="Ethiopia Guji Uraga Haro Adama Washed G1"/>
    <n v="94"/>
    <s v="Light"/>
    <n v="67"/>
    <n v="90"/>
    <n v="123.02"/>
    <s v="Taiwan"/>
    <s v="Ethiopia"/>
    <x v="1"/>
  </r>
  <r>
    <s v="Colombia Edwin Enrique NoreГ±a / Black Honey Watermelon &amp; Lulo Co-Ferment"/>
    <n v="94"/>
    <s v="Light"/>
    <n v="64"/>
    <n v="88"/>
    <n v="1.18"/>
    <s v="USA"/>
    <s v="Colombia"/>
    <x v="0"/>
  </r>
  <r>
    <s v="Colombia Edwin Enrique NoreГ±a / Black Honey Pink Bourbon Mosto &amp; Passionfruit Co-Ferment"/>
    <n v="94"/>
    <s v="Light"/>
    <n v="65"/>
    <n v="86"/>
    <n v="1.18"/>
    <s v="USA"/>
    <s v="Colombia"/>
    <x v="0"/>
  </r>
  <r>
    <s v="Colombia Edwin Enrique NoreГ±a Pink Bourbon"/>
    <n v="95"/>
    <s v="Light"/>
    <n v="62"/>
    <n v="80"/>
    <n v="14.81"/>
    <s v="USA"/>
    <s v="Colombia"/>
    <x v="0"/>
  </r>
  <r>
    <s v="Rwanda Humure Abishyizehamwe Low-Oxygen Natural"/>
    <n v="94"/>
    <s v="Light"/>
    <n v="62"/>
    <n v="84"/>
    <n v="8.16"/>
    <s v="USA"/>
    <s v="Rwanda"/>
    <x v="1"/>
  </r>
  <r>
    <s v="Candy Crush"/>
    <n v="94"/>
    <s v="Light"/>
    <n v="64"/>
    <n v="86"/>
    <n v="153.85"/>
    <s v="Taiwan"/>
    <s v="Ethiopia"/>
    <x v="1"/>
  </r>
  <r>
    <s v="Panama Clara Finca Auromar"/>
    <n v="94"/>
    <s v="Medium Light"/>
    <n v="60"/>
    <n v="79"/>
    <n v="136.68"/>
    <s v="Taiwan"/>
    <s v="Panama"/>
    <x v="0"/>
  </r>
  <r>
    <s v="Kona Geisha Peaberry Yeast Fermentation Washed"/>
    <n v="95"/>
    <s v="Light"/>
    <n v="59"/>
    <n v="84"/>
    <n v="70.55"/>
    <s v="USA"/>
    <s v="USA"/>
    <x v="0"/>
  </r>
  <r>
    <s v="Colombia Finca La Secreta Lychee Caturra Anaerobic"/>
    <n v="94"/>
    <s v="Light"/>
    <n v="62"/>
    <n v="84"/>
    <n v="8.82"/>
    <s v="USA"/>
    <s v="Colombia"/>
    <x v="0"/>
  </r>
  <r>
    <s v="Colombia Lychee Co-Ferment"/>
    <n v="94"/>
    <s v="Medium Light"/>
    <n v="59"/>
    <n v="81"/>
    <n v="9.92"/>
    <s v="USA"/>
    <s v="Colombia"/>
    <x v="0"/>
  </r>
  <r>
    <s v="Reserve Costa Rica Don Noel SL28"/>
    <n v="94"/>
    <s v="Light"/>
    <n v="60"/>
    <n v="82"/>
    <n v="8.23"/>
    <s v="USA"/>
    <s v="Costa Rica"/>
    <x v="0"/>
  </r>
  <r>
    <s v="Ethiopia Rumadamo Anaerobic Washed"/>
    <n v="96"/>
    <s v="Light"/>
    <n v="66"/>
    <n v="91"/>
    <n v="16.170000000000002"/>
    <s v="USA"/>
    <s v="Ethiopia"/>
    <x v="1"/>
  </r>
  <r>
    <s v="Ethiopia Djimma Limu Gummay Baby Geisha G1 Washed"/>
    <n v="96"/>
    <s v="Light"/>
    <n v="67"/>
    <n v="90"/>
    <n v="300"/>
    <s v="Taiwan"/>
    <s v="Ethiopia"/>
    <x v="1"/>
  </r>
  <r>
    <s v="La Papaya Pacamara Natural Ecuador"/>
    <n v="94"/>
    <s v="Light"/>
    <n v="60"/>
    <n v="84"/>
    <n v="9.6999999999999993"/>
    <s v="USA"/>
    <s v="Ecuador"/>
    <x v="0"/>
  </r>
  <r>
    <s v="Palo de Rosa Pink Bourbon Colombia"/>
    <n v="94"/>
    <s v="Medium Light"/>
    <n v="61"/>
    <n v="79"/>
    <n v="9.6999999999999993"/>
    <s v="USA"/>
    <s v="Colombia"/>
    <x v="0"/>
  </r>
  <r>
    <s v="Java Argopuro Mountain Natural SOE"/>
    <n v="94"/>
    <s v="Medium Light"/>
    <n v="56"/>
    <n v="79"/>
    <n v="7.94"/>
    <s v="USA"/>
    <s v="Indonesia"/>
    <x v="2"/>
  </r>
  <r>
    <s v="Rwanda Rambagirakawa"/>
    <n v="94"/>
    <s v="Medium Light"/>
    <n v="59"/>
    <n v="77"/>
    <n v="7.64"/>
    <s v="USA"/>
    <s v="Rwanda"/>
    <x v="1"/>
  </r>
  <r>
    <s v="Colombia Rigoberto Herrera Granja La Esperanza Hybrid Washed Gesha"/>
    <n v="95"/>
    <s v="Light"/>
    <n v="66"/>
    <n v="90"/>
    <n v="24"/>
    <s v="USA"/>
    <s v="Colombia"/>
    <x v="0"/>
  </r>
  <r>
    <s v="Colombia El Diviso"/>
    <n v="94"/>
    <s v="Light"/>
    <n v="75"/>
    <n v="90"/>
    <n v="396.83"/>
    <s v="Taiwan"/>
    <s v="Colombia"/>
    <x v="0"/>
  </r>
  <r>
    <s v="Colombia Limited Release 2024"/>
    <n v="94"/>
    <s v="Light"/>
    <n v="66"/>
    <n v="83"/>
    <n v="10.58"/>
    <s v="USA"/>
    <s v="Colombia"/>
    <x v="0"/>
  </r>
  <r>
    <s v="Colombia Wilton Benitez Orange Bourbon"/>
    <n v="94"/>
    <s v="Light"/>
    <n v="62"/>
    <n v="84"/>
    <n v="22.49"/>
    <s v="USA"/>
    <s v="Colombia"/>
    <x v="0"/>
  </r>
  <r>
    <s v="Colombia El Vergel #1"/>
    <n v="95"/>
    <s v="Light"/>
    <n v="62"/>
    <n v="80"/>
    <n v="4.41"/>
    <s v="USA"/>
    <s v="Colombia"/>
    <x v="0"/>
  </r>
  <r>
    <s v="Colombia Luna Azul"/>
    <n v="94"/>
    <s v="Light"/>
    <n v="66"/>
    <n v="88"/>
    <n v="7.35"/>
    <s v="USA"/>
    <s v="Colombia"/>
    <x v="0"/>
  </r>
  <r>
    <s v="Colombia Cauca Castillo K-01"/>
    <n v="94"/>
    <s v="Medium Light"/>
    <n v="59"/>
    <n v="82"/>
    <n v="15.87"/>
    <s v="USA"/>
    <s v="Colombia"/>
    <x v="0"/>
  </r>
  <r>
    <s v="Ethiopia Sidama G4 Wamena Natural Espresso"/>
    <n v="94"/>
    <s v="Medium Light"/>
    <n v="59"/>
    <n v="81"/>
    <n v="127.75"/>
    <s v="Taiwan"/>
    <s v="Ethiopia"/>
    <x v="1"/>
  </r>
  <r>
    <s v="Colombia El Paraiso Lychee Rose"/>
    <n v="94"/>
    <s v="Light"/>
    <n v="65"/>
    <n v="87"/>
    <n v="500"/>
    <s v="Taiwan"/>
    <s v="Colombia"/>
    <x v="0"/>
  </r>
  <r>
    <s v="Colombia Cauca Finca EI Paraiso 92 Pink Bourbon"/>
    <n v="95"/>
    <s v="Light"/>
    <n v="66"/>
    <n v="92"/>
    <n v="300"/>
    <s v="Taiwan"/>
    <s v="Colombia"/>
    <x v="0"/>
  </r>
  <r>
    <s v="Kona Geisha Washed"/>
    <n v="96"/>
    <s v="Light"/>
    <n v="64"/>
    <n v="86"/>
    <n v="88.18"/>
    <s v="USA"/>
    <s v="USA"/>
    <x v="0"/>
  </r>
  <r>
    <s v="Karen J Kona Red Bourbon Anaerobic"/>
    <n v="95"/>
    <s v="Medium Light"/>
    <n v="58"/>
    <n v="82"/>
    <n v="24.23"/>
    <s v="USA"/>
    <s v="USA"/>
    <x v="0"/>
  </r>
  <r>
    <s v="Ethiopia Kayon Mountain"/>
    <n v="95"/>
    <s v="Light"/>
    <n v="65"/>
    <n v="86"/>
    <n v="7.05"/>
    <s v="USA"/>
    <s v="Ethiopia"/>
    <x v="1"/>
  </r>
  <r>
    <s v="Ethiopia Yirgacheffe Chelchele Washed G1"/>
    <n v="94"/>
    <s v="Light"/>
    <n v="62"/>
    <n v="86"/>
    <n v="145.06"/>
    <s v="Taiwan"/>
    <s v="Ethiopia"/>
    <x v="1"/>
  </r>
  <r>
    <s v="Kenya Nyeri Hill"/>
    <n v="94"/>
    <s v="Light"/>
    <n v="62"/>
    <n v="80"/>
    <n v="6.47"/>
    <s v="USA"/>
    <s v="Kenya"/>
    <x v="1"/>
  </r>
  <r>
    <s v="Colombia Wilder Lasso Geisha Lot 2 Anaerobic Washed"/>
    <n v="95"/>
    <s v="Light"/>
    <n v="66"/>
    <n v="103"/>
    <n v="26.67"/>
    <s v="USA"/>
    <s v="Colombia"/>
    <x v="0"/>
  </r>
  <r>
    <s v="Dragon Strong Espresso"/>
    <n v="94"/>
    <s v="Medium"/>
    <n v="45"/>
    <n v="62"/>
    <n v="286.33999999999997"/>
    <s v="Taiwan"/>
    <s v="Costa Rica"/>
    <x v="0"/>
  </r>
  <r>
    <s v="Ethiopia Sidama Bombe Tadisa"/>
    <n v="94"/>
    <s v="Light"/>
    <n v="68"/>
    <n v="90"/>
    <n v="195"/>
    <s v="Taiwan"/>
    <s v="Ethiopia"/>
    <x v="1"/>
  </r>
  <r>
    <s v="Riripa Ethiopia"/>
    <n v="95"/>
    <s v="Light"/>
    <n v="60"/>
    <n v="84"/>
    <n v="5.88"/>
    <s v="USA"/>
    <s v="Ethiopia"/>
    <x v="1"/>
  </r>
  <r>
    <s v="Ethiopia Washed Guji Uraga Haro Adama"/>
    <n v="95"/>
    <s v="Light"/>
    <n v="64"/>
    <n v="86"/>
    <n v="123.46"/>
    <s v="Taiwan"/>
    <s v="Ethiopia"/>
    <x v="1"/>
  </r>
  <r>
    <s v="Ethiopia Washed Kaffa Lot Rich Espresso"/>
    <n v="94"/>
    <s v="Medium Light"/>
    <n v="58"/>
    <n v="78"/>
    <n v="88.18"/>
    <s v="Taiwan"/>
    <s v="Ethiopia"/>
    <x v="1"/>
  </r>
  <r>
    <s v="Ethiopia Washed Kaffa Lot Taco"/>
    <n v="94"/>
    <s v="Light"/>
    <n v="64"/>
    <n v="82"/>
    <n v="110.23"/>
    <s v="Taiwan"/>
    <s v="Ethiopia"/>
    <x v="1"/>
  </r>
  <r>
    <s v="Ethiopia Natural Sidama Karamo Niguse Gemeda 74158"/>
    <n v="94"/>
    <s v="Light"/>
    <n v="62"/>
    <n v="84"/>
    <n v="136.68"/>
    <s v="Taiwan"/>
    <s v="Ethiopia"/>
    <x v="1"/>
  </r>
  <r>
    <s v="Rainy Season in Fort Zeelandia Espresso Blend"/>
    <n v="94"/>
    <s v="Medium Light"/>
    <n v="56"/>
    <n v="74"/>
    <n v="141.09"/>
    <s v="Taiwan"/>
    <s v="Guatemala"/>
    <x v="0"/>
  </r>
  <r>
    <s v="Kenya Nyeri Kianjogu AA TOP Washed"/>
    <n v="94"/>
    <s v="Light"/>
    <n v="62"/>
    <n v="82"/>
    <n v="176.37"/>
    <s v="Taiwan"/>
    <s v="Kenya"/>
    <x v="1"/>
  </r>
  <r>
    <s v="Colombia La Esperanza Red Bourbon"/>
    <n v="94"/>
    <s v="Light"/>
    <n v="64"/>
    <n v="82"/>
    <n v="5.59"/>
    <s v="USA"/>
    <s v="Colombia"/>
    <x v="0"/>
  </r>
  <r>
    <s v="Guatemala Finca Al Bosque"/>
    <n v="94"/>
    <s v="Medium Light"/>
    <n v="60"/>
    <n v="78"/>
    <n v="5.59"/>
    <s v="USA"/>
    <s v="Guatemala"/>
    <x v="0"/>
  </r>
  <r>
    <s v="Marcela Gesha Espresso"/>
    <n v="95"/>
    <s v="Light"/>
    <n v="67"/>
    <n v="88"/>
    <n v="21.6"/>
    <s v="USA"/>
    <s v="Colombia"/>
    <x v="0"/>
  </r>
  <r>
    <s v="Colombia Paraiso 92 Double Anaerobic"/>
    <n v="95"/>
    <s v="Medium Light"/>
    <n v="52"/>
    <n v="74"/>
    <n v="215"/>
    <s v="Taiwan"/>
    <s v="Colombia"/>
    <x v="0"/>
  </r>
  <r>
    <s v="Colombia Sierra Morena Pink Bourbon"/>
    <n v="95"/>
    <s v="Light"/>
    <n v="60"/>
    <n v="84"/>
    <n v="7.35"/>
    <s v="USA"/>
    <s v="Colombia"/>
    <x v="0"/>
  </r>
  <r>
    <s v="Ethiopia Growers Reserve Gesha Village Gaylee Special Fermentation"/>
    <n v="94"/>
    <s v="Light"/>
    <n v="65"/>
    <n v="85"/>
    <n v="396.48"/>
    <s v="Taiwan"/>
    <s v="Ethiopia"/>
    <x v="1"/>
  </r>
  <r>
    <s v="Ethiopia Anaerobic Washed G1 Wild Rose S.O. Sidamo"/>
    <n v="94"/>
    <s v="Light"/>
    <n v="62"/>
    <n v="83"/>
    <n v="282.61"/>
    <s v="Taiwan"/>
    <s v="Ethiopia"/>
    <x v="1"/>
  </r>
  <r>
    <s v="Colombia Buenavista Ataraxia Geisha"/>
    <n v="94"/>
    <s v="Medium"/>
    <n v="50"/>
    <n v="65"/>
    <n v="8.82"/>
    <s v="Taiwan"/>
    <s v="Colombia"/>
    <x v="0"/>
  </r>
  <r>
    <s v="Kona Espresso Special Selection"/>
    <n v="94"/>
    <s v="Medium Light"/>
    <n v="58"/>
    <n v="74"/>
    <n v="30.84"/>
    <s v="USA"/>
    <s v="USA"/>
    <x v="0"/>
  </r>
  <r>
    <s v="El Salvador Finca Loma La Gloria Natural Process вЂњUnicorn LotвЂќ"/>
    <n v="94"/>
    <s v="Light"/>
    <n v="66"/>
    <n v="97"/>
    <n v="5.88"/>
    <s v="USA"/>
    <s v="El Salvador"/>
    <x v="0"/>
  </r>
  <r>
    <s v="Colombia El Diviso Nestor Lasso Sidra Anaerobic Washed"/>
    <n v="94"/>
    <s v="Medium Light"/>
    <n v="57"/>
    <n v="74"/>
    <n v="352.42"/>
    <s v="Taiwan"/>
    <s v="Colombia"/>
    <x v="0"/>
  </r>
  <r>
    <s v="Colombia Red Fruits Campo Hermosa Edwin NoreГ±a"/>
    <n v="94"/>
    <s v="Light"/>
    <n v="62"/>
    <n v="81"/>
    <n v="11.76"/>
    <s v="USA"/>
    <s v="Colombia"/>
    <x v="0"/>
  </r>
  <r>
    <s v="Juru Rwanda Rulindo Red Bourbon Honey"/>
    <n v="94"/>
    <s v="Medium"/>
    <n v="40"/>
    <n v="67"/>
    <n v="244.44"/>
    <s v="Taiwan"/>
    <s v="Rwanda"/>
    <x v="1"/>
  </r>
  <r>
    <s v="Colombia Granja Paraiso-92 Castillo"/>
    <n v="94"/>
    <s v="Light"/>
    <n v="62"/>
    <n v="84"/>
    <n v="8.82"/>
    <s v="USA"/>
    <s v="Colombia"/>
    <x v="0"/>
  </r>
  <r>
    <s v="Ethiopia Dame Dabaye"/>
    <n v="94"/>
    <s v="Medium"/>
    <n v="41"/>
    <n v="76"/>
    <n v="6.47"/>
    <s v="USA"/>
    <s v="Ethiopia"/>
    <x v="1"/>
  </r>
  <r>
    <s v="Colombia Red Honey Geisha Campo Hermoso"/>
    <n v="95"/>
    <s v="Light"/>
    <n v="59"/>
    <n v="86"/>
    <n v="9.41"/>
    <s v="USA"/>
    <s v="Colombia"/>
    <x v="0"/>
  </r>
  <r>
    <s v="Ethiopia Sidama Karamo Anaerobic Natural"/>
    <n v="94"/>
    <s v="Medium Light"/>
    <n v="54"/>
    <n v="78"/>
    <n v="8.52"/>
    <s v="USA"/>
    <s v="Ethiopia"/>
    <x v="1"/>
  </r>
  <r>
    <s v="Colombia Chiroso Caturra Washed"/>
    <n v="95"/>
    <s v="Light"/>
    <n v="65"/>
    <n v="81"/>
    <n v="12"/>
    <s v="USA"/>
    <s v="Colombia"/>
    <x v="0"/>
  </r>
  <r>
    <s v="Kona SL 34 Anaerobic Washed Kona Rainforest"/>
    <n v="95"/>
    <s v="Light"/>
    <n v="65"/>
    <n v="81"/>
    <n v="52.91"/>
    <s v="USA"/>
    <s v="USA"/>
    <x v="0"/>
  </r>
  <r>
    <s v="Colombia Yellow Geisha Granja Paraiso 92"/>
    <n v="94"/>
    <s v="Light"/>
    <n v="64"/>
    <n v="84"/>
    <n v="35.270000000000003"/>
    <s v="USA"/>
    <s v="Colombia"/>
    <x v="0"/>
  </r>
  <r>
    <s v="Yaye Chericho Ethiopia Espresso"/>
    <n v="95"/>
    <s v="Medium Light"/>
    <n v="60"/>
    <n v="78"/>
    <n v="9.6999999999999993"/>
    <s v="USA"/>
    <s v="Ethiopia"/>
    <x v="1"/>
  </r>
  <r>
    <s v="Colombia ChachagГјГ­ Mild Roast"/>
    <n v="94"/>
    <s v="Light"/>
    <n v="64"/>
    <n v="86"/>
    <n v="6.17"/>
    <s v="USA"/>
    <s v="Colombia"/>
    <x v="0"/>
  </r>
  <r>
    <s v="Colombia Thermal Shock Double Anaerobic Granja Paraiso Orange Gesha"/>
    <n v="95"/>
    <s v="Light"/>
    <n v="64"/>
    <n v="80"/>
    <n v="396.83"/>
    <s v="Taiwan"/>
    <s v="Colombia"/>
    <x v="0"/>
  </r>
  <r>
    <s v="Kenya Nyeri Hill Estate AA Top Espresso"/>
    <n v="94"/>
    <s v="Medium Light"/>
    <n v="60"/>
    <n v="80"/>
    <n v="127.87"/>
    <s v="Taiwan"/>
    <s v="Kenya"/>
    <x v="1"/>
  </r>
  <r>
    <s v="Colombia Granja Paraiso 92 Anaerobic Gesha"/>
    <n v="94"/>
    <s v="Light"/>
    <n v="62"/>
    <n v="84"/>
    <n v="396.83"/>
    <s v="Taiwan"/>
    <s v="Colombia"/>
    <x v="0"/>
  </r>
  <r>
    <s v="Putra Gayo Sumatra Espresso"/>
    <n v="95"/>
    <s v="Medium Light"/>
    <n v="59"/>
    <n v="77"/>
    <n v="6.76"/>
    <s v="USA"/>
    <s v="Indonesia"/>
    <x v="2"/>
  </r>
  <r>
    <s v="Colombia Paraiso 92 Geisha Double Anaerobic"/>
    <n v="95"/>
    <s v="Light"/>
    <n v="62"/>
    <n v="82"/>
    <n v="375"/>
    <s v="Taiwan"/>
    <s v="Colombia"/>
    <x v="0"/>
  </r>
  <r>
    <s v="Kenya Blackberry Honey"/>
    <n v="94"/>
    <s v="Light"/>
    <n v="62"/>
    <n v="80"/>
    <n v="175"/>
    <s v="Taiwan"/>
    <s v="Kenya"/>
    <x v="1"/>
  </r>
  <r>
    <s v="Putra Gayo Sumatra"/>
    <n v="94"/>
    <s v="Medium Light"/>
    <n v="59"/>
    <n v="77"/>
    <n v="6.76"/>
    <s v="USA"/>
    <s v="Indonesia"/>
    <x v="2"/>
  </r>
  <r>
    <s v="Ethiopia Sidamo HeidenrГ¶slein Anaerobic Washed G1"/>
    <n v="94"/>
    <s v="Light"/>
    <n v="67"/>
    <n v="86"/>
    <n v="154.19"/>
    <s v="Taiwan"/>
    <s v="Ethiopia"/>
    <x v="1"/>
  </r>
  <r>
    <s v="Kenya Gachika"/>
    <n v="94"/>
    <s v="Light"/>
    <n v="62"/>
    <n v="80"/>
    <n v="6.17"/>
    <s v="USA"/>
    <s v="Kenya"/>
    <x v="1"/>
  </r>
  <r>
    <s v="Ethiopia Agaro Duromina"/>
    <n v="94"/>
    <s v="Medium Light"/>
    <n v="58"/>
    <n v="77"/>
    <n v="7.64"/>
    <s v="USA"/>
    <s v="Ethiopia"/>
    <x v="1"/>
  </r>
  <r>
    <s v="Hey Much Espresso Blend"/>
    <n v="94"/>
    <s v="Medium Light"/>
    <n v="56"/>
    <n v="80"/>
    <n v="99.21"/>
    <s v="Taiwan"/>
    <s v="Colombia"/>
    <x v="0"/>
  </r>
  <r>
    <s v="Ethiopia Black Honey Guji Wate Lot Tabby"/>
    <n v="94"/>
    <s v="Light"/>
    <n v="63"/>
    <n v="81"/>
    <n v="149.91"/>
    <s v="Taiwan"/>
    <s v="Ethiopia"/>
    <x v="1"/>
  </r>
  <r>
    <s v="Finca Vista Hermosa EdwinвЂ™s Reserve Guatemala"/>
    <n v="94"/>
    <s v="Light"/>
    <n v="63"/>
    <n v="81"/>
    <n v="6.27"/>
    <s v="USA"/>
    <s v="Guatemala"/>
    <x v="0"/>
  </r>
  <r>
    <s v="Costa Rica Las Lajas Perla Negra"/>
    <n v="95"/>
    <s v="Medium Light"/>
    <n v="58"/>
    <n v="80"/>
    <n v="5.57"/>
    <s v="USA"/>
    <s v="Costa Rica"/>
    <x v="0"/>
  </r>
  <r>
    <s v="Kenya AA Top Gicherori Espresso"/>
    <n v="95"/>
    <s v="Medium"/>
    <n v="44"/>
    <n v="62"/>
    <n v="275"/>
    <s v="Taiwan"/>
    <s v="Kenya"/>
    <x v="1"/>
  </r>
  <r>
    <s v="Kagunyu Kenya"/>
    <n v="94"/>
    <s v="Medium Light"/>
    <n v="60"/>
    <n v="78"/>
    <n v="6.47"/>
    <s v="USA"/>
    <s v="Kenya"/>
    <x v="1"/>
  </r>
  <r>
    <s v="Colombia Finca Milan Washed Nitro Caturra"/>
    <n v="95"/>
    <s v="Light"/>
    <n v="64"/>
    <n v="84"/>
    <n v="9.41"/>
    <s v="USA"/>
    <s v="Colombia"/>
    <x v="0"/>
  </r>
  <r>
    <s v="Ethiopia JemJem"/>
    <n v="94"/>
    <s v="Light"/>
    <n v="62"/>
    <n v="80"/>
    <n v="7.05"/>
    <s v="USA"/>
    <s v="Ethiopia"/>
    <x v="1"/>
  </r>
  <r>
    <s v="Guatemala La Esperanza Anaerobic"/>
    <n v="94"/>
    <s v="Light"/>
    <n v="64"/>
    <n v="86"/>
    <n v="7.05"/>
    <s v="USA"/>
    <s v="Guatemala"/>
    <x v="0"/>
  </r>
  <r>
    <s v="Sumatra Pantan Musara"/>
    <n v="94"/>
    <s v="Medium Light"/>
    <n v="60"/>
    <n v="78"/>
    <n v="6.47"/>
    <s v="USA"/>
    <s v="Indonesia"/>
    <x v="2"/>
  </r>
  <r>
    <s v="Costa Rica Candelilla Gesha"/>
    <n v="94"/>
    <s v="Light"/>
    <n v="64"/>
    <n v="84"/>
    <n v="10.29"/>
    <s v="USA"/>
    <s v="Costa Rica"/>
    <x v="0"/>
  </r>
  <r>
    <s v="Kona Red Bourbon Anaerobic Washed Kona Rainforest"/>
    <n v="95"/>
    <s v="Light"/>
    <n v="60"/>
    <n v="82"/>
    <n v="52.91"/>
    <s v="USA"/>
    <s v="USA"/>
    <x v="0"/>
  </r>
  <r>
    <s v="Colombia Geisha Claudia Samboni"/>
    <n v="95"/>
    <s v="Medium Light"/>
    <n v="61"/>
    <n v="80"/>
    <n v="8.82"/>
    <s v="USA"/>
    <s v="Colombia"/>
    <x v="0"/>
  </r>
  <r>
    <s v="Ethiopia Ethiopia Limu Baby Geisha Natural"/>
    <n v="94"/>
    <s v="Medium Light"/>
    <n v="56"/>
    <n v="84"/>
    <n v="190"/>
    <s v="Taiwan"/>
    <s v="Ethiopia"/>
    <x v="1"/>
  </r>
  <r>
    <s v="Panama Hacienda La Esmeralda Ethiopian Accessions"/>
    <n v="94"/>
    <s v="Light"/>
    <n v="65"/>
    <n v="84"/>
    <n v="35.270000000000003"/>
    <s v="USA"/>
    <s v="Panama"/>
    <x v="0"/>
  </r>
  <r>
    <s v="Yellow"/>
    <n v="94"/>
    <s v="Light"/>
    <n v="74"/>
    <n v="100"/>
    <n v="6.32"/>
    <s v="USA"/>
    <s v="Ethiopia"/>
    <x v="1"/>
  </r>
  <r>
    <s v="Kona Noir"/>
    <n v="95"/>
    <s v="Light"/>
    <n v="62"/>
    <n v="84"/>
    <n v="20.81"/>
    <s v="USA"/>
    <s v="USA"/>
    <x v="0"/>
  </r>
  <r>
    <s v="LauraвЂ™s Reserve SL34"/>
    <n v="97"/>
    <s v="Light"/>
    <n v="62"/>
    <n v="80"/>
    <n v="30.84"/>
    <s v="USA"/>
    <s v="Unknown"/>
    <x v="3"/>
  </r>
  <r>
    <s v="Panama Mokkita Natural Mama Cata Estate"/>
    <n v="96"/>
    <s v="Light"/>
    <n v="64"/>
    <n v="82"/>
    <n v="220.46"/>
    <s v="USA"/>
    <s v="Panama"/>
    <x v="0"/>
  </r>
  <r>
    <s v="KaвЂЕ« Cloud Maragogipe"/>
    <n v="95"/>
    <s v="Medium Light"/>
    <n v="58"/>
    <n v="76"/>
    <n v="25.57"/>
    <s v="USA"/>
    <s v="USA"/>
    <x v="0"/>
  </r>
  <r>
    <s v="Geisha Champagne"/>
    <n v="94"/>
    <s v="Medium Light"/>
    <n v="58"/>
    <n v="77"/>
    <n v="72.31"/>
    <s v="USA"/>
    <s v="Unknown"/>
    <x v="3"/>
  </r>
  <r>
    <s v="JN Farms Double Anaerobic Red Bourbon"/>
    <n v="94"/>
    <s v="Light"/>
    <n v="64"/>
    <n v="82"/>
    <n v="14.11"/>
    <s v="USA"/>
    <s v="Unknown"/>
    <x v="3"/>
  </r>
  <r>
    <s v="KaвЂЕ« Classic Peaberry"/>
    <n v="94"/>
    <s v="Medium Light"/>
    <n v="58"/>
    <n v="74"/>
    <n v="15.12"/>
    <s v="USA"/>
    <s v="USA"/>
    <x v="0"/>
  </r>
  <r>
    <s v="100% Kona Typica"/>
    <n v="94"/>
    <s v="Medium Light"/>
    <n v="58"/>
    <n v="80"/>
    <n v="14.08"/>
    <s v="USA"/>
    <s v="USA"/>
    <x v="0"/>
  </r>
  <r>
    <s v="Colombia 510 Elegante Natural Geisha"/>
    <n v="95"/>
    <s v="Light"/>
    <n v="62"/>
    <n v="82"/>
    <n v="8.82"/>
    <s v="USA"/>
    <s v="Colombia"/>
    <x v="0"/>
  </r>
  <r>
    <s v="Colombia Turron"/>
    <n v="94"/>
    <s v="Medium Light"/>
    <n v="58"/>
    <n v="78"/>
    <n v="8.82"/>
    <s v="USA"/>
    <s v="Colombia"/>
    <x v="0"/>
  </r>
  <r>
    <s v="Black Geisha Blend Lab 18 Espresso"/>
    <n v="94"/>
    <s v="Medium"/>
    <n v="43"/>
    <n v="61"/>
    <n v="17.64"/>
    <s v="Taiwan"/>
    <s v="Ethiopia"/>
    <x v="1"/>
  </r>
  <r>
    <s v="Ethiopia Layo Teraga"/>
    <n v="95"/>
    <s v="Light"/>
    <n v="62"/>
    <n v="80"/>
    <n v="6.76"/>
    <s v="USA"/>
    <s v="Ethiopia"/>
    <x v="1"/>
  </r>
  <r>
    <s v="Ethiopia Reko Yirgacheffe"/>
    <n v="94"/>
    <s v="Medium Light"/>
    <n v="58"/>
    <n v="76"/>
    <n v="7.2"/>
    <s v="USA"/>
    <s v="Ethiopia"/>
    <x v="1"/>
  </r>
  <r>
    <s v="Colombia Huila El Diviso Nestor Lasso Geisha Washed"/>
    <n v="95"/>
    <s v="Light"/>
    <n v="66"/>
    <n v="84"/>
    <n v="343.61"/>
    <s v="Taiwan"/>
    <s v="Colombia"/>
    <x v="0"/>
  </r>
  <r>
    <s v="Ethiopia Bensa Bombe"/>
    <n v="94"/>
    <s v="Light"/>
    <n v="64"/>
    <n v="86"/>
    <n v="88.18"/>
    <s v="Taiwan"/>
    <s v="Ethiopia"/>
    <x v="1"/>
  </r>
  <r>
    <s v="Colombia  NariГ±o Villa Maria La Chorrera Geisha Washed"/>
    <n v="94"/>
    <s v="Medium Light"/>
    <n v="60"/>
    <n v="76"/>
    <n v="312.77999999999997"/>
    <s v="Taiwan"/>
    <s v="Colombia"/>
    <x v="0"/>
  </r>
  <r>
    <s v="Kenya Kirinyaga County Gikirima Factory TOP PB"/>
    <n v="94"/>
    <s v="Medium Light"/>
    <n v="60"/>
    <n v="78"/>
    <n v="105.73"/>
    <s v="Taiwan"/>
    <s v="Kenya"/>
    <x v="1"/>
  </r>
  <r>
    <s v="Colombia Huila Finca Buena Vista Geisha Washed"/>
    <n v="94"/>
    <s v="Medium Light"/>
    <n v="60"/>
    <n v="80"/>
    <n v="286.33999999999997"/>
    <s v="Taiwan"/>
    <s v="Colombia"/>
    <x v="0"/>
  </r>
  <r>
    <s v="Wilton Benitez Geisha"/>
    <n v="96"/>
    <s v="Light"/>
    <n v="62"/>
    <n v="80"/>
    <n v="11.9"/>
    <s v="USA"/>
    <s v="Colombia"/>
    <x v="0"/>
  </r>
  <r>
    <s v="Ethiopia Natural Guji Blue Donkey 23/02"/>
    <n v="95"/>
    <s v="Medium Light"/>
    <n v="62"/>
    <n v="78"/>
    <n v="143.30000000000001"/>
    <s v="Taiwan"/>
    <s v="Ethiopia"/>
    <x v="1"/>
  </r>
  <r>
    <s v="Ethiopia Natural Sidama Arbegona Bochessa"/>
    <n v="95"/>
    <s v="Light"/>
    <n v="64"/>
    <n v="86"/>
    <n v="143.30000000000001"/>
    <s v="Taiwan"/>
    <s v="Ethiopia"/>
    <x v="1"/>
  </r>
  <r>
    <s v="Peru Natural Villa Rica Espresso"/>
    <n v="94"/>
    <s v="Medium Light"/>
    <n v="58"/>
    <n v="78"/>
    <n v="110.23"/>
    <s v="Taiwan"/>
    <s v="Peru"/>
    <x v="0"/>
  </r>
  <r>
    <s v="Costa Rica TIM Washed Don Eli Catuai"/>
    <n v="94"/>
    <s v="Medium Light"/>
    <n v="58"/>
    <n v="74"/>
    <n v="238.1"/>
    <s v="Taiwan"/>
    <s v="Costa Rica"/>
    <x v="0"/>
  </r>
  <r>
    <s v="Ethiopia Natural Sidama Twakok Pearl Selection"/>
    <n v="94"/>
    <s v="Light"/>
    <n v="62"/>
    <n v="80"/>
    <n v="132.28"/>
    <s v="Taiwan"/>
    <s v="Ethiopia"/>
    <x v="1"/>
  </r>
  <r>
    <s v="Kenya Washed Uklili AA"/>
    <n v="94"/>
    <s v="Light"/>
    <n v="64"/>
    <n v="86"/>
    <n v="143.30000000000001"/>
    <s v="Taiwan"/>
    <s v="Kenya"/>
    <x v="1"/>
  </r>
  <r>
    <s v="Peach-C Blend"/>
    <n v="94"/>
    <s v="Light"/>
    <n v="62"/>
    <n v="84"/>
    <n v="161.38"/>
    <s v="Taiwan"/>
    <s v="Colombia"/>
    <x v="0"/>
  </r>
  <r>
    <s v="Colombia Jaime Lopez"/>
    <n v="94"/>
    <s v="Light"/>
    <n v="62"/>
    <n v="82"/>
    <n v="11.76"/>
    <s v="USA"/>
    <s v="Colombia"/>
    <x v="0"/>
  </r>
  <r>
    <s v="Cordillera de Fuego Costa Rica"/>
    <n v="94"/>
    <s v="Medium Light"/>
    <n v="59"/>
    <n v="77"/>
    <n v="7.94"/>
    <s v="USA"/>
    <s v="Costa Rica"/>
    <x v="0"/>
  </r>
  <r>
    <s v="Nyeri Hill Kenya"/>
    <n v="94"/>
    <s v="Medium Light"/>
    <n v="56"/>
    <n v="74"/>
    <n v="6.47"/>
    <s v="USA"/>
    <s v="Kenya"/>
    <x v="1"/>
  </r>
  <r>
    <s v="Ethiopia Guji 74110 Natural"/>
    <n v="94"/>
    <s v="Light"/>
    <n v="64"/>
    <n v="86"/>
    <n v="242.29"/>
    <s v="Taiwan"/>
    <s v="Ethiopia"/>
    <x v="1"/>
  </r>
  <r>
    <s v="Good Tidings Sweet Holiday Blend"/>
    <n v="94"/>
    <s v="Medium Light"/>
    <n v="60"/>
    <n v="78"/>
    <n v="6.47"/>
    <s v="USA"/>
    <s v="Ethiopia"/>
    <x v="1"/>
  </r>
  <r>
    <s v="Kona Mokka Champagne Natural"/>
    <n v="95"/>
    <s v="Light"/>
    <n v="64"/>
    <n v="86"/>
    <n v="88.18"/>
    <s v="USA"/>
    <s v="USA"/>
    <x v="0"/>
  </r>
  <r>
    <s v="Ethiopia Banko Gotiti"/>
    <n v="94"/>
    <s v="Light"/>
    <n v="64"/>
    <n v="82"/>
    <n v="200"/>
    <s v="Taiwan"/>
    <s v="Ethiopia"/>
    <x v="1"/>
  </r>
  <r>
    <s v="O-Li-A Geisha Blend"/>
    <n v="94"/>
    <s v="Light"/>
    <n v="64"/>
    <n v="86"/>
    <n v="427.31"/>
    <s v="Taiwan"/>
    <s v="Ethiopia"/>
    <x v="1"/>
  </r>
  <r>
    <s v="Colombia Huila El Triunfo Pink Bourbon Anaerobic Washed"/>
    <n v="94"/>
    <s v="Medium Light"/>
    <n v="52"/>
    <n v="78"/>
    <n v="237.65"/>
    <s v="Taiwan"/>
    <s v="Colombia"/>
    <x v="0"/>
  </r>
  <r>
    <s v="Costa Rica VolcГЎn Azul Gesha Anaerobic Natural"/>
    <n v="94"/>
    <s v="Light"/>
    <n v="64"/>
    <n v="80"/>
    <n v="26.01"/>
    <s v="USA"/>
    <s v="Costa Rica"/>
    <x v="0"/>
  </r>
  <r>
    <s v="Chang-E The Moon Goddess Espresso"/>
    <n v="94"/>
    <s v="Medium"/>
    <n v="46"/>
    <n v="70"/>
    <n v="286.60000000000002"/>
    <s v="Taiwan"/>
    <s v="Ethiopia"/>
    <x v="1"/>
  </r>
  <r>
    <s v="GW03 Princesa Carmen Geisha"/>
    <n v="98"/>
    <s v="Medium Light"/>
    <n v="58"/>
    <n v="74"/>
    <n v="10"/>
    <s v="Taiwan"/>
    <s v="Panama"/>
    <x v="0"/>
  </r>
  <r>
    <s v="El Salvador Finca Loma La Gloria Yellow Honey"/>
    <n v="94"/>
    <s v="Medium Light"/>
    <n v="58"/>
    <n v="78"/>
    <n v="5.88"/>
    <s v="USA"/>
    <s v="El Salvador"/>
    <x v="0"/>
  </r>
  <r>
    <s v="Costa Rica La Laguna Lot вЂ” Reserve Series"/>
    <n v="94"/>
    <s v="Medium Light"/>
    <n v="60"/>
    <n v="78"/>
    <n v="6.76"/>
    <s v="USA"/>
    <s v="Costa Rica"/>
    <x v="0"/>
  </r>
  <r>
    <s v="Rwanda Silverback Plus Espresso"/>
    <n v="95"/>
    <s v="Light"/>
    <n v="48"/>
    <n v="689"/>
    <n v="352.73"/>
    <s v="Taiwan"/>
    <s v="Rwanda"/>
    <x v="1"/>
  </r>
  <r>
    <s v="Colombia El Paraiso Geisha Luna Washed"/>
    <n v="95"/>
    <s v="Light"/>
    <n v="70"/>
    <n v="85"/>
    <n v="27"/>
    <s v="Japan"/>
    <s v="Colombia"/>
    <x v="0"/>
  </r>
  <r>
    <s v="Costa Rica VolcГЎn Azul Gesha Anaerobic Natural"/>
    <n v="95"/>
    <s v="Light"/>
    <n v="66"/>
    <n v="82"/>
    <n v="11.46"/>
    <s v="USA"/>
    <s v="Costa Rica"/>
    <x v="0"/>
  </r>
  <r>
    <s v="Kona PointuВ®"/>
    <n v="97"/>
    <s v="Medium Light"/>
    <n v="52"/>
    <n v="72"/>
    <n v="30.84"/>
    <s v="USA"/>
    <s v="USA"/>
    <x v="0"/>
  </r>
  <r>
    <s v="Colombia Calderon Honey"/>
    <n v="96"/>
    <s v="Medium Light"/>
    <n v="60"/>
    <n v="78"/>
    <n v="9.48"/>
    <s v="USA"/>
    <s v="Colombia"/>
    <x v="0"/>
  </r>
  <r>
    <s v="Karen J Kona Red Bourbon"/>
    <n v="95"/>
    <s v="Medium Light"/>
    <n v="58"/>
    <n v="78"/>
    <n v="24.23"/>
    <s v="USA"/>
    <s v="USA"/>
    <x v="0"/>
  </r>
  <r>
    <s v="Wilton Benitez Colombia Sidra"/>
    <n v="96"/>
    <s v="Light"/>
    <n v="65"/>
    <n v="83"/>
    <n v="24"/>
    <s v="USA"/>
    <s v="Colombia"/>
    <x v="0"/>
  </r>
  <r>
    <s v="Peru Gilmer Cordova #13"/>
    <n v="95"/>
    <s v="Light"/>
    <n v="64"/>
    <n v="88"/>
    <n v="8.52"/>
    <s v="USA"/>
    <s v="Peru"/>
    <x v="0"/>
  </r>
  <r>
    <s v="Ethiopia Kayon Mountain"/>
    <n v="95"/>
    <s v="Light"/>
    <n v="64"/>
    <n v="84"/>
    <n v="7.05"/>
    <s v="USA"/>
    <s v="Ethiopia"/>
    <x v="1"/>
  </r>
  <r>
    <s v="Kenya Gichathaini"/>
    <n v="95"/>
    <s v="Light"/>
    <n v="62"/>
    <n v="80"/>
    <n v="7.64"/>
    <s v="USA"/>
    <s v="Kenya"/>
    <x v="1"/>
  </r>
  <r>
    <s v="Colombia Honey Sweet Rose"/>
    <n v="95"/>
    <s v="Light"/>
    <n v="62"/>
    <n v="80"/>
    <n v="229.28"/>
    <s v="Taiwan"/>
    <s v="Colombia"/>
    <x v="0"/>
  </r>
  <r>
    <s v="Colombia Santa Monica Castillo Honey Lulo"/>
    <n v="94"/>
    <s v="Light"/>
    <n v="74"/>
    <n v="90"/>
    <n v="14.55"/>
    <s v="USA"/>
    <s v="Colombia"/>
    <x v="0"/>
  </r>
  <r>
    <s v="Colombia Las Flores Red Bourbon Natural"/>
    <n v="94"/>
    <s v="Medium Light"/>
    <n v="60"/>
    <n v="78"/>
    <n v="8.8000000000000007"/>
    <s v="USA"/>
    <s v="Colombia"/>
    <x v="0"/>
  </r>
  <r>
    <s v="African Dance Espresso Blend"/>
    <n v="94"/>
    <s v="Medium Light"/>
    <n v="60"/>
    <n v="78"/>
    <n v="9.99"/>
    <s v="Taiwan"/>
    <s v="Guatemala"/>
    <x v="0"/>
  </r>
  <r>
    <s v="Sweetheart Blend Espresso"/>
    <n v="94"/>
    <s v="Medium Light"/>
    <n v="58"/>
    <n v="78"/>
    <n v="6.61"/>
    <s v="Taiwan"/>
    <s v="Guatemala"/>
    <x v="0"/>
  </r>
  <r>
    <s v="Kenya AA Kiri"/>
    <n v="95"/>
    <s v="Light"/>
    <n v="64"/>
    <n v="80"/>
    <n v="7.64"/>
    <s v="USA"/>
    <s v="Kenya"/>
    <x v="1"/>
  </r>
  <r>
    <s v="Guatemala Gesha"/>
    <n v="95"/>
    <s v="Medium Light"/>
    <n v="60"/>
    <n v="77"/>
    <n v="661.38"/>
    <s v="Taiwan"/>
    <s v="Guatemala"/>
    <x v="0"/>
  </r>
  <r>
    <s v="Gesha Village Ethiopia Gori Gesha"/>
    <n v="94"/>
    <s v="Light"/>
    <n v="62"/>
    <n v="80"/>
    <n v="198.41"/>
    <s v="Taiwan"/>
    <s v="Ethiopia"/>
    <x v="1"/>
  </r>
  <r>
    <s v="Kenya Machakos AA Top Washed"/>
    <n v="96"/>
    <s v="Light"/>
    <n v="62"/>
    <n v="82"/>
    <n v="180.34"/>
    <s v="Taiwan"/>
    <s v="Kenya"/>
    <x v="1"/>
  </r>
  <r>
    <s v="Indonesia Sumatra Raja Harimau Lintong Mandheling Espresso"/>
    <n v="95"/>
    <s v="Medium Light"/>
    <n v="58"/>
    <n v="77"/>
    <n v="114.64"/>
    <s v="Taiwan"/>
    <s v="Indonesia"/>
    <x v="2"/>
  </r>
  <r>
    <s v="Ethiopia Washed Guji Bishala 23/02"/>
    <n v="95"/>
    <s v="Medium Light"/>
    <n v="60"/>
    <n v="80"/>
    <n v="154.32"/>
    <s v="Taiwan"/>
    <s v="Ethiopia"/>
    <x v="1"/>
  </r>
  <r>
    <s v="Guatemala Washed Huehuetenango Joya Verde Espresso"/>
    <n v="94"/>
    <s v="Medium Light"/>
    <n v="58"/>
    <n v="79"/>
    <n v="97"/>
    <s v="Taiwan"/>
    <s v="Guatemala"/>
    <x v="0"/>
  </r>
  <r>
    <s v="Ethiopia Red Honey Guji Uraga Tabe Haro Wachu"/>
    <n v="94"/>
    <s v="Medium Light"/>
    <n v="58"/>
    <n v="78"/>
    <n v="149.91"/>
    <s v="Taiwan"/>
    <s v="Ethiopia"/>
    <x v="1"/>
  </r>
  <r>
    <s v="Ethiopia Natural Sidama Bare Tamiru"/>
    <n v="94"/>
    <s v="Light"/>
    <n v="64"/>
    <n v="78"/>
    <n v="171.96"/>
    <s v="Taiwan"/>
    <s v="Ethiopia"/>
    <x v="1"/>
  </r>
  <r>
    <s v="Colombia Wilton Benitez Thermal Shock Geisha"/>
    <n v="96"/>
    <s v="Medium Light"/>
    <n v="60"/>
    <n v="78"/>
    <n v="25.57"/>
    <s v="USA"/>
    <s v="Colombia"/>
    <x v="0"/>
  </r>
  <r>
    <s v="Colombia Wilton Benitez Thermal Shock Red Bourbon"/>
    <n v="95"/>
    <s v="Medium Light"/>
    <n v="60"/>
    <n v="78"/>
    <n v="16.75"/>
    <s v="USA"/>
    <s v="Colombia"/>
    <x v="0"/>
  </r>
  <r>
    <s v="Colombia Tolima Genius"/>
    <n v="94"/>
    <s v="Light"/>
    <n v="61"/>
    <n v="83"/>
    <n v="15.43"/>
    <s v="USA"/>
    <s v="Colombia"/>
    <x v="0"/>
  </r>
  <r>
    <s v="Colombia Wilton Benitez Thermal Shock Caturra"/>
    <n v="94"/>
    <s v="Medium Light"/>
    <n v="60"/>
    <n v="77"/>
    <n v="15.43"/>
    <s v="USA"/>
    <s v="Colombia"/>
    <x v="0"/>
  </r>
  <r>
    <s v="Ethiopia Natural Yirgacheffe Koke Shalaye Abraham Mengiste"/>
    <n v="94"/>
    <s v="Medium Light"/>
    <n v="60"/>
    <n v="76"/>
    <n v="176.37"/>
    <s v="Taiwan"/>
    <s v="Ethiopia"/>
    <x v="1"/>
  </r>
  <r>
    <s v="Kenya AA TOP Gicherori"/>
    <n v="97"/>
    <s v="Medium Light"/>
    <n v="60"/>
    <n v="78"/>
    <n v="275"/>
    <s v="Taiwan"/>
    <s v="Kenya"/>
    <x v="1"/>
  </r>
  <r>
    <s v="Panama Carmen Geisha Washed Light Roast"/>
    <n v="95"/>
    <s v="Light"/>
    <n v="62"/>
    <n v="82"/>
    <n v="12"/>
    <s v="Taiwan"/>
    <s v="Panama"/>
    <x v="0"/>
  </r>
  <r>
    <s v="Colombia Luna Azul"/>
    <n v="94"/>
    <s v="Medium Light"/>
    <n v="60"/>
    <n v="76"/>
    <n v="8.23"/>
    <s v="USA"/>
    <s v="Colombia"/>
    <x v="0"/>
  </r>
  <r>
    <s v="Mexico Los Aguacates"/>
    <n v="95"/>
    <s v="Light"/>
    <n v="65"/>
    <n v="82"/>
    <n v="12.35"/>
    <s v="USA"/>
    <s v="Mexico"/>
    <x v="0"/>
  </r>
  <r>
    <s v="Ethiopia Arbegona Natural 74158"/>
    <n v="95"/>
    <s v="Light"/>
    <n v="64"/>
    <n v="80"/>
    <n v="220.46"/>
    <s v="Taiwan"/>
    <s v="Ethiopia"/>
    <x v="1"/>
  </r>
  <r>
    <s v="Guatemala Nueva Granda Washed Laurina"/>
    <n v="94"/>
    <s v="Light"/>
    <n v="64"/>
    <n v="80"/>
    <n v="0.44"/>
    <s v="Taiwan"/>
    <s v="Guatemala"/>
    <x v="0"/>
  </r>
  <r>
    <s v="Ethiopia Shantawene Washed"/>
    <n v="96"/>
    <s v="Light"/>
    <n v="64"/>
    <n v="82"/>
    <n v="6.47"/>
    <s v="USA"/>
    <s v="Ethiopia"/>
    <x v="1"/>
  </r>
  <r>
    <s v="Kona MoccaВ®"/>
    <n v="95"/>
    <s v="Medium Light"/>
    <n v="58"/>
    <n v="74"/>
    <n v="49.8"/>
    <s v="USA"/>
    <s v="USA"/>
    <x v="0"/>
  </r>
  <r>
    <s v="Ethiopia Worka Sakaro Anaerobic Natural"/>
    <n v="96"/>
    <s v="Medium Light"/>
    <n v="60"/>
    <n v="78"/>
    <n v="6.76"/>
    <s v="USA"/>
    <s v="Ethiopia"/>
    <x v="1"/>
  </r>
  <r>
    <s v="Colombia Finca Chambaku"/>
    <n v="94"/>
    <s v="Light"/>
    <n v="62"/>
    <n v="80"/>
    <n v="7.05"/>
    <s v="USA"/>
    <s v="Colombia"/>
    <x v="0"/>
  </r>
  <r>
    <s v="Colombia La Siria Gesha"/>
    <n v="95"/>
    <s v="Medium Light"/>
    <n v="60"/>
    <n v="80"/>
    <n v="23.37"/>
    <s v="USA"/>
    <s v="Colombia"/>
    <x v="0"/>
  </r>
  <r>
    <s v="KaвЂЕ« Yellow Caturra Peaberry"/>
    <n v="94"/>
    <s v="Medium Light"/>
    <n v="60"/>
    <n v="77"/>
    <n v="22.05"/>
    <s v="USA"/>
    <s v="USA"/>
    <x v="0"/>
  </r>
  <r>
    <s v="Ethiopia Guji Hambela Tirtira Goyo Natural"/>
    <n v="94"/>
    <s v="Light"/>
    <n v="68"/>
    <n v="84"/>
    <n v="110.23"/>
    <s v="Taiwan"/>
    <s v="Ethiopia"/>
    <x v="1"/>
  </r>
  <r>
    <s v="El Salvador Unicorn"/>
    <n v="94"/>
    <s v="Medium Light"/>
    <n v="56"/>
    <n v="78"/>
    <n v="7.05"/>
    <s v="USA"/>
    <s v="El Salvador"/>
    <x v="0"/>
  </r>
  <r>
    <s v="Ethiopia Guji Euphora Special Honey Lot"/>
    <n v="94"/>
    <s v="Medium Light"/>
    <n v="58"/>
    <n v="72"/>
    <n v="5.29"/>
    <s v="Taiwan"/>
    <s v="Ethiopia"/>
    <x v="1"/>
  </r>
  <r>
    <s v="Ichamama Kenya"/>
    <n v="95"/>
    <s v="Medium Light"/>
    <n v="59"/>
    <n v="75"/>
    <n v="6.47"/>
    <s v="USA"/>
    <s v="Kenya"/>
    <x v="1"/>
  </r>
  <r>
    <s v="La Candelilla Geisha Natural Costa Rica"/>
    <n v="95"/>
    <s v="Medium Light"/>
    <n v="59"/>
    <n v="77"/>
    <n v="8.3800000000000008"/>
    <s v="USA"/>
    <s v="Costa Rica"/>
    <x v="0"/>
  </r>
  <r>
    <s v="El Lechero Peru"/>
    <n v="94"/>
    <s v="Medium Light"/>
    <n v="59"/>
    <n v="77"/>
    <n v="5.59"/>
    <s v="USA"/>
    <s v="Peru"/>
    <x v="0"/>
  </r>
  <r>
    <s v="Colombia El Roble Natural Carbonic Java"/>
    <n v="95"/>
    <s v="Light"/>
    <n v="63"/>
    <n v="81"/>
    <n v="13.67"/>
    <s v="USA"/>
    <s v="Colombia"/>
    <x v="0"/>
  </r>
  <r>
    <s v="Colombia Nestor Lasso Sidra"/>
    <n v="95"/>
    <s v="Light"/>
    <n v="62"/>
    <n v="83"/>
    <n v="14.55"/>
    <s v="USA"/>
    <s v="Colombia"/>
    <x v="0"/>
  </r>
  <r>
    <s v="Colombia Yeast Anaerobic Washed Las Flores Bourbon Sidra"/>
    <n v="95"/>
    <s v="Light"/>
    <n v="62"/>
    <n v="81"/>
    <n v="242.5"/>
    <s v="Taiwan"/>
    <s v="Colombia"/>
    <x v="0"/>
  </r>
  <r>
    <s v="Ecuador Cruz Loma Sidra Anaerobic Euphora Special Lot"/>
    <n v="95"/>
    <s v="Light"/>
    <n v="64"/>
    <n v="80"/>
    <n v="14.11"/>
    <s v="Taiwan"/>
    <s v="Ecuador"/>
    <x v="0"/>
  </r>
  <r>
    <s v="Colombia El Roble Chiroso Washed"/>
    <n v="94"/>
    <s v="Medium Light"/>
    <n v="58"/>
    <n v="78"/>
    <n v="325"/>
    <s v="Taiwan"/>
    <s v="Colombia"/>
    <x v="0"/>
  </r>
  <r>
    <s v="Guatemala El Injerto SL28"/>
    <n v="94"/>
    <s v="Medium Light"/>
    <n v="62"/>
    <n v="79"/>
    <n v="10.58"/>
    <s v="USA"/>
    <s v="Guatemala"/>
    <x v="0"/>
  </r>
  <r>
    <s v="Wilton Benitez Java"/>
    <n v="96"/>
    <s v="Medium Light"/>
    <n v="60"/>
    <n v="74"/>
    <n v="11.02"/>
    <s v="USA"/>
    <s v="Colombia"/>
    <x v="0"/>
  </r>
  <r>
    <s v="HWC Holy Melody Espresso Blend"/>
    <n v="94"/>
    <s v="Medium Light"/>
    <n v="57"/>
    <n v="77"/>
    <n v="17.64"/>
    <s v="Taiwan"/>
    <s v="Ethiopia"/>
    <x v="1"/>
  </r>
  <r>
    <s v="Panama Bambito Estate Geisha Anaerobic Natural"/>
    <n v="96"/>
    <s v="Light"/>
    <n v="65"/>
    <n v="90"/>
    <n v="39.68"/>
    <s v="USA"/>
    <s v="Panama"/>
    <x v="0"/>
  </r>
  <r>
    <s v="Ethiopia Natural Sidama 74158"/>
    <n v="96"/>
    <s v="Light"/>
    <n v="62"/>
    <n v="80"/>
    <n v="396.83"/>
    <s v="Taiwan"/>
    <s v="Ethiopia"/>
    <x v="1"/>
  </r>
  <r>
    <s v="Mr. DoddвЂ™s TeaTime Blend"/>
    <n v="95"/>
    <s v="Medium Light"/>
    <n v="56"/>
    <n v="72"/>
    <n v="143.30000000000001"/>
    <s v="Taiwan"/>
    <s v="Guatemala"/>
    <x v="0"/>
  </r>
  <r>
    <s v="Colombia Double Anaerobic Washed Los Nogales Yellow Bourbon"/>
    <n v="95"/>
    <s v="Light"/>
    <n v="64"/>
    <n v="80"/>
    <n v="255.73"/>
    <s v="Taiwan"/>
    <s v="Colombia"/>
    <x v="0"/>
  </r>
  <r>
    <s v="Colombia El Chaferote Pink Bourbon"/>
    <n v="95"/>
    <s v="Medium Light"/>
    <n v="63"/>
    <n v="77"/>
    <n v="9.8800000000000008"/>
    <s v="USA"/>
    <s v="Colombia"/>
    <x v="0"/>
  </r>
  <r>
    <s v="Guatemala El Injerto Ethiopia Landrace Natural"/>
    <n v="94"/>
    <s v="Medium Light"/>
    <n v="57"/>
    <n v="74"/>
    <n v="11.76"/>
    <s v="USA"/>
    <s v="Guatemala"/>
    <x v="0"/>
  </r>
  <r>
    <s v="Holiday Coffee"/>
    <n v="95"/>
    <s v="Medium Light"/>
    <n v="58"/>
    <n v="66"/>
    <n v="30.84"/>
    <s v="USA"/>
    <s v="Unknown"/>
    <x v="3"/>
  </r>
  <r>
    <s v="Kenya Muthua-Ini AB"/>
    <n v="95"/>
    <s v="Medium Light"/>
    <n v="58"/>
    <n v="77"/>
    <n v="6.47"/>
    <s v="USA"/>
    <s v="Kenya"/>
    <x v="1"/>
  </r>
  <r>
    <s v="Kenya Gichuka AA"/>
    <n v="95"/>
    <s v="Medium Light"/>
    <n v="60"/>
    <n v="78"/>
    <n v="6.16"/>
    <s v="USA"/>
    <s v="Kenya"/>
    <x v="1"/>
  </r>
  <r>
    <s v="Colombia Chili Bourbon"/>
    <n v="94"/>
    <s v="Light"/>
    <n v="62"/>
    <n v="80"/>
    <n v="9.83"/>
    <s v="USA"/>
    <s v="Colombia"/>
    <x v="0"/>
  </r>
  <r>
    <s v="Chelbessa Ethiopia"/>
    <n v="95"/>
    <s v="Medium Light"/>
    <n v="60"/>
    <n v="76"/>
    <n v="6.17"/>
    <s v="USA"/>
    <s v="Ethiopia"/>
    <x v="1"/>
  </r>
  <r>
    <s v="Ethiopia Yirgacheffe Gedeb Chelbesa Natural"/>
    <n v="95"/>
    <s v="Medium Light"/>
    <n v="59"/>
    <n v="76"/>
    <n v="211.64"/>
    <s v="Taiwan"/>
    <s v="Ethiopia"/>
    <x v="1"/>
  </r>
  <r>
    <s v="Tirra Natural Costa Rica"/>
    <n v="94"/>
    <s v="Medium Light"/>
    <n v="59"/>
    <n v="77"/>
    <n v="6.47"/>
    <s v="USA"/>
    <s v="Costa Rica"/>
    <x v="0"/>
  </r>
  <r>
    <s v="Colombia Huila Espiritu Blanc Geisha Semi-Washed Anaerobic"/>
    <n v="94"/>
    <s v="Medium Light"/>
    <n v="63"/>
    <n v="71"/>
    <n v="480"/>
    <s v="Taiwan"/>
    <s v="Colombia"/>
    <x v="0"/>
  </r>
  <r>
    <s v="Costa Rica San Ramon Yeast Washed"/>
    <n v="94"/>
    <s v="Light"/>
    <n v="63"/>
    <n v="79"/>
    <n v="145.5"/>
    <s v="Taiwan"/>
    <s v="Costa Rica"/>
    <x v="0"/>
  </r>
  <r>
    <s v="HawaiвЂ™i Island Blend Espresso"/>
    <n v="94"/>
    <s v="Medium Light"/>
    <n v="52"/>
    <n v="70"/>
    <n v="17.64"/>
    <s v="USA"/>
    <s v="USA"/>
    <x v="0"/>
  </r>
  <r>
    <s v="Kenya Washed Kiambu Windrush AA"/>
    <n v="96"/>
    <s v="Medium Light"/>
    <n v="57"/>
    <n v="77"/>
    <n v="149.91"/>
    <s v="Taiwan"/>
    <s v="Kenya"/>
    <x v="1"/>
  </r>
  <r>
    <s v="Guatemala El Amate Maragogype"/>
    <n v="94"/>
    <s v="Medium Light"/>
    <n v="60"/>
    <n v="76"/>
    <n v="7.94"/>
    <s v="USA"/>
    <s v="Guatemala"/>
    <x v="0"/>
  </r>
  <r>
    <s v="Ethiopia Natural Guji Blue Donkey 23"/>
    <n v="94"/>
    <s v="Medium Light"/>
    <n v="58"/>
    <n v="76"/>
    <n v="143.30000000000001"/>
    <s v="Taiwan"/>
    <s v="Ethiopia"/>
    <x v="1"/>
  </r>
  <r>
    <s v="Ethiopia Natural Yirgacheffe Worka Nenke Abraham Mengiste"/>
    <n v="94"/>
    <s v="Medium Light"/>
    <n v="60"/>
    <n v="78"/>
    <n v="127.87"/>
    <s v="Taiwan"/>
    <s v="Ethiopia"/>
    <x v="1"/>
  </r>
  <r>
    <s v="Ethiopia Koke"/>
    <n v="95"/>
    <s v="Light"/>
    <n v="62"/>
    <n v="80"/>
    <n v="6.76"/>
    <s v="USA"/>
    <s v="Ethiopia"/>
    <x v="1"/>
  </r>
  <r>
    <s v="Panama Florsa 100 Geisha FW 1600+"/>
    <n v="95"/>
    <s v="Light"/>
    <n v="65"/>
    <n v="81"/>
    <n v="198.24"/>
    <s v="Taiwan"/>
    <s v="Panama"/>
    <x v="0"/>
  </r>
  <r>
    <s v="Ethiopia Bench Maji Gesha Winey Natural G1"/>
    <n v="94"/>
    <s v="Medium Light"/>
    <n v="60"/>
    <n v="77"/>
    <n v="136.56"/>
    <s v="Taiwan"/>
    <s v="Ethiopia"/>
    <x v="1"/>
  </r>
  <r>
    <s v="Wilton Benitez Sidra"/>
    <n v="94"/>
    <s v="Medium Light"/>
    <n v="58"/>
    <n v="74"/>
    <n v="9.6999999999999993"/>
    <s v="USA"/>
    <s v="Colombia"/>
    <x v="0"/>
  </r>
  <r>
    <s v="Panama Hacienda La Esmeralda Geisha Natural"/>
    <n v="95"/>
    <s v="Medium Light"/>
    <n v="60"/>
    <n v="77"/>
    <n v="19.399999999999999"/>
    <s v="Taiwan"/>
    <s v="Panama"/>
    <x v="0"/>
  </r>
  <r>
    <s v="Panama Hacienda La Esmeralda Geisha Washed"/>
    <n v="95"/>
    <s v="Light"/>
    <n v="64"/>
    <n v="78"/>
    <n v="17.64"/>
    <s v="Taiwan"/>
    <s v="Panama"/>
    <x v="0"/>
  </r>
  <r>
    <s v="Grand Champion Red Bourbon Natural"/>
    <n v="96"/>
    <s v="Medium Light"/>
    <n v="52"/>
    <n v="72"/>
    <n v="30.86"/>
    <s v="USA"/>
    <s v="Unknown"/>
    <x v="3"/>
  </r>
  <r>
    <s v="Sumatra Lintong Kardon"/>
    <n v="95"/>
    <s v="Medium Light"/>
    <n v="56"/>
    <n v="74"/>
    <n v="6.17"/>
    <s v="USA"/>
    <s v="Indonesia"/>
    <x v="2"/>
  </r>
  <r>
    <s v="Panama Finca Don Julian Geisha Washed"/>
    <n v="94"/>
    <s v="Light"/>
    <n v="65"/>
    <n v="81"/>
    <n v="1"/>
    <s v="Taiwan"/>
    <s v="Panama"/>
    <x v="0"/>
  </r>
  <r>
    <s v="Colombia Finca La Roca"/>
    <n v="94"/>
    <s v="Medium Light"/>
    <n v="60"/>
    <n v="77"/>
    <n v="7.64"/>
    <s v="USA"/>
    <s v="Colombia"/>
    <x v="0"/>
  </r>
  <r>
    <s v="Ethiopia YirgZ"/>
    <n v="95"/>
    <s v="Medium Light"/>
    <n v="62"/>
    <n v="78"/>
    <n v="7.94"/>
    <s v="USA"/>
    <s v="Ethiopia"/>
    <x v="1"/>
  </r>
  <r>
    <s v="Colombia Patio Bonita"/>
    <n v="94"/>
    <s v="Light"/>
    <n v="64"/>
    <n v="80"/>
    <n v="7.94"/>
    <s v="USA"/>
    <s v="Colombia"/>
    <x v="0"/>
  </r>
  <r>
    <s v="Ethiopia Yirgacheffe Farmgate"/>
    <n v="94"/>
    <s v="Medium Light"/>
    <n v="59"/>
    <n v="75"/>
    <n v="7.94"/>
    <s v="USA"/>
    <s v="Ethiopia"/>
    <x v="1"/>
  </r>
  <r>
    <s v="Promise of Spring"/>
    <n v="94"/>
    <s v="Medium Light"/>
    <n v="59"/>
    <n v="76"/>
    <n v="225"/>
    <s v="Taiwan"/>
    <s v="Ethiopia"/>
    <x v="1"/>
  </r>
  <r>
    <s v="Ethiopia Gesha Rebecca Natural"/>
    <n v="94"/>
    <s v="Medium Light"/>
    <n v="61"/>
    <n v="74"/>
    <n v="250"/>
    <s v="Taiwan"/>
    <s v="Ethiopia"/>
    <x v="1"/>
  </r>
  <r>
    <s v="Colombia Finca El ParaГ­so Geisha Sake"/>
    <n v="96"/>
    <s v="Light"/>
    <n v="65"/>
    <n v="82"/>
    <n v="52.91"/>
    <s v="USA"/>
    <s v="Colombia"/>
    <x v="0"/>
  </r>
  <r>
    <s v="Tanzania Nyasi Furaha"/>
    <n v="94"/>
    <s v="Medium Light"/>
    <n v="62"/>
    <n v="74"/>
    <n v="5.59"/>
    <s v="USA"/>
    <s v="Tanzania"/>
    <x v="1"/>
  </r>
  <r>
    <s v="Kenya Gachatha AA Top"/>
    <n v="95"/>
    <s v="Medium Light"/>
    <n v="58"/>
    <n v="74"/>
    <n v="145.5"/>
    <s v="Taiwan"/>
    <s v="Kenya"/>
    <x v="1"/>
  </r>
  <r>
    <s v="Kenya Nyeri Gatuya Factory AA Top"/>
    <n v="94"/>
    <s v="Medium Light"/>
    <n v="57"/>
    <n v="76"/>
    <n v="143.30000000000001"/>
    <s v="Taiwan"/>
    <s v="Kenya"/>
    <x v="1"/>
  </r>
  <r>
    <s v="Costa Rica Tarrazu Double Anaerobic Washed"/>
    <n v="94"/>
    <s v="Medium Light"/>
    <n v="60"/>
    <n v="77"/>
    <n v="198.41"/>
    <s v="Taiwan"/>
    <s v="Costa Rica"/>
    <x v="0"/>
  </r>
  <r>
    <s v="Wilton Benitez Pink Bourbon Colombia"/>
    <n v="98"/>
    <s v="Medium Light"/>
    <n v="62"/>
    <n v="78"/>
    <n v="8.82"/>
    <s v="USA"/>
    <s v="Colombia"/>
    <x v="0"/>
  </r>
  <r>
    <s v="Costa Rica Las Lajas SL28 Natural"/>
    <n v="95"/>
    <s v="Light"/>
    <n v="62"/>
    <n v="80"/>
    <n v="8.82"/>
    <s v="USA"/>
    <s v="Costa Rica"/>
    <x v="0"/>
  </r>
  <r>
    <s v="Nano Genji #12 Ethiopia"/>
    <n v="95"/>
    <s v="Medium Light"/>
    <n v="58"/>
    <n v="74"/>
    <n v="6.76"/>
    <s v="USA"/>
    <s v="Ethiopia"/>
    <x v="1"/>
  </r>
  <r>
    <s v="Gesha Spirits"/>
    <n v="95"/>
    <s v="Light"/>
    <n v="62"/>
    <n v="80"/>
    <n v="16.93"/>
    <s v="USA"/>
    <s v="Colombia"/>
    <x v="0"/>
  </r>
  <r>
    <s v="Panama HWC Coffee Estate Washed"/>
    <n v="94"/>
    <s v="Medium Light"/>
    <n v="59"/>
    <n v="73"/>
    <n v="35.270000000000003"/>
    <s v="Taiwan"/>
    <s v="Panama"/>
    <x v="0"/>
  </r>
  <r>
    <s v="Colombia Fruit Maceration Series Lulo Bear"/>
    <n v="94"/>
    <s v="Light"/>
    <n v="64"/>
    <n v="80"/>
    <n v="12"/>
    <s v="USA"/>
    <s v="Colombia"/>
    <x v="0"/>
  </r>
  <r>
    <s v="Colombia Huila Charlotte Geisha Washed"/>
    <n v="94"/>
    <s v="Light"/>
    <n v="65"/>
    <n v="79"/>
    <n v="198.41"/>
    <s v="Taiwan"/>
    <s v="Colombia"/>
    <x v="0"/>
  </r>
  <r>
    <s v="Colombia Wilton Benitez Double Anaerobic Thermal Shock Yellow Gesha"/>
    <n v="94"/>
    <s v="Light"/>
    <n v="62"/>
    <n v="80"/>
    <n v="24"/>
    <s v="USA"/>
    <s v="Colombia"/>
    <x v="0"/>
  </r>
  <r>
    <s v="More Floral"/>
    <n v="94"/>
    <s v="Light"/>
    <n v="66"/>
    <n v="80"/>
    <n v="132.28"/>
    <s v="Taiwan"/>
    <s v="Ethiopia"/>
    <x v="1"/>
  </r>
  <r>
    <s v="Yemen Al Kawlah Special Reserve Natural"/>
    <n v="95"/>
    <s v="Medium Light"/>
    <n v="60"/>
    <n v="77"/>
    <n v="11.74"/>
    <s v="USA"/>
    <s v="Yemen"/>
    <x v="1"/>
  </r>
  <r>
    <s v="Kona K7"/>
    <n v="95"/>
    <s v="Light"/>
    <n v="63"/>
    <n v="79"/>
    <n v="30.86"/>
    <s v="USA"/>
    <s v="USA"/>
    <x v="0"/>
  </r>
  <r>
    <s v="Ecuador La Josefina Estate"/>
    <n v="94"/>
    <s v="Light"/>
    <n v="62"/>
    <n v="84"/>
    <n v="7.35"/>
    <s v="USA"/>
    <s v="Ecuador"/>
    <x v="0"/>
  </r>
  <r>
    <s v="Ethiopia Kafa Natural"/>
    <n v="94"/>
    <s v="Light"/>
    <n v="65"/>
    <n v="79"/>
    <n v="6.76"/>
    <s v="USA"/>
    <s v="Ethiopia"/>
    <x v="1"/>
  </r>
  <r>
    <s v="El Salvador Bourbon Semi-Washed"/>
    <n v="94"/>
    <s v="Medium Light"/>
    <n v="58"/>
    <n v="72"/>
    <n v="5.14"/>
    <s v="USA"/>
    <s v="El Salvador"/>
    <x v="0"/>
  </r>
  <r>
    <s v="Ethiopia Worka Sakaro Anaerobic Natural"/>
    <n v="94"/>
    <s v="Medium Light"/>
    <n v="62"/>
    <n v="78"/>
    <n v="6.47"/>
    <s v="USA"/>
    <s v="Ethiopia"/>
    <x v="1"/>
  </r>
  <r>
    <s v="Bale Mountain Natural Ethiopia"/>
    <n v="94"/>
    <s v="Light"/>
    <n v="64"/>
    <n v="80"/>
    <n v="6.76"/>
    <s v="USA"/>
    <s v="Ethiopia"/>
    <x v="1"/>
  </r>
  <r>
    <s v="Ethiopia Sidama Arbegona 74158 Washed"/>
    <n v="94"/>
    <s v="Light"/>
    <n v="66"/>
    <n v="80"/>
    <n v="105.73"/>
    <s v="Taiwan"/>
    <s v="Ethiopia"/>
    <x v="1"/>
  </r>
  <r>
    <s v="La Papaya Ecuador Geisha Natural"/>
    <n v="96"/>
    <s v="Medium Light"/>
    <n v="59"/>
    <n v="75"/>
    <n v="8.52"/>
    <s v="USA"/>
    <s v="Ecuador"/>
    <x v="0"/>
  </r>
  <r>
    <s v="Colombia Tolima Finca El Vergel Rebel Geisha"/>
    <n v="95"/>
    <s v="Light"/>
    <n v="63"/>
    <n v="81"/>
    <n v="275"/>
    <s v="Taiwan"/>
    <s v="Colombia"/>
    <x v="0"/>
  </r>
  <r>
    <s v="Colombia Buenos Aires Honey Process-Yellow Velvet Peach"/>
    <n v="95"/>
    <s v="Medium Light"/>
    <n v="60"/>
    <n v="77"/>
    <n v="260"/>
    <s v="Taiwan"/>
    <s v="Colombia"/>
    <x v="0"/>
  </r>
  <r>
    <s v="Encounter of Summer"/>
    <n v="94"/>
    <s v="Light"/>
    <n v="62"/>
    <n v="80"/>
    <n v="225"/>
    <s v="Taiwan"/>
    <s v="Ethiopia"/>
    <x v="1"/>
  </r>
  <r>
    <s v="Kenya"/>
    <n v="95"/>
    <s v="Medium Dark"/>
    <n v="35"/>
    <n v="51"/>
    <n v="302.22000000000003"/>
    <s v="Taiwan"/>
    <s v="Kenya"/>
    <x v="1"/>
  </r>
  <r>
    <s v="SL34 Dark Roast"/>
    <n v="94"/>
    <s v="Medium Dark"/>
    <n v="48"/>
    <n v="52"/>
    <n v="30.84"/>
    <s v="USA"/>
    <s v="Unknown"/>
    <x v="3"/>
  </r>
  <r>
    <s v="Ethiopia Bench Maji Geisha Lucy Station Dark Roast"/>
    <n v="94"/>
    <s v="Medium Dark"/>
    <n v="45"/>
    <n v="52"/>
    <n v="300"/>
    <s v="Taiwan"/>
    <s v="Ethiopia"/>
    <x v="1"/>
  </r>
  <r>
    <s v="Kenya AB Athena Plus"/>
    <n v="94"/>
    <s v="Dark"/>
    <n v="33"/>
    <n v="44"/>
    <n v="352.73"/>
    <s v="Taiwan"/>
    <s v="Kenya"/>
    <x v="1"/>
  </r>
  <r>
    <s v="Kenya Muranga"/>
    <n v="94"/>
    <s v="Medium Dark"/>
    <n v="41"/>
    <n v="44"/>
    <n v="0.42"/>
    <s v="Taiwan"/>
    <s v="Kenya"/>
    <x v="1"/>
  </r>
  <r>
    <s v="Costa Rica Turrialba Volcano Honey Process"/>
    <n v="94"/>
    <s v="Medium Light"/>
    <n v="59"/>
    <n v="77"/>
    <n v="143.30000000000001"/>
    <s v="Taiwan"/>
    <s v="Costa Rica"/>
    <x v="0"/>
  </r>
  <r>
    <s v="Colombia Huila Finca El Triunfo Martha ZuГ±iga Pink Bourbon"/>
    <n v="94"/>
    <s v="Medium Light"/>
    <n v="58"/>
    <n v="74"/>
    <n v="9.41"/>
    <s v="USA"/>
    <s v="Colombia"/>
    <x v="0"/>
  </r>
  <r>
    <s v="Kenya Kanwangi AA"/>
    <n v="94"/>
    <s v="Medium Light"/>
    <n v="59"/>
    <n v="80"/>
    <n v="7.05"/>
    <s v="USA"/>
    <s v="Kenya"/>
    <x v="1"/>
  </r>
  <r>
    <s v="Ethiopia Bench Maji Geisha Lucy Station"/>
    <n v="94"/>
    <s v="Light"/>
    <n v="64"/>
    <n v="83"/>
    <n v="300"/>
    <s v="Taiwan"/>
    <s v="Ethiopia"/>
    <x v="1"/>
  </r>
  <r>
    <s v="Ecuador PeГ±aherrera AAA"/>
    <n v="95"/>
    <s v="Medium Light"/>
    <n v="60"/>
    <n v="77"/>
    <n v="7.35"/>
    <s v="USA"/>
    <s v="Ecuador"/>
    <x v="0"/>
  </r>
  <r>
    <s v="HWC Geisha Plus Geisha Black Espresso"/>
    <n v="95"/>
    <s v="Medium Light"/>
    <n v="54"/>
    <n v="72"/>
    <n v="19.84"/>
    <s v="Taiwan"/>
    <s v="Ethiopia"/>
    <x v="1"/>
  </r>
  <r>
    <s v="Ethiopia Yirgacheffe Jade Lotus"/>
    <n v="94"/>
    <s v="Medium Light"/>
    <n v="59"/>
    <n v="75"/>
    <n v="8.82"/>
    <s v="Taiwan"/>
    <s v="Ethiopia"/>
    <x v="1"/>
  </r>
  <r>
    <s v="Blue Sunda Estate Java"/>
    <n v="94"/>
    <s v="Medium Light"/>
    <n v="60"/>
    <n v="75"/>
    <n v="5.59"/>
    <s v="USA"/>
    <s v="Indonesia"/>
    <x v="2"/>
  </r>
  <r>
    <s v="La Papaya Natural Ecuador"/>
    <n v="95"/>
    <s v="Medium Light"/>
    <n v="58"/>
    <n v="80"/>
    <n v="8.3800000000000008"/>
    <s v="USA"/>
    <s v="Ecuador"/>
    <x v="0"/>
  </r>
  <r>
    <s v="Wilton Benitez Tabi VIP Colombia"/>
    <n v="95"/>
    <s v="Light"/>
    <n v="64"/>
    <n v="86"/>
    <n v="6.47"/>
    <s v="USA"/>
    <s v="Colombia"/>
    <x v="0"/>
  </r>
  <r>
    <s v="El Mango Peru"/>
    <n v="94"/>
    <s v="Medium Light"/>
    <n v="56"/>
    <n v="77"/>
    <n v="5.59"/>
    <s v="USA"/>
    <s v="Peru"/>
    <x v="0"/>
  </r>
  <r>
    <s v="Banko Gotiti Ethiopia"/>
    <n v="95"/>
    <s v="Medium Light"/>
    <n v="60"/>
    <n v="78"/>
    <n v="5.88"/>
    <s v="USA"/>
    <s v="Ethiopia"/>
    <x v="1"/>
  </r>
  <r>
    <s v="El Morito Guatemala"/>
    <n v="94"/>
    <s v="Medium Light"/>
    <n v="59"/>
    <n v="76"/>
    <n v="8.3800000000000008"/>
    <s v="USA"/>
    <s v="Guatemala"/>
    <x v="0"/>
  </r>
  <r>
    <s v="Pantan Musara Sumatra"/>
    <n v="95"/>
    <s v="Medium Light"/>
    <n v="56"/>
    <n v="78"/>
    <n v="6.76"/>
    <s v="USA"/>
    <s v="Indonesia"/>
    <x v="2"/>
  </r>
  <r>
    <s v="Giakanja Kenya"/>
    <n v="94"/>
    <s v="Medium Light"/>
    <n v="59"/>
    <n v="79"/>
    <n v="7.35"/>
    <s v="USA"/>
    <s v="Kenya"/>
    <x v="1"/>
  </r>
  <r>
    <s v="Ethiopia Basha Bekele"/>
    <n v="95"/>
    <s v="Light"/>
    <n v="62"/>
    <n v="86"/>
    <n v="6.76"/>
    <s v="USA"/>
    <s v="Ethiopia"/>
    <x v="1"/>
  </r>
  <r>
    <s v="Colombia Luz Helena Salazar Wine Yeast Grape Honey"/>
    <n v="94"/>
    <s v="Medium Light"/>
    <n v="58"/>
    <n v="80"/>
    <n v="350"/>
    <s v="Taiwan"/>
    <s v="Colombia"/>
    <x v="0"/>
  </r>
  <r>
    <s v="KaвЂЕ« Malolactic Natural"/>
    <n v="94"/>
    <s v="Medium Light"/>
    <n v="62"/>
    <n v="76"/>
    <n v="35.270000000000003"/>
    <s v="USA"/>
    <s v="USA"/>
    <x v="0"/>
  </r>
  <r>
    <s v="Jade Rabbit Espresso Blend"/>
    <n v="95"/>
    <s v="Medium"/>
    <n v="46"/>
    <n v="70"/>
    <n v="286.60000000000002"/>
    <s v="Taiwan"/>
    <s v="Kenya"/>
    <x v="1"/>
  </r>
  <r>
    <s v="Colombia Finca Paraiso Gesha Wilton Benitez"/>
    <n v="94"/>
    <s v="Light"/>
    <n v="64"/>
    <n v="84"/>
    <n v="24"/>
    <s v="USA"/>
    <s v="Colombia"/>
    <x v="0"/>
  </r>
  <r>
    <s v="Colombia Finca La EspaГ±a Gesha"/>
    <n v="94"/>
    <s v="Light"/>
    <n v="64"/>
    <n v="84"/>
    <n v="24"/>
    <s v="USA"/>
    <s v="Colombia"/>
    <x v="0"/>
  </r>
  <r>
    <s v="Colombia Huila La Esperanza Pink Bourbon Honey"/>
    <n v="94"/>
    <s v="Medium Light"/>
    <n v="62"/>
    <n v="76"/>
    <n v="167.55"/>
    <s v="Taiwan"/>
    <s v="Colombia"/>
    <x v="0"/>
  </r>
  <r>
    <s v="Ethiopia Halo Beriti Single-Origin Espresso"/>
    <n v="95"/>
    <s v="Medium Light"/>
    <n v="56"/>
    <n v="74"/>
    <n v="7.05"/>
    <s v="USA"/>
    <s v="Ethiopia"/>
    <x v="1"/>
  </r>
  <r>
    <s v="Ethiopia Gora Kone"/>
    <n v="94"/>
    <s v="Light"/>
    <n v="62"/>
    <n v="84"/>
    <n v="6.91"/>
    <s v="USA"/>
    <s v="Ethiopia"/>
    <x v="1"/>
  </r>
  <r>
    <s v="Ecuador Finca Lugmapata"/>
    <n v="94"/>
    <s v="Medium Light"/>
    <n v="62"/>
    <n v="79"/>
    <n v="12.93"/>
    <s v="USA"/>
    <s v="Ecuador"/>
    <x v="0"/>
  </r>
  <r>
    <s v="Costa Rica Raisin Honey"/>
    <n v="94"/>
    <s v="Medium Light"/>
    <n v="60"/>
    <n v="76"/>
    <n v="7.64"/>
    <s v="USA"/>
    <s v="Costa Rica"/>
    <x v="0"/>
  </r>
  <r>
    <s v="Quindio Gold Honey Colombia"/>
    <n v="94"/>
    <s v="Light"/>
    <n v="62"/>
    <n v="80"/>
    <n v="7.94"/>
    <s v="USA"/>
    <s v="Colombia"/>
    <x v="0"/>
  </r>
  <r>
    <s v="Organic Peru San Fernando Tres Fincas Gesha"/>
    <n v="95"/>
    <s v="Medium Light"/>
    <n v="58"/>
    <n v="80"/>
    <n v="8.52"/>
    <s v="USA"/>
    <s v="Peru"/>
    <x v="0"/>
  </r>
  <r>
    <s v="Kenya Washed Kiambu Gititu AB Top"/>
    <n v="95"/>
    <s v="Light"/>
    <n v="60"/>
    <n v="82"/>
    <n v="132.28"/>
    <s v="Taiwan"/>
    <s v="Kenya"/>
    <x v="1"/>
  </r>
  <r>
    <s v="Ethiopia Natural Guji Dasaya"/>
    <n v="95"/>
    <s v="Light"/>
    <n v="62"/>
    <n v="86"/>
    <n v="127.87"/>
    <s v="Taiwan"/>
    <s v="Ethiopia"/>
    <x v="1"/>
  </r>
  <r>
    <s v="Kona Classic"/>
    <n v="94"/>
    <s v="Medium Light"/>
    <n v="60"/>
    <n v="78"/>
    <n v="22.05"/>
    <s v="USA"/>
    <s v="USA"/>
    <x v="0"/>
  </r>
  <r>
    <s v="HawaiвЂ™i KaвЂЕ« Champagne Natural"/>
    <n v="94"/>
    <s v="Medium Light"/>
    <n v="60"/>
    <n v="78"/>
    <n v="22.05"/>
    <s v="USA"/>
    <s v="USA"/>
    <x v="0"/>
  </r>
  <r>
    <s v="Ethiopia Sidamo Rumudamo Premium"/>
    <n v="95"/>
    <s v="Light"/>
    <n v="64"/>
    <n v="84"/>
    <n v="176.37"/>
    <s v="Taiwan"/>
    <s v="Ethiopia"/>
    <x v="1"/>
  </r>
  <r>
    <s v="Yemen Natural Hamoud Abdullah AL-Khisheni"/>
    <n v="94"/>
    <s v="Light"/>
    <n v="62"/>
    <n v="80"/>
    <n v="529.1"/>
    <s v="Taiwan"/>
    <s v="Yemen"/>
    <x v="1"/>
  </r>
  <r>
    <s v="Guatemala Acatenango Gesha"/>
    <n v="94"/>
    <s v="Light"/>
    <n v="67"/>
    <n v="86"/>
    <n v="0.44"/>
    <s v="Taiwan"/>
    <s v="Guatemala"/>
    <x v="0"/>
  </r>
  <r>
    <s v="Kenya Gatomboya"/>
    <n v="94"/>
    <s v="Medium Light"/>
    <n v="59"/>
    <n v="77"/>
    <n v="8.82"/>
    <s v="USA"/>
    <s v="Kenya"/>
    <x v="1"/>
  </r>
  <r>
    <s v="Ethiopia Guji"/>
    <n v="94"/>
    <s v="Light"/>
    <n v="65"/>
    <n v="86"/>
    <n v="79.37"/>
    <s v="Taiwan"/>
    <s v="Ethiopia"/>
    <x v="1"/>
  </r>
  <r>
    <s v="Burundi Nemba Washed Process"/>
    <n v="94"/>
    <s v="Medium Light"/>
    <n v="60"/>
    <n v="77"/>
    <n v="6.76"/>
    <s v="USA"/>
    <s v="Burundi"/>
    <x v="1"/>
  </r>
  <r>
    <s v="Worka Sakaro Ethiopia"/>
    <n v="95"/>
    <s v="Light"/>
    <n v="62"/>
    <n v="84"/>
    <n v="5.88"/>
    <s v="USA"/>
    <s v="Ethiopia"/>
    <x v="1"/>
  </r>
  <r>
    <s v="Teremuka Peaberry Kenya"/>
    <n v="94"/>
    <s v="Medium Light"/>
    <n v="60"/>
    <n v="77"/>
    <n v="7.05"/>
    <s v="USA"/>
    <s v="Kenya"/>
    <x v="1"/>
  </r>
  <r>
    <s v="Teremuka Kenya"/>
    <n v="94"/>
    <s v="Medium Light"/>
    <n v="60"/>
    <n v="77"/>
    <n v="7.05"/>
    <s v="USA"/>
    <s v="Kenya"/>
    <x v="1"/>
  </r>
  <r>
    <s v="El Salvador La Muela Pacamara"/>
    <n v="94"/>
    <s v="Medium Light"/>
    <n v="58"/>
    <n v="77"/>
    <n v="6.76"/>
    <s v="USA"/>
    <s v="El Salvador"/>
    <x v="0"/>
  </r>
  <r>
    <s v="Colombia Finca Juan Martin Aced Sidra"/>
    <n v="95"/>
    <s v="Light"/>
    <n v="62"/>
    <n v="80"/>
    <n v="9.26"/>
    <s v="USA"/>
    <s v="Colombia"/>
    <x v="0"/>
  </r>
  <r>
    <s v="Guatemala Natural Santa Felisa Gesha SF-04 95"/>
    <n v="95"/>
    <s v="Medium Light"/>
    <n v="59"/>
    <n v="75"/>
    <n v="573.19000000000005"/>
    <s v="Taiwan"/>
    <s v="Guatemala"/>
    <x v="0"/>
  </r>
  <r>
    <s v="Colombia Red Bomb"/>
    <n v="94"/>
    <s v="Medium Light"/>
    <n v="59"/>
    <n v="77"/>
    <n v="7.35"/>
    <s v="USA"/>
    <s v="Colombia"/>
    <x v="0"/>
  </r>
  <r>
    <s v="Ethiopia 2022 COE #3 Washed Temam 74110"/>
    <n v="95"/>
    <s v="Light"/>
    <n v="62"/>
    <n v="86"/>
    <n v="0.88"/>
    <s v="Taiwan"/>
    <s v="Ethiopia"/>
    <x v="1"/>
  </r>
  <r>
    <s v="Espresso Giusto"/>
    <n v="94"/>
    <s v="Medium Light"/>
    <n v="54"/>
    <n v="72"/>
    <n v="4.9800000000000004"/>
    <s v="USA"/>
    <s v="Mexico"/>
    <x v="0"/>
  </r>
  <r>
    <s v="Golden Parrot Blend Espresso"/>
    <n v="94"/>
    <s v="Medium Light"/>
    <n v="58"/>
    <n v="78"/>
    <n v="92.59"/>
    <s v="Taiwan"/>
    <s v="Colombia"/>
    <x v="0"/>
  </r>
  <r>
    <s v="Galaxy Gesha Quindio Colombia Edwin NoreГ±a"/>
    <n v="95"/>
    <s v="Light"/>
    <n v="65"/>
    <n v="86"/>
    <n v="11.3"/>
    <s v="USA"/>
    <s v="Colombia"/>
    <x v="0"/>
  </r>
  <r>
    <s v="KaвЂЕ« JN Farms Malolactic Honey"/>
    <n v="95"/>
    <s v="Light"/>
    <n v="62"/>
    <n v="84"/>
    <n v="35.270000000000003"/>
    <s v="USA"/>
    <s v="USA"/>
    <x v="0"/>
  </r>
  <r>
    <s v="Colombia Finca El Paraiso Rose Tea"/>
    <n v="94"/>
    <s v="Light"/>
    <n v="64"/>
    <n v="88"/>
    <n v="500"/>
    <s v="Taiwan"/>
    <s v="Colombia"/>
    <x v="0"/>
  </r>
  <r>
    <s v="Colombia Monteblanco Rodrigo Sanchez Carbonic Maceration"/>
    <n v="94"/>
    <s v="Light"/>
    <n v="56"/>
    <n v="86"/>
    <n v="7.73"/>
    <s v="USA"/>
    <s v="Colombia"/>
    <x v="0"/>
  </r>
  <r>
    <s v="Colombia Cauca Granja Paraiso 92 вЂ“ Pink Bourbon"/>
    <n v="94"/>
    <s v="Light"/>
    <n v="67"/>
    <n v="99"/>
    <n v="10.29"/>
    <s v="USA"/>
    <s v="Colombia"/>
    <x v="0"/>
  </r>
  <r>
    <s v="Ethiopia Gatta Anaerobic"/>
    <n v="94"/>
    <s v="Light"/>
    <n v="65"/>
    <n v="92"/>
    <n v="10.14"/>
    <s v="USA"/>
    <s v="Ethiopia"/>
    <x v="1"/>
  </r>
  <r>
    <s v="Colombia Osmanthus Bouquet Granja Paraiso 92"/>
    <n v="94"/>
    <s v="Light"/>
    <n v="64"/>
    <n v="82"/>
    <n v="28"/>
    <s v="South Korea"/>
    <s v="Colombia"/>
    <x v="0"/>
  </r>
  <r>
    <s v="Colombia Granja ParaГ­so-92- Papayo KЕЌji"/>
    <n v="95"/>
    <s v="Light"/>
    <n v="64"/>
    <n v="84"/>
    <n v="35.270000000000003"/>
    <s v="USA"/>
    <s v="Colombia"/>
    <x v="0"/>
  </r>
  <r>
    <s v="Ethiopia Dinkalem Ademe Wush Wush"/>
    <n v="95"/>
    <s v="Light"/>
    <n v="62"/>
    <n v="84"/>
    <n v="8.23"/>
    <s v="USA"/>
    <s v="Ethiopia"/>
    <x v="1"/>
  </r>
  <r>
    <s v="Colombia Pink Bourbon"/>
    <n v="95"/>
    <s v="Light"/>
    <n v="64"/>
    <n v="82"/>
    <n v="12"/>
    <s v="USA"/>
    <s v="Colombia"/>
    <x v="0"/>
  </r>
  <r>
    <s v="Kenya Kiambu Mandela Estate AA Washed Process"/>
    <n v="94"/>
    <s v="Medium Light"/>
    <n v="60"/>
    <n v="77"/>
    <n v="153.88"/>
    <s v="Taiwan"/>
    <s v="Kenya"/>
    <x v="1"/>
  </r>
  <r>
    <s v="Costa Rica VolcГЎn Azul Geisha Yeast-Washed"/>
    <n v="94"/>
    <s v="Light"/>
    <n v="62"/>
    <n v="80"/>
    <n v="349"/>
    <s v="Taiwan"/>
    <s v="Costa Rica"/>
    <x v="0"/>
  </r>
  <r>
    <s v="Ethiopia Yirgacheffe Adame G1 Natural"/>
    <n v="94"/>
    <s v="Light"/>
    <n v="63"/>
    <n v="79"/>
    <n v="242.5"/>
    <s v="Taiwan"/>
    <s v="Ethiopia"/>
    <x v="1"/>
  </r>
  <r>
    <s v="Kenya Gichathaini"/>
    <n v="94"/>
    <s v="Light"/>
    <n v="64"/>
    <n v="82"/>
    <n v="7.35"/>
    <s v="USA"/>
    <s v="Kenya"/>
    <x v="1"/>
  </r>
  <r>
    <s v="Guatemala Retiro del Quisaya Natural Process"/>
    <n v="94"/>
    <s v="Medium Light"/>
    <n v="59"/>
    <n v="78"/>
    <n v="5.57"/>
    <s v="USA"/>
    <s v="Guatemala"/>
    <x v="0"/>
  </r>
  <r>
    <s v="Ethiopia Sidama Karamo Anaerobic Natural"/>
    <n v="94"/>
    <s v="Medium Light"/>
    <n v="62"/>
    <n v="79"/>
    <n v="10.29"/>
    <s v="USA"/>
    <s v="Ethiopia"/>
    <x v="1"/>
  </r>
  <r>
    <s v="Colombia Geiner Montano"/>
    <n v="94"/>
    <s v="Medium Light"/>
    <n v="62"/>
    <n v="78"/>
    <n v="7.2"/>
    <s v="USA"/>
    <s v="Colombia"/>
    <x v="0"/>
  </r>
  <r>
    <s v="Kabiufa Papua New Guinea"/>
    <n v="94"/>
    <s v="Medium Light"/>
    <n v="58"/>
    <n v="77"/>
    <n v="5.88"/>
    <s v="USA"/>
    <s v="Papua New Guinea"/>
    <x v="2"/>
  </r>
  <r>
    <s v="KaвЂu Red Catuai Peaberry"/>
    <n v="94"/>
    <s v="Medium Light"/>
    <n v="59"/>
    <n v="74"/>
    <n v="26.46"/>
    <s v="USA"/>
    <s v="USA"/>
    <x v="0"/>
  </r>
  <r>
    <s v="Ethiopia Kayon Mountain"/>
    <n v="94"/>
    <s v="Light"/>
    <n v="64"/>
    <n v="82"/>
    <n v="6.16"/>
    <s v="USA"/>
    <s v="Ethiopia"/>
    <x v="1"/>
  </r>
  <r>
    <s v="Panama Finca Las Nubes Geisha Microlot"/>
    <n v="94"/>
    <s v="Medium Light"/>
    <n v="60"/>
    <n v="77"/>
    <n v="6.61"/>
    <s v="USA"/>
    <s v="Panama"/>
    <x v="0"/>
  </r>
  <r>
    <s v="Guatemala El Milagro Bourbon Especial"/>
    <n v="95"/>
    <s v="Medium Light"/>
    <n v="60"/>
    <n v="78"/>
    <n v="8.23"/>
    <s v="USA"/>
    <s v="Guatemala"/>
    <x v="0"/>
  </r>
  <r>
    <s v="Costa Rica William Mora"/>
    <n v="94"/>
    <s v="Light"/>
    <n v="65"/>
    <n v="84"/>
    <n v="8.23"/>
    <s v="USA"/>
    <s v="Costa Rica"/>
    <x v="0"/>
  </r>
  <r>
    <s v="Ethiopia Duromina Agaro Gera"/>
    <n v="94"/>
    <s v="Light"/>
    <n v="62"/>
    <n v="81"/>
    <n v="5"/>
    <s v="USA"/>
    <s v="Ethiopia"/>
    <x v="1"/>
  </r>
  <r>
    <s v="Winter 2022 Allocation Colombia"/>
    <n v="94"/>
    <s v="Light"/>
    <n v="62"/>
    <n v="80"/>
    <n v="29.39"/>
    <s v="USA"/>
    <s v="Colombia"/>
    <x v="0"/>
  </r>
  <r>
    <s v="LauraвЂ™s Reserve SL34"/>
    <n v="96"/>
    <s v="Medium Light"/>
    <n v="60"/>
    <n v="80"/>
    <n v="30.84"/>
    <s v="USA"/>
    <s v="Unknown"/>
    <x v="3"/>
  </r>
  <r>
    <s v="El Salvador 2022 COE#17 El Mirador Washed Gesha"/>
    <n v="96"/>
    <s v="Medium Light"/>
    <n v="58"/>
    <n v="78"/>
    <n v="440.92"/>
    <s v="Taiwan"/>
    <s v="El Salvador"/>
    <x v="0"/>
  </r>
  <r>
    <s v="Panama ABU Washed Gesha Lot GW57"/>
    <n v="95"/>
    <s v="Light"/>
    <n v="64"/>
    <n v="84"/>
    <n v="0.88"/>
    <s v="Taiwan"/>
    <s v="Panama"/>
    <x v="0"/>
  </r>
  <r>
    <s v="Guatemala Natural El General Bistro Lot Espresso"/>
    <n v="94"/>
    <s v="Medium Light"/>
    <n v="58"/>
    <n v="76"/>
    <n v="127.87"/>
    <s v="Taiwan"/>
    <s v="Guatemala"/>
    <x v="0"/>
  </r>
  <r>
    <s v="Ethiopia 2022 COE#25 Natural Tadesse 74112"/>
    <n v="94"/>
    <s v="Light"/>
    <n v="65"/>
    <n v="84"/>
    <n v="396.83"/>
    <s v="Taiwan"/>
    <s v="Ethiopia"/>
    <x v="1"/>
  </r>
  <r>
    <s v="Ethiopia Washed Sidama Rumudamo"/>
    <n v="94"/>
    <s v="Light"/>
    <n v="64"/>
    <n v="86"/>
    <n v="171.96"/>
    <s v="Taiwan"/>
    <s v="Ethiopia"/>
    <x v="1"/>
  </r>
  <r>
    <s v="Lemon Sugar Wash"/>
    <n v="95"/>
    <s v="Medium Light"/>
    <n v="59"/>
    <n v="77"/>
    <n v="244.44"/>
    <s v="Taiwan"/>
    <s v="Ethiopia"/>
    <x v="1"/>
  </r>
  <r>
    <s v="Kenya Kiambu AA"/>
    <n v="95"/>
    <s v="Medium Light"/>
    <n v="60"/>
    <n v="76"/>
    <n v="288.89"/>
    <s v="Taiwan"/>
    <s v="Kenya"/>
    <x v="1"/>
  </r>
  <r>
    <s v="Colombia Geisha Allium"/>
    <n v="94"/>
    <s v="Light"/>
    <n v="62"/>
    <n v="84"/>
    <n v="28.66"/>
    <s v="USA"/>
    <s v="Colombia"/>
    <x v="0"/>
  </r>
  <r>
    <s v="Wilton Benitez Orange Bourbon"/>
    <n v="96"/>
    <s v="Light"/>
    <n v="60"/>
    <n v="82"/>
    <n v="8.3800000000000008"/>
    <s v="USA"/>
    <s v="Colombia"/>
    <x v="0"/>
  </r>
  <r>
    <s v="Kayon Mountain Ethiopia"/>
    <n v="94"/>
    <s v="Medium Light"/>
    <n v="58"/>
    <n v="78"/>
    <n v="5.29"/>
    <s v="USA"/>
    <s v="Ethiopia"/>
    <x v="1"/>
  </r>
  <r>
    <s v="Ethiopia Kochere Arefasa Washed G1"/>
    <n v="94"/>
    <s v="Light"/>
    <n v="62"/>
    <n v="80"/>
    <n v="220.26"/>
    <s v="Taiwan"/>
    <s v="Ethiopia"/>
    <x v="1"/>
  </r>
  <r>
    <s v="Colombia Granja ParaГ­so Java P14"/>
    <n v="95"/>
    <s v="Light"/>
    <n v="64"/>
    <n v="82"/>
    <n v="44.09"/>
    <s v="USA"/>
    <s v="Colombia"/>
    <x v="0"/>
  </r>
  <r>
    <s v="El Salvador Finca El Retiro Sudan Rume Natural"/>
    <n v="94"/>
    <s v="Medium Light"/>
    <n v="62"/>
    <n v="78"/>
    <n v="6.96"/>
    <s v="Taiwan"/>
    <s v="El Salvador"/>
    <x v="0"/>
  </r>
  <r>
    <s v="Ethiopia Hayissa Olocho Lot 6"/>
    <n v="94"/>
    <s v="Light"/>
    <n v="61"/>
    <n v="82"/>
    <n v="9.52"/>
    <s v="USA"/>
    <s v="Ethiopia"/>
    <x v="1"/>
  </r>
  <r>
    <s v="Nyeri Hill Kenya"/>
    <n v="94"/>
    <s v="Medium Light"/>
    <n v="58"/>
    <n v="80"/>
    <n v="6.47"/>
    <s v="USA"/>
    <s v="Kenya"/>
    <x v="1"/>
  </r>
  <r>
    <s v="Ethiopia COE #8 Sidama Arbegona Muluneh Tute Galcho 74158 Natural"/>
    <n v="95"/>
    <s v="Light"/>
    <n v="63"/>
    <n v="82"/>
    <n v="850"/>
    <s v="Taiwan"/>
    <s v="Ethiopia"/>
    <x v="1"/>
  </r>
  <r>
    <s v="Chelbessa Ethiopia"/>
    <n v="94"/>
    <s v="Medium Light"/>
    <n v="60"/>
    <n v="78"/>
    <n v="5.88"/>
    <s v="USA"/>
    <s v="Ethiopia"/>
    <x v="1"/>
  </r>
  <r>
    <s v="KaвЂ™u Tropical Punch"/>
    <n v="94"/>
    <s v="Medium Light"/>
    <n v="60"/>
    <n v="78"/>
    <n v="22.05"/>
    <s v="USA"/>
    <s v="USA"/>
    <x v="0"/>
  </r>
  <r>
    <s v="Ethiopia Gesha Village Illubabor Forest Lot 22/043 (Single-Terroir) Natural Process"/>
    <n v="94"/>
    <s v="Light"/>
    <n v="64"/>
    <n v="84"/>
    <n v="299"/>
    <s v="Taiwan"/>
    <s v="Ethiopia"/>
    <x v="1"/>
  </r>
  <r>
    <s v="Ethiopia Gera Genji Challa"/>
    <n v="94"/>
    <s v="Medium Light"/>
    <n v="59"/>
    <n v="77"/>
    <n v="8.23"/>
    <s v="USA"/>
    <s v="Ethiopia"/>
    <x v="1"/>
  </r>
  <r>
    <s v="Kenya Gotomboya Peaberry"/>
    <n v="94"/>
    <s v="Medium Light"/>
    <n v="59"/>
    <n v="77"/>
    <n v="7.94"/>
    <s v="USA"/>
    <s v="Kenya"/>
    <x v="1"/>
  </r>
  <r>
    <s v="Panama Hartmann Estate Chicho Gallo Amaro Gayo Natural BOP#1"/>
    <n v="94"/>
    <s v="Medium Light"/>
    <n v="60"/>
    <n v="78"/>
    <n v="549"/>
    <s v="Taiwan"/>
    <s v="Panama"/>
    <x v="0"/>
  </r>
  <r>
    <s v="Kenya Ichamama"/>
    <n v="94"/>
    <s v="Medium Light"/>
    <n v="59"/>
    <n v="77"/>
    <n v="8.23"/>
    <s v="USA"/>
    <s v="Kenya"/>
    <x v="1"/>
  </r>
  <r>
    <s v="Ethiopia Uchoro Nansebo Washed"/>
    <n v="95"/>
    <s v="Light"/>
    <n v="60"/>
    <n v="82"/>
    <n v="7.94"/>
    <s v="USA"/>
    <s v="Ethiopia"/>
    <x v="1"/>
  </r>
  <r>
    <s v="Nekisse Phantom Roasting"/>
    <n v="95"/>
    <s v="Light"/>
    <n v="64"/>
    <n v="83"/>
    <n v="433.33"/>
    <s v="China"/>
    <s v="Ethiopia"/>
    <x v="1"/>
  </r>
  <r>
    <s v="Colombia Finca Samboni Gesha Anaerobic Natural"/>
    <n v="94"/>
    <s v="Medium Light"/>
    <n v="62"/>
    <n v="78"/>
    <n v="8.82"/>
    <s v="USA"/>
    <s v="Colombia"/>
    <x v="0"/>
  </r>
  <r>
    <s v="Kambera Inari Roasting"/>
    <n v="94"/>
    <s v="Light"/>
    <n v="62"/>
    <n v="80"/>
    <n v="353.33"/>
    <s v="China"/>
    <s v="Panama"/>
    <x v="0"/>
  </r>
  <r>
    <s v="Colombia Don Correa Gesha"/>
    <n v="94"/>
    <s v="Light"/>
    <n v="62"/>
    <n v="80"/>
    <n v="9.69"/>
    <s v="USA"/>
    <s v="Colombia"/>
    <x v="0"/>
  </r>
  <r>
    <s v="Ethiopia BergWu Maker Series Yirgacheffe Wuri G1 Lot MW21/02"/>
    <n v="94"/>
    <s v="Medium Light"/>
    <n v="62"/>
    <n v="78"/>
    <n v="64"/>
    <s v="China"/>
    <s v="Ethiopia"/>
    <x v="1"/>
  </r>
  <r>
    <s v="Mexico Finca Santa Cruz COE#1b"/>
    <n v="94"/>
    <s v="Light"/>
    <n v="64"/>
    <n v="84"/>
    <n v="498"/>
    <s v="China"/>
    <s v="Mexico"/>
    <x v="0"/>
  </r>
  <r>
    <s v="Wilton Benitez Geisha"/>
    <n v="95"/>
    <s v="Medium Light"/>
    <n v="59"/>
    <n v="81"/>
    <n v="11.02"/>
    <s v="USA"/>
    <s v="Colombia"/>
    <x v="0"/>
  </r>
  <r>
    <s v="Colombia Cerro Azul Geisha"/>
    <n v="95"/>
    <s v="Light"/>
    <n v="62"/>
    <n v="80"/>
    <n v="26.01"/>
    <s v="USA"/>
    <s v="Colombia"/>
    <x v="0"/>
  </r>
  <r>
    <s v="Yirgacheffe Mengesha Natural"/>
    <n v="94"/>
    <s v="Medium Light"/>
    <n v="60"/>
    <n v="77"/>
    <n v="6.03"/>
    <s v="USA"/>
    <s v="Ethiopia"/>
    <x v="1"/>
  </r>
  <r>
    <s v="Panama Geisha Finca Debra Symbiosis"/>
    <n v="94"/>
    <s v="Light"/>
    <n v="62"/>
    <n v="80"/>
    <n v="39.68"/>
    <s v="USA"/>
    <s v="Panama"/>
    <x v="0"/>
  </r>
  <r>
    <s v="Panama Geisha Finca Debra Echo"/>
    <n v="94"/>
    <s v="Light"/>
    <n v="64"/>
    <n v="80"/>
    <n v="20"/>
    <s v="USA"/>
    <s v="Panama"/>
    <x v="0"/>
  </r>
  <r>
    <s v="Ethiopia Hamasho Washed"/>
    <n v="95"/>
    <s v="Light"/>
    <n v="62"/>
    <n v="81"/>
    <n v="7.35"/>
    <s v="USA"/>
    <s v="Ethiopia"/>
    <x v="1"/>
  </r>
  <r>
    <s v="Ethiopia Idido Anaerobic Natural"/>
    <n v="95"/>
    <s v="Medium Light"/>
    <n v="61"/>
    <n v="80"/>
    <n v="11.76"/>
    <s v="USA"/>
    <s v="Ethiopia"/>
    <x v="1"/>
  </r>
  <r>
    <s v="Mexico Cup of Excellence #7"/>
    <n v="94"/>
    <s v="Light"/>
    <n v="62"/>
    <n v="80"/>
    <n v="11.76"/>
    <s v="USA"/>
    <s v="Mexico"/>
    <x v="0"/>
  </r>
  <r>
    <s v="Ethiopia Reko Yirgacheffe"/>
    <n v="94"/>
    <s v="Medium Light"/>
    <n v="60"/>
    <n v="76"/>
    <n v="6.91"/>
    <s v="USA"/>
    <s v="Ethiopia"/>
    <x v="1"/>
  </r>
  <r>
    <s v="Double-Anaerobic Fermentation Tamiru Tadesse"/>
    <n v="94"/>
    <s v="Light"/>
    <n v="62"/>
    <n v="80"/>
    <n v="14.11"/>
    <s v="USA"/>
    <s v="Ethiopia"/>
    <x v="1"/>
  </r>
  <r>
    <s v="Ethiopia Chelbesa Danche Yirgacheffe"/>
    <n v="94"/>
    <s v="Medium Light"/>
    <n v="60"/>
    <n v="77"/>
    <n v="7.05"/>
    <s v="USA"/>
    <s v="Ethiopia"/>
    <x v="1"/>
  </r>
  <r>
    <s v="Ethiopia Honey Process Tamiru Tadesse"/>
    <n v="94"/>
    <s v="Light"/>
    <n v="64"/>
    <n v="83"/>
    <n v="12.35"/>
    <s v="USA"/>
    <s v="Ethiopia"/>
    <x v="1"/>
  </r>
  <r>
    <s v="Ethiopia Halo Beriti"/>
    <n v="96"/>
    <s v="Medium Light"/>
    <n v="60"/>
    <n v="77"/>
    <n v="6.16"/>
    <s v="USA"/>
    <s v="Ethiopia"/>
    <x v="1"/>
  </r>
  <r>
    <s v="Narsha Gesha"/>
    <n v="96"/>
    <s v="Light"/>
    <n v="63"/>
    <n v="81"/>
    <n v="17.5"/>
    <s v="USA"/>
    <s v="Ethiopia"/>
    <x v="1"/>
  </r>
  <r>
    <s v="Ethiopia Washed Guji Uraga Welichu"/>
    <n v="96"/>
    <s v="Medium Light"/>
    <n v="58"/>
    <n v="78"/>
    <n v="165.34"/>
    <s v="Taiwan"/>
    <s v="Ethiopia"/>
    <x v="1"/>
  </r>
  <r>
    <s v="Don Roger &amp; IsabelвЂ™s Natural Fruit Symphony"/>
    <n v="94"/>
    <s v="Medium Light"/>
    <n v="60"/>
    <n v="77"/>
    <n v="10.86"/>
    <s v="USA"/>
    <s v="Nicaragua"/>
    <x v="0"/>
  </r>
  <r>
    <s v="Kenya Gitare AA TOP"/>
    <n v="95"/>
    <s v="Light"/>
    <n v="62"/>
    <n v="80"/>
    <n v="149.91"/>
    <s v="Taiwan"/>
    <s v="Kenya"/>
    <x v="1"/>
  </r>
  <r>
    <s v="Yemen Natural SanaвЂ™a Manakhah JaвЂ™adi"/>
    <n v="95"/>
    <s v="Medium Light"/>
    <n v="58"/>
    <n v="77"/>
    <n v="793.65"/>
    <s v="Taiwan"/>
    <s v="Yemen"/>
    <x v="1"/>
  </r>
  <r>
    <s v="Ethiopia Bench Maji Gesha Special Natural Lot 03"/>
    <n v="95"/>
    <s v="Light"/>
    <n v="64"/>
    <n v="81"/>
    <n v="176.37"/>
    <s v="Taiwan"/>
    <s v="Ethiopia"/>
    <x v="1"/>
  </r>
  <r>
    <s v="Ethiopia Yirgacheffe Kochere Debo Premium Lot Washed Process"/>
    <n v="94"/>
    <s v="Light"/>
    <n v="62"/>
    <n v="80"/>
    <n v="202.38"/>
    <s v="Taiwan"/>
    <s v="Ethiopia"/>
    <x v="1"/>
  </r>
  <r>
    <s v="Ethiopia Natural Yirgacheffe Burtukaana Danche"/>
    <n v="94"/>
    <s v="Medium Light"/>
    <n v="60"/>
    <n v="78"/>
    <n v="154.32"/>
    <s v="Taiwan"/>
    <s v="Ethiopia"/>
    <x v="1"/>
  </r>
  <r>
    <s v="Ethiopia Hateso Guji Washed"/>
    <n v="94"/>
    <s v="Medium Light"/>
    <n v="59"/>
    <n v="78"/>
    <n v="5.88"/>
    <s v="USA"/>
    <s v="Ethiopia"/>
    <x v="1"/>
  </r>
  <r>
    <s v="Guatemala El Injerto Pacamara"/>
    <n v="94"/>
    <s v="Medium Light"/>
    <n v="58"/>
    <n v="74"/>
    <n v="12.93"/>
    <s v="USA"/>
    <s v="Guatemala"/>
    <x v="0"/>
  </r>
  <r>
    <s v="Colombia Finca Samboni Gesha Anaerobic Natural"/>
    <n v="95"/>
    <s v="Light"/>
    <n v="62"/>
    <n v="80"/>
    <n v="13.23"/>
    <s v="USA"/>
    <s v="Colombia"/>
    <x v="0"/>
  </r>
  <r>
    <s v="Colombia Tres Dragones"/>
    <n v="94"/>
    <s v="Light"/>
    <n v="64"/>
    <n v="84"/>
    <n v="8.11"/>
    <s v="USA"/>
    <s v="Colombia"/>
    <x v="0"/>
  </r>
  <r>
    <s v="Rwanda Cyesha Natural"/>
    <n v="94"/>
    <s v="Medium Light"/>
    <n v="58"/>
    <n v="74"/>
    <n v="7.64"/>
    <s v="USA"/>
    <s v="Rwanda"/>
    <x v="1"/>
  </r>
  <r>
    <s v="Espresso No. 3"/>
    <n v="94"/>
    <s v="Medium Light"/>
    <n v="54"/>
    <n v="78"/>
    <n v="5.88"/>
    <s v="Guatemala"/>
    <s v="Guatemala"/>
    <x v="0"/>
  </r>
  <r>
    <s v="Finca Santa Isabel"/>
    <n v="94"/>
    <s v="Medium Light"/>
    <n v="58"/>
    <n v="76"/>
    <n v="3.82"/>
    <s v="Guatemala"/>
    <s v="Guatemala"/>
    <x v="0"/>
  </r>
  <r>
    <s v="Colombia Castillo Fruit Maceration Series (Passionfruit)"/>
    <n v="95"/>
    <s v="Medium Light"/>
    <n v="58"/>
    <n v="78"/>
    <n v="11.02"/>
    <s v="USA"/>
    <s v="Colombia"/>
    <x v="0"/>
  </r>
  <r>
    <s v="Colombia Castillo Fruit Maceration Series (Strawberry)"/>
    <n v="94"/>
    <s v="Medium Light"/>
    <n v="61"/>
    <n v="78"/>
    <n v="11.02"/>
    <s v="USA"/>
    <s v="Colombia"/>
    <x v="0"/>
  </r>
  <r>
    <s v="Colombia Castillo Fruit Maceration Series (Peach)"/>
    <n v="94"/>
    <s v="Medium Light"/>
    <n v="60"/>
    <n v="77"/>
    <n v="11.02"/>
    <s v="USA"/>
    <s v="Colombia"/>
    <x v="0"/>
  </r>
  <r>
    <s v="Full Moon Espresso"/>
    <n v="95"/>
    <s v="Medium"/>
    <n v="48"/>
    <n v="64"/>
    <n v="275"/>
    <s v="Taiwan"/>
    <s v="Costa Rica"/>
    <x v="0"/>
  </r>
  <r>
    <s v="Ethiopia Sidama Tamiru Tadesse Anaerobic Natural Special Auction Lot"/>
    <n v="95"/>
    <s v="Light"/>
    <n v="62"/>
    <n v="80"/>
    <n v="8.82"/>
    <s v="Taiwan"/>
    <s v="Ethiopia"/>
    <x v="1"/>
  </r>
  <r>
    <s v="Colombia La Esperanza 100% Geisha Hanashaku"/>
    <n v="94"/>
    <s v="Light"/>
    <n v="65"/>
    <n v="81"/>
    <n v="440.92"/>
    <s v="Taiwan"/>
    <s v="Colombia"/>
    <x v="0"/>
  </r>
  <r>
    <s v="Kona Extra Fancy"/>
    <n v="95"/>
    <s v="Medium Light"/>
    <n v="58"/>
    <n v="74"/>
    <n v="13.52"/>
    <s v="USA"/>
    <s v="USA"/>
    <x v="0"/>
  </r>
  <r>
    <s v="Costa Rica Las Lajas Perla Negra"/>
    <n v="94"/>
    <s v="Medium Light"/>
    <n v="57"/>
    <n v="76"/>
    <n v="5.57"/>
    <s v="USA"/>
    <s v="Costa Rica"/>
    <x v="0"/>
  </r>
  <r>
    <s v="Ecuador COE 1st place Arashi Typica Mejorado Washed"/>
    <n v="96"/>
    <s v="Light"/>
    <n v="62"/>
    <n v="80"/>
    <n v="4000"/>
    <s v="Taiwan"/>
    <s v="Ecuador"/>
    <x v="0"/>
  </r>
  <r>
    <s v="Ethiopia Getu Kurume Natural"/>
    <n v="95"/>
    <s v="Light"/>
    <n v="64"/>
    <n v="86"/>
    <n v="202.82"/>
    <s v="Taiwan"/>
    <s v="Ethiopia"/>
    <x v="1"/>
  </r>
  <r>
    <s v="Fruit of the Goddess Espresso Blend"/>
    <n v="94"/>
    <s v="Medium Light"/>
    <n v="52"/>
    <n v="70"/>
    <n v="121.15"/>
    <s v="Taiwan"/>
    <s v="Ethiopia"/>
    <x v="1"/>
  </r>
  <r>
    <s v="Papua New Guinea Wahgi Valley Sigri Estate Peaberry"/>
    <n v="94"/>
    <s v="Medium Light"/>
    <n v="57"/>
    <n v="77"/>
    <n v="242.29"/>
    <s v="Taiwan"/>
    <s v="Papua New Guinea"/>
    <x v="2"/>
  </r>
  <r>
    <s v="Kenya Nyeri Asali Peaberry"/>
    <n v="95"/>
    <s v="Medium Light"/>
    <n v="60"/>
    <n v="77"/>
    <n v="220.26"/>
    <s v="Taiwan"/>
    <s v="Kenya"/>
    <x v="1"/>
  </r>
  <r>
    <s v="Memories of Autumn"/>
    <n v="94"/>
    <s v="Light"/>
    <n v="64"/>
    <n v="82"/>
    <n v="175.93"/>
    <s v="Taiwan"/>
    <s v="Colombia"/>
    <x v="0"/>
  </r>
  <r>
    <s v="Ethiopia Gera Estate Anaerobic Natural"/>
    <n v="95"/>
    <s v="Medium Light"/>
    <n v="60"/>
    <n v="78"/>
    <n v="6.47"/>
    <s v="USA"/>
    <s v="Ethiopia"/>
    <x v="1"/>
  </r>
  <r>
    <s v="Colombia Cauca Finca El Paraiso Double-Anaerobic Flor Lychee"/>
    <n v="95"/>
    <s v="Medium Light"/>
    <n v="60"/>
    <n v="78"/>
    <n v="424.6"/>
    <s v="Taiwan"/>
    <s v="Colombia"/>
    <x v="0"/>
  </r>
  <r>
    <s v="Costa Rica Cerro Dragon Geisha Honey"/>
    <n v="94"/>
    <s v="Medium Light"/>
    <n v="59"/>
    <n v="78"/>
    <n v="8.82"/>
    <s v="USA"/>
    <s v="Costa Rica"/>
    <x v="0"/>
  </r>
  <r>
    <s v="Guatemala Washed El Injerto EI05 Mocca"/>
    <n v="96"/>
    <s v="Light"/>
    <n v="61"/>
    <n v="81"/>
    <n v="1058.2"/>
    <s v="Taiwan"/>
    <s v="Guatemala"/>
    <x v="0"/>
  </r>
  <r>
    <s v="Taiwan Natural Alishan Zhuo-Wu Geisha"/>
    <n v="95"/>
    <s v="Medium Light"/>
    <n v="60"/>
    <n v="78"/>
    <n v="1200"/>
    <s v="Taiwan"/>
    <s v="Taiwan"/>
    <x v="2"/>
  </r>
  <r>
    <s v="Ethiopia Natural Guji Uraga Tome 74110 Lot K06"/>
    <n v="95"/>
    <s v="Light"/>
    <n v="63"/>
    <n v="85"/>
    <n v="143.30000000000001"/>
    <s v="Taiwan"/>
    <s v="Ethiopia"/>
    <x v="1"/>
  </r>
  <r>
    <s v="Kenya Gathaithi AA"/>
    <n v="94"/>
    <s v="Medium Light"/>
    <n v="58"/>
    <n v="76"/>
    <n v="5.6"/>
    <s v="USA"/>
    <s v="Kenya"/>
    <x v="1"/>
  </r>
  <r>
    <s v="Ethiopia Guji Uraga Tobutu Tuta G1 Experimental LOT 181NA2021"/>
    <n v="95"/>
    <s v="Light"/>
    <n v="72"/>
    <n v="90"/>
    <n v="12.5"/>
    <s v="Japan"/>
    <s v="Ethiopia"/>
    <x v="1"/>
  </r>
  <r>
    <s v="Colombia Jardines del Eden Pink Bourbon Wine Yeast Honey"/>
    <n v="94"/>
    <s v="Light"/>
    <n v="64"/>
    <n v="86"/>
    <n v="12"/>
    <s v="Canada"/>
    <s v="Colombia"/>
    <x v="0"/>
  </r>
  <r>
    <s v="Colombia Cerro Azul Enano"/>
    <n v="94"/>
    <s v="Medium Light"/>
    <n v="60"/>
    <n v="77"/>
    <n v="7.64"/>
    <s v="USA"/>
    <s v="Colombia"/>
    <x v="0"/>
  </r>
  <r>
    <s v="Peru Incahuasi"/>
    <n v="94"/>
    <s v="Medium Light"/>
    <n v="58"/>
    <n v="78"/>
    <n v="7.64"/>
    <s v="USA"/>
    <s v="Peru"/>
    <x v="0"/>
  </r>
  <r>
    <s v="Reina de la Asuncion Ecuador"/>
    <n v="94"/>
    <s v="Medium Light"/>
    <n v="58"/>
    <n v="74"/>
    <n v="5.88"/>
    <s v="USA"/>
    <s v="Ecuador"/>
    <x v="0"/>
  </r>
  <r>
    <s v="Ethiopia Guji Uraga More Floral Kudume Washed"/>
    <n v="95"/>
    <s v="Light"/>
    <n v="65"/>
    <n v="82"/>
    <n v="275"/>
    <s v="Taiwan"/>
    <s v="Ethiopia"/>
    <x v="1"/>
  </r>
  <r>
    <s v="Ethiopia Guji Uraga More Floral Kudume Natural"/>
    <n v="94"/>
    <s v="Medium Light"/>
    <n v="62"/>
    <n v="77"/>
    <n v="275"/>
    <s v="Taiwan"/>
    <s v="Ethiopia"/>
    <x v="1"/>
  </r>
  <r>
    <s v="Kenya Nyeri Hill"/>
    <n v="94"/>
    <s v="Medium Light"/>
    <n v="60"/>
    <n v="78"/>
    <n v="6.45"/>
    <s v="USA"/>
    <s v="Kenya"/>
    <x v="1"/>
  </r>
  <r>
    <s v="Kenya AA TOP Nairobi Rose"/>
    <n v="94"/>
    <s v="Medium Light"/>
    <n v="60"/>
    <n v="77"/>
    <n v="176.37"/>
    <s v="Taiwan"/>
    <s v="Kenya"/>
    <x v="1"/>
  </r>
  <r>
    <s v="Kahiko"/>
    <n v="96"/>
    <s v="Medium Light"/>
    <n v="56"/>
    <n v="74"/>
    <n v="21.14"/>
    <s v="USA"/>
    <s v="Unknown"/>
    <x v="3"/>
  </r>
  <r>
    <s v="Kenya Ndumberi Peaberry"/>
    <n v="94"/>
    <s v="Medium Light"/>
    <n v="58"/>
    <n v="77"/>
    <n v="6.8"/>
    <s v="USA"/>
    <s v="Kenya"/>
    <x v="1"/>
  </r>
  <r>
    <s v="Taiwan Alishan Espresso Pacamara Natural"/>
    <n v="94"/>
    <s v="Medium"/>
    <n v="48"/>
    <n v="67"/>
    <n v="1000"/>
    <s v="Taiwan"/>
    <s v="Taiwan"/>
    <x v="2"/>
  </r>
  <r>
    <s v="Ethiopia Gera Reserve Anaerobic Natural"/>
    <n v="94"/>
    <s v="Light"/>
    <n v="62"/>
    <n v="84"/>
    <n v="6.88"/>
    <s v="USA"/>
    <s v="Ethiopia"/>
    <x v="1"/>
  </r>
  <r>
    <s v="Kenya Ngaita Peaberry"/>
    <n v="94"/>
    <s v="Medium Light"/>
    <n v="60"/>
    <n v="77"/>
    <n v="6.8"/>
    <s v="USA"/>
    <s v="Kenya"/>
    <x v="1"/>
  </r>
  <r>
    <s v="Kenya AB"/>
    <n v="94"/>
    <s v="Light"/>
    <n v="64"/>
    <n v="84"/>
    <n v="326.08999999999997"/>
    <s v="Taiwan"/>
    <s v="Kenya"/>
    <x v="1"/>
  </r>
  <r>
    <s v="Kona Noir"/>
    <n v="94"/>
    <s v="Light"/>
    <n v="62"/>
    <n v="80"/>
    <n v="25.57"/>
    <s v="USA"/>
    <s v="USA"/>
    <x v="0"/>
  </r>
  <r>
    <s v="Kona Red Bourbon"/>
    <n v="94"/>
    <s v="Medium Light"/>
    <n v="60"/>
    <n v="78"/>
    <n v="17.28"/>
    <s v="USA"/>
    <s v="USA"/>
    <x v="0"/>
  </r>
  <r>
    <s v="Kenya Washed Nyeri Hill Farm AA Top"/>
    <n v="96"/>
    <s v="Medium Light"/>
    <n v="60"/>
    <n v="77"/>
    <n v="171.96"/>
    <s v="Taiwan"/>
    <s v="Kenya"/>
    <x v="1"/>
  </r>
  <r>
    <s v="Ethiopia Nano Genji"/>
    <n v="95"/>
    <s v="Light"/>
    <n v="62"/>
    <n v="80"/>
    <n v="7.5"/>
    <s v="USA"/>
    <s v="Ethiopia"/>
    <x v="1"/>
  </r>
  <r>
    <s v="Ethiopia Natural Sidama Abebe 74110"/>
    <n v="95"/>
    <s v="Light"/>
    <n v="62"/>
    <n v="80"/>
    <n v="264.55"/>
    <s v="Taiwan"/>
    <s v="Ethiopia"/>
    <x v="1"/>
  </r>
  <r>
    <s v="Ethiopia Natural Guji TAMIRU 74158 Kakalove Lot"/>
    <n v="95"/>
    <s v="Light"/>
    <n v="64"/>
    <n v="84"/>
    <n v="308.64"/>
    <s v="Taiwan"/>
    <s v="Ethiopia"/>
    <x v="1"/>
  </r>
  <r>
    <s v="Rwanda Sholi Natural Single-Origin Espresso"/>
    <n v="94"/>
    <s v="Medium Light"/>
    <n v="56"/>
    <n v="72"/>
    <n v="6.47"/>
    <s v="USA"/>
    <s v="Rwanda"/>
    <x v="1"/>
  </r>
  <r>
    <s v="Guatemala Washed Finca El General Lot SummerEnd Espresso"/>
    <n v="94"/>
    <s v="Medium Light"/>
    <n v="56"/>
    <n v="74"/>
    <n v="105.82"/>
    <s v="Taiwan"/>
    <s v="Guatemala"/>
    <x v="0"/>
  </r>
  <r>
    <s v="Guatemala Washed Acatenango Finca El General Pacamara Espresso"/>
    <n v="94"/>
    <s v="Medium Light"/>
    <n v="58"/>
    <n v="78"/>
    <n v="154.32"/>
    <s v="Taiwan"/>
    <s v="Guatemala"/>
    <x v="0"/>
  </r>
  <r>
    <s v="Finca Cerro Azul Aces Lot"/>
    <n v="94"/>
    <s v="Medium Light"/>
    <n v="61"/>
    <n v="79"/>
    <n v="14.22"/>
    <s v="USA"/>
    <s v="Mexico"/>
    <x v="0"/>
  </r>
  <r>
    <s v="Gachatha Kenya"/>
    <n v="96"/>
    <s v="Medium Light"/>
    <n v="59"/>
    <n v="77"/>
    <n v="7.05"/>
    <s v="USA"/>
    <s v="Kenya"/>
    <x v="1"/>
  </r>
  <r>
    <s v="Geisha Spirit"/>
    <n v="94"/>
    <s v="Medium Light"/>
    <n v="58"/>
    <n v="78"/>
    <n v="11.61"/>
    <s v="USA"/>
    <s v="Colombia"/>
    <x v="0"/>
  </r>
  <r>
    <s v="Colombia Sudan Rume"/>
    <n v="95"/>
    <s v="Light"/>
    <n v="64"/>
    <n v="82"/>
    <n v="35.270000000000003"/>
    <s v="USA"/>
    <s v="Colombia"/>
    <x v="0"/>
  </r>
  <r>
    <s v="El Duende Peru"/>
    <n v="94"/>
    <s v="Medium Light"/>
    <n v="58"/>
    <n v="76"/>
    <n v="5"/>
    <s v="USA"/>
    <s v="Peru"/>
    <x v="0"/>
  </r>
  <r>
    <s v="Ethiopia Yirgacheffe G1 Idido Natural"/>
    <n v="95"/>
    <s v="Light"/>
    <n v="65"/>
    <n v="85"/>
    <n v="275"/>
    <s v="Taiwan"/>
    <s v="Ethiopia"/>
    <x v="1"/>
  </r>
  <r>
    <s v="Colombia Pink Bourbon Filadelfia"/>
    <n v="95"/>
    <s v="Light"/>
    <n v="64"/>
    <n v="82"/>
    <n v="9.17"/>
    <s v="USA"/>
    <s v="Colombia"/>
    <x v="0"/>
  </r>
  <r>
    <s v="Ethiopia Kayon Mountain"/>
    <n v="94"/>
    <s v="Medium Light"/>
    <n v="60"/>
    <n v="78"/>
    <n v="5.88"/>
    <s v="USA"/>
    <s v="Ethiopia"/>
    <x v="1"/>
  </r>
  <r>
    <s v="Kenya"/>
    <n v="95"/>
    <s v="Medium Light"/>
    <n v="62"/>
    <n v="77"/>
    <n v="264.32"/>
    <s v="Taiwan"/>
    <s v="Kenya"/>
    <x v="1"/>
  </r>
  <r>
    <s v="Karen J Kona Red Bourbon"/>
    <n v="96"/>
    <s v="Medium Light"/>
    <n v="58"/>
    <n v="78"/>
    <n v="24.23"/>
    <s v="USA"/>
    <s v="USA"/>
    <x v="0"/>
  </r>
  <r>
    <s v="Ethiopia Worka Sakaro"/>
    <n v="95"/>
    <s v="Medium Light"/>
    <n v="60"/>
    <n v="78"/>
    <n v="6.47"/>
    <s v="USA"/>
    <s v="Ethiopia"/>
    <x v="1"/>
  </r>
  <r>
    <s v="Colombia Geisha"/>
    <n v="94"/>
    <s v="Medium Light"/>
    <n v="58"/>
    <n v="76"/>
    <n v="10.58"/>
    <s v="USA"/>
    <s v="Colombia"/>
    <x v="0"/>
  </r>
  <r>
    <s v="Colombia Don Ruiz Anaerobic"/>
    <n v="95"/>
    <s v="Medium Light"/>
    <n v="60"/>
    <n v="78"/>
    <n v="8.3800000000000008"/>
    <s v="USA"/>
    <s v="Colombia"/>
    <x v="0"/>
  </r>
  <r>
    <s v="Colombia FUDAM NariГ±o"/>
    <n v="94"/>
    <s v="Light"/>
    <n v="62"/>
    <n v="80"/>
    <n v="5.44"/>
    <s v="USA"/>
    <s v="Colombia"/>
    <x v="0"/>
  </r>
  <r>
    <s v="Ethiopia Durato Bombe"/>
    <n v="95"/>
    <s v="Light"/>
    <n v="68"/>
    <n v="92"/>
    <n v="7.05"/>
    <s v="USA"/>
    <s v="Ethiopia"/>
    <x v="1"/>
  </r>
  <r>
    <s v="Pantan Musara Sumatra"/>
    <n v="94"/>
    <s v="Medium Light"/>
    <n v="58"/>
    <n v="76"/>
    <n v="6.17"/>
    <s v="USA"/>
    <s v="Indonesia"/>
    <x v="2"/>
  </r>
  <r>
    <s v="Sumatra Takengon Gayo Natural"/>
    <n v="94"/>
    <s v="Light"/>
    <n v="62"/>
    <n v="80"/>
    <n v="4.74"/>
    <s v="USA"/>
    <s v="Indonesia"/>
    <x v="2"/>
  </r>
  <r>
    <s v="Nano Genji #7"/>
    <n v="95"/>
    <s v="Medium Light"/>
    <n v="58"/>
    <n v="78"/>
    <n v="5.59"/>
    <s v="USA"/>
    <s v="Ethiopia"/>
    <x v="1"/>
  </r>
  <r>
    <s v="Panama Auromar Camilina Geisha Natural"/>
    <n v="95"/>
    <s v="Medium Light"/>
    <n v="60"/>
    <n v="78"/>
    <n v="44.09"/>
    <s v="USA"/>
    <s v="Panama"/>
    <x v="0"/>
  </r>
  <r>
    <s v="Tio Conejo Colombia"/>
    <n v="94"/>
    <s v="Medium Light"/>
    <n v="58"/>
    <n v="76"/>
    <n v="7.94"/>
    <s v="USA"/>
    <s v="Colombia"/>
    <x v="0"/>
  </r>
  <r>
    <s v="Panama Auromar Ironman Geisha Washed Process"/>
    <n v="94"/>
    <s v="Medium Light"/>
    <n v="60"/>
    <n v="78"/>
    <n v="44.09"/>
    <s v="USA"/>
    <s v="Panama"/>
    <x v="0"/>
  </r>
  <r>
    <s v="Cruz Loma"/>
    <n v="94"/>
    <s v="Medium Light"/>
    <n v="57"/>
    <n v="75"/>
    <n v="11.02"/>
    <s v="USA"/>
    <s v="Ecuador"/>
    <x v="0"/>
  </r>
  <r>
    <s v="Panama Elida Washed Gesha"/>
    <n v="95"/>
    <s v="Light"/>
    <n v="64"/>
    <n v="84"/>
    <n v="40"/>
    <s v="USA"/>
    <s v="Panama"/>
    <x v="0"/>
  </r>
  <r>
    <s v="El Salvador Finca La Esperanza"/>
    <n v="94"/>
    <s v="Medium Light"/>
    <n v="62"/>
    <n v="78"/>
    <n v="6.09"/>
    <s v="Taiwan"/>
    <s v="El Salvador"/>
    <x v="0"/>
  </r>
  <r>
    <s v="Panama Hacienda La Esmeralda Super Mario Geisha Yeast Washed"/>
    <n v="95"/>
    <s v="Medium Light"/>
    <n v="60"/>
    <n v="77"/>
    <n v="2083.33"/>
    <s v="Taiwan"/>
    <s v="Panama"/>
    <x v="0"/>
  </r>
  <r>
    <s v="Quartet Kaffe Blend No.10"/>
    <n v="94"/>
    <s v="Medium Light"/>
    <n v="56"/>
    <n v="72"/>
    <n v="250"/>
    <s v="Taiwan"/>
    <s v="Panama"/>
    <x v="0"/>
  </r>
  <r>
    <s v="Ethiopia Anasora Extended Natural Special Lot"/>
    <n v="94"/>
    <s v="Medium Light"/>
    <n v="60"/>
    <n v="76"/>
    <n v="440"/>
    <s v="Taiwan"/>
    <s v="Ethiopia"/>
    <x v="1"/>
  </r>
  <r>
    <s v="Ethiopia Honey Yirgacheffe Idido G1"/>
    <n v="95"/>
    <s v="Medium Light"/>
    <n v="60"/>
    <n v="80"/>
    <n v="154.32"/>
    <s v="Taiwan"/>
    <s v="Ethiopia"/>
    <x v="1"/>
  </r>
  <r>
    <s v="Taiwan Natural Alishan Ching-Ye Farm"/>
    <n v="94"/>
    <s v="Medium Light"/>
    <n v="58"/>
    <n v="76"/>
    <n v="485.01"/>
    <s v="Taiwan"/>
    <s v="Taiwan"/>
    <x v="2"/>
  </r>
  <r>
    <s v="Hawaii KaвЂЕ« Bourbon Anaerobic Natural"/>
    <n v="95"/>
    <s v="Medium Light"/>
    <n v="57"/>
    <n v="74"/>
    <n v="26.46"/>
    <s v="USA"/>
    <s v="USA"/>
    <x v="0"/>
  </r>
  <r>
    <s v="Chelchele Ethiopia"/>
    <n v="94"/>
    <s v="Medium Light"/>
    <n v="58"/>
    <n v="78"/>
    <n v="5.59"/>
    <s v="USA"/>
    <s v="Ethiopia"/>
    <x v="1"/>
  </r>
  <r>
    <s v="Colombia Antioquia Magico"/>
    <n v="94"/>
    <s v="Light"/>
    <n v="62"/>
    <n v="80"/>
    <n v="11.17"/>
    <s v="USA"/>
    <s v="Colombia"/>
    <x v="0"/>
  </r>
  <r>
    <s v="Costa Rica Hacienda La Minita"/>
    <n v="94"/>
    <s v="Medium Light"/>
    <n v="57"/>
    <n v="73"/>
    <n v="5.14"/>
    <s v="USA"/>
    <s v="Costa Rica"/>
    <x v="0"/>
  </r>
  <r>
    <s v="El Salvador Aida Batlle La Florida Natural"/>
    <n v="95"/>
    <s v="Medium Light"/>
    <n v="56"/>
    <n v="74"/>
    <n v="5.48"/>
    <s v="USA"/>
    <s v="El Salvador"/>
    <x v="0"/>
  </r>
  <r>
    <s v="Colombia Geisha Cordillera"/>
    <n v="95"/>
    <s v="Medium Light"/>
    <n v="58"/>
    <n v="78"/>
    <n v="28.66"/>
    <s v="USA"/>
    <s v="Colombia"/>
    <x v="0"/>
  </r>
  <r>
    <s v="Ethiopia Raro Boda"/>
    <n v="94"/>
    <s v="Medium Light"/>
    <n v="56"/>
    <n v="74"/>
    <n v="6.47"/>
    <s v="USA"/>
    <s v="Ethiopia"/>
    <x v="1"/>
  </r>
  <r>
    <s v="Costa Rica Bounty Gesha"/>
    <n v="94"/>
    <s v="Medium Light"/>
    <n v="60"/>
    <n v="78"/>
    <n v="11.6"/>
    <s v="USA"/>
    <s v="Costa Rica"/>
    <x v="0"/>
  </r>
  <r>
    <s v="Panama Static Gesha Natural"/>
    <n v="95"/>
    <s v="Medium Light"/>
    <n v="58"/>
    <n v="77"/>
    <n v="13.23"/>
    <s v="USA"/>
    <s v="Panama"/>
    <x v="0"/>
  </r>
  <r>
    <s v="Panama La Mula Geisha Washed"/>
    <n v="95"/>
    <s v="Light"/>
    <n v="60"/>
    <n v="82"/>
    <n v="3000"/>
    <s v="Taiwan"/>
    <s v="Panama"/>
    <x v="0"/>
  </r>
  <r>
    <s v="Costa Rica San Gabriel SL28 Anaerobic Natural"/>
    <n v="94"/>
    <s v="Medium Light"/>
    <n v="58"/>
    <n v="76"/>
    <n v="300"/>
    <s v="Taiwan"/>
    <s v="Costa Rica"/>
    <x v="0"/>
  </r>
  <r>
    <s v="Burundi Kibingo Intenso"/>
    <n v="94"/>
    <s v="Medium Light"/>
    <n v="57"/>
    <n v="74"/>
    <n v="6.17"/>
    <s v="USA"/>
    <s v="Burundi"/>
    <x v="1"/>
  </r>
  <r>
    <s v="Ecuador PeГ±aherrera AAA"/>
    <n v="95"/>
    <s v="Medium Light"/>
    <n v="58"/>
    <n v="76"/>
    <n v="7.35"/>
    <s v="USA"/>
    <s v="Ecuador"/>
    <x v="0"/>
  </r>
  <r>
    <s v="Panama Hacienda La Esmeralda Porton 5N49 Gesha Natural"/>
    <n v="95"/>
    <s v="Medium Light"/>
    <n v="60"/>
    <n v="77"/>
    <n v="28.66"/>
    <s v="USA"/>
    <s v="Panama"/>
    <x v="0"/>
  </r>
  <r>
    <s v="Kona SL34 Champagne Natural Uluwehi Farm"/>
    <n v="95"/>
    <s v="Medium Light"/>
    <n v="58"/>
    <n v="76"/>
    <n v="26.46"/>
    <s v="USA"/>
    <s v="USA"/>
    <x v="0"/>
  </r>
  <r>
    <s v="Ethiopia Yirgacheffe Adado"/>
    <n v="94"/>
    <s v="Medium Light"/>
    <n v="60"/>
    <n v="78"/>
    <n v="5.58"/>
    <s v="USA"/>
    <s v="Ethiopia"/>
    <x v="1"/>
  </r>
  <r>
    <s v="Tanzania Mbeya Mimba"/>
    <n v="95"/>
    <s v="Medium Light"/>
    <n v="58"/>
    <n v="76"/>
    <n v="5.51"/>
    <s v="USA"/>
    <s v="Tanzania"/>
    <x v="1"/>
  </r>
  <r>
    <s v="Costa Rica La Chumeca"/>
    <n v="94"/>
    <s v="Medium Light"/>
    <n v="60"/>
    <n v="78"/>
    <n v="6.76"/>
    <s v="USA"/>
    <s v="Costa Rica"/>
    <x v="0"/>
  </r>
  <r>
    <s v="Gesha Spirits"/>
    <n v="95"/>
    <s v="Medium Light"/>
    <n v="60"/>
    <n v="77"/>
    <n v="15.71"/>
    <s v="USA"/>
    <s v="Colombia"/>
    <x v="0"/>
  </r>
  <r>
    <s v="Kenya Nyeri Hill Farm AA TOP"/>
    <n v="94"/>
    <s v="Medium Light"/>
    <n v="59"/>
    <n v="79"/>
    <n v="153.88"/>
    <s v="Taiwan"/>
    <s v="Kenya"/>
    <x v="1"/>
  </r>
  <r>
    <s v="Costa Rica Las MontaГ±as Honey"/>
    <n v="94"/>
    <s v="Medium Light"/>
    <n v="60"/>
    <n v="78"/>
    <n v="4.12"/>
    <s v="USA"/>
    <s v="Costa Rica"/>
    <x v="0"/>
  </r>
  <r>
    <s v="Colombia Finca La Guaca AjГ­"/>
    <n v="94"/>
    <s v="Light"/>
    <n v="62"/>
    <n v="80"/>
    <n v="11.46"/>
    <s v="USA"/>
    <s v="Colombia"/>
    <x v="0"/>
  </r>
  <r>
    <s v="Kenya Washed Kiambu Uklili AB Espresso"/>
    <n v="96"/>
    <s v="Medium Light"/>
    <n v="54"/>
    <n v="72"/>
    <n v="176.37"/>
    <s v="Taiwan"/>
    <s v="Kenya"/>
    <x v="1"/>
  </r>
  <r>
    <s v="Karatina Kenya"/>
    <n v="95"/>
    <s v="Medium Light"/>
    <n v="58"/>
    <n v="76"/>
    <n v="6.76"/>
    <s v="USA"/>
    <s v="Kenya"/>
    <x v="1"/>
  </r>
  <r>
    <s v="Karamo Ethiopia"/>
    <n v="94"/>
    <s v="Medium Light"/>
    <n v="60"/>
    <n v="78"/>
    <n v="5.59"/>
    <s v="USA"/>
    <s v="Ethiopia"/>
    <x v="1"/>
  </r>
  <r>
    <s v="Ethiopia Natural Shakisso Mormora 74112"/>
    <n v="95"/>
    <s v="Medium Light"/>
    <n v="54"/>
    <n v="76"/>
    <n v="143.30000000000001"/>
    <s v="Taiwan"/>
    <s v="Ethiopia"/>
    <x v="1"/>
  </r>
  <r>
    <s v="Ethiopia Washed Shakisso Mormora 74112"/>
    <n v="95"/>
    <s v="Medium Light"/>
    <n v="58"/>
    <n v="78"/>
    <n v="143.30000000000001"/>
    <s v="Taiwan"/>
    <s v="Ethiopia"/>
    <x v="1"/>
  </r>
  <r>
    <s v="Tang Bohu Espresso Blend"/>
    <n v="95"/>
    <s v="Medium"/>
    <n v="45"/>
    <n v="70"/>
    <n v="286.60000000000002"/>
    <s v="Taiwan"/>
    <s v="Costa Rica"/>
    <x v="0"/>
  </r>
  <r>
    <s v="Colombia Quindio Anaerobic Natural"/>
    <n v="94"/>
    <s v="Medium Light"/>
    <n v="60"/>
    <n v="78"/>
    <n v="8.82"/>
    <s v="USA"/>
    <s v="Colombia"/>
    <x v="0"/>
  </r>
  <r>
    <s v="Colombia Tres Dragones Natural"/>
    <n v="94"/>
    <s v="Medium Light"/>
    <n v="58"/>
    <n v="76"/>
    <n v="7.35"/>
    <s v="USA"/>
    <s v="Colombia"/>
    <x v="0"/>
  </r>
  <r>
    <s v="Colombia Finca Jardines del Eden Ice Fermentation Natural"/>
    <n v="94"/>
    <s v="Medium Light"/>
    <n v="58"/>
    <n v="74"/>
    <n v="500"/>
    <s v="Taiwan"/>
    <s v="Colombia"/>
    <x v="0"/>
  </r>
  <r>
    <s v="Honduras Natural San Vicente Belarmino Contreras Pacas"/>
    <n v="94"/>
    <s v="Medium Light"/>
    <n v="58"/>
    <n v="78"/>
    <n v="121.25"/>
    <s v="Taiwan"/>
    <s v="Honduras"/>
    <x v="0"/>
  </r>
  <r>
    <s v="Chasing Horizon Natural Espresso"/>
    <n v="95"/>
    <s v="Medium"/>
    <n v="48"/>
    <n v="64"/>
    <n v="352.73"/>
    <s v="Taiwan"/>
    <s v="Ethiopia"/>
    <x v="1"/>
  </r>
  <r>
    <s v="Supernatural"/>
    <n v="95"/>
    <s v="Medium Light"/>
    <n v="56"/>
    <n v="74"/>
    <n v="5.42"/>
    <s v="USA"/>
    <s v="Ethiopia"/>
    <x v="1"/>
  </r>
  <r>
    <s v="Ethiopia Alemaza Natural SOE"/>
    <n v="95"/>
    <s v="Medium Light"/>
    <n v="58"/>
    <n v="77"/>
    <n v="158.72999999999999"/>
    <s v="Taiwan"/>
    <s v="Ethiopia"/>
    <x v="1"/>
  </r>
  <r>
    <s v="Kona Natural Espresso"/>
    <n v="95"/>
    <s v="Medium Light"/>
    <n v="57"/>
    <n v="77"/>
    <n v="27.76"/>
    <s v="USA"/>
    <s v="USA"/>
    <x v="0"/>
  </r>
  <r>
    <s v="Colombia Tres Dragones"/>
    <n v="95"/>
    <s v="Medium Light"/>
    <n v="60"/>
    <n v="76"/>
    <n v="7.94"/>
    <s v="USA"/>
    <s v="Colombia"/>
    <x v="0"/>
  </r>
  <r>
    <s v="Colombia Quindio Anaerobic Natural"/>
    <n v="94"/>
    <s v="Medium Light"/>
    <n v="61"/>
    <n v="79"/>
    <n v="8.82"/>
    <s v="USA"/>
    <s v="Colombia"/>
    <x v="0"/>
  </r>
  <r>
    <s v="Colombia Pink Bourbon"/>
    <n v="94"/>
    <s v="Medium Light"/>
    <n v="60"/>
    <n v="77"/>
    <n v="11.17"/>
    <s v="USA"/>
    <s v="Colombia"/>
    <x v="0"/>
  </r>
  <r>
    <s v="Peru Gesha"/>
    <n v="94"/>
    <s v="Medium Light"/>
    <n v="60"/>
    <n v="77"/>
    <n v="8.82"/>
    <s v="USA"/>
    <s v="Peru"/>
    <x v="0"/>
  </r>
  <r>
    <s v="Ecuador Loja Hacienda La Papaya Bourbon Sidra 168hr Anaerobic Natural"/>
    <n v="95"/>
    <s v="Light"/>
    <n v="64"/>
    <n v="84"/>
    <n v="292.04000000000002"/>
    <s v="Taiwan"/>
    <s v="Ecuador"/>
    <x v="0"/>
  </r>
  <r>
    <s v="Panama Finca Deborah Afterglow Geisha Natural"/>
    <n v="95"/>
    <s v="Light"/>
    <n v="62"/>
    <n v="80"/>
    <n v="474.29"/>
    <s v="China"/>
    <s v="Panama"/>
    <x v="0"/>
  </r>
  <r>
    <s v="Colombia ExГіtico De Altura"/>
    <n v="94"/>
    <s v="Medium Light"/>
    <n v="54"/>
    <n v="74"/>
    <n v="5.29"/>
    <s v="USA"/>
    <s v="Colombia"/>
    <x v="0"/>
  </r>
  <r>
    <s v="Ethiopia Dawencho 74110 Natural Espresso"/>
    <n v="94"/>
    <s v="Medium Light"/>
    <n v="58"/>
    <n v="77"/>
    <n v="620"/>
    <s v="Taiwan"/>
    <s v="Ethiopia"/>
    <x v="1"/>
  </r>
  <r>
    <s v="Kenya Nyeri Yerihar AA Top Lot 21/01"/>
    <n v="94"/>
    <s v="Medium Light"/>
    <n v="57"/>
    <n v="78"/>
    <n v="204.55"/>
    <s v="Taiwan"/>
    <s v="Kenya"/>
    <x v="1"/>
  </r>
  <r>
    <s v="Colombia Wush Wush Dynamic Natural"/>
    <n v="95"/>
    <s v="Light"/>
    <n v="75"/>
    <n v="93"/>
    <n v="16.5"/>
    <s v="Japan"/>
    <s v="Colombia"/>
    <x v="0"/>
  </r>
  <r>
    <s v="Rwanda Gatare"/>
    <n v="94"/>
    <s v="Medium Light"/>
    <n v="58"/>
    <n v="80"/>
    <n v="6.47"/>
    <s v="USA"/>
    <s v="Rwanda"/>
    <x v="1"/>
  </r>
  <r>
    <s v="Costa Rica Naranjo Danilo Salazar Arias"/>
    <n v="94"/>
    <s v="Medium Light"/>
    <n v="60"/>
    <n v="77"/>
    <n v="6.76"/>
    <s v="USA"/>
    <s v="Costa Rica"/>
    <x v="0"/>
  </r>
  <r>
    <s v="Ethiopia Guji Shakiso G1 Honey"/>
    <n v="94"/>
    <s v="Medium Light"/>
    <n v="59"/>
    <n v="77"/>
    <n v="176.37"/>
    <s v="Taiwan"/>
    <s v="Ethiopia"/>
    <x v="1"/>
  </r>
  <r>
    <s v="Yemen Haraaz Red Mahal Aqeeq ul Station Natural"/>
    <n v="97"/>
    <s v="Medium Light"/>
    <n v="58"/>
    <n v="76"/>
    <n v="15.43"/>
    <s v="USA"/>
    <s v="Yemen"/>
    <x v="1"/>
  </r>
  <r>
    <s v="Brazil Fazenda Samambaia Natural Fermentation Arara"/>
    <n v="95"/>
    <s v="Medium Light"/>
    <n v="58"/>
    <n v="76"/>
    <n v="264.55"/>
    <s v="Taiwan"/>
    <s v="Brazil"/>
    <x v="0"/>
  </r>
  <r>
    <s v="Costa Rica Canet Musician Series Bach Raisin Honey"/>
    <n v="94"/>
    <s v="Medium Light"/>
    <n v="60"/>
    <n v="77"/>
    <n v="242.29"/>
    <s v="Taiwan"/>
    <s v="Costa Rica"/>
    <x v="0"/>
  </r>
  <r>
    <s v="Peru Amazonas Los Santos Geisha Natural"/>
    <n v="95"/>
    <s v="Light"/>
    <n v="64"/>
    <n v="80"/>
    <n v="418.5"/>
    <s v="Taiwan"/>
    <s v="Peru"/>
    <x v="0"/>
  </r>
  <r>
    <s v="Ethiopia Odola Washed"/>
    <n v="95"/>
    <s v="Light"/>
    <n v="60"/>
    <n v="82"/>
    <n v="5.57"/>
    <s v="USA"/>
    <s v="Ethiopia"/>
    <x v="1"/>
  </r>
  <r>
    <s v="Minanga Village Sulawesi"/>
    <n v="94"/>
    <s v="Medium Light"/>
    <n v="54"/>
    <n v="72"/>
    <n v="7.05"/>
    <s v="USA"/>
    <s v="Indonesia"/>
    <x v="2"/>
  </r>
  <r>
    <s v="KaвЂЕ« Tropical Punch Washed"/>
    <n v="94"/>
    <s v="Medium Light"/>
    <n v="58"/>
    <n v="74"/>
    <n v="22.05"/>
    <s v="USA"/>
    <s v="USA"/>
    <x v="0"/>
  </r>
  <r>
    <s v="Kenya Peaberry Top Hill Farm Espresso"/>
    <n v="95"/>
    <s v="Medium"/>
    <n v="45"/>
    <n v="58"/>
    <n v="275"/>
    <s v="Taiwan"/>
    <s v="Kenya"/>
    <x v="1"/>
  </r>
  <r>
    <s v="Ethiopia Belayneh Bariso Natural"/>
    <n v="95"/>
    <s v="Medium Light"/>
    <n v="58"/>
    <n v="76"/>
    <n v="5.73"/>
    <s v="USA"/>
    <s v="Ethiopia"/>
    <x v="1"/>
  </r>
  <r>
    <s v="Kona SL34 Champagne Natural Uluwehi Farm"/>
    <n v="94"/>
    <s v="Medium Light"/>
    <n v="57"/>
    <n v="74"/>
    <n v="26.46"/>
    <s v="USA"/>
    <s v="USA"/>
    <x v="0"/>
  </r>
  <r>
    <s v="Yemen Al Mashtal Al Burhani"/>
    <n v="95"/>
    <s v="Medium Light"/>
    <n v="58"/>
    <n v="74"/>
    <n v="26.46"/>
    <s v="USA"/>
    <s v="Yemen"/>
    <x v="1"/>
  </r>
  <r>
    <s v="KaвЂЕ« Lactic Natural"/>
    <n v="95"/>
    <s v="Medium Light"/>
    <n v="60"/>
    <n v="77"/>
    <n v="26.46"/>
    <s v="USA"/>
    <s v="USA"/>
    <x v="0"/>
  </r>
  <r>
    <s v="Colombia Finca El Paraiso Castillo Red Plum"/>
    <n v="94"/>
    <s v="Light"/>
    <n v="62"/>
    <n v="80"/>
    <n v="14.11"/>
    <s v="USA"/>
    <s v="Colombia"/>
    <x v="0"/>
  </r>
  <r>
    <s v="Ethiopia Guji Uraga Tebe Burku Natural"/>
    <n v="94"/>
    <s v="Medium Light"/>
    <n v="58"/>
    <n v="74"/>
    <n v="154.19"/>
    <s v="Taiwan"/>
    <s v="Ethiopia"/>
    <x v="1"/>
  </r>
  <r>
    <s v="British Style Espresso Blend"/>
    <n v="95"/>
    <s v="Medium"/>
    <n v="50"/>
    <n v="64"/>
    <n v="220.26"/>
    <s v="Taiwan"/>
    <s v="Ethiopia"/>
    <x v="1"/>
  </r>
  <r>
    <s v="Costa Rica Brunca Rivense Las Moras Black Honey"/>
    <n v="94"/>
    <s v="Medium Light"/>
    <n v="62"/>
    <n v="76"/>
    <n v="176.21"/>
    <s v="Taiwan"/>
    <s v="Costa Rica"/>
    <x v="0"/>
  </r>
  <r>
    <s v="Ethiopia Yirgacheffe Hama Washed"/>
    <n v="94"/>
    <s v="Medium Light"/>
    <n v="62"/>
    <n v="76"/>
    <n v="154.19"/>
    <s v="Taiwan"/>
    <s v="Ethiopia"/>
    <x v="1"/>
  </r>
  <r>
    <s v="Peru Washed Santa Monica Gesha"/>
    <n v="96"/>
    <s v="Medium Light"/>
    <n v="58"/>
    <n v="77"/>
    <n v="617.28"/>
    <s v="Taiwan"/>
    <s v="Peru"/>
    <x v="0"/>
  </r>
  <r>
    <s v="Taiwan Washed Alishan Ching-Ye Farm SL34"/>
    <n v="94"/>
    <s v="Medium Light"/>
    <n v="56"/>
    <n v="74"/>
    <n v="352.73"/>
    <s v="Taiwan"/>
    <s v="Taiwan"/>
    <x v="2"/>
  </r>
  <r>
    <s v="Ethiopia Guji Odo Shakiso"/>
    <n v="94"/>
    <s v="Medium Light"/>
    <n v="60"/>
    <n v="76"/>
    <n v="5.29"/>
    <s v="USA"/>
    <s v="Ethiopia"/>
    <x v="1"/>
  </r>
  <r>
    <s v="Ethiopia Sidamo Karamo"/>
    <n v="95"/>
    <s v="Light"/>
    <n v="62"/>
    <n v="80"/>
    <n v="7.64"/>
    <s v="USA"/>
    <s v="Ethiopia"/>
    <x v="1"/>
  </r>
  <r>
    <s v="Gigesa Ethiopia"/>
    <n v="94"/>
    <s v="Medium Light"/>
    <n v="56"/>
    <n v="74"/>
    <n v="5.59"/>
    <s v="USA"/>
    <s v="Ethiopia"/>
    <x v="1"/>
  </r>
  <r>
    <s v="Oahu Triple-Bourbon вЂњSparklingвЂќ Yeast Ferment"/>
    <n v="94"/>
    <s v="Medium Light"/>
    <n v="54"/>
    <n v="74"/>
    <n v="14.99"/>
    <s v="USA"/>
    <s v="USA"/>
    <x v="0"/>
  </r>
  <r>
    <s v="Colombia Ibague Tolima"/>
    <n v="94"/>
    <s v="Light"/>
    <n v="64"/>
    <n v="80"/>
    <n v="7.64"/>
    <s v="USA"/>
    <s v="Colombia"/>
    <x v="0"/>
  </r>
  <r>
    <s v="Kenya Karatu"/>
    <n v="94"/>
    <s v="Medium Light"/>
    <n v="60"/>
    <n v="76"/>
    <n v="6.91"/>
    <s v="Kenya"/>
    <s v="Kenya"/>
    <x v="1"/>
  </r>
  <r>
    <s v="Ecuador Taza Dorada Finca Cruz Loma"/>
    <n v="96"/>
    <s v="Medium Light"/>
    <n v="60"/>
    <n v="77"/>
    <n v="123.46"/>
    <s v="USA"/>
    <s v="Ecuador"/>
    <x v="0"/>
  </r>
  <r>
    <s v="Kona Bourbon Champagne Natural Uluwehi Farm"/>
    <n v="95"/>
    <s v="Medium Light"/>
    <n v="57"/>
    <n v="74"/>
    <n v="26.46"/>
    <s v="USA"/>
    <s v="USA"/>
    <x v="0"/>
  </r>
  <r>
    <s v="Panama Hacienda La Esmeralda Geisha Washed"/>
    <n v="95"/>
    <s v="Medium"/>
    <n v="46"/>
    <n v="60"/>
    <n v="800"/>
    <s v="Taiwan"/>
    <s v="Panama"/>
    <x v="0"/>
  </r>
  <r>
    <s v="Peru Garden of Eden Farcent Geisha Anaerobic Washed"/>
    <n v="94"/>
    <s v="Medium Light"/>
    <n v="62"/>
    <n v="78"/>
    <n v="700"/>
    <s v="Taiwan"/>
    <s v="Peru"/>
    <x v="0"/>
  </r>
  <r>
    <s v="Pointu Laurina"/>
    <n v="95"/>
    <s v="Medium"/>
    <n v="46"/>
    <n v="60"/>
    <n v="29.08"/>
    <s v="USA"/>
    <s v="Unknown"/>
    <x v="3"/>
  </r>
  <r>
    <s v="Ecuador Finca Cruz Loma"/>
    <n v="95"/>
    <s v="Medium Dark"/>
    <n v="40"/>
    <n v="54"/>
    <n v="3600"/>
    <s v="Taiwan"/>
    <s v="Ecuador"/>
    <x v="0"/>
  </r>
  <r>
    <s v="Aged Sumatra Semiga"/>
    <n v="94"/>
    <s v="Medium Dark"/>
    <n v="40"/>
    <n v="50"/>
    <n v="8.82"/>
    <s v="USA"/>
    <s v="Indonesia"/>
    <x v="2"/>
  </r>
  <r>
    <s v="Indonesia Sumatra Kerinci Valley"/>
    <n v="94"/>
    <s v="Medium"/>
    <n v="47"/>
    <n v="60"/>
    <n v="7.2"/>
    <s v="USA"/>
    <s v="Indonesia"/>
    <x v="2"/>
  </r>
  <r>
    <s v="KaвЂ™u Classic Dark"/>
    <n v="94"/>
    <s v="Medium"/>
    <n v="47"/>
    <n v="61"/>
    <n v="10.050000000000001"/>
    <s v="USA"/>
    <s v="USA"/>
    <x v="0"/>
  </r>
  <r>
    <s v="Sumatra Boru Batak"/>
    <n v="95"/>
    <s v="Medium Light"/>
    <n v="57"/>
    <n v="79"/>
    <n v="6.17"/>
    <s v="USA"/>
    <s v="Indonesia"/>
    <x v="2"/>
  </r>
  <r>
    <s v="Barokah Honey Sumatra"/>
    <n v="95"/>
    <s v="Medium Light"/>
    <n v="58"/>
    <n v="80"/>
    <n v="5.59"/>
    <s v="USA"/>
    <s v="Indonesia"/>
    <x v="2"/>
  </r>
  <r>
    <s v="Colombia Finca La Primavera Sidra"/>
    <n v="96"/>
    <s v="Light"/>
    <n v="64"/>
    <n v="82"/>
    <n v="14.11"/>
    <s v="USA"/>
    <s v="Colombia"/>
    <x v="0"/>
  </r>
  <r>
    <s v="Ethiopia Natural Guji Dasaya SP"/>
    <n v="95"/>
    <s v="Medium Light"/>
    <n v="58"/>
    <n v="78"/>
    <n v="154.32"/>
    <s v="Taiwan"/>
    <s v="Ethiopia"/>
    <x v="1"/>
  </r>
  <r>
    <s v="Ethiopia Anaerobic Shantawene"/>
    <n v="94"/>
    <s v="Medium Light"/>
    <n v="58"/>
    <n v="80"/>
    <n v="5.88"/>
    <s v="USA"/>
    <s v="Ethiopia"/>
    <x v="1"/>
  </r>
  <r>
    <s v="Ethiopia Bensa Asefa Qonqana"/>
    <n v="94"/>
    <s v="Light"/>
    <n v="64"/>
    <n v="86"/>
    <n v="7.64"/>
    <s v="USA"/>
    <s v="Ethiopia"/>
    <x v="1"/>
  </r>
  <r>
    <s v="Ethiopia Durato Bombe"/>
    <n v="94"/>
    <s v="Medium Light"/>
    <n v="58"/>
    <n v="78"/>
    <n v="5.59"/>
    <s v="USA"/>
    <s v="Ethiopia"/>
    <x v="1"/>
  </r>
  <r>
    <s v="Ethiopia Washed Shantawene"/>
    <n v="94"/>
    <s v="Medium Light"/>
    <n v="60"/>
    <n v="78"/>
    <n v="5.88"/>
    <s v="USA"/>
    <s v="Ethiopia"/>
    <x v="1"/>
  </r>
  <r>
    <s v="Indonesia Sumatra Natural Aceh Musara SC19"/>
    <n v="94"/>
    <s v="Light"/>
    <n v="62"/>
    <n v="80"/>
    <n v="154.32"/>
    <s v="Taiwan"/>
    <s v="Indonesia"/>
    <x v="2"/>
  </r>
  <r>
    <s v="Kenya Washed Kabingara AA"/>
    <n v="94"/>
    <s v="Medium Light"/>
    <n v="57"/>
    <n v="77"/>
    <n v="158.72999999999999"/>
    <s v="Taiwan"/>
    <s v="Kenya"/>
    <x v="1"/>
  </r>
  <r>
    <s v="Kenya Nyeri Jungle Estate Red Cherry SLD Anaerobic Natural"/>
    <n v="95"/>
    <s v="Medium Light"/>
    <n v="57"/>
    <n v="77"/>
    <n v="330.4"/>
    <s v="Taiwan"/>
    <s v="Kenya"/>
    <x v="1"/>
  </r>
  <r>
    <s v="Lugmapata Ecuador"/>
    <n v="95"/>
    <s v="Medium Light"/>
    <n v="60"/>
    <n v="80"/>
    <n v="7.94"/>
    <s v="USA"/>
    <s v="Ecuador"/>
    <x v="0"/>
  </r>
  <r>
    <s v="Red Sunset by Andres Cardona"/>
    <n v="94"/>
    <s v="Medium Light"/>
    <n v="55"/>
    <n v="73"/>
    <n v="7.05"/>
    <s v="USA"/>
    <s v="Colombia"/>
    <x v="0"/>
  </r>
  <r>
    <s v="Macarena Colombia"/>
    <n v="94"/>
    <s v="Medium Light"/>
    <n v="60"/>
    <n v="78"/>
    <n v="7.94"/>
    <s v="USA"/>
    <s v="Colombia"/>
    <x v="0"/>
  </r>
  <r>
    <s v="Haraaz Red Yemen"/>
    <n v="94"/>
    <s v="Medium Light"/>
    <n v="58"/>
    <n v="78"/>
    <n v="11.02"/>
    <s v="USA"/>
    <s v="Yemen"/>
    <x v="1"/>
  </r>
  <r>
    <s v="El Salvador Anarquia Pacamara"/>
    <n v="94"/>
    <s v="Light"/>
    <n v="60"/>
    <n v="82"/>
    <n v="6.47"/>
    <s v="USA"/>
    <s v="El Salvador"/>
    <x v="0"/>
  </r>
  <r>
    <s v="Colombia Sidra Natural Signature Selection"/>
    <n v="96"/>
    <s v="Light"/>
    <n v="62"/>
    <n v="80"/>
    <n v="40.56"/>
    <s v="USA"/>
    <s v="Colombia"/>
    <x v="0"/>
  </r>
  <r>
    <s v="Colombia Finca El Paraiso Geisha Letty"/>
    <n v="97"/>
    <s v="Light"/>
    <n v="64"/>
    <n v="84"/>
    <n v="35.270000000000003"/>
    <s v="USA"/>
    <s v="Colombia"/>
    <x v="0"/>
  </r>
  <r>
    <s v="Monarch Estate Pacamara"/>
    <n v="94"/>
    <s v="Medium Light"/>
    <n v="60"/>
    <n v="80"/>
    <n v="36.11"/>
    <s v="USA"/>
    <s v="Unknown"/>
    <x v="3"/>
  </r>
  <r>
    <s v="Uluwehi Farm Kona SL34 Yeast-Fermentation Washed Peaberry"/>
    <n v="94"/>
    <s v="Medium Light"/>
    <n v="56"/>
    <n v="72"/>
    <n v="35.270000000000003"/>
    <s v="USA"/>
    <s v="USA"/>
    <x v="0"/>
  </r>
  <r>
    <s v="KaвЂ™u IPA Natural"/>
    <n v="95"/>
    <s v="Medium Light"/>
    <n v="58"/>
    <n v="78"/>
    <n v="22.05"/>
    <s v="USA"/>
    <s v="USA"/>
    <x v="0"/>
  </r>
  <r>
    <s v="Ecuador Finca Lugmapata Mejorado"/>
    <n v="95"/>
    <s v="Light"/>
    <n v="64"/>
    <n v="80"/>
    <n v="10.58"/>
    <s v="USA"/>
    <s v="Ecuador"/>
    <x v="0"/>
  </r>
  <r>
    <s v="Shakiso Natural"/>
    <n v="94"/>
    <s v="Medium Light"/>
    <n v="58"/>
    <n v="76"/>
    <n v="5.59"/>
    <s v="USA"/>
    <s v="Ethiopia"/>
    <x v="1"/>
  </r>
  <r>
    <s v="Cerro Azul Geisha Honey Process"/>
    <n v="94"/>
    <s v="Medium Light"/>
    <n v="58"/>
    <n v="76"/>
    <n v="15.87"/>
    <s v="USA"/>
    <s v="Colombia"/>
    <x v="0"/>
  </r>
  <r>
    <s v="La Esmeralda Diamond Mountain Washed Coffee"/>
    <n v="94"/>
    <s v="Medium Light"/>
    <n v="60"/>
    <n v="78"/>
    <n v="208.89"/>
    <s v="Taiwan"/>
    <s v="Panama"/>
    <x v="0"/>
  </r>
  <r>
    <s v="Karen J Kona Red Bourbon Natural Anaerobic"/>
    <n v="95"/>
    <s v="Medium Light"/>
    <n v="56"/>
    <n v="76"/>
    <n v="22.02"/>
    <s v="USA"/>
    <s v="USA"/>
    <x v="0"/>
  </r>
  <r>
    <s v="El Salvador Finca Mileydi Pacamara"/>
    <n v="95"/>
    <s v="Medium Light"/>
    <n v="60"/>
    <n v="78"/>
    <n v="7.35"/>
    <s v="USA"/>
    <s v="El Salvador"/>
    <x v="0"/>
  </r>
  <r>
    <s v="El Salvador Las Veraneras Red Bourbon"/>
    <n v="94"/>
    <s v="Medium Light"/>
    <n v="58"/>
    <n v="78"/>
    <n v="5.58"/>
    <s v="USA"/>
    <s v="El Salvador"/>
    <x v="0"/>
  </r>
  <r>
    <s v="Costa Rica Brunca Rivense La Guaca Passion Honey"/>
    <n v="94"/>
    <s v="Medium Light"/>
    <n v="58"/>
    <n v="78"/>
    <n v="176.21"/>
    <s v="Taiwan"/>
    <s v="Costa Rica"/>
    <x v="0"/>
  </r>
  <r>
    <s v="Hunkute by Nordic Approach"/>
    <n v="94"/>
    <s v="Light"/>
    <n v="64"/>
    <n v="88"/>
    <n v="53.4"/>
    <s v="Taiwan"/>
    <s v="Ethiopia"/>
    <x v="1"/>
  </r>
  <r>
    <s v="SchweikвЂ™s Blend"/>
    <n v="94"/>
    <s v="Light"/>
    <n v="62"/>
    <n v="80"/>
    <n v="3.95"/>
    <s v="USA"/>
    <s v="Unknown"/>
    <x v="3"/>
  </r>
  <r>
    <s v="Whiskey Dreams Moka Java"/>
    <n v="94"/>
    <s v="Medium Light"/>
    <n v="58"/>
    <n v="76"/>
    <n v="5.29"/>
    <s v="USA"/>
    <s v="Ethiopia"/>
    <x v="1"/>
  </r>
  <r>
    <s v="Black Level Blend"/>
    <n v="94"/>
    <s v="Medium Light"/>
    <n v="57"/>
    <n v="74"/>
    <n v="326.67"/>
    <s v="Taiwan"/>
    <s v="Colombia"/>
    <x v="0"/>
  </r>
  <r>
    <s v="Karindundu Kenya"/>
    <n v="94"/>
    <s v="Medium Light"/>
    <n v="58"/>
    <n v="78"/>
    <n v="6.47"/>
    <s v="USA"/>
    <s v="Kenya"/>
    <x v="1"/>
  </r>
  <r>
    <s v="Colombia Geisha Natural"/>
    <n v="94"/>
    <s v="Medium Light"/>
    <n v="60"/>
    <n v="76"/>
    <n v="15.41"/>
    <s v="USA"/>
    <s v="Colombia"/>
    <x v="0"/>
  </r>
  <r>
    <s v="Pacas Estate El Salvador Natural"/>
    <n v="94"/>
    <s v="Medium Light"/>
    <n v="54"/>
    <n v="72"/>
    <n v="4.7"/>
    <s v="USA"/>
    <s v="El Salvador"/>
    <x v="0"/>
  </r>
  <r>
    <s v="Hunapu Natural Guatemala"/>
    <n v="94"/>
    <s v="Medium Light"/>
    <n v="56"/>
    <n v="76"/>
    <n v="5.59"/>
    <s v="USA"/>
    <s v="Guatemala"/>
    <x v="0"/>
  </r>
  <r>
    <s v="Kabiufa Papua New Guinea"/>
    <n v="95"/>
    <s v="Light"/>
    <n v="60"/>
    <n v="82"/>
    <n v="5.29"/>
    <s v="USA"/>
    <s v="Papua New Guinea"/>
    <x v="2"/>
  </r>
  <r>
    <s v="Ethiopia Natural Sidama TAMIRU 74158"/>
    <n v="96"/>
    <s v="Medium Light"/>
    <n v="60"/>
    <n v="78"/>
    <n v="352.73"/>
    <s v="Taiwan"/>
    <s v="Ethiopia"/>
    <x v="1"/>
  </r>
  <r>
    <s v="Bedhatu Jibicho Natural"/>
    <n v="95"/>
    <s v="Medium Light"/>
    <n v="60"/>
    <n v="76"/>
    <n v="5.88"/>
    <s v="USA"/>
    <s v="Unknown"/>
    <x v="3"/>
  </r>
  <r>
    <s v="Ethiopia Natural Guji DoReMi"/>
    <n v="95"/>
    <s v="Medium Light"/>
    <n v="57"/>
    <n v="77"/>
    <n v="92.59"/>
    <s v="Taiwan"/>
    <s v="Ethiopia"/>
    <x v="1"/>
  </r>
  <r>
    <s v="Sabana Redonda SL28 Costa Rica"/>
    <n v="94"/>
    <s v="Medium Light"/>
    <n v="58"/>
    <n v="80"/>
    <n v="7.94"/>
    <s v="USA"/>
    <s v="Costa Rica"/>
    <x v="0"/>
  </r>
  <r>
    <s v="Ethiopia Bench Maji Gesha Village Dimma Illubabor Forest A6 Natural"/>
    <n v="95"/>
    <s v="Light"/>
    <n v="64"/>
    <n v="82"/>
    <n v="420.35"/>
    <s v="Taiwan"/>
    <s v="Ethiopia"/>
    <x v="1"/>
  </r>
  <r>
    <s v="Sumatra Siamang Forest"/>
    <n v="94"/>
    <s v="Medium Light"/>
    <n v="54"/>
    <n v="72"/>
    <n v="7.35"/>
    <s v="USA"/>
    <s v="Indonesia"/>
    <x v="2"/>
  </r>
  <r>
    <s v="Yemen Jabal Nabi Special Reserve"/>
    <n v="94"/>
    <s v="Medium Light"/>
    <n v="57"/>
    <n v="73"/>
    <n v="12.3"/>
    <s v="USA"/>
    <s v="Yemen"/>
    <x v="1"/>
  </r>
  <r>
    <s v="Kenya Gakuyuini AA"/>
    <n v="94"/>
    <s v="Medium Light"/>
    <n v="58"/>
    <n v="76"/>
    <n v="4.9800000000000004"/>
    <s v="USA"/>
    <s v="Kenya"/>
    <x v="1"/>
  </r>
  <r>
    <s v="Hacienda Esmeralda Ethiopian Accessions"/>
    <n v="95"/>
    <s v="Light"/>
    <n v="62"/>
    <n v="80"/>
    <n v="11.02"/>
    <s v="USA"/>
    <s v="Panama"/>
    <x v="0"/>
  </r>
  <r>
    <s v="Gelena Geisha"/>
    <n v="94"/>
    <s v="Medium Light"/>
    <n v="60"/>
    <n v="78"/>
    <n v="5.59"/>
    <s v="USA"/>
    <s v="Ethiopia"/>
    <x v="1"/>
  </r>
  <r>
    <s v="Ethiopia Anaerobic Natural"/>
    <n v="94"/>
    <s v="Medium Light"/>
    <n v="59"/>
    <n v="77"/>
    <n v="11.02"/>
    <s v="USA"/>
    <s v="Ethiopia"/>
    <x v="1"/>
  </r>
  <r>
    <s v="Rainy Day Espresso Blend"/>
    <n v="94"/>
    <s v="Medium Light"/>
    <n v="54"/>
    <n v="72"/>
    <n v="152.16999999999999"/>
    <s v="Taiwan"/>
    <s v="Costa Rica"/>
    <x v="0"/>
  </r>
  <r>
    <s v="Ethiopia Tamiru Tadesse Tesema Anaerobic Natural"/>
    <n v="95"/>
    <s v="Medium Light"/>
    <n v="62"/>
    <n v="78"/>
    <n v="130.07"/>
    <s v="Taiwan"/>
    <s v="Ethiopia"/>
    <x v="1"/>
  </r>
  <r>
    <s v="Ethiopia Aphrodite Washed Espresso"/>
    <n v="96"/>
    <s v="Medium"/>
    <n v="44"/>
    <n v="60"/>
    <n v="374.78"/>
    <s v="Taiwan"/>
    <s v="Ethiopia"/>
    <x v="1"/>
  </r>
  <r>
    <s v="Kona Tropical Punch Washed"/>
    <n v="94"/>
    <s v="Medium Light"/>
    <n v="60"/>
    <n v="76"/>
    <n v="22.05"/>
    <s v="USA"/>
    <s v="USA"/>
    <x v="0"/>
  </r>
  <r>
    <s v="KaвЂ™u Bourbon Champagne Natural"/>
    <n v="94"/>
    <s v="Medium Light"/>
    <n v="58"/>
    <n v="76"/>
    <n v="26.46"/>
    <s v="USA"/>
    <s v="USA"/>
    <x v="0"/>
  </r>
  <r>
    <s v="Cerro Azul Geisha"/>
    <n v="95"/>
    <s v="Medium Light"/>
    <n v="58"/>
    <n v="80"/>
    <n v="13.23"/>
    <s v="USA"/>
    <s v="Colombia"/>
    <x v="0"/>
  </r>
  <r>
    <s v="Panama Mama Cata Geisha Champagne Natural"/>
    <n v="95"/>
    <s v="Light"/>
    <n v="64"/>
    <n v="88"/>
    <n v="44.09"/>
    <s v="USA"/>
    <s v="Panama"/>
    <x v="0"/>
  </r>
  <r>
    <s v="Ethiopia Yirgacheffe Worka Sakaro"/>
    <n v="95"/>
    <s v="Medium Light"/>
    <n v="57"/>
    <n v="79"/>
    <n v="7.35"/>
    <s v="USA"/>
    <s v="Ethiopia"/>
    <x v="1"/>
  </r>
  <r>
    <s v="El Socorro Maracaturra"/>
    <n v="95"/>
    <s v="Medium Light"/>
    <n v="60"/>
    <n v="74"/>
    <n v="7.64"/>
    <s v="USA"/>
    <s v="Guatemala"/>
    <x v="0"/>
  </r>
  <r>
    <s v="Guatemala Acatenango Gesha"/>
    <n v="94"/>
    <s v="Light"/>
    <n v="62"/>
    <n v="80"/>
    <n v="10.58"/>
    <s v="USA"/>
    <s v="Guatemala"/>
    <x v="0"/>
  </r>
  <r>
    <s v="Kenya Kirinyaga"/>
    <n v="94"/>
    <s v="Medium Light"/>
    <n v="60"/>
    <n v="80"/>
    <n v="176.37"/>
    <s v="Taiwan"/>
    <s v="Kenya"/>
    <x v="1"/>
  </r>
  <r>
    <s v="Hacienda La Esmeralda MontaГ±as 71AS"/>
    <n v="96"/>
    <s v="Medium Light"/>
    <n v="59"/>
    <n v="77"/>
    <n v="66.67"/>
    <s v="United Kingdom"/>
    <s v="Panama"/>
    <x v="0"/>
  </r>
  <r>
    <s v="Kenya Nyeri Gatomboya"/>
    <n v="94"/>
    <s v="Medium Light"/>
    <n v="57"/>
    <n v="77"/>
    <n v="5.29"/>
    <s v="USA"/>
    <s v="Kenya"/>
    <x v="1"/>
  </r>
  <r>
    <s v="Ethiopia Bench Maji Natural Gesha"/>
    <n v="94"/>
    <s v="Light"/>
    <n v="62"/>
    <n v="80"/>
    <n v="242.5"/>
    <s v="Taiwan"/>
    <s v="Ethiopia"/>
    <x v="1"/>
  </r>
  <r>
    <s v="Panama Hacienda La Esmeralda Gesha"/>
    <n v="94"/>
    <s v="Light"/>
    <n v="64"/>
    <n v="84"/>
    <n v="29.39"/>
    <s v="USA"/>
    <s v="Panama"/>
    <x v="0"/>
  </r>
  <r>
    <s v="Natural KaвЂ™u Maragogipe"/>
    <n v="94"/>
    <s v="Medium Light"/>
    <n v="62"/>
    <n v="78"/>
    <n v="16.75"/>
    <s v="USA"/>
    <s v="USA"/>
    <x v="0"/>
  </r>
  <r>
    <s v="Costa Rica Volcan Azul San Isidro Red Honey"/>
    <n v="95"/>
    <s v="Medium Light"/>
    <n v="58"/>
    <n v="76"/>
    <n v="6.47"/>
    <s v="USA"/>
    <s v="Costa Rica"/>
    <x v="0"/>
  </r>
  <r>
    <s v="Ethiopia Demeka Becha"/>
    <n v="96"/>
    <s v="Medium Light"/>
    <n v="60"/>
    <n v="78"/>
    <n v="6.46"/>
    <s v="USA"/>
    <s v="Ethiopia"/>
    <x v="1"/>
  </r>
  <r>
    <s v="Sweet Holiday Blend"/>
    <n v="94"/>
    <s v="Medium Light"/>
    <n v="58"/>
    <n v="76"/>
    <n v="6.17"/>
    <s v="USA"/>
    <s v="Ethiopia"/>
    <x v="1"/>
  </r>
  <r>
    <s v="Ethiopia Washed Sidama Bensa Bombe"/>
    <n v="94"/>
    <s v="Light"/>
    <n v="60"/>
    <n v="82"/>
    <n v="165.34"/>
    <s v="Taiwan"/>
    <s v="Ethiopia"/>
    <x v="1"/>
  </r>
  <r>
    <s v="Panama Abu Geisha Lot 6"/>
    <n v="95"/>
    <s v="Medium Light"/>
    <n v="58"/>
    <n v="80"/>
    <n v="22.05"/>
    <s v="USA"/>
    <s v="Panama"/>
    <x v="0"/>
  </r>
  <r>
    <s v="Panama Finca Mi Finquita Geisha Afrodita Natural"/>
    <n v="96"/>
    <s v="Medium Light"/>
    <n v="59"/>
    <n v="81"/>
    <n v="1102.29"/>
    <s v="Taiwan"/>
    <s v="Panama"/>
    <x v="0"/>
  </r>
  <r>
    <s v="Panama El Burro Estate Natural Gesha"/>
    <n v="95"/>
    <s v="Medium Light"/>
    <n v="58"/>
    <n v="77"/>
    <n v="0.88"/>
    <s v="Taiwan"/>
    <s v="Panama"/>
    <x v="0"/>
  </r>
  <r>
    <s v="Panama La Viuda Natural Geisha 4 Hermanos"/>
    <n v="94"/>
    <s v="Light"/>
    <n v="60"/>
    <n v="84"/>
    <n v="0.88"/>
    <s v="Taiwan"/>
    <s v="Panama"/>
    <x v="0"/>
  </r>
  <r>
    <s v="Colombia Huila Finca Monteblanco Rodrigo Sanchez"/>
    <n v="94"/>
    <s v="Medium Light"/>
    <n v="58"/>
    <n v="78"/>
    <n v="87.94"/>
    <s v="China"/>
    <s v="Colombia"/>
    <x v="0"/>
  </r>
  <r>
    <s v="Ninety Plus Panama Gesha Estate MS Joseph Brodsky 2307"/>
    <n v="95"/>
    <s v="Medium Light"/>
    <n v="58"/>
    <n v="82"/>
    <n v="560"/>
    <s v="China"/>
    <s v="Panama"/>
    <x v="0"/>
  </r>
  <r>
    <s v="Espresso"/>
    <n v="94"/>
    <s v="Medium Light"/>
    <n v="56"/>
    <n v="80"/>
    <n v="27.76"/>
    <s v="USA"/>
    <s v="Unknown"/>
    <x v="3"/>
  </r>
  <r>
    <s v="Kenya Kainamui AB"/>
    <n v="94"/>
    <s v="Medium Light"/>
    <n v="58"/>
    <n v="76"/>
    <n v="6.6"/>
    <s v="USA"/>
    <s v="Kenya"/>
    <x v="1"/>
  </r>
  <r>
    <s v="Kona MoccaВ®"/>
    <n v="95"/>
    <s v="Medium Light"/>
    <n v="57"/>
    <n v="78"/>
    <n v="39.659999999999997"/>
    <s v="USA"/>
    <s v="USA"/>
    <x v="0"/>
  </r>
  <r>
    <s v="Karen J Kona Red Bourbon"/>
    <n v="95"/>
    <s v="Medium Light"/>
    <n v="56"/>
    <n v="78"/>
    <n v="22.02"/>
    <s v="USA"/>
    <s v="USA"/>
    <x v="0"/>
  </r>
  <r>
    <s v="Ethiopia Olonso Qeka"/>
    <n v="94"/>
    <s v="Medium Light"/>
    <n v="58"/>
    <n v="80"/>
    <n v="11.67"/>
    <s v="USA"/>
    <s v="Ethiopia"/>
    <x v="1"/>
  </r>
  <r>
    <s v="Ethiopia Wate Mini Natural Espresso"/>
    <n v="94"/>
    <s v="Medium Light"/>
    <n v="58"/>
    <n v="80"/>
    <n v="154.19"/>
    <s v="Taiwan"/>
    <s v="Ethiopia"/>
    <x v="1"/>
  </r>
  <r>
    <s v="Ethiopia Sidama Bensa Farmer Tamiru 74158 Natural"/>
    <n v="96"/>
    <s v="Light"/>
    <n v="64"/>
    <n v="82"/>
    <n v="507.05"/>
    <s v="Taiwan"/>
    <s v="Ethiopia"/>
    <x v="1"/>
  </r>
  <r>
    <s v="BNT Espresso Blend"/>
    <n v="94"/>
    <s v="Medium Light"/>
    <n v="56"/>
    <n v="72"/>
    <n v="154.19"/>
    <s v="Taiwan"/>
    <s v="Honduras"/>
    <x v="0"/>
  </r>
  <r>
    <s v="Holiday Coffee"/>
    <n v="96"/>
    <s v="Medium Light"/>
    <n v="58"/>
    <n v="80"/>
    <n v="22.02"/>
    <s v="USA"/>
    <s v="Unknown"/>
    <x v="3"/>
  </r>
  <r>
    <s v="Mama Cata Mokkita"/>
    <n v="97"/>
    <s v="Medium Light"/>
    <n v="57"/>
    <n v="79"/>
    <n v="132.28"/>
    <s v="USA"/>
    <s v="Panama"/>
    <x v="0"/>
  </r>
  <r>
    <s v="Ethiopia Tamiru Tadesse Anaerobic"/>
    <n v="96"/>
    <s v="Light"/>
    <n v="62"/>
    <n v="80"/>
    <n v="127.87"/>
    <s v="USA"/>
    <s v="Ethiopia"/>
    <x v="1"/>
  </r>
  <r>
    <s v="LauraвЂ™s Reserve SL34"/>
    <n v="96"/>
    <s v="Medium Light"/>
    <n v="60"/>
    <n v="78"/>
    <n v="27.76"/>
    <s v="USA"/>
    <s v="Unknown"/>
    <x v="3"/>
  </r>
  <r>
    <s v="Ethiopia Tamiru Tadesse Natural"/>
    <n v="95"/>
    <s v="Light"/>
    <n v="64"/>
    <n v="80"/>
    <n v="23.37"/>
    <s v="USA"/>
    <s v="Ethiopia"/>
    <x v="1"/>
  </r>
  <r>
    <s v="Puna Arakawa Estate Lactic Natural"/>
    <n v="95"/>
    <s v="Medium Light"/>
    <n v="60"/>
    <n v="78"/>
    <n v="26.46"/>
    <s v="USA"/>
    <s v="Unknown"/>
    <x v="3"/>
  </r>
  <r>
    <s v="100% Kona Bourbon Pointu Laurina"/>
    <n v="95"/>
    <s v="Medium Light"/>
    <n v="56"/>
    <n v="78"/>
    <n v="27.76"/>
    <s v="USA"/>
    <s v="USA"/>
    <x v="0"/>
  </r>
  <r>
    <s v="Colombia Java El Eden"/>
    <n v="94"/>
    <s v="Medium Light"/>
    <n v="58"/>
    <n v="78"/>
    <n v="5.86"/>
    <s v="USA"/>
    <s v="Colombia"/>
    <x v="0"/>
  </r>
  <r>
    <s v="Ethiopia Shantawene Natural"/>
    <n v="95"/>
    <s v="Medium Light"/>
    <n v="60"/>
    <n v="76"/>
    <n v="6.47"/>
    <s v="USA"/>
    <s v="Ethiopia"/>
    <x v="1"/>
  </r>
  <r>
    <s v="Ethiopia Buno Dambi Uddo"/>
    <n v="94"/>
    <s v="Light"/>
    <n v="65"/>
    <n v="83"/>
    <n v="7.35"/>
    <s v="USA"/>
    <s v="Ethiopia"/>
    <x v="1"/>
  </r>
  <r>
    <s v="Ethiopia Worka Sakaro Anaerobic Natural"/>
    <n v="94"/>
    <s v="Medium"/>
    <n v="56"/>
    <n v="64"/>
    <n v="4.7"/>
    <s v="USA"/>
    <s v="Ethiopia"/>
    <x v="1"/>
  </r>
  <r>
    <s v="Ethiopia Durato Bombe Natural"/>
    <n v="94"/>
    <s v="Light"/>
    <n v="64"/>
    <n v="80"/>
    <n v="6.47"/>
    <s v="USA"/>
    <s v="Ethiopia"/>
    <x v="1"/>
  </r>
  <r>
    <s v="SГ–T Coffee Roaster Colombia Wush Wush Dynamic Natural"/>
    <n v="96"/>
    <s v="Light"/>
    <n v="76"/>
    <n v="92"/>
    <n v="1680"/>
    <s v="Japan"/>
    <s v="Colombia"/>
    <x v="0"/>
  </r>
  <r>
    <s v="Colombia Trujillo Experimental Process"/>
    <n v="94"/>
    <s v="Medium Light"/>
    <n v="57"/>
    <n v="77"/>
    <n v="7.35"/>
    <s v="USA"/>
    <s v="Colombia"/>
    <x v="0"/>
  </r>
  <r>
    <s v="Colombia La Siria Geisha"/>
    <n v="96"/>
    <s v="Medium Light"/>
    <n v="60"/>
    <n v="78"/>
    <n v="83.77"/>
    <s v="USA"/>
    <s v="Colombia"/>
    <x v="0"/>
  </r>
  <r>
    <s v="Guatemala Santa Felisa Wild Yeast Natural Gesha"/>
    <n v="96"/>
    <s v="Light"/>
    <n v="62"/>
    <n v="88"/>
    <n v="330.69"/>
    <s v="Taiwan"/>
    <s v="Guatemala"/>
    <x v="0"/>
  </r>
  <r>
    <s v="Colombia Granja La Esperanza Las Margaritas Gesha Honey"/>
    <n v="95"/>
    <s v="Light"/>
    <n v="62"/>
    <n v="80"/>
    <n v="26.46"/>
    <s v="USA"/>
    <s v="Colombia"/>
    <x v="0"/>
  </r>
  <r>
    <s v="Tanzania Acacia Hills Gesha Peaberry"/>
    <n v="95"/>
    <s v="Medium Light"/>
    <n v="62"/>
    <n v="78"/>
    <n v="70.55"/>
    <s v="USA"/>
    <s v="Tanzania"/>
    <x v="1"/>
  </r>
  <r>
    <s v="Colombia La Palma Y El TucГЎn Gesha Natural"/>
    <n v="94"/>
    <s v="Medium Light"/>
    <n v="56"/>
    <n v="72"/>
    <n v="35.270000000000003"/>
    <s v="USA"/>
    <s v="Colombia"/>
    <x v="0"/>
  </r>
  <r>
    <s v="Peru Yanesha Geisha Washed Anaerobic"/>
    <n v="94"/>
    <s v="Medium Light"/>
    <n v="59"/>
    <n v="77"/>
    <n v="800"/>
    <s v="Taiwan"/>
    <s v="Peru"/>
    <x v="0"/>
  </r>
  <r>
    <s v="Guatemala Geisha"/>
    <n v="94"/>
    <s v="Light"/>
    <n v="62"/>
    <n v="80"/>
    <n v="500"/>
    <s v="Taiwan"/>
    <s v="Guatemala"/>
    <x v="0"/>
  </r>
  <r>
    <s v="Costa Rica La Rejolla Washed Geisha"/>
    <n v="94"/>
    <s v="Medium Light"/>
    <n v="58"/>
    <n v="80"/>
    <n v="11.02"/>
    <s v="USA"/>
    <s v="Costa Rica"/>
    <x v="0"/>
  </r>
  <r>
    <s v="Bekele Heto Natural Ethiopia"/>
    <n v="95"/>
    <s v="Medium Light"/>
    <n v="58"/>
    <n v="80"/>
    <n v="5.59"/>
    <s v="USA"/>
    <s v="Ethiopia"/>
    <x v="1"/>
  </r>
  <r>
    <s v="El Salvador El Matazano Pacamara"/>
    <n v="95"/>
    <s v="Medium Light"/>
    <n v="60"/>
    <n v="77"/>
    <n v="6.17"/>
    <s v="USA"/>
    <s v="El Salvador"/>
    <x v="0"/>
  </r>
  <r>
    <s v="Ethiopia Guji Mormora Organic Natural"/>
    <n v="94"/>
    <s v="Light"/>
    <n v="62"/>
    <n v="80"/>
    <n v="5.57"/>
    <s v="USA"/>
    <s v="Ethiopia"/>
    <x v="1"/>
  </r>
  <r>
    <s v="Chelbesa Ethiopia"/>
    <n v="95"/>
    <s v="Medium Light"/>
    <n v="58"/>
    <n v="78"/>
    <n v="7.94"/>
    <s v="USA"/>
    <s v="Ethiopia"/>
    <x v="1"/>
  </r>
  <r>
    <s v="Colombia La Riviera Sudan Rume"/>
    <n v="94"/>
    <s v="Medium Light"/>
    <n v="58"/>
    <n v="76"/>
    <n v="10.57"/>
    <s v="USA"/>
    <s v="Colombia"/>
    <x v="0"/>
  </r>
  <r>
    <s v="Alaka Ethiopia"/>
    <n v="94"/>
    <s v="Medium Light"/>
    <n v="62"/>
    <n v="78"/>
    <n v="5.29"/>
    <s v="USA"/>
    <s v="Ethiopia"/>
    <x v="1"/>
  </r>
  <r>
    <s v="Ethiopia Guji Uraga Tebe Burka Natural G1"/>
    <n v="94"/>
    <s v="Light"/>
    <n v="64"/>
    <n v="82"/>
    <n v="220"/>
    <s v="Taiwan"/>
    <s v="Ethiopia"/>
    <x v="1"/>
  </r>
  <r>
    <s v="Sweet Kenya J36 Espresso"/>
    <n v="95"/>
    <s v="Medium Light"/>
    <n v="52"/>
    <n v="76"/>
    <n v="333.33"/>
    <s v="Taiwan"/>
    <s v="Kenya"/>
    <x v="1"/>
  </r>
  <r>
    <s v="Acatenango Santa Felisa Wild Yeast Natural Sudan Rume Full Moon Lot 4"/>
    <n v="94"/>
    <s v="Medium Light"/>
    <n v="60"/>
    <n v="76"/>
    <n v="264.55"/>
    <s v="Taiwan"/>
    <s v="Guatemala"/>
    <x v="0"/>
  </r>
  <r>
    <s v="Guatemala Finca El General Slow Dry 6"/>
    <n v="94"/>
    <s v="Medium Light"/>
    <n v="58"/>
    <n v="78"/>
    <n v="165.34"/>
    <s v="Taiwan"/>
    <s v="Guatemala"/>
    <x v="0"/>
  </r>
  <r>
    <s v="Ethiopia Yirgacheffe Washed Banko Gotiti 3"/>
    <n v="94"/>
    <s v="Medium Light"/>
    <n v="58"/>
    <n v="80"/>
    <n v="121.25"/>
    <s v="Taiwan"/>
    <s v="Ethiopia"/>
    <x v="1"/>
  </r>
  <r>
    <s v="Ethiopia Natural Yirgacheffe Adado Feysa Dira"/>
    <n v="94"/>
    <s v="Medium Light"/>
    <n v="58"/>
    <n v="76"/>
    <n v="123.46"/>
    <s v="Taiwan"/>
    <s v="Ethiopia"/>
    <x v="1"/>
  </r>
  <r>
    <s v="Guatemala Finca El General SummerEnd Espresso"/>
    <n v="94"/>
    <s v="Medium Light"/>
    <n v="52"/>
    <n v="72"/>
    <n v="99.21"/>
    <s v="Taiwan"/>
    <s v="Guatemala"/>
    <x v="0"/>
  </r>
  <r>
    <s v="Guatemala El Injerto Natural Legendary Gesha 7"/>
    <n v="95"/>
    <s v="Light"/>
    <n v="62"/>
    <n v="80"/>
    <n v="529.1"/>
    <s v="Taiwan"/>
    <s v="Guatemala"/>
    <x v="0"/>
  </r>
  <r>
    <s v="Kenya Gachatha Nyeri AA"/>
    <n v="96"/>
    <s v="Medium Light"/>
    <n v="60"/>
    <n v="76"/>
    <n v="6.61"/>
    <s v="USA"/>
    <s v="Kenya"/>
    <x v="1"/>
  </r>
  <r>
    <s v="Ethiopia Super Wush"/>
    <n v="95"/>
    <s v="Light"/>
    <n v="62"/>
    <n v="80"/>
    <n v="7.64"/>
    <s v="USA"/>
    <s v="Ethiopia"/>
    <x v="1"/>
  </r>
  <r>
    <s v="Ethiopia Worka Sakaro Anaerobic Natural"/>
    <n v="94"/>
    <s v="Medium Light"/>
    <n v="59"/>
    <n v="77"/>
    <n v="5.73"/>
    <s v="USA"/>
    <s v="Ethiopia"/>
    <x v="1"/>
  </r>
  <r>
    <s v="Kenya Athena AB Espresso"/>
    <n v="94"/>
    <s v="Medium"/>
    <n v="46"/>
    <n v="60"/>
    <n v="374.78"/>
    <s v="Taiwan"/>
    <s v="Kenya"/>
    <x v="1"/>
  </r>
  <r>
    <s v="Colombia La Esperanza Anaerobic"/>
    <n v="94"/>
    <s v="Medium Light"/>
    <n v="54"/>
    <n v="74"/>
    <n v="12.35"/>
    <s v="USA"/>
    <s v="Colombia"/>
    <x v="0"/>
  </r>
  <r>
    <s v="Ethiopia Gogogu Bekaka #1"/>
    <n v="94"/>
    <s v="Light"/>
    <n v="64"/>
    <n v="86"/>
    <n v="7.35"/>
    <s v="USA"/>
    <s v="Ethiopia"/>
    <x v="1"/>
  </r>
  <r>
    <s v="Kenya Gichathaini"/>
    <n v="95"/>
    <s v="Medium Light"/>
    <n v="60"/>
    <n v="78"/>
    <n v="7.33"/>
    <s v="USA"/>
    <s v="Kenya"/>
    <x v="1"/>
  </r>
  <r>
    <s v="Ethiopia Kochere Hama Jet Washing Station"/>
    <n v="94"/>
    <s v="Light"/>
    <n v="64"/>
    <n v="84"/>
    <n v="176.21"/>
    <s v="Taiwan"/>
    <s v="Ethiopia"/>
    <x v="1"/>
  </r>
  <r>
    <s v="Elida Estate Dragonfly Catuai Lot 13"/>
    <n v="94"/>
    <s v="Medium Light"/>
    <n v="55"/>
    <n v="71"/>
    <n v="6.61"/>
    <s v="USA"/>
    <s v="Panama"/>
    <x v="0"/>
  </r>
  <r>
    <s v="Elida Estate ASD Natural Catuai 15"/>
    <n v="94"/>
    <s v="Medium Light"/>
    <n v="57"/>
    <n v="75"/>
    <n v="8.82"/>
    <s v="USA"/>
    <s v="Panama"/>
    <x v="0"/>
  </r>
  <r>
    <s v="Yemen Sheba Auction Lot 1: Wadi Al Mahjr"/>
    <n v="95"/>
    <s v="Medium Light"/>
    <n v="56"/>
    <n v="78"/>
    <n v="440.92"/>
    <s v="Taiwan"/>
    <s v="Yemen"/>
    <x v="1"/>
  </r>
  <r>
    <s v="Yemen Port of Mokha Al-Jabal"/>
    <n v="94"/>
    <s v="Medium Light"/>
    <n v="58"/>
    <n v="76"/>
    <n v="21.16"/>
    <s v="USA"/>
    <s v="Yemen"/>
    <x v="1"/>
  </r>
  <r>
    <s v="Colombia La Esperanza PotosГ­ Anaerobic Process"/>
    <n v="94"/>
    <s v="Medium Light"/>
    <n v="57"/>
    <n v="73"/>
    <n v="5.57"/>
    <s v="USA"/>
    <s v="Colombia"/>
    <x v="0"/>
  </r>
  <r>
    <s v="Panama Hacienda La Esmeralda Ethiopia Accessions"/>
    <n v="95"/>
    <s v="Light"/>
    <n v="62"/>
    <n v="82"/>
    <n v="22"/>
    <s v="USA"/>
    <s v="Panama"/>
    <x v="0"/>
  </r>
  <r>
    <s v="Guji Hamasho Washed"/>
    <n v="94"/>
    <s v="Medium Light"/>
    <n v="56"/>
    <n v="82"/>
    <n v="7.33"/>
    <s v="USA"/>
    <s v="Ethiopia"/>
    <x v="1"/>
  </r>
  <r>
    <s v="Kona Red Wine Process"/>
    <n v="94"/>
    <s v="Medium Light"/>
    <n v="56"/>
    <n v="76"/>
    <n v="22"/>
    <s v="USA"/>
    <s v="USA"/>
    <x v="0"/>
  </r>
  <r>
    <s v="Candelilla Geisha Natural"/>
    <n v="95"/>
    <s v="Light"/>
    <n v="62"/>
    <n v="80"/>
    <n v="9.48"/>
    <s v="USA"/>
    <s v="Costa Rica"/>
    <x v="0"/>
  </r>
  <r>
    <s v="Kiamugumo Kenya"/>
    <n v="95"/>
    <s v="Medium Light"/>
    <n v="58"/>
    <n v="80"/>
    <n v="6.17"/>
    <s v="USA"/>
    <s v="Kenya"/>
    <x v="1"/>
  </r>
  <r>
    <s v="Ethiopia Sidama Ardi"/>
    <n v="95"/>
    <s v="Light"/>
    <n v="64"/>
    <n v="86"/>
    <n v="5.59"/>
    <s v="USA"/>
    <s v="Ethiopia"/>
    <x v="1"/>
  </r>
  <r>
    <s v="Colombia Gesha"/>
    <n v="94"/>
    <s v="Medium Light"/>
    <n v="60"/>
    <n v="77"/>
    <n v="7.94"/>
    <s v="USA"/>
    <s v="Colombia"/>
    <x v="0"/>
  </r>
  <r>
    <s v="Ethiopia Kayon Mountain Washed"/>
    <n v="94"/>
    <s v="Medium Light"/>
    <n v="60"/>
    <n v="78"/>
    <n v="5.86"/>
    <s v="USA"/>
    <s v="Ethiopia"/>
    <x v="1"/>
  </r>
  <r>
    <s v="Ethiopia Gedeb Worka Wuri"/>
    <n v="95"/>
    <s v="Light"/>
    <n v="62"/>
    <n v="80"/>
    <n v="7.64"/>
    <s v="USA"/>
    <s v="Ethiopia"/>
    <x v="1"/>
  </r>
  <r>
    <s v="Mama Cata Mokkita"/>
    <n v="95"/>
    <s v="Medium Light"/>
    <n v="54"/>
    <n v="72"/>
    <n v="23.52"/>
    <s v="USA"/>
    <s v="Panama"/>
    <x v="0"/>
  </r>
  <r>
    <s v="Kenya Karatina"/>
    <n v="94"/>
    <s v="Medium Light"/>
    <n v="56"/>
    <n v="74"/>
    <n v="6.91"/>
    <s v="USA"/>
    <s v="Kenya"/>
    <x v="1"/>
  </r>
  <r>
    <s v="La Reforma El Salvador Natural"/>
    <n v="94"/>
    <s v="Medium Light"/>
    <n v="58"/>
    <n v="77"/>
    <n v="6.03"/>
    <s v="USA"/>
    <s v="El Salvador"/>
    <x v="0"/>
  </r>
  <r>
    <s v="Panama Geisha"/>
    <n v="94"/>
    <s v="Light"/>
    <n v="62"/>
    <n v="82"/>
    <n v="712"/>
    <s v="Taiwan"/>
    <s v="Panama"/>
    <x v="0"/>
  </r>
  <r>
    <s v="Guatemala COE-NW#2 Sierra Roja Geisha Washed"/>
    <n v="96"/>
    <s v="Medium Light"/>
    <n v="60"/>
    <n v="80"/>
    <n v="600"/>
    <s v="Taiwan"/>
    <s v="Guatemala"/>
    <x v="0"/>
  </r>
  <r>
    <s v="Guatemala La Voz"/>
    <n v="94"/>
    <s v="Medium Light"/>
    <n v="58"/>
    <n v="76"/>
    <n v="6.17"/>
    <s v="USA"/>
    <s v="Guatemala"/>
    <x v="0"/>
  </r>
  <r>
    <s v="Cafe Granja La Esperanza Sudan Rume"/>
    <n v="94"/>
    <s v="Medium Light"/>
    <n v="59"/>
    <n v="77"/>
    <n v="17.64"/>
    <s v="China"/>
    <s v="Colombia"/>
    <x v="0"/>
  </r>
  <r>
    <s v="Ethiopia Guji Laayoo Natural"/>
    <n v="95"/>
    <s v="Light"/>
    <n v="64"/>
    <n v="84"/>
    <n v="7.33"/>
    <s v="USA"/>
    <s v="Ethiopia"/>
    <x v="1"/>
  </r>
  <r>
    <s v="Colombia Cafe Granja La Esperanza Sidra Natural"/>
    <n v="95"/>
    <s v="Medium Light"/>
    <n v="58"/>
    <n v="80"/>
    <n v="25.71"/>
    <s v="USA"/>
    <s v="Colombia"/>
    <x v="0"/>
  </r>
  <r>
    <s v="Kenya Gatomboya"/>
    <n v="94"/>
    <s v="Medium Light"/>
    <n v="56"/>
    <n v="76"/>
    <n v="7.05"/>
    <s v="USA"/>
    <s v="Kenya"/>
    <x v="1"/>
  </r>
  <r>
    <s v="Nicaragua La Bendicion Yellow Maracaturra Natural"/>
    <n v="94"/>
    <s v="Light"/>
    <n v="64"/>
    <n v="86"/>
    <n v="8.7899999999999991"/>
    <s v="USA"/>
    <s v="Nicaragua"/>
    <x v="0"/>
  </r>
  <r>
    <s v="Kona Lactic Washed"/>
    <n v="94"/>
    <s v="Medium Light"/>
    <n v="60"/>
    <n v="76"/>
    <n v="22"/>
    <s v="USA"/>
    <s v="USA"/>
    <x v="0"/>
  </r>
  <r>
    <s v="Kenya Kamwangi"/>
    <n v="95"/>
    <s v="Medium Light"/>
    <n v="58"/>
    <n v="78"/>
    <n v="7.05"/>
    <s v="USA"/>
    <s v="Kenya"/>
    <x v="1"/>
  </r>
  <r>
    <s v="Ethiopia Bench Maji Gesha Village Oma Geisha 1931 Lot 55 Natural"/>
    <n v="94"/>
    <s v="Light"/>
    <n v="64"/>
    <n v="86"/>
    <n v="668.14"/>
    <s v="Taiwan"/>
    <s v="Ethiopia"/>
    <x v="1"/>
  </r>
  <r>
    <s v="Ethiopia Guji Natural Euphora Special Lot"/>
    <n v="94"/>
    <s v="Medium Light"/>
    <n v="59"/>
    <n v="79"/>
    <n v="141.09"/>
    <s v="Taiwan"/>
    <s v="Ethiopia"/>
    <x v="1"/>
  </r>
  <r>
    <s v="Sudan Rume"/>
    <n v="95"/>
    <s v="Medium Light"/>
    <n v="57"/>
    <n v="74"/>
    <n v="13.23"/>
    <s v="USA"/>
    <s v="Colombia"/>
    <x v="0"/>
  </r>
  <r>
    <s v="Testi Ayla Double Ethiopia"/>
    <n v="97"/>
    <s v="Light"/>
    <n v="64"/>
    <n v="86"/>
    <n v="16.149999999999999"/>
    <s v="USA"/>
    <s v="Ethiopia"/>
    <x v="1"/>
  </r>
  <r>
    <s v="Primavera Colombia Espresso"/>
    <n v="94"/>
    <s v="Medium Light"/>
    <n v="58"/>
    <n v="78"/>
    <n v="5.59"/>
    <s v="USA"/>
    <s v="Colombia"/>
    <x v="0"/>
  </r>
  <r>
    <s v="Gigesa Ethiopia"/>
    <n v="94"/>
    <s v="Light"/>
    <n v="62"/>
    <n v="80"/>
    <n v="5.29"/>
    <s v="USA"/>
    <s v="Ethiopia"/>
    <x v="1"/>
  </r>
  <r>
    <s v="Espresso Blend"/>
    <n v="94"/>
    <s v="Medium"/>
    <n v="51"/>
    <n v="64"/>
    <n v="200"/>
    <s v="Taiwan"/>
    <s v="Unknown"/>
    <x v="3"/>
  </r>
  <r>
    <s v="Classic MK Blend"/>
    <n v="94"/>
    <s v="Medium Dark"/>
    <n v="36"/>
    <n v="48"/>
    <n v="200"/>
    <s v="Taiwan"/>
    <s v="Colombia"/>
    <x v="0"/>
  </r>
  <r>
    <s v="Chocolate LoverвЂ™s Espresso"/>
    <n v="94"/>
    <s v="Medium Dark"/>
    <n v="39"/>
    <n v="53"/>
    <n v="133.33000000000001"/>
    <s v="Taiwan"/>
    <s v="Colombia"/>
    <x v="0"/>
  </r>
  <r>
    <s v="Golden Parrot Blend"/>
    <n v="95"/>
    <s v="Medium"/>
    <n v="50"/>
    <n v="67"/>
    <n v="92.59"/>
    <s v="Taiwan"/>
    <s v="Ethiopia"/>
    <x v="1"/>
  </r>
  <r>
    <s v="Bull Demon King"/>
    <n v="96"/>
    <s v="Medium Dark"/>
    <n v="35"/>
    <n v="48"/>
    <n v="242.5"/>
    <s v="Taiwan"/>
    <s v="Ethiopia"/>
    <x v="1"/>
  </r>
  <r>
    <s v="Tanzania Gesha Peaberry"/>
    <n v="95"/>
    <s v="Light"/>
    <n v="62"/>
    <n v="80"/>
    <n v="66.09"/>
    <s v="USA"/>
    <s v="Tanzania"/>
    <x v="1"/>
  </r>
  <r>
    <s v="Ethiopia Natural Guji D Minor 21/01"/>
    <n v="95"/>
    <s v="Light"/>
    <n v="64"/>
    <n v="84"/>
    <n v="165.34"/>
    <s v="Taiwan"/>
    <s v="Ethiopia"/>
    <x v="1"/>
  </r>
  <r>
    <s v="Ethiopia Hambela Yellow Honey James Selection"/>
    <n v="95"/>
    <s v="Light"/>
    <n v="62"/>
    <n v="80"/>
    <n v="180.78"/>
    <s v="Taiwan"/>
    <s v="Ethiopia"/>
    <x v="1"/>
  </r>
  <r>
    <s v="Costa Rica Black Honey"/>
    <n v="94"/>
    <s v="Medium Light"/>
    <n v="58"/>
    <n v="76"/>
    <n v="121.25"/>
    <s v="Taiwan"/>
    <s v="Costa Rica"/>
    <x v="0"/>
  </r>
  <r>
    <s v="Ethiopia Guji Hambela Kudume Yellow Honey"/>
    <n v="94"/>
    <s v="Medium Light"/>
    <n v="58"/>
    <n v="76"/>
    <n v="280"/>
    <s v="Taiwan"/>
    <s v="Ethiopia"/>
    <x v="1"/>
  </r>
  <r>
    <s v="Ethiopia Sidamo Bensa Mirado Natural"/>
    <n v="94"/>
    <s v="Light"/>
    <n v="64"/>
    <n v="80"/>
    <n v="220.26"/>
    <s v="Taiwan"/>
    <s v="Ethiopia"/>
    <x v="1"/>
  </r>
  <r>
    <s v="Costa Rica La Florida Red Honey Espresso"/>
    <n v="95"/>
    <s v="Medium Light"/>
    <n v="54"/>
    <n v="78"/>
    <n v="132.28"/>
    <s v="Taiwan"/>
    <s v="Costa Rica"/>
    <x v="0"/>
  </r>
  <r>
    <s v="Ethiopia Yirgacheffe Botabaa Washed G1 21/01"/>
    <n v="94"/>
    <s v="Medium Light"/>
    <n v="60"/>
    <n v="80"/>
    <n v="127.87"/>
    <s v="Taiwan"/>
    <s v="Ethiopia"/>
    <x v="1"/>
  </r>
  <r>
    <s v="Yemen Mocca Matari"/>
    <n v="94"/>
    <s v="Medium Light"/>
    <n v="60"/>
    <n v="78"/>
    <n v="299.56"/>
    <s v="Taiwan"/>
    <s v="Yemen"/>
    <x v="1"/>
  </r>
  <r>
    <s v="Mojave Vault Series Geisha Natural"/>
    <n v="94"/>
    <s v="Light"/>
    <n v="64"/>
    <n v="84"/>
    <n v="22.02"/>
    <s v="USA"/>
    <s v="Panama"/>
    <x v="0"/>
  </r>
  <r>
    <s v="Kabiufa Papua New Guinea"/>
    <n v="94"/>
    <s v="Light"/>
    <n v="60"/>
    <n v="82"/>
    <n v="4.7"/>
    <s v="USA"/>
    <s v="Papua New Guinea"/>
    <x v="2"/>
  </r>
  <r>
    <s v="Ethiopia Buku Abela"/>
    <n v="94"/>
    <s v="Medium Light"/>
    <n v="60"/>
    <n v="78"/>
    <n v="154.19"/>
    <s v="Taiwan"/>
    <s v="Ethiopia"/>
    <x v="1"/>
  </r>
  <r>
    <s v="Colombia Finca Santa Maria"/>
    <n v="95"/>
    <s v="Medium Light"/>
    <n v="58"/>
    <n v="78"/>
    <n v="5.29"/>
    <s v="USA"/>
    <s v="Colombia"/>
    <x v="0"/>
  </r>
  <r>
    <s v="Yemen Mocha Haimi"/>
    <n v="94"/>
    <s v="Light"/>
    <n v="63"/>
    <n v="83"/>
    <n v="15.43"/>
    <s v="USA"/>
    <s v="Yemen"/>
    <x v="1"/>
  </r>
  <r>
    <s v="Costa Rica Hacienda Tobosi Villalobos Anaerobic Natural"/>
    <n v="94"/>
    <s v="Light"/>
    <n v="62"/>
    <n v="80"/>
    <n v="300"/>
    <s v="Taiwan"/>
    <s v="Costa Rica"/>
    <x v="0"/>
  </r>
  <r>
    <s v="Colombia Wush Wush"/>
    <n v="94"/>
    <s v="Medium"/>
    <n v="56"/>
    <n v="64"/>
    <n v="7.94"/>
    <s v="USA"/>
    <s v="Colombia"/>
    <x v="0"/>
  </r>
  <r>
    <s v="Brazil Gauriroba Natural"/>
    <n v="94"/>
    <s v="Light"/>
    <n v="82"/>
    <n v="104"/>
    <n v="2980"/>
    <s v="Japan"/>
    <s v="Brazil"/>
    <x v="0"/>
  </r>
  <r>
    <s v="Rwanda вЂњSilverback ReturnsвЂќ"/>
    <n v="94"/>
    <s v="Medium Dark"/>
    <n v="42"/>
    <n v="58"/>
    <n v="352.73"/>
    <s v="Taiwan"/>
    <s v="Rwanda"/>
    <x v="1"/>
  </r>
  <r>
    <s v="Gigesa Natural"/>
    <n v="95"/>
    <s v="Medium Light"/>
    <n v="58"/>
    <n v="78"/>
    <n v="5.29"/>
    <s v="USA"/>
    <s v="Ethiopia"/>
    <x v="1"/>
  </r>
  <r>
    <s v="El Jocote Natural"/>
    <n v="95"/>
    <s v="Medium Light"/>
    <n v="60"/>
    <n v="78"/>
    <n v="7.05"/>
    <s v="USA"/>
    <s v="Costa Rica"/>
    <x v="0"/>
  </r>
  <r>
    <s v="Panama Finca Santa Teresa Summer Gesha"/>
    <n v="94"/>
    <s v="Medium Light"/>
    <n v="60"/>
    <n v="78"/>
    <n v="25.57"/>
    <s v="USA"/>
    <s v="Panama"/>
    <x v="0"/>
  </r>
  <r>
    <s v="Baby Dragons"/>
    <n v="94"/>
    <s v="Medium Light"/>
    <n v="60"/>
    <n v="77"/>
    <n v="8.23"/>
    <s v="USA"/>
    <s v="Colombia"/>
    <x v="0"/>
  </r>
  <r>
    <s v="Kona Maragogype Peaberry Natural"/>
    <n v="95"/>
    <s v="Medium Light"/>
    <n v="58"/>
    <n v="80"/>
    <n v="22.05"/>
    <s v="USA"/>
    <s v="USA"/>
    <x v="0"/>
  </r>
  <r>
    <s v="Ecuador San JosГ© de Minas Double-Anaerobic"/>
    <n v="94"/>
    <s v="Light"/>
    <n v="62"/>
    <n v="80"/>
    <n v="13.23"/>
    <s v="USA"/>
    <s v="Ecuador"/>
    <x v="0"/>
  </r>
  <r>
    <s v="Nyeri Hill Kenya"/>
    <n v="95"/>
    <s v="Medium Light"/>
    <n v="58"/>
    <n v="80"/>
    <n v="6.03"/>
    <s v="USA"/>
    <s v="Kenya"/>
    <x v="1"/>
  </r>
  <r>
    <s v="La Perla Chiquita Ecuador"/>
    <n v="95"/>
    <s v="Medium Light"/>
    <n v="56"/>
    <n v="76"/>
    <n v="6.17"/>
    <s v="USA"/>
    <s v="Ecuador"/>
    <x v="0"/>
  </r>
  <r>
    <s v="Pantan Musara Sumatra"/>
    <n v="94"/>
    <s v="Medium Light"/>
    <n v="56"/>
    <n v="74"/>
    <n v="5.26"/>
    <s v="USA"/>
    <s v="Indonesia"/>
    <x v="2"/>
  </r>
  <r>
    <s v="Las Flores Colombia"/>
    <n v="94"/>
    <s v="Medium Light"/>
    <n v="58"/>
    <n v="78"/>
    <n v="5.88"/>
    <s v="USA"/>
    <s v="Colombia"/>
    <x v="0"/>
  </r>
  <r>
    <s v="Nicaragua Yellow Pacamara Natural"/>
    <n v="94"/>
    <s v="Light"/>
    <n v="62"/>
    <n v="80"/>
    <n v="26.41"/>
    <s v="USA"/>
    <s v="Nicaragua"/>
    <x v="0"/>
  </r>
  <r>
    <s v="Ethiopia West Arsi Nensebo Natural G1"/>
    <n v="95"/>
    <s v="Medium Light"/>
    <n v="52"/>
    <n v="70"/>
    <n v="7.05"/>
    <s v="Taiwan"/>
    <s v="Ethiopia"/>
    <x v="1"/>
  </r>
  <r>
    <s v="Ethiopia Sidama Bona Sweet Natural"/>
    <n v="94"/>
    <s v="Light"/>
    <n v="62"/>
    <n v="80"/>
    <n v="5.88"/>
    <s v="Taiwan"/>
    <s v="Ethiopia"/>
    <x v="1"/>
  </r>
  <r>
    <s v="Congo Square"/>
    <n v="94"/>
    <s v="Medium Light"/>
    <n v="56"/>
    <n v="74"/>
    <n v="5.88"/>
    <s v="USA"/>
    <s v="Democratic Republic of the Congo"/>
    <x v="1"/>
  </r>
  <r>
    <s v="Rwanda Rulindo Tumba"/>
    <n v="94"/>
    <s v="Medium Light"/>
    <n v="60"/>
    <n v="78"/>
    <n v="5"/>
    <s v="USA"/>
    <s v="Rwanda"/>
    <x v="1"/>
  </r>
  <r>
    <s v="Tanzania Sambewe"/>
    <n v="94"/>
    <s v="Medium Light"/>
    <n v="58"/>
    <n v="78"/>
    <n v="4.9800000000000004"/>
    <s v="USA"/>
    <s v="Tanzania"/>
    <x v="1"/>
  </r>
  <r>
    <s v="Rwanda Kinini Village Natural"/>
    <n v="94"/>
    <s v="Medium Light"/>
    <n v="58"/>
    <n v="78"/>
    <n v="6.32"/>
    <s v="USA"/>
    <s v="Rwanda"/>
    <x v="1"/>
  </r>
  <r>
    <s v="Tanzania Peaberry"/>
    <n v="94"/>
    <s v="Medium Light"/>
    <n v="53"/>
    <n v="71"/>
    <n v="3.97"/>
    <s v="USA"/>
    <s v="Tanzania"/>
    <x v="1"/>
  </r>
  <r>
    <s v="Tanzania Ngila Estate SL28"/>
    <n v="95"/>
    <s v="Light"/>
    <n v="60"/>
    <n v="84"/>
    <n v="7.33"/>
    <s v="USA"/>
    <s v="Tanzania"/>
    <x v="1"/>
  </r>
  <r>
    <s v="Ethiopia Washed Sidama Nafasha 74158 21/01"/>
    <n v="96"/>
    <s v="Medium Light"/>
    <n v="60"/>
    <n v="78"/>
    <n v="127.87"/>
    <s v="Taiwan"/>
    <s v="Ethiopia"/>
    <x v="1"/>
  </r>
  <r>
    <s v="Ethiopia Tibe Haro Uraga"/>
    <n v="95"/>
    <s v="Medium Light"/>
    <n v="58"/>
    <n v="78"/>
    <n v="6.02"/>
    <s v="USA"/>
    <s v="Ethiopia"/>
    <x v="1"/>
  </r>
  <r>
    <s v="Taiwan Natural Alishan TFUвЂ™YA Kakalove Lot"/>
    <n v="95"/>
    <s v="Medium Light"/>
    <n v="58"/>
    <n v="78"/>
    <n v="617.28"/>
    <s v="Taiwan"/>
    <s v="Taiwan"/>
    <x v="2"/>
  </r>
  <r>
    <s v="Ethiopia Natural Guji Blue Donkey 21/01"/>
    <n v="95"/>
    <s v="Light"/>
    <n v="60"/>
    <n v="82"/>
    <n v="143.30000000000001"/>
    <s v="Taiwan"/>
    <s v="Ethiopia"/>
    <x v="1"/>
  </r>
  <r>
    <s v="Kenya Nyeri Gachatha Washed AB"/>
    <n v="94"/>
    <s v="Medium Light"/>
    <n v="58"/>
    <n v="76"/>
    <n v="143.30000000000001"/>
    <s v="Taiwan"/>
    <s v="Kenya"/>
    <x v="1"/>
  </r>
  <r>
    <s v="Ethiopia Yirgacheffe G1 Mulugeta Tsige"/>
    <n v="95"/>
    <s v="Medium Light"/>
    <n v="60"/>
    <n v="78"/>
    <n v="250"/>
    <s v="Taiwan"/>
    <s v="Ethiopia"/>
    <x v="1"/>
  </r>
  <r>
    <s v="Kenya AA Top Gathambi Station"/>
    <n v="94"/>
    <s v="Medium Light"/>
    <n v="58"/>
    <n v="76"/>
    <n v="275"/>
    <s v="Taiwan"/>
    <s v="Kenya"/>
    <x v="1"/>
  </r>
  <r>
    <s v="Ethiopia Guji Gerba Station G1 Natural Espresso"/>
    <n v="94"/>
    <s v="Medium Light"/>
    <n v="56"/>
    <n v="76"/>
    <n v="225"/>
    <s v="Taiwan"/>
    <s v="Ethiopia"/>
    <x v="1"/>
  </r>
  <r>
    <s v="Ethiopia Keramo Village"/>
    <n v="94"/>
    <s v="Medium Light"/>
    <n v="60"/>
    <n v="77"/>
    <n v="10"/>
    <s v="USA"/>
    <s v="Ethiopia"/>
    <x v="1"/>
  </r>
  <r>
    <s v="Ethiopia Uraga Washed G1"/>
    <n v="94"/>
    <s v="Medium Light"/>
    <n v="58"/>
    <n v="78"/>
    <n v="5.28"/>
    <s v="USA"/>
    <s v="Ethiopia"/>
    <x v="1"/>
  </r>
  <r>
    <s v="Kenya Karindudu AA"/>
    <n v="95"/>
    <s v="Medium Light"/>
    <n v="56"/>
    <n v="76"/>
    <n v="6.47"/>
    <s v="USA"/>
    <s v="Kenya"/>
    <x v="1"/>
  </r>
  <r>
    <s v="Colombia Cardona Natural"/>
    <n v="94"/>
    <s v="Light"/>
    <n v="62"/>
    <n v="80"/>
    <n v="7.35"/>
    <s v="USA"/>
    <s v="Colombia"/>
    <x v="0"/>
  </r>
  <r>
    <s v="Ethiopia Guji Anaerobic"/>
    <n v="94"/>
    <s v="Medium Light"/>
    <n v="57"/>
    <n v="73"/>
    <n v="7.35"/>
    <s v="USA"/>
    <s v="Ethiopia"/>
    <x v="1"/>
  </r>
  <r>
    <s v="Maypop"/>
    <n v="94"/>
    <s v="Medium Light"/>
    <n v="56"/>
    <n v="72"/>
    <n v="7.35"/>
    <s v="Colombia"/>
    <s v="Colombia"/>
    <x v="0"/>
  </r>
  <r>
    <s v="La Soledad Colombia"/>
    <n v="94"/>
    <s v="Medium Light"/>
    <n v="58"/>
    <n v="80"/>
    <n v="7.94"/>
    <s v="USA"/>
    <s v="Colombia"/>
    <x v="0"/>
  </r>
  <r>
    <s v="Colombia Huila Acevedo El Paraiso"/>
    <n v="94"/>
    <s v="Medium Light"/>
    <n v="57"/>
    <n v="77"/>
    <n v="7.35"/>
    <s v="USA"/>
    <s v="Colombia"/>
    <x v="0"/>
  </r>
  <r>
    <s v="Love of Desolate"/>
    <n v="96"/>
    <s v="Medium Light"/>
    <n v="58"/>
    <n v="80"/>
    <n v="220.26"/>
    <s v="Taiwan"/>
    <s v="Costa Rica"/>
    <x v="0"/>
  </r>
  <r>
    <s v="Blend No.7 Berrichee"/>
    <n v="95"/>
    <s v="Medium Light"/>
    <n v="54"/>
    <n v="74"/>
    <n v="210"/>
    <s v="Taiwan"/>
    <s v="Mexico"/>
    <x v="0"/>
  </r>
  <r>
    <s v="Ethiopia Niguse Gemeda Mude Natural"/>
    <n v="94"/>
    <s v="Medium Light"/>
    <n v="60"/>
    <n v="78"/>
    <n v="396.48"/>
    <s v="Taiwan"/>
    <s v="Ethiopia"/>
    <x v="1"/>
  </r>
  <r>
    <s v="La Estrella Carbonic Geisha Reserve"/>
    <n v="95"/>
    <s v="Medium Light"/>
    <n v="59"/>
    <n v="77"/>
    <n v="20"/>
    <s v="USA"/>
    <s v="Colombia"/>
    <x v="0"/>
  </r>
  <r>
    <s v="Ethiopia Guji Wush Wush Anaerobic Natural"/>
    <n v="95"/>
    <s v="Medium Light"/>
    <n v="57"/>
    <n v="77"/>
    <n v="246.7"/>
    <s v="Taiwan"/>
    <s v="Ethiopia"/>
    <x v="1"/>
  </r>
  <r>
    <s v="Ethiopia Guji Wush Wush"/>
    <n v="95"/>
    <s v="Medium Light"/>
    <n v="58"/>
    <n v="77"/>
    <n v="7.33"/>
    <s v="USA"/>
    <s v="Ethiopia"/>
    <x v="1"/>
  </r>
  <r>
    <s v="Tres Dragones Colombia"/>
    <n v="94"/>
    <s v="Medium Light"/>
    <n v="60"/>
    <n v="78"/>
    <n v="7.35"/>
    <s v="USA"/>
    <s v="Colombia"/>
    <x v="0"/>
  </r>
  <r>
    <s v="Panama Elida Estate CatuaГ­ Natural ASD"/>
    <n v="94"/>
    <s v="Medium Light"/>
    <n v="58"/>
    <n v="76"/>
    <n v="7.27"/>
    <s v="USA"/>
    <s v="Panama"/>
    <x v="0"/>
  </r>
  <r>
    <s v="Ethiopia Yirgacheffe Israel Degfa Natural Gr.1"/>
    <n v="94"/>
    <s v="Medium Light"/>
    <n v="56"/>
    <n v="76"/>
    <n v="198.24"/>
    <s v="Taiwan"/>
    <s v="Ethiopia"/>
    <x v="1"/>
  </r>
  <r>
    <s v="Panama Elida Estate Washed"/>
    <n v="96"/>
    <s v="Medium Light"/>
    <n v="59"/>
    <n v="77"/>
    <n v="40"/>
    <s v="USA"/>
    <s v="Panama"/>
    <x v="0"/>
  </r>
  <r>
    <s v="Kona Maragogype Natural"/>
    <n v="94"/>
    <s v="Medium Light"/>
    <n v="58"/>
    <n v="82"/>
    <n v="26.41"/>
    <s v="USA"/>
    <s v="USA"/>
    <x v="0"/>
  </r>
  <r>
    <s v="Kenya Washed Nakuru Gachombe Factory AB"/>
    <n v="95"/>
    <s v="Medium Light"/>
    <n v="56"/>
    <n v="78"/>
    <n v="92.59"/>
    <s v="Taiwan"/>
    <s v="Kenya"/>
    <x v="1"/>
  </r>
  <r>
    <s v="Ethiopia Natural Guji Hambella Wate Peaberry"/>
    <n v="95"/>
    <s v="Light"/>
    <n v="62"/>
    <n v="84"/>
    <n v="165.34"/>
    <s v="Taiwan"/>
    <s v="Ethiopia"/>
    <x v="1"/>
  </r>
  <r>
    <s v="Ethiopia Guji Shakiso Dambi Udo Natural Anaerobic"/>
    <n v="94"/>
    <s v="Medium Light"/>
    <n v="59"/>
    <n v="77"/>
    <n v="160"/>
    <s v="Taiwan"/>
    <s v="Ethiopia"/>
    <x v="1"/>
  </r>
  <r>
    <s v="Ethiopia Natural Guji"/>
    <n v="94"/>
    <s v="Medium Light"/>
    <n v="56"/>
    <n v="76"/>
    <n v="92.59"/>
    <s v="Taiwan"/>
    <s v="Ethiopia"/>
    <x v="1"/>
  </r>
  <r>
    <s v="Costa Rica Yellow Honey Kinka Bear Lot 20-02"/>
    <n v="94"/>
    <s v="Medium Light"/>
    <n v="52"/>
    <n v="70"/>
    <n v="110.23"/>
    <s v="Taiwan"/>
    <s v="Costa Rica"/>
    <x v="0"/>
  </r>
  <r>
    <s v="Ethiopia Guji Shakiso Dambi Udo Honey"/>
    <n v="94"/>
    <s v="Light"/>
    <n v="62"/>
    <n v="80"/>
    <n v="155.56"/>
    <s v="Taiwan"/>
    <s v="Ethiopia"/>
    <x v="1"/>
  </r>
  <r>
    <s v="Kenya Washed Nyeri Gichathaini Factory AB"/>
    <n v="94"/>
    <s v="Medium Light"/>
    <n v="60"/>
    <n v="78"/>
    <n v="171.96"/>
    <s v="Taiwan"/>
    <s v="Kenya"/>
    <x v="1"/>
  </r>
  <r>
    <s v="Colombia Pink Bourbon Honey"/>
    <n v="95"/>
    <s v="Medium Light"/>
    <n v="60"/>
    <n v="80"/>
    <n v="8.52"/>
    <s v="USA"/>
    <s v="Colombia"/>
    <x v="0"/>
  </r>
  <r>
    <s v="Karatina Kenya"/>
    <n v="95"/>
    <s v="Medium Light"/>
    <n v="60"/>
    <n v="78"/>
    <n v="6.47"/>
    <s v="USA"/>
    <s v="Kenya"/>
    <x v="1"/>
  </r>
  <r>
    <s v="Cerro Azul Geisha"/>
    <n v="95"/>
    <s v="Light"/>
    <n v="62"/>
    <n v="80"/>
    <n v="12.35"/>
    <s v="USA"/>
    <s v="Colombia"/>
    <x v="0"/>
  </r>
  <r>
    <s v="Kona SL34 Sweet Spot"/>
    <n v="94"/>
    <s v="Medium Light"/>
    <n v="58"/>
    <n v="80"/>
    <n v="25.17"/>
    <s v="USA"/>
    <s v="USA"/>
    <x v="0"/>
  </r>
  <r>
    <s v="Haraaz Red"/>
    <n v="95"/>
    <s v="Medium Light"/>
    <n v="58"/>
    <n v="82"/>
    <n v="7.72"/>
    <s v="USA"/>
    <s v="Yemen"/>
    <x v="1"/>
  </r>
  <r>
    <s v="Kona MoccaВ®"/>
    <n v="96"/>
    <s v="Medium Light"/>
    <n v="56"/>
    <n v="74"/>
    <n v="38.58"/>
    <s v="USA"/>
    <s v="USA"/>
    <x v="0"/>
  </r>
  <r>
    <s v="Panama Elida Green-Tip Geisha La Torre ASD"/>
    <n v="95"/>
    <s v="Light"/>
    <n v="62"/>
    <n v="84"/>
    <n v="26.46"/>
    <s v="USA"/>
    <s v="Panama"/>
    <x v="0"/>
  </r>
  <r>
    <s v="Kona Peaberry"/>
    <n v="94"/>
    <s v="Medium Light"/>
    <n v="56"/>
    <n v="76"/>
    <n v="12.35"/>
    <s v="USA"/>
    <s v="USA"/>
    <x v="0"/>
  </r>
  <r>
    <s v="Panama Finca Los Lajones Natural"/>
    <n v="94"/>
    <s v="Light"/>
    <n v="60"/>
    <n v="82"/>
    <n v="8.52"/>
    <s v="USA"/>
    <s v="Panama"/>
    <x v="0"/>
  </r>
  <r>
    <s v="SL28"/>
    <n v="94"/>
    <s v="Medium Light"/>
    <n v="56"/>
    <n v="76"/>
    <n v="14.55"/>
    <s v="USA"/>
    <s v="Unknown"/>
    <x v="3"/>
  </r>
  <r>
    <s v="Bourbon Pointu Natural"/>
    <n v="94"/>
    <s v="Medium Light"/>
    <n v="58"/>
    <n v="76"/>
    <n v="25.2"/>
    <s v="USA"/>
    <s v="Unknown"/>
    <x v="3"/>
  </r>
  <r>
    <s v="Ethiopia Guji Hambela Buku Abel Slow Dry Natural 2400m"/>
    <n v="94"/>
    <s v="Light"/>
    <n v="64"/>
    <n v="82"/>
    <n v="181.82"/>
    <s v="Taiwan"/>
    <s v="Ethiopia"/>
    <x v="1"/>
  </r>
  <r>
    <s v="Yemen Al Mashtal Al Burhani"/>
    <n v="94"/>
    <s v="Medium Light"/>
    <n v="58"/>
    <n v="78"/>
    <n v="22"/>
    <s v="USA"/>
    <s v="Yemen"/>
    <x v="1"/>
  </r>
  <r>
    <s v="Flight Seasonal Espresso"/>
    <n v="95"/>
    <s v="Medium Light"/>
    <n v="58"/>
    <n v="74"/>
    <n v="5.58"/>
    <s v="USA"/>
    <s v="Unknown"/>
    <x v="3"/>
  </r>
  <r>
    <s v="Panama Boquete Flor De Mariposa Geisha Espresso"/>
    <n v="96"/>
    <s v="Medium Light"/>
    <n v="54"/>
    <n v="76"/>
    <n v="220.46"/>
    <s v="Taiwan"/>
    <s v="Panama"/>
    <x v="0"/>
  </r>
  <r>
    <s v="Guji Ethiopia Washed"/>
    <n v="94"/>
    <s v="Light"/>
    <n v="62"/>
    <n v="84"/>
    <n v="5.29"/>
    <s v="USA"/>
    <s v="Ethiopia"/>
    <x v="1"/>
  </r>
  <r>
    <s v="Colombia Monteblanco Geisha"/>
    <n v="94"/>
    <s v="Light"/>
    <n v="64"/>
    <n v="82"/>
    <n v="8.81"/>
    <s v="USA"/>
    <s v="Colombia"/>
    <x v="0"/>
  </r>
  <r>
    <s v="Ethiopia Gedeo Kochere Reko Natural"/>
    <n v="94"/>
    <s v="Light"/>
    <n v="64"/>
    <n v="84"/>
    <n v="6.96"/>
    <s v="Taiwan"/>
    <s v="Ethiopia"/>
    <x v="1"/>
  </r>
  <r>
    <s v="Costa Rica Aris Red Honey Lot 2002 Espresso"/>
    <n v="94"/>
    <s v="Medium Light"/>
    <n v="52"/>
    <n v="70"/>
    <n v="119.05"/>
    <s v="Taiwan"/>
    <s v="Costa Rica"/>
    <x v="0"/>
  </r>
  <r>
    <s v="Twisted V.6 Espresso"/>
    <n v="94"/>
    <s v="Medium Light"/>
    <n v="54"/>
    <n v="74"/>
    <n v="4.63"/>
    <s v="USA"/>
    <s v="Unknown"/>
    <x v="3"/>
  </r>
  <r>
    <s v="Aged Sumatra Ulos Batak 2015"/>
    <n v="94"/>
    <s v="Medium"/>
    <n v="45"/>
    <n v="63"/>
    <n v="5.57"/>
    <s v="USA"/>
    <s v="Indonesia"/>
    <x v="2"/>
  </r>
  <r>
    <s v="Kona Uluwehi SL34"/>
    <n v="94"/>
    <s v="Medium Light"/>
    <n v="60"/>
    <n v="80"/>
    <n v="26.41"/>
    <s v="USA"/>
    <s v="USA"/>
    <x v="0"/>
  </r>
  <r>
    <s v="Colombia Pink Bourbon Finca El Chaparote"/>
    <n v="94"/>
    <s v="Light"/>
    <n v="64"/>
    <n v="82"/>
    <n v="8.7899999999999991"/>
    <s v="USA"/>
    <s v="Colombia"/>
    <x v="0"/>
  </r>
  <r>
    <s v="Ethiopia Neja Fadil"/>
    <n v="94"/>
    <s v="Medium Light"/>
    <n v="58"/>
    <n v="78"/>
    <n v="5.88"/>
    <s v="USA"/>
    <s v="Ethiopia"/>
    <x v="1"/>
  </r>
  <r>
    <s v="Peru Buena Vista Valerio Almanza Ccahua"/>
    <n v="94"/>
    <s v="Medium Light"/>
    <n v="60"/>
    <n v="78"/>
    <n v="11.9"/>
    <s v="USA"/>
    <s v="Peru"/>
    <x v="0"/>
  </r>
  <r>
    <s v="Panama Finca Santa Teresa Lot 9"/>
    <n v="94"/>
    <s v="Medium Light"/>
    <n v="60"/>
    <n v="78"/>
    <n v="5.88"/>
    <s v="USA"/>
    <s v="Panama"/>
    <x v="0"/>
  </r>
  <r>
    <s v="Guatemala CobГЎn Chicoj Cooperative Red Honey Fair Trade"/>
    <n v="94"/>
    <s v="Medium Light"/>
    <n v="58"/>
    <n v="78"/>
    <n v="160"/>
    <s v="Taiwan"/>
    <s v="Guatemala"/>
    <x v="0"/>
  </r>
  <r>
    <s v="Ethiopia Halo Hartume Daniel Mijane"/>
    <n v="94"/>
    <s v="Medium Light"/>
    <n v="58"/>
    <n v="78"/>
    <n v="5.59"/>
    <s v="USA"/>
    <s v="Ethiopia"/>
    <x v="1"/>
  </r>
  <r>
    <s v="Colombia Cauca El Paraiso"/>
    <n v="96"/>
    <s v="Light"/>
    <n v="85"/>
    <n v="105"/>
    <n v="1"/>
    <s v="Japan"/>
    <s v="Colombia"/>
    <x v="0"/>
  </r>
  <r>
    <s v="Taiwan Songyue Geisha"/>
    <n v="94"/>
    <s v="Light"/>
    <n v="79"/>
    <n v="92"/>
    <n v="4"/>
    <s v="Japan"/>
    <s v="Taiwan"/>
    <x v="2"/>
  </r>
  <r>
    <s v="Kenya Nyeri"/>
    <n v="94"/>
    <s v="Medium Light"/>
    <n v="60"/>
    <n v="78"/>
    <n v="288.89"/>
    <s v="Taiwan"/>
    <s v="Kenya"/>
    <x v="1"/>
  </r>
  <r>
    <s v="Kenya Kirinyaga Baragwi Karumandi AA"/>
    <n v="94"/>
    <s v="Medium Light"/>
    <n v="54"/>
    <n v="74"/>
    <n v="4.9800000000000004"/>
    <s v="USA"/>
    <s v="Kenya"/>
    <x v="1"/>
  </r>
  <r>
    <s v="Harimau Tiger Sumatra"/>
    <n v="94"/>
    <s v="Medium Light"/>
    <n v="54"/>
    <n v="74"/>
    <n v="5"/>
    <s v="USA"/>
    <s v="Indonesia"/>
    <x v="2"/>
  </r>
  <r>
    <s v="Ethiopia Sidamo Washed"/>
    <n v="95"/>
    <s v="Medium Light"/>
    <n v="58"/>
    <n v="78"/>
    <n v="163.88"/>
    <s v="Taiwan"/>
    <s v="Ethiopia"/>
    <x v="1"/>
  </r>
  <r>
    <s v="Ethiopia Guji Uraga Washed"/>
    <n v="95"/>
    <s v="Medium Light"/>
    <n v="60"/>
    <n v="78"/>
    <n v="111.01"/>
    <s v="Taiwan"/>
    <s v="Ethiopia"/>
    <x v="1"/>
  </r>
  <r>
    <s v="Indonesia Golden Sumatra TP Espresso"/>
    <n v="96"/>
    <s v="Medium"/>
    <n v="44"/>
    <n v="62"/>
    <n v="225"/>
    <s v="Taiwan"/>
    <s v="Indonesia"/>
    <x v="2"/>
  </r>
  <r>
    <s v="Kenya Gachatha"/>
    <n v="95"/>
    <s v="Medium Light"/>
    <n v="54"/>
    <n v="72"/>
    <n v="6.61"/>
    <s v="USA"/>
    <s v="Kenya"/>
    <x v="1"/>
  </r>
  <r>
    <s v="Ethiopia Suke Quto Single-Origin Espresso"/>
    <n v="94"/>
    <s v="Medium Light"/>
    <n v="52"/>
    <n v="72"/>
    <n v="5.59"/>
    <s v="USA"/>
    <s v="Ethiopia"/>
    <x v="1"/>
  </r>
  <r>
    <s v="Ethiopia Gera Limu"/>
    <n v="94"/>
    <s v="Medium Light"/>
    <n v="58"/>
    <n v="80"/>
    <n v="5.59"/>
    <s v="USA"/>
    <s v="Ethiopia"/>
    <x v="1"/>
  </r>
  <r>
    <s v="Panama Pacamara Natural"/>
    <n v="94"/>
    <s v="Medium Light"/>
    <n v="52"/>
    <n v="70"/>
    <n v="25"/>
    <s v="Canada"/>
    <s v="Panama"/>
    <x v="0"/>
  </r>
  <r>
    <s v="KaвЂ™u Pink Honey"/>
    <n v="94"/>
    <s v="Light"/>
    <n v="64"/>
    <n v="84"/>
    <n v="22"/>
    <s v="USA"/>
    <s v="USA"/>
    <x v="0"/>
  </r>
  <r>
    <s v="Kona Maragogype Pink Honey"/>
    <n v="94"/>
    <s v="Light"/>
    <n v="64"/>
    <n v="86"/>
    <n v="26.41"/>
    <s v="USA"/>
    <s v="USA"/>
    <x v="0"/>
  </r>
  <r>
    <s v="RD1 Espresso Blend"/>
    <n v="95"/>
    <s v="Medium Light"/>
    <n v="54"/>
    <n v="72"/>
    <n v="132.28"/>
    <s v="Taiwan"/>
    <s v="Indonesia"/>
    <x v="2"/>
  </r>
  <r>
    <s v="Bull Espresso Blend"/>
    <n v="95"/>
    <s v="Medium Light"/>
    <n v="56"/>
    <n v="76"/>
    <n v="99.12"/>
    <s v="Taiwan"/>
    <s v="Kenya"/>
    <x v="1"/>
  </r>
  <r>
    <s v="Ethiopia Yirgacheffe Gotiti Natural"/>
    <n v="95"/>
    <s v="Medium Light"/>
    <n v="58"/>
    <n v="80"/>
    <n v="167.55"/>
    <s v="Taiwan"/>
    <s v="Ethiopia"/>
    <x v="1"/>
  </r>
  <r>
    <s v="Ethiopia Demeka Becha"/>
    <n v="95"/>
    <s v="Light"/>
    <n v="64"/>
    <n v="82"/>
    <n v="6.46"/>
    <s v="USA"/>
    <s v="Ethiopia"/>
    <x v="1"/>
  </r>
  <r>
    <s v="Trust the Process вЂ” Full Natural"/>
    <n v="96"/>
    <s v="Light"/>
    <n v="64"/>
    <n v="84"/>
    <n v="8.3699999999999992"/>
    <s v="USA"/>
    <s v="Colombia"/>
    <x v="0"/>
  </r>
  <r>
    <s v="Colombia Finca El Caucho Pink Bourbon"/>
    <n v="95"/>
    <s v="Light"/>
    <n v="62"/>
    <n v="80"/>
    <n v="9.9600000000000009"/>
    <s v="USA"/>
    <s v="Colombia"/>
    <x v="0"/>
  </r>
  <r>
    <s v="Colombia Antioquia Natural Carbonic Maceration Caturra"/>
    <n v="95"/>
    <s v="Medium Light"/>
    <n v="60"/>
    <n v="80"/>
    <n v="136.68"/>
    <s v="Taiwan"/>
    <s v="Colombia"/>
    <x v="0"/>
  </r>
  <r>
    <s v="Colombia La Gallera Estate"/>
    <n v="94"/>
    <s v="Light"/>
    <n v="64"/>
    <n v="84"/>
    <n v="273.37"/>
    <s v="Taiwan"/>
    <s v="Colombia"/>
    <x v="0"/>
  </r>
  <r>
    <s v="Colombia Diofanor Ruiz"/>
    <n v="94"/>
    <s v="Medium Light"/>
    <n v="58"/>
    <n v="76"/>
    <n v="14.7"/>
    <s v="China"/>
    <s v="Colombia"/>
    <x v="0"/>
  </r>
  <r>
    <s v="Colombia Java El EdГ©n Limited Edition"/>
    <n v="94"/>
    <s v="Medium Light"/>
    <n v="58"/>
    <n v="80"/>
    <n v="8.82"/>
    <s v="USA"/>
    <s v="Colombia"/>
    <x v="0"/>
  </r>
  <r>
    <s v="Finca La Maria Geisha Natural"/>
    <n v="94"/>
    <s v="Light"/>
    <n v="62"/>
    <n v="80"/>
    <n v="1146.3800000000001"/>
    <s v="Taiwan"/>
    <s v="Colombia"/>
    <x v="0"/>
  </r>
  <r>
    <s v="Angamaza"/>
    <n v="94"/>
    <s v="Medium Light"/>
    <n v="60"/>
    <n v="78"/>
    <n v="5.88"/>
    <s v="USA"/>
    <s v="Ecuador"/>
    <x v="0"/>
  </r>
  <r>
    <s v="Ethiopia Rhapsody Espresso"/>
    <n v="95"/>
    <s v="Medium Light"/>
    <n v="52"/>
    <n v="70"/>
    <n v="263.88"/>
    <s v="Taiwan"/>
    <s v="Ethiopia"/>
    <x v="1"/>
  </r>
  <r>
    <s v="Kona Geisha Champagne Natural"/>
    <n v="95"/>
    <s v="Light"/>
    <n v="64"/>
    <n v="84"/>
    <n v="66.09"/>
    <s v="USA"/>
    <s v="USA"/>
    <x v="0"/>
  </r>
  <r>
    <s v="Dafis Abafita Natural Ethiopia"/>
    <n v="95"/>
    <s v="Light"/>
    <n v="64"/>
    <n v="84"/>
    <n v="6.32"/>
    <s v="USA"/>
    <s v="Ethiopia"/>
    <x v="1"/>
  </r>
  <r>
    <s v="Berg Wu Championship Sidamo Washed G1 Lot 20-02"/>
    <n v="95"/>
    <s v="Light"/>
    <n v="64"/>
    <n v="84"/>
    <n v="149.91"/>
    <s v="Taiwan"/>
    <s v="Ethiopia"/>
    <x v="1"/>
  </r>
  <r>
    <s v="KaвЂ™u Yellow Bourbon"/>
    <n v="94"/>
    <s v="Medium Light"/>
    <n v="60"/>
    <n v="78"/>
    <n v="11.64"/>
    <s v="USA"/>
    <s v="USA"/>
    <x v="0"/>
  </r>
  <r>
    <s v="Ethiopia Natural Hambela Wate"/>
    <n v="95"/>
    <s v="Medium Light"/>
    <n v="58"/>
    <n v="76"/>
    <n v="136.68"/>
    <s v="Taiwan"/>
    <s v="Ethiopia"/>
    <x v="1"/>
  </r>
  <r>
    <s v="Kinini Village Rwanda"/>
    <n v="94"/>
    <s v="Medium Light"/>
    <n v="58"/>
    <n v="76"/>
    <n v="5.88"/>
    <s v="USA"/>
    <s v="Rwanda"/>
    <x v="1"/>
  </r>
  <r>
    <s v="Ethiopia Natural Guji Uraga G1 Lot 20-05"/>
    <n v="94"/>
    <s v="Medium Light"/>
    <n v="58"/>
    <n v="78"/>
    <n v="165.34"/>
    <s v="Taiwan"/>
    <s v="Ethiopia"/>
    <x v="1"/>
  </r>
  <r>
    <s v="Kenya Nyeri Muchoki Estate AA"/>
    <n v="94"/>
    <s v="Light"/>
    <n v="62"/>
    <n v="80"/>
    <n v="154.32"/>
    <s v="Taiwan"/>
    <s v="Kenya"/>
    <x v="1"/>
  </r>
  <r>
    <s v="Fruity Espresso Blend"/>
    <n v="95"/>
    <s v="Medium Light"/>
    <n v="56"/>
    <n v="74"/>
    <n v="59"/>
    <s v="China"/>
    <s v="Kenya"/>
    <x v="1"/>
  </r>
  <r>
    <s v="Ethiopia Yirgacheffe Cleopatra Natural"/>
    <n v="94"/>
    <s v="Medium Light"/>
    <n v="56"/>
    <n v="76"/>
    <n v="300"/>
    <s v="Taiwan"/>
    <s v="Ethiopia"/>
    <x v="1"/>
  </r>
  <r>
    <s v="Ethiopia Yirgacheffe Dumerso G1 Natural"/>
    <n v="94"/>
    <s v="Medium Light"/>
    <n v="57"/>
    <n v="73"/>
    <n v="5.57"/>
    <s v="USA"/>
    <s v="Ethiopia"/>
    <x v="1"/>
  </r>
  <r>
    <s v="Guatemala Santa Felisa Solar Eclipse Gesha Natural"/>
    <n v="94"/>
    <s v="Light"/>
    <n v="64"/>
    <n v="80"/>
    <n v="546.74"/>
    <s v="Taiwan"/>
    <s v="Guatemala"/>
    <x v="0"/>
  </r>
  <r>
    <s v="Coral"/>
    <n v="94"/>
    <s v="Medium Light"/>
    <n v="58"/>
    <n v="78"/>
    <n v="4"/>
    <s v="Peru"/>
    <s v="Peru"/>
    <x v="0"/>
  </r>
  <r>
    <s v="Ethiopia Guji Goro Muda Washed G1"/>
    <n v="95"/>
    <s v="Light"/>
    <n v="64"/>
    <n v="82"/>
    <n v="198.41"/>
    <s v="Taiwan"/>
    <s v="Ethiopia"/>
    <x v="1"/>
  </r>
  <r>
    <s v="Ethiopian Guji Ana Sora Alcoholic Natural G1"/>
    <n v="94"/>
    <s v="Medium Light"/>
    <n v="60"/>
    <n v="80"/>
    <n v="132.28"/>
    <s v="Taiwan"/>
    <s v="Ethiopia"/>
    <x v="1"/>
  </r>
  <r>
    <s v="Panama Hacienda La Esmeralda Gesha"/>
    <n v="96"/>
    <s v="Medium Light"/>
    <n v="58"/>
    <n v="78"/>
    <n v="24.69"/>
    <s v="USA"/>
    <s v="Panama"/>
    <x v="0"/>
  </r>
  <r>
    <s v="Ethiopia Cup of Excellence Guji Natural"/>
    <n v="95"/>
    <s v="Light"/>
    <n v="68"/>
    <n v="90"/>
    <n v="17.59"/>
    <s v="USA"/>
    <s v="Ethiopia"/>
    <x v="1"/>
  </r>
  <r>
    <s v="Ethiopia Sidama Telamo FTO Natural"/>
    <n v="95"/>
    <s v="Medium Light"/>
    <n v="58"/>
    <n v="76"/>
    <n v="6.76"/>
    <s v="USA"/>
    <s v="Ethiopia"/>
    <x v="1"/>
  </r>
  <r>
    <s v="Ethiopia Guji Laayyoo Natural"/>
    <n v="94"/>
    <s v="Light"/>
    <n v="64"/>
    <n v="82"/>
    <n v="7.33"/>
    <s v="USA"/>
    <s v="Ethiopia"/>
    <x v="1"/>
  </r>
  <r>
    <s v="Magic Cat Kenya Civet AFCA TOH NO.2 Gatuya Factory New Murarandia AA"/>
    <n v="94"/>
    <s v="Medium Light"/>
    <n v="56"/>
    <n v="78"/>
    <n v="90.83"/>
    <s v="Taiwan"/>
    <s v="Kenya"/>
    <x v="1"/>
  </r>
  <r>
    <s v="Ethiopia Grade 1 Chelchele"/>
    <n v="94"/>
    <s v="Light"/>
    <n v="62"/>
    <n v="80"/>
    <n v="6.47"/>
    <s v="USA"/>
    <s v="Ethiopia"/>
    <x v="1"/>
  </r>
  <r>
    <s v="Ethiopia Natural Yirgacheffe Gr.1 Cleopatra"/>
    <n v="95"/>
    <s v="Medium"/>
    <n v="47"/>
    <n v="73"/>
    <n v="485.01"/>
    <s v="Taiwan"/>
    <s v="Ethiopia"/>
    <x v="1"/>
  </r>
  <r>
    <s v="Taiwan Alishan Zhou-Zhu-Yuan Farm Estate Reserve Washed"/>
    <n v="94"/>
    <s v="Medium"/>
    <n v="46"/>
    <n v="64"/>
    <n v="485.01"/>
    <s v="Taiwan"/>
    <s v="Taiwan"/>
    <x v="2"/>
  </r>
  <r>
    <s v="Ethiopia Keramo Zero Oxygen Natural"/>
    <n v="94"/>
    <s v="Medium Light"/>
    <n v="60"/>
    <n v="78"/>
    <n v="24.25"/>
    <s v="USA"/>
    <s v="Ethiopia"/>
    <x v="1"/>
  </r>
  <r>
    <s v="Panama Elida ASD Natural"/>
    <n v="94"/>
    <s v="Light"/>
    <n v="62"/>
    <n v="80"/>
    <n v="40"/>
    <s v="USA"/>
    <s v="Panama"/>
    <x v="0"/>
  </r>
  <r>
    <s v="Peru Yanesha Geisha"/>
    <n v="94"/>
    <s v="Medium Light"/>
    <n v="61"/>
    <n v="79"/>
    <n v="0.44"/>
    <s v="Taiwan"/>
    <s v="Peru"/>
    <x v="0"/>
  </r>
  <r>
    <s v="Ethiopia Guji Chembi"/>
    <n v="95"/>
    <s v="Medium Light"/>
    <n v="58"/>
    <n v="76"/>
    <n v="198.24"/>
    <s v="Taiwan"/>
    <s v="Ethiopia"/>
    <x v="1"/>
  </r>
  <r>
    <s v="Kenya Nyeri"/>
    <n v="94"/>
    <s v="Medium Light"/>
    <n v="57"/>
    <n v="77"/>
    <n v="200"/>
    <s v="Taiwan"/>
    <s v="Kenya"/>
    <x v="1"/>
  </r>
  <r>
    <s v="Kona Red Bourbon Anaerobic Washed Uluwehi Farm"/>
    <n v="95"/>
    <s v="Medium Light"/>
    <n v="58"/>
    <n v="74"/>
    <n v="26.41"/>
    <s v="USA"/>
    <s v="USA"/>
    <x v="0"/>
  </r>
  <r>
    <s v="Wush Wush"/>
    <n v="95"/>
    <s v="Light"/>
    <n v="60"/>
    <n v="82"/>
    <n v="6.17"/>
    <s v="USA"/>
    <s v="Ethiopia"/>
    <x v="1"/>
  </r>
  <r>
    <s v="Honey Typica Anaerobic"/>
    <n v="95"/>
    <s v="Medium Light"/>
    <n v="56"/>
    <n v="74"/>
    <n v="16.53"/>
    <s v="USA"/>
    <s v="Unknown"/>
    <x v="3"/>
  </r>
  <r>
    <s v="Geisha"/>
    <n v="94"/>
    <s v="Medium Light"/>
    <n v="55"/>
    <n v="71"/>
    <n v="14.55"/>
    <s v="USA"/>
    <s v="Unknown"/>
    <x v="3"/>
  </r>
  <r>
    <s v="Panama Abu Natural ASD Geisha BOP GN11"/>
    <n v="96"/>
    <s v="Medium Light"/>
    <n v="58"/>
    <n v="76"/>
    <n v="1058.2"/>
    <s v="Taiwan"/>
    <s v="Panama"/>
    <x v="0"/>
  </r>
  <r>
    <s v="Ethiopia Kochere Boji"/>
    <n v="95"/>
    <s v="Medium Light"/>
    <n v="60"/>
    <n v="77"/>
    <n v="5.86"/>
    <s v="USA"/>
    <s v="Ethiopia"/>
    <x v="1"/>
  </r>
  <r>
    <s v="Panama Finca Minerva-Mirage Pacamara BOP PAC04"/>
    <n v="95"/>
    <s v="Medium Light"/>
    <n v="46"/>
    <n v="76"/>
    <n v="529.1"/>
    <s v="Taiwan"/>
    <s v="Panama"/>
    <x v="0"/>
  </r>
  <r>
    <s v="Tanzania Shimiligwanda"/>
    <n v="94"/>
    <s v="Light"/>
    <n v="62"/>
    <n v="80"/>
    <n v="5.28"/>
    <s v="USA"/>
    <s v="Tanzania"/>
    <x v="1"/>
  </r>
  <r>
    <s v="Ethiopia Natural Guji Blue-Donkey 2020"/>
    <n v="95"/>
    <s v="Medium Light"/>
    <n v="59"/>
    <n v="77"/>
    <n v="143.30000000000001"/>
    <s v="Taiwan"/>
    <s v="Ethiopia"/>
    <x v="1"/>
  </r>
  <r>
    <s v="Kenya Washed Peaberry Rnyeusi"/>
    <n v="94"/>
    <s v="Medium Light"/>
    <n v="52"/>
    <n v="74"/>
    <n v="143.30000000000001"/>
    <s v="Taiwan"/>
    <s v="Kenya"/>
    <x v="1"/>
  </r>
  <r>
    <s v="Ethiopia COE 2nd place Washed Sidamo Rumudamo"/>
    <n v="94"/>
    <s v="Medium Light"/>
    <n v="60"/>
    <n v="78"/>
    <n v="1750"/>
    <s v="Taiwan"/>
    <s v="Ethiopia"/>
    <x v="1"/>
  </r>
  <r>
    <s v="Ethiopia Yirgacheffe Natural Haru Suke G1"/>
    <n v="94"/>
    <s v="Medium Light"/>
    <n v="60"/>
    <n v="80"/>
    <n v="136.68"/>
    <s v="Taiwan"/>
    <s v="Ethiopia"/>
    <x v="1"/>
  </r>
  <r>
    <s v="Finca Sophia Gesha Washed"/>
    <n v="98"/>
    <s v="Medium Light"/>
    <n v="58"/>
    <n v="76"/>
    <n v="44.09"/>
    <s v="USA"/>
    <s v="Panama"/>
    <x v="0"/>
  </r>
  <r>
    <s v="Colombia Granja La Esperanza Java Anaerobic"/>
    <n v="95"/>
    <s v="Medium Light"/>
    <n v="53"/>
    <n v="73"/>
    <n v="49.97"/>
    <s v="USA"/>
    <s v="Colombia"/>
    <x v="0"/>
  </r>
  <r>
    <s v="Shantawene Ethiopia Daya Bensa Natural"/>
    <n v="94"/>
    <s v="Light"/>
    <n v="62"/>
    <n v="80"/>
    <n v="5.59"/>
    <s v="USA"/>
    <s v="Ethiopia"/>
    <x v="1"/>
  </r>
  <r>
    <s v="Kenya AA FAQ"/>
    <n v="94"/>
    <s v="Medium Light"/>
    <n v="60"/>
    <n v="77"/>
    <n v="165"/>
    <s v="Taiwan"/>
    <s v="Kenya"/>
    <x v="1"/>
  </r>
  <r>
    <s v="Ardent Ethiopia Natural"/>
    <n v="97"/>
    <s v="Medium Light"/>
    <n v="57"/>
    <n v="77"/>
    <n v="15.43"/>
    <s v="USA"/>
    <s v="Ethiopia"/>
    <x v="1"/>
  </r>
  <r>
    <s v="Kona MoccaВ®"/>
    <n v="96"/>
    <s v="Medium Light"/>
    <n v="52"/>
    <n v="70"/>
    <n v="33.049999999999997"/>
    <s v="USA"/>
    <s v="USA"/>
    <x v="0"/>
  </r>
  <r>
    <s v="Holiday Coffee"/>
    <n v="94"/>
    <s v="Medium Light"/>
    <n v="54"/>
    <n v="74"/>
    <n v="17.61"/>
    <s v="USA"/>
    <s v="Unknown"/>
    <x v="3"/>
  </r>
  <r>
    <s v="Ethiopia Dur Feres Natural"/>
    <n v="94"/>
    <s v="Medium Light"/>
    <n v="60"/>
    <n v="78"/>
    <n v="5.58"/>
    <s v="USA"/>
    <s v="Ethiopia"/>
    <x v="1"/>
  </r>
  <r>
    <s v="Kenya AA Ares Phoenix Special"/>
    <n v="96"/>
    <s v="Medium"/>
    <n v="44"/>
    <n v="60"/>
    <n v="396.83"/>
    <s v="Taiwan"/>
    <s v="Kenya"/>
    <x v="1"/>
  </r>
  <r>
    <s v="GW01 Finca Sophia Olympus Geisha"/>
    <n v="98"/>
    <s v="Medium Light"/>
    <n v="58"/>
    <n v="76"/>
    <n v="25"/>
    <s v="Taiwan"/>
    <s v="Panama"/>
    <x v="0"/>
  </r>
  <r>
    <s v="La Esperanza Colombian Natural X.O."/>
    <n v="94"/>
    <s v="Medium Light"/>
    <n v="54"/>
    <n v="70"/>
    <n v="4.9800000000000004"/>
    <s v="USA"/>
    <s v="Colombia"/>
    <x v="0"/>
  </r>
  <r>
    <s v="Taiwan Geisha Honey"/>
    <n v="94"/>
    <s v="Light"/>
    <n v="62"/>
    <n v="80"/>
    <n v="57.28"/>
    <s v="USA"/>
    <s v="Taiwan"/>
    <x v="2"/>
  </r>
  <r>
    <s v="Camilina Geisha"/>
    <n v="95"/>
    <s v="Medium Light"/>
    <n v="60"/>
    <n v="78"/>
    <n v="49.97"/>
    <s v="USA"/>
    <s v="Panama"/>
    <x v="0"/>
  </r>
  <r>
    <s v="Hacienda La Esmeralda Buenos Aires Geisha Natural"/>
    <n v="95"/>
    <s v="Medium Light"/>
    <n v="54"/>
    <n v="70"/>
    <n v="28.66"/>
    <s v="USA"/>
    <s v="Panama"/>
    <x v="0"/>
  </r>
  <r>
    <s v="Ethiopia Sidama Bona Washed G1"/>
    <n v="94"/>
    <s v="Medium Light"/>
    <n v="58"/>
    <n v="78"/>
    <n v="12.79"/>
    <s v="Taiwan"/>
    <s v="Ethiopia"/>
    <x v="1"/>
  </r>
  <r>
    <s v="Sidama Extreme Papilio Washed"/>
    <n v="94"/>
    <s v="Medium Light"/>
    <n v="59"/>
    <n v="74"/>
    <n v="7.35"/>
    <s v="Taiwan"/>
    <s v="Ethiopia"/>
    <x v="1"/>
  </r>
  <r>
    <s v="Finca Santa Isabel"/>
    <n v="94"/>
    <s v="Medium Light"/>
    <n v="55"/>
    <n v="73"/>
    <n v="3.82"/>
    <s v="Guatemala"/>
    <s v="Guatemala"/>
    <x v="0"/>
  </r>
  <r>
    <s v="Finca San Carlos"/>
    <n v="94"/>
    <s v="Medium Light"/>
    <n v="56"/>
    <n v="72"/>
    <n v="3.82"/>
    <s v="Guatemala"/>
    <s v="Guatemala"/>
    <x v="0"/>
  </r>
  <r>
    <s v="Ethiopia Natural Guji D Minor Special Lot"/>
    <n v="97"/>
    <s v="Medium Light"/>
    <n v="60"/>
    <n v="76"/>
    <n v="176.37"/>
    <s v="Taiwan"/>
    <s v="Ethiopia"/>
    <x v="1"/>
  </r>
  <r>
    <s v="2020 Savage Auction Deborah Carbonic-Macerated Natural Geisha"/>
    <n v="94"/>
    <s v="Medium Light"/>
    <n v="58"/>
    <n v="74"/>
    <n v="661.38"/>
    <s v="Taiwan"/>
    <s v="Panama"/>
    <x v="0"/>
  </r>
  <r>
    <s v="Costa Rica Cordillera del Fuego"/>
    <n v="94"/>
    <s v="Medium Light"/>
    <n v="58"/>
    <n v="76"/>
    <n v="10.58"/>
    <s v="USA"/>
    <s v="Costa Rica"/>
    <x v="0"/>
  </r>
  <r>
    <s v="Ethiopia Bombe Mountains"/>
    <n v="94"/>
    <s v="Medium Light"/>
    <n v="58"/>
    <n v="76"/>
    <n v="7.35"/>
    <s v="USA"/>
    <s v="Ethiopia"/>
    <x v="1"/>
  </r>
  <r>
    <s v="Ethiopia Yirgacheffe G1 Natural Asfaw Maru"/>
    <n v="94"/>
    <s v="Medium Light"/>
    <n v="52"/>
    <n v="70"/>
    <n v="4.9800000000000004"/>
    <s v="USA"/>
    <s v="Ethiopia"/>
    <x v="1"/>
  </r>
  <r>
    <s v="Coffea Diversa Rume Sudan Winey"/>
    <n v="95"/>
    <s v="Light"/>
    <n v="64"/>
    <n v="84"/>
    <n v="17.59"/>
    <s v="USA"/>
    <s v="Guatemala"/>
    <x v="0"/>
  </r>
  <r>
    <s v="HawaiвЂ™i Puna Anaerobic Washed"/>
    <n v="94"/>
    <s v="Medium Light"/>
    <n v="58"/>
    <n v="76"/>
    <n v="17.59"/>
    <s v="USA"/>
    <s v="USA"/>
    <x v="0"/>
  </r>
  <r>
    <s v="Colombia Hacienda Casablanca"/>
    <n v="94"/>
    <s v="Medium Light"/>
    <n v="62"/>
    <n v="78"/>
    <n v="5.88"/>
    <s v="Canada"/>
    <s v="Colombia"/>
    <x v="0"/>
  </r>
  <r>
    <s v="Ethiopia Natural Guji Kercha Lot Riverside"/>
    <n v="94"/>
    <s v="Medium Light"/>
    <n v="58"/>
    <n v="78"/>
    <n v="121.25"/>
    <s v="Taiwan"/>
    <s v="Ethiopia"/>
    <x v="1"/>
  </r>
  <r>
    <s v="Costa Rica Yellow Honey Lot Kinka Bear"/>
    <n v="94"/>
    <s v="Medium Light"/>
    <n v="52"/>
    <n v="70"/>
    <n v="110.23"/>
    <s v="Taiwan"/>
    <s v="Costa Rica"/>
    <x v="0"/>
  </r>
  <r>
    <s v="San Diego Natural"/>
    <n v="95"/>
    <s v="Medium Light"/>
    <n v="55"/>
    <n v="75"/>
    <n v="5.26"/>
    <s v="USA"/>
    <s v="Costa Rica"/>
    <x v="0"/>
  </r>
  <r>
    <s v="Buna Boka #1"/>
    <n v="94"/>
    <s v="Medium Light"/>
    <n v="60"/>
    <n v="78"/>
    <n v="5.51"/>
    <s v="USA"/>
    <s v="Ethiopia"/>
    <x v="1"/>
  </r>
  <r>
    <s v="El Jardin"/>
    <n v="94"/>
    <s v="Medium Light"/>
    <n v="58"/>
    <n v="74"/>
    <n v="12.35"/>
    <s v="USA"/>
    <s v="Colombia"/>
    <x v="0"/>
  </r>
  <r>
    <s v="Kenya Wachuri"/>
    <n v="95"/>
    <s v="Medium"/>
    <n v="48"/>
    <n v="66"/>
    <n v="6.47"/>
    <s v="USA"/>
    <s v="Kenya"/>
    <x v="1"/>
  </r>
  <r>
    <s v="Kenya Baragwi Guama AB"/>
    <n v="95"/>
    <s v="Medium Light"/>
    <n v="60"/>
    <n v="80"/>
    <n v="5"/>
    <s v="USA"/>
    <s v="Kenya"/>
    <x v="1"/>
  </r>
  <r>
    <s v="Kenya ARES"/>
    <n v="95"/>
    <s v="Medium Light"/>
    <n v="54"/>
    <n v="74"/>
    <n v="330.43"/>
    <s v="Taiwan"/>
    <s v="Kenya"/>
    <x v="1"/>
  </r>
  <r>
    <s v="Empress Kenya"/>
    <n v="95"/>
    <s v="Medium Light"/>
    <n v="58"/>
    <n v="74"/>
    <n v="244.44"/>
    <s v="Taiwan"/>
    <s v="Kenya"/>
    <x v="1"/>
  </r>
  <r>
    <s v="Kenya Kiambu AB Top Lot"/>
    <n v="94"/>
    <s v="Medium Light"/>
    <n v="54"/>
    <n v="72"/>
    <n v="198.24"/>
    <s v="Taiwan"/>
    <s v="Kenya"/>
    <x v="1"/>
  </r>
  <r>
    <s v="Kenya Kiambu Maua Lot AB"/>
    <n v="94"/>
    <s v="Medium Light"/>
    <n v="60"/>
    <n v="78"/>
    <n v="143.30000000000001"/>
    <s v="Taiwan"/>
    <s v="Kenya"/>
    <x v="1"/>
  </r>
  <r>
    <s v="Kenya Thunguri AA"/>
    <n v="94"/>
    <s v="Medium Light"/>
    <n v="58"/>
    <n v="80"/>
    <n v="6.45"/>
    <s v="USA"/>
    <s v="Kenya"/>
    <x v="1"/>
  </r>
  <r>
    <s v="Kenya Kirinyaga Kabare Karani AA"/>
    <n v="94"/>
    <s v="Medium Light"/>
    <n v="60"/>
    <n v="78"/>
    <n v="9.7799999999999994"/>
    <s v="Canada"/>
    <s v="Kenya"/>
    <x v="1"/>
  </r>
  <r>
    <s v="Kenya Kirinyaga Kii"/>
    <n v="94"/>
    <s v="Medium Light"/>
    <n v="57"/>
    <n v="77"/>
    <n v="250"/>
    <s v="Taiwan"/>
    <s v="Kenya"/>
    <x v="1"/>
  </r>
  <r>
    <s v="Kenya Rungeto"/>
    <n v="94"/>
    <s v="Medium Light"/>
    <n v="56"/>
    <n v="72"/>
    <n v="6.76"/>
    <s v="USA"/>
    <s v="Kenya"/>
    <x v="1"/>
  </r>
  <r>
    <s v="Kenya AA Top Gatomboya"/>
    <n v="94"/>
    <s v="Medium Light"/>
    <n v="54"/>
    <n v="72"/>
    <n v="5.29"/>
    <s v="USA"/>
    <s v="Kenya"/>
    <x v="1"/>
  </r>
  <r>
    <s v="Heart &amp; Soul Espresso Blend"/>
    <n v="94"/>
    <s v="Medium"/>
    <n v="50"/>
    <n v="70"/>
    <n v="5.29"/>
    <s v="USA"/>
    <s v="Ethiopia"/>
    <x v="1"/>
  </r>
  <r>
    <s v="Ethiopia Banko Gotiti"/>
    <n v="94"/>
    <s v="Medium Light"/>
    <n v="57"/>
    <n v="77"/>
    <n v="5.88"/>
    <s v="USA"/>
    <s v="Ethiopia"/>
    <x v="1"/>
  </r>
  <r>
    <s v="Ethiopia Yabitu Koba"/>
    <n v="94"/>
    <s v="Medium Light"/>
    <n v="58"/>
    <n v="78"/>
    <n v="5.88"/>
    <s v="USA"/>
    <s v="Ethiopia"/>
    <x v="1"/>
  </r>
  <r>
    <s v="Ethiopia Banko Gotiti"/>
    <n v="94"/>
    <s v="Medium Light"/>
    <n v="60"/>
    <n v="78"/>
    <n v="5.73"/>
    <s v="USA"/>
    <s v="Ethiopia"/>
    <x v="1"/>
  </r>
  <r>
    <s v="Rhapsody of Dreams"/>
    <n v="94"/>
    <s v="Medium Light"/>
    <n v="58"/>
    <n v="74"/>
    <n v="198.24"/>
    <s v="Taiwan"/>
    <s v="Colombia"/>
    <x v="0"/>
  </r>
  <r>
    <s v="LauraвЂ™s Reserve SL34"/>
    <n v="95"/>
    <s v="Medium Light"/>
    <n v="60"/>
    <n v="78"/>
    <n v="27.76"/>
    <s v="USA"/>
    <s v="Unknown"/>
    <x v="3"/>
  </r>
  <r>
    <s v="Ethiopia Reko Yirgacheffe"/>
    <n v="94"/>
    <s v="Medium Light"/>
    <n v="60"/>
    <n v="76"/>
    <n v="6.03"/>
    <s v="USA"/>
    <s v="Ethiopia"/>
    <x v="1"/>
  </r>
  <r>
    <s v="Colombia Asobombo Inza"/>
    <n v="94"/>
    <s v="Light"/>
    <n v="62"/>
    <n v="84"/>
    <n v="4.7"/>
    <s v="USA"/>
    <s v="Colombia"/>
    <x v="0"/>
  </r>
  <r>
    <s v="Ethiopia Sidamo Natural Twakok G1"/>
    <n v="94"/>
    <s v="Medium Light"/>
    <n v="52"/>
    <n v="72"/>
    <n v="239.13"/>
    <s v="Taiwan"/>
    <s v="Ethiopia"/>
    <x v="1"/>
  </r>
  <r>
    <s v="Panama Boquete Torre Lot #1 Geisha Honey"/>
    <n v="94"/>
    <s v="Light"/>
    <n v="62"/>
    <n v="80"/>
    <n v="2500"/>
    <s v="Taiwan"/>
    <s v="Panama"/>
    <x v="0"/>
  </r>
  <r>
    <s v="Yellow Caturra (special lot)"/>
    <n v="94"/>
    <s v="Medium Light"/>
    <n v="56"/>
    <n v="70"/>
    <n v="13.23"/>
    <s v="USA"/>
    <s v="Unknown"/>
    <x v="3"/>
  </r>
  <r>
    <s v="HawaiвЂ™i Kilauea Volcano Yeast Fermentation Washed"/>
    <n v="96"/>
    <s v="Medium Light"/>
    <n v="58"/>
    <n v="76"/>
    <n v="26.41"/>
    <s v="USA"/>
    <s v="USA"/>
    <x v="0"/>
  </r>
  <r>
    <s v="Kona Pink Honey Black Rock Farm"/>
    <n v="94"/>
    <s v="Medium Light"/>
    <n v="58"/>
    <n v="78"/>
    <n v="22"/>
    <s v="USA"/>
    <s v="USA"/>
    <x v="0"/>
  </r>
  <r>
    <s v="Ethiopia Kayon Mountain"/>
    <n v="94"/>
    <s v="Medium Light"/>
    <n v="60"/>
    <n v="78"/>
    <n v="5.86"/>
    <s v="USA"/>
    <s v="Ethiopia"/>
    <x v="1"/>
  </r>
  <r>
    <s v="Benti Nenqa #209 Ethiopia"/>
    <n v="94"/>
    <s v="Medium Light"/>
    <n v="60"/>
    <n v="78"/>
    <n v="5.51"/>
    <s v="USA"/>
    <s v="Ethiopia"/>
    <x v="1"/>
  </r>
  <r>
    <s v="El Salvador Santa Elena Pacamara"/>
    <n v="94"/>
    <s v="Medium Light"/>
    <n v="54"/>
    <n v="70"/>
    <n v="250"/>
    <s v="Taiwan"/>
    <s v="El Salvador"/>
    <x v="0"/>
  </r>
  <r>
    <s v="Ethiopia Sheka Kawo Kamina Natural"/>
    <n v="95"/>
    <s v="Medium Light"/>
    <n v="58"/>
    <n v="72"/>
    <n v="7.33"/>
    <s v="USA"/>
    <s v="Ethiopia"/>
    <x v="1"/>
  </r>
  <r>
    <s v="Black Swan Blend"/>
    <n v="94"/>
    <s v="Medium Light"/>
    <n v="54"/>
    <n v="70"/>
    <n v="114.64"/>
    <s v="Taiwan"/>
    <s v="Ethiopia"/>
    <x v="1"/>
  </r>
  <r>
    <s v="Indonesia Lintong Mandheling"/>
    <n v="94"/>
    <s v="Medium Light"/>
    <n v="58"/>
    <n v="78"/>
    <n v="200"/>
    <s v="Taiwan"/>
    <s v="Indonesia"/>
    <x v="2"/>
  </r>
  <r>
    <s v="Ethiopia Yirgacheffe Natural Farm Direct"/>
    <n v="94"/>
    <s v="Medium Light"/>
    <n v="58"/>
    <n v="76"/>
    <n v="6.47"/>
    <s v="USA"/>
    <s v="Ethiopia"/>
    <x v="1"/>
  </r>
  <r>
    <s v="Kenya Karatina AA 2020"/>
    <n v="94"/>
    <s v="Medium Light"/>
    <n v="58"/>
    <n v="76"/>
    <n v="7.05"/>
    <s v="USA"/>
    <s v="Kenya"/>
    <x v="1"/>
  </r>
  <r>
    <s v="Colombia San LuГ­s Gesha"/>
    <n v="94"/>
    <s v="Medium Light"/>
    <n v="60"/>
    <n v="76"/>
    <n v="8.81"/>
    <s v="USA"/>
    <s v="Colombia"/>
    <x v="0"/>
  </r>
  <r>
    <s v="Karani Kenya"/>
    <n v="95"/>
    <s v="Medium Light"/>
    <n v="56"/>
    <n v="74"/>
    <n v="6.17"/>
    <s v="USA"/>
    <s v="Kenya"/>
    <x v="1"/>
  </r>
  <r>
    <s v="Miraflores Colombia"/>
    <n v="95"/>
    <s v="Medium Light"/>
    <n v="58"/>
    <n v="78"/>
    <n v="6.47"/>
    <s v="USA"/>
    <s v="Colombia"/>
    <x v="0"/>
  </r>
  <r>
    <s v="Kenya Gatuya"/>
    <n v="94"/>
    <s v="Medium Light"/>
    <n v="55"/>
    <n v="73"/>
    <n v="6.17"/>
    <s v="USA"/>
    <s v="Kenya"/>
    <x v="1"/>
  </r>
  <r>
    <s v="Flight Seasonal Espresso"/>
    <n v="94"/>
    <s v="Medium Light"/>
    <n v="58"/>
    <n v="80"/>
    <n v="5.44"/>
    <s v="USA"/>
    <s v="Ethiopia"/>
    <x v="1"/>
  </r>
  <r>
    <s v="Kenya Gicherori"/>
    <n v="94"/>
    <s v="Medium Light"/>
    <n v="58"/>
    <n v="78"/>
    <n v="6.91"/>
    <s v="USA"/>
    <s v="Kenya"/>
    <x v="1"/>
  </r>
  <r>
    <s v="Ethiopia Kayon Mountain (Natural)"/>
    <n v="94"/>
    <s v="Light"/>
    <n v="64"/>
    <n v="92"/>
    <n v="5.58"/>
    <s v="USA"/>
    <s v="Ethiopia"/>
    <x v="1"/>
  </r>
  <r>
    <s v="Ethiopia Kayon Mountain (Washed)"/>
    <n v="94"/>
    <s v="Light"/>
    <n v="62"/>
    <n v="88"/>
    <n v="5.44"/>
    <s v="USA"/>
    <s v="Ethiopia"/>
    <x v="1"/>
  </r>
  <r>
    <s v="Ethiopia Dame Dabaye"/>
    <n v="95"/>
    <s v="Medium Light"/>
    <n v="60"/>
    <n v="76"/>
    <n v="4.7"/>
    <s v="USA"/>
    <s v="Ethiopia"/>
    <x v="1"/>
  </r>
  <r>
    <s v="Kenya Nyeri AB Nyeshun"/>
    <n v="96"/>
    <s v="Medium Light"/>
    <n v="58"/>
    <n v="78"/>
    <n v="176.37"/>
    <s v="Taiwan"/>
    <s v="Kenya"/>
    <x v="1"/>
  </r>
  <r>
    <s v="Ethiopia Guji Bishala"/>
    <n v="94"/>
    <s v="Medium Light"/>
    <n v="58"/>
    <n v="76"/>
    <n v="127.87"/>
    <s v="Taiwan"/>
    <s v="Ethiopia"/>
    <x v="1"/>
  </r>
  <r>
    <s v="Ethiopia Wegida Natural"/>
    <n v="94"/>
    <s v="Light"/>
    <n v="62"/>
    <n v="80"/>
    <n v="5.88"/>
    <s v="USA"/>
    <s v="Ethiopia"/>
    <x v="1"/>
  </r>
  <r>
    <s v="KaвЂ™u Red Caturra Peaberry"/>
    <n v="94"/>
    <s v="Medium Light"/>
    <n v="58"/>
    <n v="78"/>
    <n v="14.7"/>
    <s v="USA"/>
    <s v="USA"/>
    <x v="0"/>
  </r>
  <r>
    <s v="Wush Wush Ginbo Keffa Ethiopia"/>
    <n v="95"/>
    <s v="Medium Light"/>
    <n v="60"/>
    <n v="74"/>
    <n v="5.29"/>
    <s v="USA"/>
    <s v="Ethiopia"/>
    <x v="1"/>
  </r>
  <r>
    <s v="Burundi Karehe"/>
    <n v="95"/>
    <s v="Medium Light"/>
    <n v="60"/>
    <n v="76"/>
    <n v="5.88"/>
    <s v="USA"/>
    <s v="Burundi"/>
    <x v="1"/>
  </r>
  <r>
    <s v="Ethiopia Guji Natural"/>
    <n v="94"/>
    <s v="Light"/>
    <n v="64"/>
    <n v="83"/>
    <n v="5.29"/>
    <s v="USA"/>
    <s v="Ethiopia"/>
    <x v="1"/>
  </r>
  <r>
    <s v="Ethiopia Gera Estate Natural"/>
    <n v="94"/>
    <s v="Light"/>
    <n v="67"/>
    <n v="96"/>
    <n v="4.7"/>
    <s v="USA"/>
    <s v="Ethiopia"/>
    <x v="1"/>
  </r>
  <r>
    <s v="EstelГ­ Nicaragua"/>
    <n v="94"/>
    <s v="Medium Light"/>
    <n v="60"/>
    <n v="79"/>
    <n v="6.61"/>
    <s v="USA"/>
    <s v="Nicaragua"/>
    <x v="0"/>
  </r>
  <r>
    <s v="Limu Ethiopia Natural"/>
    <n v="94"/>
    <s v="Light"/>
    <n v="66"/>
    <n v="85"/>
    <n v="4.12"/>
    <s v="USA"/>
    <s v="Ethiopia"/>
    <x v="1"/>
  </r>
  <r>
    <s v="Colombia Finca El Roblar"/>
    <n v="94"/>
    <s v="Medium Light"/>
    <n v="60"/>
    <n v="76"/>
    <n v="4.8499999999999996"/>
    <s v="USA"/>
    <s v="Colombia"/>
    <x v="0"/>
  </r>
  <r>
    <s v="Guatemala Bella Carmona"/>
    <n v="94"/>
    <s v="Medium Light"/>
    <n v="58"/>
    <n v="74"/>
    <n v="5.59"/>
    <s v="USA"/>
    <s v="Guatemala"/>
    <x v="0"/>
  </r>
  <r>
    <s v="Ethiopia Yirgacheffe Kochere Debo"/>
    <n v="94"/>
    <s v="Medium Light"/>
    <n v="54"/>
    <n v="70"/>
    <n v="4.12"/>
    <s v="USA"/>
    <s v="Ethiopia"/>
    <x v="1"/>
  </r>
  <r>
    <s v="Kilauea Volcano Champagne Natural"/>
    <n v="95"/>
    <s v="Light"/>
    <n v="64"/>
    <n v="80"/>
    <n v="26.41"/>
    <s v="USA"/>
    <s v="Unknown"/>
    <x v="3"/>
  </r>
  <r>
    <s v="Nicaragua La Benedicion SL28 Natural"/>
    <n v="94"/>
    <s v="Light"/>
    <n v="62"/>
    <n v="80"/>
    <n v="11.73"/>
    <s v="USA"/>
    <s v="Nicaragua"/>
    <x v="0"/>
  </r>
  <r>
    <s v="Colombia Tolima Geisha"/>
    <n v="94"/>
    <s v="Light"/>
    <n v="62"/>
    <n v="82"/>
    <n v="17.62"/>
    <s v="USA"/>
    <s v="Colombia"/>
    <x v="0"/>
  </r>
  <r>
    <s v="Ethiopia Haro Guta Natural"/>
    <n v="94"/>
    <s v="Light"/>
    <n v="62"/>
    <n v="80"/>
    <n v="176.37"/>
    <s v="Taiwan"/>
    <s v="Ethiopia"/>
    <x v="1"/>
  </r>
  <r>
    <s v="Kenya AA Kirinyaga Kii"/>
    <n v="95"/>
    <s v="Medium Light"/>
    <n v="60"/>
    <n v="78"/>
    <n v="264.55"/>
    <s v="Taiwan"/>
    <s v="Kenya"/>
    <x v="1"/>
  </r>
  <r>
    <s v="Colombia Antioquia La Papaya Bourbon Chiroso"/>
    <n v="94"/>
    <s v="Medium Light"/>
    <n v="62"/>
    <n v="76"/>
    <n v="308.64"/>
    <s v="Taiwan"/>
    <s v="Colombia"/>
    <x v="0"/>
  </r>
  <r>
    <s v="Karimiuki Espresso"/>
    <n v="96"/>
    <s v="Medium Light"/>
    <n v="58"/>
    <n v="76"/>
    <n v="6.17"/>
    <s v="USA"/>
    <s v="Kenya"/>
    <x v="1"/>
  </r>
  <r>
    <s v="Karimiuki Kenya"/>
    <n v="95"/>
    <s v="Medium Light"/>
    <n v="58"/>
    <n v="76"/>
    <n v="6.17"/>
    <s v="USA"/>
    <s v="Kenya"/>
    <x v="1"/>
  </r>
  <r>
    <s v="Colombia San Pedro"/>
    <n v="94"/>
    <s v="Medium Light"/>
    <n v="56"/>
    <n v="72"/>
    <n v="5.59"/>
    <s v="USA"/>
    <s v="Colombia"/>
    <x v="0"/>
  </r>
  <r>
    <s v="DR Congo, Gera Village, SOPACDI"/>
    <n v="94"/>
    <s v="Medium Light"/>
    <n v="58"/>
    <n v="76"/>
    <n v="6.17"/>
    <s v="USA"/>
    <s v="Democratic Republic of the Congo"/>
    <x v="1"/>
  </r>
  <r>
    <s v="El Floral Colombia"/>
    <n v="95"/>
    <s v="Medium Light"/>
    <n v="59"/>
    <n v="77"/>
    <n v="6.17"/>
    <s v="USA"/>
    <s v="Colombia"/>
    <x v="0"/>
  </r>
  <r>
    <s v="El Salvador Geisha Natural"/>
    <n v="94"/>
    <s v="Medium Light"/>
    <n v="58"/>
    <n v="74"/>
    <n v="9.9600000000000009"/>
    <s v="USA"/>
    <s v="El Salvador"/>
    <x v="0"/>
  </r>
  <r>
    <s v="Ethiopia Natural Guji Lot D Minor"/>
    <n v="95"/>
    <s v="Medium Light"/>
    <n v="58"/>
    <n v="76"/>
    <n v="121.25"/>
    <s v="Taiwan"/>
    <s v="Ethiopia"/>
    <x v="1"/>
  </r>
  <r>
    <s v="Taiwan Natural Alishan Zhuo-Wu Farm Geisha"/>
    <n v="94"/>
    <s v="Medium Light"/>
    <n v="56"/>
    <n v="72"/>
    <n v="0.88"/>
    <s v="Taiwan"/>
    <s v="Taiwan"/>
    <x v="2"/>
  </r>
  <r>
    <s v="All Rise"/>
    <n v="94"/>
    <s v="Medium Light"/>
    <n v="54"/>
    <n v="72"/>
    <n v="5.88"/>
    <s v="USA"/>
    <s v="Democratic Republic of the Congo"/>
    <x v="1"/>
  </r>
  <r>
    <s v="Costa Rica Hacienda Tobosi Copey Villa Sarchi Black Honey"/>
    <n v="94"/>
    <s v="Medium Light"/>
    <n v="52"/>
    <n v="70"/>
    <n v="204.55"/>
    <s v="Taiwan"/>
    <s v="Costa Rica"/>
    <x v="0"/>
  </r>
  <r>
    <s v="Sudan Rume"/>
    <n v="94"/>
    <s v="Light"/>
    <n v="62"/>
    <n v="80"/>
    <n v="17.64"/>
    <s v="USA"/>
    <s v="Colombia"/>
    <x v="0"/>
  </r>
  <r>
    <s v="Ethiopia Sidama Keramo Village"/>
    <n v="94"/>
    <s v="Medium Light"/>
    <n v="60"/>
    <n v="76"/>
    <n v="7.35"/>
    <s v="USA"/>
    <s v="Ethiopia"/>
    <x v="1"/>
  </r>
  <r>
    <s v="Red Bourbon Natural Exclusive Reserve"/>
    <n v="95"/>
    <s v="Medium Light"/>
    <n v="58"/>
    <n v="76"/>
    <n v="16.75"/>
    <s v="USA"/>
    <s v="USA"/>
    <x v="0"/>
  </r>
  <r>
    <s v="Nano Genji Agaro Gera"/>
    <n v="94"/>
    <s v="Medium"/>
    <n v="52"/>
    <n v="68"/>
    <n v="6.17"/>
    <s v="USA"/>
    <s v="Ethiopia"/>
    <x v="1"/>
  </r>
  <r>
    <s v="Sumatra Pantan Musara"/>
    <n v="94"/>
    <s v="Medium Light"/>
    <n v="58"/>
    <n v="74"/>
    <n v="6.17"/>
    <s v="USA"/>
    <s v="Indonesia"/>
    <x v="2"/>
  </r>
  <r>
    <s v="Kona Classic Black Rock Farm"/>
    <n v="94"/>
    <s v="Medium"/>
    <n v="52"/>
    <n v="68"/>
    <n v="16.71"/>
    <s v="USA"/>
    <s v="USA"/>
    <x v="0"/>
  </r>
  <r>
    <s v="Ethiopian Yirgacheffe Natural"/>
    <n v="94"/>
    <s v="Medium Light"/>
    <n v="58"/>
    <n v="76"/>
    <n v="5.88"/>
    <s v="USA"/>
    <s v="Ethiopia"/>
    <x v="1"/>
  </r>
  <r>
    <s v="Colombia Cauca AtвЂ™e"/>
    <n v="94"/>
    <s v="Medium Light"/>
    <n v="60"/>
    <n v="78"/>
    <n v="5.29"/>
    <s v="USA"/>
    <s v="Colombia"/>
    <x v="0"/>
  </r>
  <r>
    <s v="Sumatra Pantan Musara"/>
    <n v="94"/>
    <s v="Medium Light"/>
    <n v="54"/>
    <n v="72"/>
    <n v="7.33"/>
    <s v="USA"/>
    <s v="Indonesia"/>
    <x v="2"/>
  </r>
  <r>
    <s v="Sumatra Gayo G1 Triple-Picked Lot 005"/>
    <n v="94"/>
    <s v="Medium Light"/>
    <n v="56"/>
    <n v="74"/>
    <n v="99.21"/>
    <s v="Taiwan"/>
    <s v="Indonesia"/>
    <x v="2"/>
  </r>
  <r>
    <s v="Nano Genji #4 Espresso"/>
    <n v="96"/>
    <s v="Medium Light"/>
    <n v="56"/>
    <n v="74"/>
    <n v="5.51"/>
    <s v="USA"/>
    <s v="Ethiopia"/>
    <x v="1"/>
  </r>
  <r>
    <s v="Ignacio Quintero Colombia"/>
    <n v="95"/>
    <s v="Medium Light"/>
    <n v="58"/>
    <n v="78"/>
    <n v="5.29"/>
    <s v="USA"/>
    <s v="Colombia"/>
    <x v="0"/>
  </r>
  <r>
    <s v="KaвЂ™u Giant Maragogipe"/>
    <n v="94"/>
    <s v="Medium Light"/>
    <n v="54"/>
    <n v="68"/>
    <n v="12.35"/>
    <s v="USA"/>
    <s v="USA"/>
    <x v="0"/>
  </r>
  <r>
    <s v="Organic Ethiopia Agaro-Nano Challa"/>
    <n v="94"/>
    <s v="Medium Light"/>
    <n v="58"/>
    <n v="74"/>
    <n v="6.75"/>
    <s v="USA"/>
    <s v="Ethiopia"/>
    <x v="1"/>
  </r>
  <r>
    <s v="Kerinci Palompek Sumatra"/>
    <n v="94"/>
    <s v="Medium Light"/>
    <n v="58"/>
    <n v="78"/>
    <n v="5.23"/>
    <s v="USA"/>
    <s v="Indonesia"/>
    <x v="2"/>
  </r>
  <r>
    <s v="Kenya Embu Gicherori Factory AA Top"/>
    <n v="95"/>
    <s v="Medium Light"/>
    <n v="58"/>
    <n v="74"/>
    <n v="290"/>
    <s v="Taiwan"/>
    <s v="Kenya"/>
    <x v="1"/>
  </r>
  <r>
    <s v="Colombia Finca Lord Baltimore Papayo"/>
    <n v="94"/>
    <s v="Light"/>
    <n v="62"/>
    <n v="80"/>
    <n v="7.33"/>
    <s v="USA"/>
    <s v="Colombia"/>
    <x v="0"/>
  </r>
  <r>
    <s v="Mocha Java"/>
    <n v="96"/>
    <s v="Medium"/>
    <n v="52"/>
    <n v="68"/>
    <n v="4.26"/>
    <s v="USA"/>
    <s v="Ethiopia"/>
    <x v="1"/>
  </r>
  <r>
    <s v="Ethiopia Shantawene Washed"/>
    <n v="96"/>
    <s v="Medium Light"/>
    <n v="60"/>
    <n v="78"/>
    <n v="6.17"/>
    <s v="USA"/>
    <s v="Ethiopia"/>
    <x v="1"/>
  </r>
  <r>
    <s v="Organic Suke Quto Ethiopia"/>
    <n v="95"/>
    <s v="Medium Light"/>
    <n v="56"/>
    <n v="74"/>
    <n v="5.59"/>
    <s v="USA"/>
    <s v="Ethiopia"/>
    <x v="1"/>
  </r>
  <r>
    <s v="Kenya Tuikit Factory AA"/>
    <n v="95"/>
    <s v="Medium Light"/>
    <n v="56"/>
    <n v="72"/>
    <n v="132.28"/>
    <s v="Taiwan"/>
    <s v="Kenya"/>
    <x v="1"/>
  </r>
  <r>
    <s v="Karen J Kona Red Bourbon"/>
    <n v="94"/>
    <s v="Medium Light"/>
    <n v="58"/>
    <n v="80"/>
    <n v="4.41"/>
    <s v="USA"/>
    <s v="USA"/>
    <x v="0"/>
  </r>
  <r>
    <s v="Abu Natural Panama Geisha"/>
    <n v="94"/>
    <s v="Medium Light"/>
    <n v="58"/>
    <n v="78"/>
    <n v="20.55"/>
    <s v="USA"/>
    <s v="Panama"/>
    <x v="0"/>
  </r>
  <r>
    <s v="Colombia Finca Las Margaritas Natural Sudan Rume"/>
    <n v="94"/>
    <s v="Medium Light"/>
    <n v="55"/>
    <n v="73"/>
    <n v="17.64"/>
    <s v="USA"/>
    <s v="Colombia"/>
    <x v="0"/>
  </r>
  <r>
    <s v="Ecuador Finca Carolina Sidra"/>
    <n v="94"/>
    <s v="Medium Light"/>
    <n v="60"/>
    <n v="78"/>
    <n v="8.8000000000000007"/>
    <s v="USA"/>
    <s v="Ecuador"/>
    <x v="0"/>
  </r>
  <r>
    <s v="Gesha Village Single-Variety Gesha Special Selection"/>
    <n v="94"/>
    <s v="Medium Light"/>
    <n v="58"/>
    <n v="74"/>
    <n v="13.23"/>
    <s v="China"/>
    <s v="Ethiopia"/>
    <x v="1"/>
  </r>
  <r>
    <s v="Indestec El Paraiso"/>
    <n v="94"/>
    <s v="Medium Light"/>
    <n v="58"/>
    <n v="74"/>
    <n v="8.52"/>
    <s v="USA"/>
    <s v="Colombia"/>
    <x v="0"/>
  </r>
  <r>
    <s v="Monteblanco Cold Fermentation Geisha"/>
    <n v="94"/>
    <s v="Medium Light"/>
    <n v="57"/>
    <n v="73"/>
    <n v="8.52"/>
    <s v="USA"/>
    <s v="Colombia"/>
    <x v="0"/>
  </r>
  <r>
    <s v="Funky Chicken"/>
    <n v="94"/>
    <s v="Medium"/>
    <n v="46"/>
    <n v="64"/>
    <n v="9.8699999999999992"/>
    <s v="USA"/>
    <s v="Unknown"/>
    <x v="3"/>
  </r>
  <r>
    <s v="Yemen Al-Obbarat"/>
    <n v="95"/>
    <s v="Medium Light"/>
    <n v="54"/>
    <n v="72"/>
    <n v="44.05"/>
    <s v="USA"/>
    <s v="Yemen"/>
    <x v="1"/>
  </r>
  <r>
    <s v="Ecuador Quilanga Typica Yeast Fermentation"/>
    <n v="94"/>
    <s v="Medium Light"/>
    <n v="57"/>
    <n v="73"/>
    <n v="6.75"/>
    <s v="USA"/>
    <s v="Ecuador"/>
    <x v="0"/>
  </r>
  <r>
    <s v="Ethiopia Natural Guji PB JackyLai Lot"/>
    <n v="94"/>
    <s v="Medium Light"/>
    <n v="56"/>
    <n v="76"/>
    <n v="132.28"/>
    <s v="Taiwan"/>
    <s v="Ethiopia"/>
    <x v="1"/>
  </r>
  <r>
    <s v="Ethiopia Wush Wush"/>
    <n v="96"/>
    <s v="Light"/>
    <n v="62"/>
    <n v="80"/>
    <n v="9.6999999999999993"/>
    <s v="USA"/>
    <s v="Ethiopia"/>
    <x v="1"/>
  </r>
  <r>
    <s v="Ethiopia Hassen Ware Akrabi"/>
    <n v="94"/>
    <s v="Medium Light"/>
    <n v="58"/>
    <n v="74"/>
    <n v="6.61"/>
    <s v="USA"/>
    <s v="Ethiopia"/>
    <x v="1"/>
  </r>
  <r>
    <s v="Costa Rica Luis Campos Anaerobic"/>
    <n v="94"/>
    <s v="Medium Light"/>
    <n v="58"/>
    <n v="76"/>
    <n v="6.76"/>
    <s v="USA"/>
    <s v="Costa Rica"/>
    <x v="0"/>
  </r>
  <r>
    <s v="Colombia Granja La Esperanza Tres Dragones"/>
    <n v="94"/>
    <s v="Medium Light"/>
    <n v="60"/>
    <n v="74"/>
    <n v="6.91"/>
    <s v="USA"/>
    <s v="Colombia"/>
    <x v="0"/>
  </r>
  <r>
    <s v="Colombia Finca La Loma Microlot"/>
    <n v="94"/>
    <s v="Medium Light"/>
    <n v="58"/>
    <n v="76"/>
    <n v="4.8499999999999996"/>
    <s v="USA"/>
    <s v="Colombia"/>
    <x v="0"/>
  </r>
  <r>
    <s v="Kenya Kiambu AB Uklili 1905 Lot"/>
    <n v="94"/>
    <s v="Medium Light"/>
    <n v="58"/>
    <n v="76"/>
    <n v="132.28"/>
    <s v="Taiwan"/>
    <s v="Kenya"/>
    <x v="1"/>
  </r>
  <r>
    <s v="Elida Natural Dragonfly Lot"/>
    <n v="95"/>
    <s v="Medium Light"/>
    <n v="54"/>
    <n v="70"/>
    <n v="5.88"/>
    <s v="USA"/>
    <s v="Panama"/>
    <x v="0"/>
  </r>
  <r>
    <s v="Kona Laurina Pointu"/>
    <n v="94"/>
    <s v="Medium Light"/>
    <n v="56"/>
    <n v="70"/>
    <n v="25.2"/>
    <s v="USA"/>
    <s v="USA"/>
    <x v="0"/>
  </r>
  <r>
    <s v="Dadaocheng Garden Blend Espresso"/>
    <n v="94"/>
    <s v="Medium"/>
    <n v="52"/>
    <n v="68"/>
    <n v="175"/>
    <s v="Taiwan"/>
    <s v="Guatemala"/>
    <x v="0"/>
  </r>
  <r>
    <s v="Ethiopia Dimtu"/>
    <n v="95"/>
    <s v="Medium Light"/>
    <n v="58"/>
    <n v="82"/>
    <n v="6.17"/>
    <s v="USA"/>
    <s v="Ethiopia"/>
    <x v="1"/>
  </r>
  <r>
    <s v="Ethiopia Sidama Anaerobic"/>
    <n v="94"/>
    <s v="Medium Light"/>
    <n v="58"/>
    <n v="78"/>
    <n v="5.81"/>
    <s v="USA"/>
    <s v="Ethiopia"/>
    <x v="1"/>
  </r>
  <r>
    <s v="Kenya Kiri Peaberry"/>
    <n v="94"/>
    <s v="Medium Light"/>
    <n v="56"/>
    <n v="74"/>
    <n v="5.59"/>
    <s v="USA"/>
    <s v="Kenya"/>
    <x v="1"/>
  </r>
  <r>
    <s v="Ethiopia Violent Andromeda Natural"/>
    <n v="94"/>
    <s v="Medium"/>
    <n v="48"/>
    <n v="66"/>
    <n v="300"/>
    <s v="Taiwan"/>
    <s v="Ethiopia"/>
    <x v="1"/>
  </r>
  <r>
    <s v="Kenya Nyeri Yerihar AA Lot 1901 Espresso"/>
    <n v="95"/>
    <s v="Medium Light"/>
    <n v="52"/>
    <n v="78"/>
    <n v="143.30000000000001"/>
    <s v="Taiwan"/>
    <s v="Kenya"/>
    <x v="1"/>
  </r>
  <r>
    <s v="Costa Rica Aris Red Honey Lot 1901 Espresso"/>
    <n v="95"/>
    <s v="Medium"/>
    <n v="50"/>
    <n v="68"/>
    <n v="88.18"/>
    <s v="Taiwan"/>
    <s v="Costa Rica"/>
    <x v="0"/>
  </r>
  <r>
    <s v="100% Kona Bourbon Pointu Laurina"/>
    <n v="95"/>
    <s v="Medium Light"/>
    <n v="53"/>
    <n v="75"/>
    <n v="27.76"/>
    <s v="USA"/>
    <s v="USA"/>
    <x v="0"/>
  </r>
  <r>
    <s v="Panama Hacienda La Esmeralda Geisha Natural Special Auction ES-N-2"/>
    <n v="94"/>
    <s v="Medium Light"/>
    <n v="54"/>
    <n v="72"/>
    <n v="1410.93"/>
    <s v="Taiwan"/>
    <s v="Panama"/>
    <x v="0"/>
  </r>
  <r>
    <s v="El Salvador Finca El Cerro Natural"/>
    <n v="94"/>
    <s v="Medium Light"/>
    <n v="58"/>
    <n v="78"/>
    <n v="6.76"/>
    <s v="USA"/>
    <s v="El Salvador"/>
    <x v="0"/>
  </r>
  <r>
    <s v="Halo Hartume Espresso"/>
    <n v="94"/>
    <s v="Medium Light"/>
    <n v="57"/>
    <n v="77"/>
    <n v="5.26"/>
    <s v="USA"/>
    <s v="Ethiopia"/>
    <x v="1"/>
  </r>
  <r>
    <s v="Giusto Organic Espresso Blend"/>
    <n v="94"/>
    <s v="Medium"/>
    <n v="48"/>
    <n v="60"/>
    <n v="4.1900000000000004"/>
    <s v="USA"/>
    <s v="Unknown"/>
    <x v="3"/>
  </r>
  <r>
    <s v="Berg Wu Championship Selection Yirgacheffe G1 Natural Lot 19/01"/>
    <n v="95"/>
    <s v="Medium Light"/>
    <n v="60"/>
    <n v="78"/>
    <n v="275"/>
    <s v="Taiwan"/>
    <s v="Ethiopia"/>
    <x v="1"/>
  </r>
  <r>
    <s v="Ethiopia Mulegeta Sintayehu Washed"/>
    <n v="94"/>
    <s v="Medium Light"/>
    <n v="59"/>
    <n v="77"/>
    <n v="500"/>
    <s v="Taiwan"/>
    <s v="Ethiopia"/>
    <x v="1"/>
  </r>
  <r>
    <s v="Ecuador Eugenioides Natural Finca Perla Negra"/>
    <n v="94"/>
    <s v="Medium Light"/>
    <n v="55"/>
    <n v="73"/>
    <n v="10.29"/>
    <s v="USA"/>
    <s v="Ecuador"/>
    <x v="0"/>
  </r>
  <r>
    <s v="Panama Esmeralda Geisha Natural"/>
    <n v="96"/>
    <s v="Medium Light"/>
    <n v="56"/>
    <n v="74"/>
    <n v="17.59"/>
    <s v="USA"/>
    <s v="Panama"/>
    <x v="0"/>
  </r>
  <r>
    <s v="Ethiopia Suke Quto Honey"/>
    <n v="95"/>
    <s v="Medium Light"/>
    <n v="52"/>
    <n v="70"/>
    <n v="5.81"/>
    <s v="USA"/>
    <s v="Ethiopia"/>
    <x v="1"/>
  </r>
  <r>
    <s v="Kenya FSC AB"/>
    <n v="94"/>
    <s v="Medium"/>
    <n v="50"/>
    <n v="67"/>
    <n v="1"/>
    <s v="Taiwan"/>
    <s v="Kenya"/>
    <x v="1"/>
  </r>
  <r>
    <s v="Ceri Ceri Meriah Coffee"/>
    <n v="94"/>
    <s v="Medium Light"/>
    <n v="54"/>
    <n v="72"/>
    <n v="60"/>
    <s v="Indonesia"/>
    <s v="Indonesia"/>
    <x v="2"/>
  </r>
  <r>
    <s v="Alamendah Patuha Coffee"/>
    <n v="94"/>
    <s v="Medium"/>
    <n v="50"/>
    <n v="66"/>
    <n v="60"/>
    <s v="Indonesia"/>
    <s v="Indonesia"/>
    <x v="2"/>
  </r>
  <r>
    <s v="Holiday Blend"/>
    <n v="94"/>
    <s v="Medium Light"/>
    <n v="54"/>
    <n v="74"/>
    <n v="8"/>
    <s v="China"/>
    <s v="Ethiopia"/>
    <x v="1"/>
  </r>
  <r>
    <s v="2019 Celebration"/>
    <n v="94"/>
    <s v="Medium"/>
    <n v="47"/>
    <n v="67"/>
    <n v="5.51"/>
    <s v="USA"/>
    <s v="Guatemala"/>
    <x v="0"/>
  </r>
  <r>
    <s v="Kenya Kiandu Peaberry"/>
    <n v="95"/>
    <s v="Medium Light"/>
    <n v="56"/>
    <n v="74"/>
    <n v="285"/>
    <s v="Taiwan"/>
    <s v="Kenya"/>
    <x v="1"/>
  </r>
  <r>
    <s v="Sumatra Raja Harimau Lintong Espresso"/>
    <n v="96"/>
    <s v="Medium"/>
    <n v="44"/>
    <n v="61"/>
    <n v="121.25"/>
    <s v="Taiwan"/>
    <s v="Indonesia"/>
    <x v="2"/>
  </r>
  <r>
    <s v="Panama Esmeralda Geisha PortГіn Oro Yeast"/>
    <n v="94"/>
    <s v="Medium Light"/>
    <n v="59"/>
    <n v="77"/>
    <n v="41.12"/>
    <s v="USA"/>
    <s v="Panama"/>
    <x v="0"/>
  </r>
  <r>
    <s v="Kenya Kiambu Peaberry Uklili 1904 Lot"/>
    <n v="94"/>
    <s v="Medium"/>
    <n v="50"/>
    <n v="68"/>
    <n v="132.28"/>
    <s v="Taiwan"/>
    <s v="Kenya"/>
    <x v="1"/>
  </r>
  <r>
    <s v="Kenya Kiambu AB Uklili 1903 Lot"/>
    <n v="94"/>
    <s v="Medium Light"/>
    <n v="52"/>
    <n v="70"/>
    <n v="132.28"/>
    <s v="Taiwan"/>
    <s v="Kenya"/>
    <x v="1"/>
  </r>
  <r>
    <s v="Ethiopia Natural Yirgacheffe Blue Donkey Lot #2"/>
    <n v="94"/>
    <s v="Medium Light"/>
    <n v="56"/>
    <n v="78"/>
    <n v="132.28"/>
    <s v="Taiwan"/>
    <s v="Ethiopia"/>
    <x v="1"/>
  </r>
  <r>
    <s v="Ethiopia Nansebo Worka"/>
    <n v="95"/>
    <s v="Medium Light"/>
    <n v="56"/>
    <n v="74"/>
    <n v="6.17"/>
    <s v="USA"/>
    <s v="Ethiopia"/>
    <x v="1"/>
  </r>
  <r>
    <s v="Panama Elida Geisha Natural 1029"/>
    <n v="97"/>
    <s v="Medium Light"/>
    <n v="54"/>
    <n v="74"/>
    <n v="555.55999999999995"/>
    <s v="USA"/>
    <s v="Panama"/>
    <x v="0"/>
  </r>
  <r>
    <s v="Port of Mokha Yemen JSP"/>
    <n v="97"/>
    <s v="Medium"/>
    <n v="44"/>
    <n v="58"/>
    <n v="60"/>
    <s v="China"/>
    <s v="Yemen"/>
    <x v="1"/>
  </r>
  <r>
    <s v="Panama Elida Natural Catuai"/>
    <n v="95"/>
    <s v="Medium Light"/>
    <n v="58"/>
    <n v="78"/>
    <n v="6.45"/>
    <s v="USA"/>
    <s v="Panama"/>
    <x v="0"/>
  </r>
  <r>
    <s v="Cate Natural G5"/>
    <n v="95"/>
    <s v="Medium Light"/>
    <n v="52"/>
    <n v="70"/>
    <n v="100"/>
    <s v="Taiwan"/>
    <s v="Ethiopia"/>
    <x v="1"/>
  </r>
  <r>
    <s v="Harimau Tiger Sumatra"/>
    <n v="96"/>
    <s v="Medium Light"/>
    <n v="52"/>
    <n v="70"/>
    <n v="5.0599999999999996"/>
    <s v="USA"/>
    <s v="Indonesia"/>
    <x v="2"/>
  </r>
  <r>
    <s v="Gachami Kenya"/>
    <n v="94"/>
    <s v="Medium Light"/>
    <n v="56"/>
    <n v="72"/>
    <n v="5.64"/>
    <s v="USA"/>
    <s v="Kenya"/>
    <x v="1"/>
  </r>
  <r>
    <s v="Ethiopia Natural вЂњPhoenixвЂќ"/>
    <n v="95"/>
    <s v="Medium"/>
    <n v="44"/>
    <n v="60"/>
    <n v="0.44"/>
    <s v="Taiwan"/>
    <s v="Ethiopia"/>
    <x v="1"/>
  </r>
  <r>
    <s v="Costa Rica SL-28 Yellow Honey Espresso"/>
    <n v="95"/>
    <s v="Medium Dark"/>
    <n v="38"/>
    <n v="46"/>
    <n v="0.44"/>
    <s v="Taiwan"/>
    <s v="Costa Rica"/>
    <x v="0"/>
  </r>
  <r>
    <s v="Washed Geisha Hacienda La Esmeralda Jaramillo Special"/>
    <n v="97"/>
    <s v="Medium Light"/>
    <n v="56"/>
    <n v="76"/>
    <n v="110.23"/>
    <s v="USA"/>
    <s v="Panama"/>
    <x v="0"/>
  </r>
  <r>
    <s v="Panama Perci Geisha Natural"/>
    <n v="96"/>
    <s v="Medium Light"/>
    <n v="52"/>
    <n v="72"/>
    <n v="26.46"/>
    <s v="USA"/>
    <s v="Panama"/>
    <x v="0"/>
  </r>
  <r>
    <s v="Elida Estate Geisha Green-Tip Natural"/>
    <n v="98"/>
    <s v="Medium Light"/>
    <n v="54"/>
    <n v="78"/>
    <n v="476.19"/>
    <s v="USA"/>
    <s v="Panama"/>
    <x v="0"/>
  </r>
  <r>
    <s v="Washed Kenya"/>
    <n v="95"/>
    <s v="Medium"/>
    <n v="47"/>
    <n v="67"/>
    <n v="244.44"/>
    <s v="Taiwan"/>
    <s v="Kenya"/>
    <x v="1"/>
  </r>
  <r>
    <s v="Panama Hacienda La Esmeralda Super Mario Geisha"/>
    <n v="96"/>
    <s v="Medium Light"/>
    <n v="54"/>
    <n v="78"/>
    <n v="100"/>
    <s v="Australia"/>
    <s v="Panama"/>
    <x v="0"/>
  </r>
  <r>
    <s v="Kenya Gakundu FCS Kamviu Wet Mill"/>
    <n v="94"/>
    <s v="Medium Light"/>
    <n v="56"/>
    <n v="78"/>
    <n v="6.17"/>
    <s v="Canada"/>
    <s v="Kenya"/>
    <x v="1"/>
  </r>
  <r>
    <s v="Rukira Kenya"/>
    <n v="94"/>
    <s v="Medium Light"/>
    <n v="58"/>
    <n v="80"/>
    <n v="6"/>
    <s v="USA"/>
    <s v="Kenya"/>
    <x v="1"/>
  </r>
  <r>
    <s v="Gesha Village Lot #85 Natural"/>
    <n v="95"/>
    <s v="Medium Light"/>
    <n v="54"/>
    <n v="72"/>
    <n v="17.61"/>
    <s v="USA"/>
    <s v="Ethiopia"/>
    <x v="1"/>
  </r>
  <r>
    <s v="Ethiopia Natural Yirgacheffe Banko Gotiti"/>
    <n v="94"/>
    <s v="Medium Light"/>
    <n v="52"/>
    <n v="70"/>
    <n v="143.30000000000001"/>
    <s v="Taiwan"/>
    <s v="Ethiopia"/>
    <x v="1"/>
  </r>
  <r>
    <s v="Indonesia Sumatra Gayo Espresso"/>
    <n v="94"/>
    <s v="Dark"/>
    <n v="36"/>
    <n v="44"/>
    <n v="264.56"/>
    <s v="Taiwan"/>
    <s v="Indonesia"/>
    <x v="2"/>
  </r>
  <r>
    <s v="Ethiopia Limu Nano Challa Lot #10"/>
    <n v="94"/>
    <s v="Medium Light"/>
    <n v="54"/>
    <n v="74"/>
    <n v="5.73"/>
    <s v="USA"/>
    <s v="Ethiopia"/>
    <x v="1"/>
  </r>
  <r>
    <s v="Best of Panama GNEP-01 Elida Geisha Green Tip Natural"/>
    <n v="97"/>
    <s v="Medium Light"/>
    <n v="55"/>
    <n v="73"/>
    <n v="188.88"/>
    <s v="USA"/>
    <s v="Panama"/>
    <x v="0"/>
  </r>
  <r>
    <s v="Geisha XO"/>
    <n v="96"/>
    <s v="Medium"/>
    <n v="54"/>
    <n v="62"/>
    <n v="26.46"/>
    <s v="USA"/>
    <s v="Colombia"/>
    <x v="0"/>
  </r>
  <r>
    <s v="Colombia Finca La Maria Geisha Natural"/>
    <n v="96"/>
    <s v="Medium Light"/>
    <n v="57"/>
    <n v="74"/>
    <n v="32.299999999999997"/>
    <s v="USA"/>
    <s v="Colombia"/>
    <x v="0"/>
  </r>
  <r>
    <s v="Panama Finca Kalithea Natural Geisha"/>
    <n v="96"/>
    <s v="Medium Light"/>
    <n v="55"/>
    <n v="79"/>
    <n v="661.38"/>
    <s v="Taiwan"/>
    <s v="Panama"/>
    <x v="0"/>
  </r>
  <r>
    <s v="Panama Hacienda La Esmeralda Super Mario 6 Geisha"/>
    <n v="95"/>
    <s v="Medium Light"/>
    <n v="51"/>
    <n v="71"/>
    <n v="26.46"/>
    <s v="USA"/>
    <s v="Panama"/>
    <x v="0"/>
  </r>
  <r>
    <s v="Panama Geisha Alto Jaramillo"/>
    <n v="94"/>
    <s v="Medium Light"/>
    <n v="53"/>
    <n v="71"/>
    <n v="35.270000000000003"/>
    <s v="USA"/>
    <s v="Panama"/>
    <x v="0"/>
  </r>
  <r>
    <s v="Colombia Laderas del Tapias Estate Natural Geisha"/>
    <n v="94"/>
    <s v="Medium Light"/>
    <n v="52"/>
    <n v="70"/>
    <n v="586.96"/>
    <s v="Taiwan"/>
    <s v="Colombia"/>
    <x v="0"/>
  </r>
  <r>
    <s v="Gesha Village Natural Lot #19"/>
    <n v="94"/>
    <s v="Medium Light"/>
    <n v="58"/>
    <n v="80"/>
    <n v="1200"/>
    <s v="Taiwan"/>
    <s v="Ethiopia"/>
    <x v="1"/>
  </r>
  <r>
    <s v="Gesha Village 1931 Lot 27"/>
    <n v="94"/>
    <s v="Medium Light"/>
    <n v="60"/>
    <n v="78"/>
    <n v="22.05"/>
    <s v="USA"/>
    <s v="Ethiopia"/>
    <x v="1"/>
  </r>
  <r>
    <s v="Ethiopia Sidamo Gora Kone"/>
    <n v="94"/>
    <s v="Medium Light"/>
    <n v="59"/>
    <n v="72"/>
    <n v="5.59"/>
    <s v="USA"/>
    <s v="Ethiopia"/>
    <x v="1"/>
  </r>
  <r>
    <s v="Kebele Village Espresso"/>
    <n v="94"/>
    <s v="Medium Light"/>
    <n v="52"/>
    <n v="70"/>
    <n v="5.03"/>
    <s v="USA"/>
    <s v="Ethiopia"/>
    <x v="1"/>
  </r>
  <r>
    <s v="Panama Finca San Sebastian"/>
    <n v="94"/>
    <s v="Medium Light"/>
    <n v="53"/>
    <n v="71"/>
    <n v="3.53"/>
    <s v="USA"/>
    <s v="Panama"/>
    <x v="0"/>
  </r>
  <r>
    <s v="Yirgacheffe Gedeb G1 Natural"/>
    <n v="94"/>
    <s v="Light"/>
    <n v="62"/>
    <n v="83"/>
    <n v="154.32"/>
    <s v="Taiwan"/>
    <s v="Ethiopia"/>
    <x v="1"/>
  </r>
  <r>
    <s v="Kenya Kiambu Uklili AA"/>
    <n v="95"/>
    <s v="Medium"/>
    <n v="52"/>
    <n v="68"/>
    <n v="154.32"/>
    <s v="Taiwan"/>
    <s v="Kenya"/>
    <x v="1"/>
  </r>
  <r>
    <s v="Ethiopia Guji Shakisso Natural Lot 24"/>
    <n v="94"/>
    <s v="Medium Light"/>
    <n v="53"/>
    <n v="71"/>
    <n v="114.64"/>
    <s v="Taiwan"/>
    <s v="Ethiopia"/>
    <x v="1"/>
  </r>
  <r>
    <s v="Ethiopia Washed Yirgacheffe Nafasha Lot"/>
    <n v="94"/>
    <s v="Medium Light"/>
    <n v="55"/>
    <n v="77"/>
    <n v="121.25"/>
    <s v="Taiwan"/>
    <s v="Ethiopia"/>
    <x v="1"/>
  </r>
  <r>
    <s v="El Salvador"/>
    <n v="94"/>
    <s v="Medium"/>
    <n v="47"/>
    <n v="59"/>
    <n v="8.66"/>
    <s v="China"/>
    <s v="El Salvador"/>
    <x v="0"/>
  </r>
  <r>
    <s v="Ethiopia Kayon Mountain Natural"/>
    <n v="94"/>
    <s v="Medium"/>
    <n v="50"/>
    <n v="70"/>
    <n v="6.17"/>
    <s v="USA"/>
    <s v="Ethiopia"/>
    <x v="1"/>
  </r>
  <r>
    <s v="Ethiopia Natural Yirgacheffe Blue Donkey Lot"/>
    <n v="94"/>
    <s v="Medium Light"/>
    <n v="57"/>
    <n v="75"/>
    <n v="132.28"/>
    <s v="Taiwan"/>
    <s v="Ethiopia"/>
    <x v="1"/>
  </r>
  <r>
    <s v="Geisha Village Auction Lot #11"/>
    <n v="94"/>
    <s v="Medium Light"/>
    <n v="52"/>
    <n v="75"/>
    <n v="22.71"/>
    <s v="USA"/>
    <s v="Ethiopia"/>
    <x v="1"/>
  </r>
  <r>
    <s v="Ethiopia Yirgacheffe Chelelektu Natural"/>
    <n v="96"/>
    <s v="Medium Light"/>
    <n v="58"/>
    <n v="82"/>
    <n v="5.29"/>
    <s v="USA"/>
    <s v="Ethiopia"/>
    <x v="1"/>
  </r>
  <r>
    <s v="Kenya Kimaruri"/>
    <n v="94"/>
    <s v="Medium Light"/>
    <n v="54"/>
    <n v="72"/>
    <n v="6.76"/>
    <s v="USA"/>
    <s v="Kenya"/>
    <x v="1"/>
  </r>
  <r>
    <s v="Kenya Handege"/>
    <n v="94"/>
    <s v="Medium"/>
    <n v="53"/>
    <n v="65"/>
    <n v="5.59"/>
    <s v="USA"/>
    <s v="Kenya"/>
    <x v="1"/>
  </r>
  <r>
    <s v="Colombia Valle del Cauca Cerro Azul Geisha"/>
    <n v="96"/>
    <s v="Medium"/>
    <n v="48"/>
    <n v="67"/>
    <n v="16.670000000000002"/>
    <s v="USA"/>
    <s v="Colombia"/>
    <x v="0"/>
  </r>
  <r>
    <s v="Green-Tip Geisha"/>
    <n v="94"/>
    <s v="Medium Light"/>
    <n v="56"/>
    <n v="78"/>
    <n v="15.43"/>
    <s v="Mexico"/>
    <s v="Mexico"/>
    <x v="0"/>
  </r>
  <r>
    <s v="Barichu Double"/>
    <n v="94"/>
    <s v="Medium Light"/>
    <n v="53"/>
    <n v="75"/>
    <n v="11.76"/>
    <s v="USA"/>
    <s v="Kenya"/>
    <x v="1"/>
  </r>
  <r>
    <s v="Rukera Kenya"/>
    <n v="97"/>
    <s v="Medium Light"/>
    <n v="54"/>
    <n v="78"/>
    <n v="6.23"/>
    <s v="USA"/>
    <s v="Kenya"/>
    <x v="1"/>
  </r>
  <r>
    <s v="Rukera Espresso"/>
    <n v="97"/>
    <s v="Medium Light"/>
    <n v="54"/>
    <n v="78"/>
    <n v="6.23"/>
    <s v="USA"/>
    <s v="Kenya"/>
    <x v="1"/>
  </r>
  <r>
    <s v="The Core Espresso"/>
    <n v="94"/>
    <s v="Medium"/>
    <n v="45"/>
    <n v="67"/>
    <n v="5.07"/>
    <s v="USA"/>
    <s v="Unknown"/>
    <x v="3"/>
  </r>
  <r>
    <s v="Espresso Mandarina"/>
    <n v="94"/>
    <s v="Medium"/>
    <n v="46"/>
    <n v="68"/>
    <n v="4.9800000000000004"/>
    <s v="USA"/>
    <s v="Ethiopia"/>
    <x v="1"/>
  </r>
  <r>
    <s v="SOB Espresso"/>
    <n v="94"/>
    <s v="Medium"/>
    <n v="46"/>
    <n v="68"/>
    <n v="5.57"/>
    <s v="USA"/>
    <s v="Colombia"/>
    <x v="0"/>
  </r>
  <r>
    <s v="Ethiopia Gedeb Worka Sakaro"/>
    <n v="95"/>
    <s v="Medium Light"/>
    <n v="60"/>
    <n v="78"/>
    <n v="293.33"/>
    <s v="Taiwan"/>
    <s v="Ethiopia"/>
    <x v="1"/>
  </r>
  <r>
    <s v="La Belleza Colombia"/>
    <n v="94"/>
    <s v="Medium Light"/>
    <n v="57"/>
    <n v="79"/>
    <n v="5.73"/>
    <s v="USA"/>
    <s v="Colombia"/>
    <x v="0"/>
  </r>
  <r>
    <s v="Colombia Pink Bourbon"/>
    <n v="94"/>
    <s v="Medium Light"/>
    <n v="56"/>
    <n v="74"/>
    <n v="7.33"/>
    <s v="USA"/>
    <s v="Colombia"/>
    <x v="0"/>
  </r>
  <r>
    <s v="Crystalina"/>
    <n v="94"/>
    <s v="Medium Light"/>
    <n v="60"/>
    <n v="78"/>
    <n v="5.88"/>
    <s v="USA"/>
    <s v="Colombia"/>
    <x v="0"/>
  </r>
  <r>
    <s v="Kenya Kiambu Gititu AA"/>
    <n v="94"/>
    <s v="Medium Light"/>
    <n v="55"/>
    <n v="75"/>
    <n v="158.72999999999999"/>
    <s v="Taiwan"/>
    <s v="Kenya"/>
    <x v="1"/>
  </r>
  <r>
    <s v="Ninety Plus Gesha Estates JBC Custom Lot #252"/>
    <n v="94"/>
    <s v="Medium Light"/>
    <n v="55"/>
    <n v="74"/>
    <n v="43.65"/>
    <s v="USA"/>
    <s v="Panama"/>
    <x v="0"/>
  </r>
  <r>
    <s v="La Palma Y El Tucan Hero Series Colombia Sidra Lot #190"/>
    <n v="96"/>
    <s v="Medium Light"/>
    <n v="57"/>
    <n v="83"/>
    <n v="26.46"/>
    <s v="USA"/>
    <s v="Colombia"/>
    <x v="0"/>
  </r>
  <r>
    <s v="KaвЂ™u Champagne Natural"/>
    <n v="94"/>
    <s v="Light"/>
    <n v="58"/>
    <n v="84"/>
    <n v="17.59"/>
    <s v="USA"/>
    <s v="USA"/>
    <x v="0"/>
  </r>
  <r>
    <s v="Monarch Gesha"/>
    <n v="94"/>
    <s v="Medium Light"/>
    <n v="51"/>
    <n v="73"/>
    <n v="37.04"/>
    <s v="USA"/>
    <s v="Unknown"/>
    <x v="3"/>
  </r>
  <r>
    <s v="Australian Blend Espresso"/>
    <n v="95"/>
    <s v="Medium Light"/>
    <n v="51"/>
    <n v="73"/>
    <n v="9.5"/>
    <s v="China"/>
    <s v="Ethiopia"/>
    <x v="1"/>
  </r>
  <r>
    <s v="Colombia Tolima Monteverde Estate Natural Wush Wush"/>
    <n v="94"/>
    <s v="Medium"/>
    <n v="53"/>
    <n v="64"/>
    <n v="533.33000000000004"/>
    <s v="Taiwan"/>
    <s v="Colombia"/>
    <x v="0"/>
  </r>
  <r>
    <s v="Ethiopia Oromia Guji Washed"/>
    <n v="94"/>
    <s v="Medium Light"/>
    <n v="60"/>
    <n v="79"/>
    <n v="266.67"/>
    <s v="Taiwan"/>
    <s v="Ethiopia"/>
    <x v="1"/>
  </r>
  <r>
    <s v="Kenya MurangвЂ™a Githiga AA"/>
    <n v="94"/>
    <s v="Medium Light"/>
    <n v="53"/>
    <n v="75"/>
    <n v="5.95"/>
    <s v="Taiwan"/>
    <s v="Kenya"/>
    <x v="1"/>
  </r>
  <r>
    <s v="Ethiopia Sidama Shantewene"/>
    <n v="95"/>
    <s v="Medium Light"/>
    <n v="58"/>
    <n v="82"/>
    <n v="5.59"/>
    <s v="USA"/>
    <s v="Ethiopia"/>
    <x v="1"/>
  </r>
  <r>
    <s v="Gesha Rebecca Natural"/>
    <n v="95"/>
    <s v="Medium Light"/>
    <n v="58"/>
    <n v="80"/>
    <n v="154.32"/>
    <s v="Taiwan"/>
    <s v="Ethiopia"/>
    <x v="1"/>
  </r>
  <r>
    <s v="CafГ© Granja La Esperanza Sudan Rume Natural"/>
    <n v="95"/>
    <s v="Medium"/>
    <n v="51"/>
    <n v="69"/>
    <n v="16.53"/>
    <s v="USA"/>
    <s v="Colombia"/>
    <x v="0"/>
  </r>
  <r>
    <s v="Boru Batak Sumatra"/>
    <n v="94"/>
    <s v="Medium Light"/>
    <n v="53"/>
    <n v="75"/>
    <n v="5.29"/>
    <s v="Canada"/>
    <s v="Indonesia"/>
    <x v="2"/>
  </r>
  <r>
    <s v="Sumatra Tano Batak"/>
    <n v="94"/>
    <s v="Medium Light"/>
    <n v="55"/>
    <n v="68"/>
    <n v="5.29"/>
    <s v="USA"/>
    <s v="Indonesia"/>
    <x v="2"/>
  </r>
  <r>
    <s v="Sumatra Lintong"/>
    <n v="95"/>
    <s v="Medium"/>
    <n v="51"/>
    <n v="68"/>
    <n v="5"/>
    <s v="USA"/>
    <s v="Indonesia"/>
    <x v="2"/>
  </r>
  <r>
    <s v="Ethiopia Natural Guji Hambela G1 Bishan Fugu"/>
    <n v="95"/>
    <s v="Medium Light"/>
    <n v="51"/>
    <n v="73"/>
    <n v="143.30000000000001"/>
    <s v="Taiwan"/>
    <s v="Ethiopia"/>
    <x v="1"/>
  </r>
  <r>
    <s v="Tanzania Tarime AB"/>
    <n v="94"/>
    <s v="Medium Light"/>
    <n v="56"/>
    <n v="80"/>
    <n v="5"/>
    <s v="USA"/>
    <s v="Tanzania"/>
    <x v="1"/>
  </r>
  <r>
    <s v="El Salvador Cerro Las Ranas Honey Espresso"/>
    <n v="94"/>
    <s v="Medium Light"/>
    <n v="50"/>
    <n v="74"/>
    <n v="79.37"/>
    <s v="Taiwan"/>
    <s v="El Salvador"/>
    <x v="0"/>
  </r>
  <r>
    <s v="Panama Baru Geisha Black"/>
    <n v="94"/>
    <s v="Medium Light"/>
    <n v="52"/>
    <n v="74"/>
    <n v="485.01"/>
    <s v="Taiwan"/>
    <s v="Panama"/>
    <x v="0"/>
  </r>
  <r>
    <s v="Flight Seasonal Espresso"/>
    <n v="94"/>
    <s v="Medium Light"/>
    <n v="54"/>
    <n v="78"/>
    <n v="5.29"/>
    <s v="USA"/>
    <s v="Ethiopia"/>
    <x v="1"/>
  </r>
  <r>
    <s v="Eaagads Estate Kenya"/>
    <n v="94"/>
    <s v="Medium Light"/>
    <n v="52"/>
    <n v="76"/>
    <n v="5.59"/>
    <s v="USA"/>
    <s v="Kenya"/>
    <x v="1"/>
  </r>
  <r>
    <s v="Ethiopia Guji"/>
    <n v="94"/>
    <s v="Medium Light"/>
    <n v="54"/>
    <n v="78"/>
    <n v="5.29"/>
    <s v="USA"/>
    <s v="Ethiopia"/>
    <x v="1"/>
  </r>
  <r>
    <s v="Ethiopia Yirgacheffe G1"/>
    <n v="94"/>
    <s v="Light"/>
    <n v="58"/>
    <n v="84"/>
    <n v="111.11"/>
    <s v="Taiwan"/>
    <s v="Ethiopia"/>
    <x v="1"/>
  </r>
  <r>
    <s v="Kenya Karindundu AA Small Lot Reserve"/>
    <n v="97"/>
    <s v="Medium Light"/>
    <n v="54"/>
    <n v="78"/>
    <n v="5.29"/>
    <s v="USA"/>
    <s v="Kenya"/>
    <x v="1"/>
  </r>
  <r>
    <s v="Rwanda Kanzu"/>
    <n v="94"/>
    <s v="Medium Light"/>
    <n v="55"/>
    <n v="77"/>
    <n v="7.05"/>
    <s v="USA"/>
    <s v="Rwanda"/>
    <x v="1"/>
  </r>
  <r>
    <s v="Ethiopia Kochere Natural"/>
    <n v="94"/>
    <s v="Medium Light"/>
    <n v="52"/>
    <n v="74"/>
    <n v="5.29"/>
    <s v="USA"/>
    <s v="Ethiopia"/>
    <x v="1"/>
  </r>
  <r>
    <s v="Kenya Thirikwa Single-Origin Espresso"/>
    <n v="94"/>
    <s v="Medium"/>
    <n v="42"/>
    <n v="64"/>
    <n v="6.47"/>
    <s v="USA"/>
    <s v="Kenya"/>
    <x v="1"/>
  </r>
  <r>
    <s v="Sumatra Tano Batak"/>
    <n v="95"/>
    <s v="Medium Light"/>
    <n v="54"/>
    <n v="76"/>
    <n v="6.17"/>
    <s v="USA"/>
    <s v="Indonesia"/>
    <x v="2"/>
  </r>
  <r>
    <s v="Rwanda Mushonyi Natural"/>
    <n v="94"/>
    <s v="Medium Light"/>
    <n v="54"/>
    <n v="78"/>
    <n v="8.8000000000000007"/>
    <s v="USA"/>
    <s v="Rwanda"/>
    <x v="1"/>
  </r>
  <r>
    <s v="Ethiopia Hambela Natural Organic"/>
    <n v="94"/>
    <s v="Medium Light"/>
    <n v="52"/>
    <n v="76"/>
    <n v="4.41"/>
    <s v="USA"/>
    <s v="Ethiopia"/>
    <x v="1"/>
  </r>
  <r>
    <s v="Kenya AB"/>
    <n v="94"/>
    <s v="Medium"/>
    <n v="47"/>
    <n v="69"/>
    <n v="5.29"/>
    <s v="USA"/>
    <s v="Kenya"/>
    <x v="1"/>
  </r>
  <r>
    <s v="Tanzania Ngorongoro Ridge Peaberry"/>
    <n v="95"/>
    <s v="Medium Light"/>
    <n v="55"/>
    <n v="79"/>
    <n v="4.7"/>
    <s v="USA"/>
    <s v="Tanzania"/>
    <x v="1"/>
  </r>
  <r>
    <s v="100% Kona Bourbon Pointu Laurina"/>
    <n v="95"/>
    <s v="Medium Light"/>
    <n v="52"/>
    <n v="74"/>
    <n v="19.82"/>
    <s v="USA"/>
    <s v="USA"/>
    <x v="0"/>
  </r>
  <r>
    <s v="Ethiopia Haro Wachu"/>
    <n v="94"/>
    <s v="Medium Light"/>
    <n v="50"/>
    <n v="72"/>
    <n v="6.61"/>
    <s v="USA"/>
    <s v="Ethiopia"/>
    <x v="1"/>
  </r>
  <r>
    <s v="Banco Gotete Ethiopia"/>
    <n v="94"/>
    <s v="Medium Light"/>
    <n v="53"/>
    <n v="75"/>
    <n v="5.44"/>
    <s v="USA"/>
    <s v="Ethiopia"/>
    <x v="1"/>
  </r>
  <r>
    <s v="Kenya Ruthaka Peaberry"/>
    <n v="95"/>
    <s v="Medium"/>
    <n v="48"/>
    <n v="72"/>
    <n v="5.59"/>
    <s v="USA"/>
    <s v="Kenya"/>
    <x v="1"/>
  </r>
  <r>
    <s v="Honduras Las Flores Parainema"/>
    <n v="94"/>
    <s v="Medium Light"/>
    <n v="56"/>
    <n v="80"/>
    <n v="6.47"/>
    <s v="USA"/>
    <s v="Honduras"/>
    <x v="0"/>
  </r>
  <r>
    <s v="Kivu DR Congo"/>
    <n v="94"/>
    <s v="Medium Light"/>
    <n v="56"/>
    <n v="78"/>
    <n v="4.97"/>
    <s v="USA"/>
    <s v="Democratic Republic of the Congo"/>
    <x v="1"/>
  </r>
  <r>
    <s v="Panama Ninety Plus Perci Lot 50"/>
    <n v="97"/>
    <s v="Medium Light"/>
    <n v="50"/>
    <n v="74"/>
    <n v="26.46"/>
    <s v="USA"/>
    <s v="Panama"/>
    <x v="0"/>
  </r>
  <r>
    <s v="Colombia Sidra"/>
    <n v="94"/>
    <s v="Medium Light"/>
    <n v="58"/>
    <n v="80"/>
    <n v="6.61"/>
    <s v="Taiwan"/>
    <s v="Colombia"/>
    <x v="0"/>
  </r>
  <r>
    <s v="Colombia Geisha"/>
    <n v="94"/>
    <s v="Medium Light"/>
    <n v="53"/>
    <n v="77"/>
    <n v="7.61"/>
    <s v="USA"/>
    <s v="Colombia"/>
    <x v="0"/>
  </r>
  <r>
    <s v="Kenya Murunga New Gatanga FCS Mukurwe Factory AB"/>
    <n v="94"/>
    <s v="Medium Light"/>
    <n v="54"/>
    <n v="76"/>
    <n v="7.05"/>
    <s v="Taiwan"/>
    <s v="Kenya"/>
    <x v="1"/>
  </r>
  <r>
    <s v="Ethiopia WORKA"/>
    <n v="94"/>
    <s v="Medium Light"/>
    <n v="60"/>
    <n v="80"/>
    <n v="5.29"/>
    <s v="USA"/>
    <s v="Ethiopia"/>
    <x v="1"/>
  </r>
  <r>
    <s v="Ethiopia Banko Dhadhato Washed"/>
    <n v="94"/>
    <s v="Light"/>
    <n v="62"/>
    <n v="82"/>
    <n v="5.29"/>
    <s v="USA"/>
    <s v="Ethiopia"/>
    <x v="1"/>
  </r>
  <r>
    <s v="Kenya Karuthi AA"/>
    <n v="95"/>
    <s v="Medium Light"/>
    <n v="56"/>
    <n v="72"/>
    <n v="6"/>
    <s v="USA"/>
    <s v="Kenya"/>
    <x v="1"/>
  </r>
  <r>
    <s v="Kenya Nyeri Nudurutu Factory AB"/>
    <n v="94"/>
    <s v="Medium Light"/>
    <n v="57"/>
    <n v="79"/>
    <n v="132.28"/>
    <s v="Taiwan"/>
    <s v="Kenya"/>
    <x v="1"/>
  </r>
  <r>
    <s v="Ethiopia Kochere Washed Saona Lot"/>
    <n v="95"/>
    <s v="Medium Light"/>
    <n v="57"/>
    <n v="79"/>
    <n v="127.87"/>
    <s v="Taiwan"/>
    <s v="Ethiopia"/>
    <x v="1"/>
  </r>
  <r>
    <s v="Ethiopia Guji Natural Dasaya"/>
    <n v="94"/>
    <s v="Medium Light"/>
    <n v="57"/>
    <n v="79"/>
    <n v="132.28"/>
    <s v="Taiwan"/>
    <s v="Ethiopia"/>
    <x v="1"/>
  </r>
  <r>
    <s v="Holiday Sweet Blend"/>
    <n v="94"/>
    <s v="Medium Light"/>
    <n v="54"/>
    <n v="76"/>
    <n v="4.99"/>
    <s v="USA"/>
    <s v="Colombia"/>
    <x v="0"/>
  </r>
  <r>
    <s v="Colombia El Obraje Gesha"/>
    <n v="94"/>
    <s v="Medium Light"/>
    <n v="54"/>
    <n v="74"/>
    <n v="14.11"/>
    <s v="USA"/>
    <s v="Colombia"/>
    <x v="0"/>
  </r>
  <r>
    <s v="Flowery Nekisse"/>
    <n v="95"/>
    <s v="Medium Light"/>
    <n v="60"/>
    <n v="80"/>
    <n v="7.94"/>
    <s v="Taiwan"/>
    <s v="Ethiopia"/>
    <x v="1"/>
  </r>
  <r>
    <s v="Baru Gesha"/>
    <n v="96"/>
    <s v="Medium Light"/>
    <n v="55"/>
    <n v="75"/>
    <n v="12"/>
    <s v="USA"/>
    <s v="Panama"/>
    <x v="0"/>
  </r>
  <r>
    <s v="Camilina Geisha"/>
    <n v="94"/>
    <s v="Medium Light"/>
    <n v="54"/>
    <n v="78"/>
    <n v="19.84"/>
    <s v="USA"/>
    <s v="Panama"/>
    <x v="0"/>
  </r>
  <r>
    <s v="Mama Cata Geisha Washed"/>
    <n v="94"/>
    <s v="Medium Light"/>
    <n v="56"/>
    <n v="84"/>
    <n v="15.87"/>
    <s v="USA"/>
    <s v="Panama"/>
    <x v="0"/>
  </r>
  <r>
    <s v="Wei Rong Blend"/>
    <n v="94"/>
    <s v="Medium Light"/>
    <n v="55"/>
    <n v="72"/>
    <n v="132.28"/>
    <s v="Taiwan"/>
    <s v="Kenya"/>
    <x v="1"/>
  </r>
  <r>
    <s v="Kiunyu Peaberry"/>
    <n v="94"/>
    <s v="Medium Light"/>
    <n v="52"/>
    <n v="76"/>
    <n v="7.64"/>
    <s v="USA"/>
    <s v="Kenya"/>
    <x v="1"/>
  </r>
  <r>
    <s v="Kona MoccaВ®"/>
    <n v="96"/>
    <s v="Medium"/>
    <n v="46"/>
    <n v="64"/>
    <n v="19.82"/>
    <s v="USA"/>
    <s v="USA"/>
    <x v="0"/>
  </r>
  <r>
    <s v="Kibugu Kenya"/>
    <n v="95"/>
    <s v="Medium Light"/>
    <n v="54"/>
    <n v="74"/>
    <n v="5.86"/>
    <s v="USA"/>
    <s v="Kenya"/>
    <x v="1"/>
  </r>
  <r>
    <s v="Poseidon Blend Espresso"/>
    <n v="95"/>
    <s v="Medium Light"/>
    <n v="52"/>
    <n v="74"/>
    <n v="132.16"/>
    <s v="Taiwan"/>
    <s v="Unknown"/>
    <x v="3"/>
  </r>
  <r>
    <s v="Kenya Gikirima Kibugu"/>
    <n v="94"/>
    <s v="Medium Light"/>
    <n v="56"/>
    <n v="74"/>
    <n v="5.73"/>
    <s v="USA"/>
    <s v="Kenya"/>
    <x v="1"/>
  </r>
  <r>
    <s v="Elida Estate Geisha Natural Dragonfly Reserve"/>
    <n v="95"/>
    <s v="Medium Light"/>
    <n v="54"/>
    <n v="78"/>
    <n v="30.86"/>
    <s v="USA"/>
    <s v="Panama"/>
    <x v="0"/>
  </r>
  <r>
    <s v="Costa Rica Geisha Honey COE 2018 2nd Place"/>
    <n v="94"/>
    <s v="Medium Light"/>
    <n v="50"/>
    <n v="76"/>
    <n v="19.84"/>
    <s v="USA"/>
    <s v="Costa Rica"/>
    <x v="0"/>
  </r>
  <r>
    <s v="Guatemala Pacamara Natural"/>
    <n v="95"/>
    <s v="Medium Light"/>
    <n v="57"/>
    <n v="77"/>
    <n v="639.33000000000004"/>
    <s v="Taiwan"/>
    <s v="Guatemala"/>
    <x v="0"/>
  </r>
  <r>
    <s v="La Providencia Guatemala Maragogype"/>
    <n v="94"/>
    <s v="Medium Light"/>
    <n v="56"/>
    <n v="78"/>
    <n v="6.17"/>
    <s v="USA"/>
    <s v="Guatemala"/>
    <x v="0"/>
  </r>
  <r>
    <s v="Kenya Kabingara"/>
    <n v="94"/>
    <s v="Medium Light"/>
    <n v="58"/>
    <n v="80"/>
    <n v="5.86"/>
    <s v="USA"/>
    <s v="Kenya"/>
    <x v="1"/>
  </r>
  <r>
    <s v="Kenya Konyu"/>
    <n v="95"/>
    <s v="Medium Light"/>
    <n v="57"/>
    <n v="81"/>
    <n v="5.73"/>
    <s v="USA"/>
    <s v="Kenya"/>
    <x v="1"/>
  </r>
  <r>
    <s v="Hacienda La Esmeralda Cabana Geisha Natural"/>
    <n v="95"/>
    <s v="Medium Light"/>
    <n v="57"/>
    <n v="83"/>
    <n v="33.07"/>
    <s v="USA"/>
    <s v="Panama"/>
    <x v="0"/>
  </r>
  <r>
    <s v="Finca La Aurora Camilina Geisha"/>
    <n v="96"/>
    <s v="Medium Light"/>
    <n v="56"/>
    <n v="76"/>
    <n v="19.84"/>
    <s v="USA"/>
    <s v="Panama"/>
    <x v="0"/>
  </r>
  <r>
    <s v="Twenty Five"/>
    <n v="96"/>
    <s v="Medium Light"/>
    <n v="50"/>
    <n v="74"/>
    <n v="4.25"/>
    <s v="USA"/>
    <s v="Guatemala"/>
    <x v="0"/>
  </r>
  <r>
    <s v="Karimikui Kenya"/>
    <n v="94"/>
    <s v="Medium Light"/>
    <n v="55"/>
    <n v="75"/>
    <n v="5.73"/>
    <s v="USA"/>
    <s v="Kenya"/>
    <x v="1"/>
  </r>
  <r>
    <s v="Kenya Baragwi Thimu Peaberry"/>
    <n v="94"/>
    <s v="Medium Light"/>
    <n v="52"/>
    <n v="74"/>
    <n v="5.73"/>
    <s v="USA"/>
    <s v="Kenya"/>
    <x v="1"/>
  </r>
  <r>
    <s v="Kariru Kenya"/>
    <n v="94"/>
    <s v="Medium Light"/>
    <n v="56"/>
    <n v="75"/>
    <n v="5.73"/>
    <s v="USA"/>
    <s v="Kenya"/>
    <x v="1"/>
  </r>
  <r>
    <s v="Esmeralda Estate Porton Geisha Natural"/>
    <n v="96"/>
    <s v="Medium Light"/>
    <n v="56"/>
    <n v="84"/>
    <n v="33.07"/>
    <s v="USA"/>
    <s v="Panama"/>
    <x v="0"/>
  </r>
  <r>
    <s v="Kenya Kiambu"/>
    <n v="94"/>
    <s v="Medium Light"/>
    <n v="53"/>
    <n v="81"/>
    <n v="4.92"/>
    <s v="USA"/>
    <s v="Kenya"/>
    <x v="1"/>
  </r>
  <r>
    <s v="Ethiopia Washed Phoenix Special вЂњMuseвЂќ"/>
    <n v="95"/>
    <s v="Medium Dark"/>
    <n v="40"/>
    <n v="48"/>
    <n v="308.64999999999998"/>
    <s v="Taiwan"/>
    <s v="Ethiopia"/>
    <x v="1"/>
  </r>
  <r>
    <s v="Kenya AB Phoenix Special вЂњGloryвЂќ"/>
    <n v="94"/>
    <s v="Medium Dark"/>
    <n v="39"/>
    <n v="45"/>
    <n v="330.7"/>
    <s v="Taiwan"/>
    <s v="Kenya"/>
    <x v="1"/>
  </r>
  <r>
    <s v="Kenya Ritho FCS Handege Factory AB"/>
    <n v="96"/>
    <s v="Medium Light"/>
    <n v="53"/>
    <n v="81"/>
    <n v="165.34"/>
    <s v="Taiwan"/>
    <s v="Kenya"/>
    <x v="1"/>
  </r>
  <r>
    <s v="Ethiopia Yirgacheffe Botabaa Washed"/>
    <n v="95"/>
    <s v="Light"/>
    <n v="56"/>
    <n v="86"/>
    <n v="127.87"/>
    <s v="Taiwan"/>
    <s v="Ethiopia"/>
    <x v="1"/>
  </r>
  <r>
    <s v="Ethiopia Hambela Natural"/>
    <n v="94"/>
    <s v="Medium Light"/>
    <n v="56"/>
    <n v="82"/>
    <n v="5.29"/>
    <s v="USA"/>
    <s v="Ethiopia"/>
    <x v="1"/>
  </r>
  <r>
    <s v="Ethiopia Gera Limmu Oromia"/>
    <n v="94"/>
    <s v="Medium Light"/>
    <n v="58"/>
    <n v="82"/>
    <n v="5.14"/>
    <s v="USA"/>
    <s v="Ethiopia"/>
    <x v="1"/>
  </r>
  <r>
    <s v="Kenya Kabare Konyu"/>
    <n v="94"/>
    <s v="Medium Light"/>
    <n v="54"/>
    <n v="80"/>
    <n v="6.03"/>
    <s v="USA"/>
    <s v="Kenya"/>
    <x v="1"/>
  </r>
  <r>
    <s v="Alemu Bukato Espresso"/>
    <n v="95"/>
    <s v="Medium Light"/>
    <n v="56"/>
    <n v="80"/>
    <n v="5.51"/>
    <s v="USA"/>
    <s v="Ethiopia"/>
    <x v="1"/>
  </r>
  <r>
    <s v="Tarime Tanzania"/>
    <n v="95"/>
    <s v="Medium Light"/>
    <n v="58"/>
    <n v="82"/>
    <n v="4.34"/>
    <s v="USA"/>
    <s v="Tanzania"/>
    <x v="1"/>
  </r>
  <r>
    <s v="Berlina Geisha"/>
    <n v="96"/>
    <s v="Medium Light"/>
    <n v="56"/>
    <n v="84"/>
    <n v="11.76"/>
    <s v="USA"/>
    <s v="Panama"/>
    <x v="0"/>
  </r>
  <r>
    <s v="Gatugi Triple"/>
    <n v="95"/>
    <s v="Light"/>
    <n v="58"/>
    <n v="86"/>
    <n v="11.76"/>
    <s v="USA"/>
    <s v="Kenya"/>
    <x v="1"/>
  </r>
  <r>
    <s v="Ethiopia Yirgacheffe Natural Espresso"/>
    <n v="94"/>
    <s v="Medium Light"/>
    <n v="51"/>
    <n v="74"/>
    <n v="5.29"/>
    <s v="USA"/>
    <s v="Ethiopia"/>
    <x v="1"/>
  </r>
  <r>
    <s v="Ethiopia Yirgacheffe Natural"/>
    <n v="94"/>
    <s v="Medium Light"/>
    <n v="55"/>
    <n v="80"/>
    <n v="5.29"/>
    <s v="USA"/>
    <s v="Ethiopia"/>
    <x v="1"/>
  </r>
  <r>
    <s v="Guatemala Finca El General Lot ALT8 Espresso"/>
    <n v="94"/>
    <s v="Medium Light"/>
    <n v="52"/>
    <n v="74"/>
    <n v="121.25"/>
    <s v="Taiwan"/>
    <s v="Guatemala"/>
    <x v="0"/>
  </r>
  <r>
    <s v="Green Dolphin Blend Espresso"/>
    <n v="94"/>
    <s v="Medium Light"/>
    <n v="50"/>
    <n v="74"/>
    <n v="105.82"/>
    <s v="Taiwan"/>
    <s v="Unknown"/>
    <x v="3"/>
  </r>
  <r>
    <s v="Finca El Socorro Maracaturra"/>
    <n v="95"/>
    <s v="Medium Light"/>
    <n v="52"/>
    <n v="78"/>
    <n v="6.61"/>
    <s v="USA"/>
    <s v="Guatemala"/>
    <x v="0"/>
  </r>
  <r>
    <s v="Ethiopia Kochere Debo Washed Gellana"/>
    <n v="94"/>
    <s v="Medium Light"/>
    <n v="57"/>
    <n v="83"/>
    <n v="121.25"/>
    <s v="Taiwan"/>
    <s v="Ethiopia"/>
    <x v="1"/>
  </r>
  <r>
    <s v="Ethiopia Gotiti Natural"/>
    <n v="95"/>
    <s v="Medium"/>
    <n v="46"/>
    <n v="72"/>
    <n v="255.73"/>
    <s v="Taiwan"/>
    <s v="Ethiopia"/>
    <x v="1"/>
  </r>
  <r>
    <s v="Cream Tabby Espresso Blend"/>
    <n v="94"/>
    <s v="Medium Light"/>
    <n v="49"/>
    <n v="74"/>
    <n v="177.78"/>
    <s v="Taiwan"/>
    <s v="Kenya"/>
    <x v="1"/>
  </r>
  <r>
    <s v="Ethiopia Girma Eshetu"/>
    <n v="94"/>
    <s v="Medium Light"/>
    <n v="56"/>
    <n v="80"/>
    <n v="6.17"/>
    <s v="Canada"/>
    <s v="Ethiopia"/>
    <x v="1"/>
  </r>
  <r>
    <s v="Karimikui Espresso"/>
    <n v="94"/>
    <s v="Medium Light"/>
    <n v="51"/>
    <n v="73"/>
    <n v="5.73"/>
    <s v="USA"/>
    <s v="Kenya"/>
    <x v="1"/>
  </r>
  <r>
    <s v="Ethiospro Blend"/>
    <n v="94"/>
    <s v="Medium Light"/>
    <n v="54"/>
    <n v="73"/>
    <n v="5.22"/>
    <s v="USA"/>
    <s v="Ethiopia"/>
    <x v="1"/>
  </r>
  <r>
    <s v="Costa Rica Cumbres Del Poas вЂњPerla NegraвЂќ Natural"/>
    <n v="94"/>
    <s v="Medium Light"/>
    <n v="59"/>
    <n v="79"/>
    <n v="5.29"/>
    <s v="USA"/>
    <s v="Costa Rica"/>
    <x v="0"/>
  </r>
  <r>
    <s v="Natural Sidamo Twakok G1"/>
    <n v="94"/>
    <s v="Light"/>
    <n v="59"/>
    <n v="85"/>
    <n v="114.64"/>
    <s v="Taiwan"/>
    <s v="Ethiopia"/>
    <x v="1"/>
  </r>
  <r>
    <s v="Yemen Haraaz"/>
    <n v="94"/>
    <s v="Medium Light"/>
    <n v="55"/>
    <n v="75"/>
    <n v="10.29"/>
    <s v="USA"/>
    <s v="Yemen"/>
    <x v="1"/>
  </r>
  <r>
    <s v="YCFCU Banko Gotiti Coop G1"/>
    <n v="95"/>
    <s v="Medium Dark"/>
    <n v="41"/>
    <n v="53"/>
    <n v="187.39"/>
    <s v="Taiwan"/>
    <s v="Ethiopia"/>
    <x v="1"/>
  </r>
  <r>
    <s v="Gesha Village Lot #25"/>
    <n v="95"/>
    <s v="Medium Light"/>
    <n v="52"/>
    <n v="75"/>
    <n v="661.38"/>
    <s v="Taiwan"/>
    <s v="Ethiopia"/>
    <x v="1"/>
  </r>
  <r>
    <s v="Costa Rica Perla Negra"/>
    <n v="95"/>
    <s v="Medium"/>
    <n v="50"/>
    <n v="65"/>
    <n v="4.9800000000000004"/>
    <s v="USA"/>
    <s v="Costa Rica"/>
    <x v="0"/>
  </r>
  <r>
    <s v="Espresso 1849 Blend"/>
    <n v="94"/>
    <s v="Medium"/>
    <n v="50"/>
    <n v="70"/>
    <n v="5.29"/>
    <s v="USA"/>
    <s v="Ethiopia"/>
    <x v="1"/>
  </r>
  <r>
    <s v="Ethiopia Kayon Mountain"/>
    <n v="94"/>
    <s v="Light"/>
    <n v="60"/>
    <n v="88"/>
    <n v="5.58"/>
    <s v="USA"/>
    <s v="Ethiopia"/>
    <x v="1"/>
  </r>
  <r>
    <s v="Tano Batak Sumatra"/>
    <n v="94"/>
    <s v="Medium Light"/>
    <n v="58"/>
    <n v="75"/>
    <n v="5.44"/>
    <s v="USA"/>
    <s v="Indonesia"/>
    <x v="2"/>
  </r>
  <r>
    <s v="No. 7 Espresso Blend"/>
    <n v="95"/>
    <s v="Medium"/>
    <n v="47"/>
    <n v="69"/>
    <n v="198.41"/>
    <s v="Taiwan"/>
    <s v="Guatemala"/>
    <x v="0"/>
  </r>
  <r>
    <s v="Kenya Embu Uteuzi Jimbo"/>
    <n v="94"/>
    <s v="Medium Light"/>
    <n v="56"/>
    <n v="80"/>
    <n v="154.32"/>
    <s v="Taiwan"/>
    <s v="Kenya"/>
    <x v="1"/>
  </r>
  <r>
    <s v="DR Congo FTO Bourbon SOPACDI"/>
    <n v="94"/>
    <s v="Medium Light"/>
    <n v="50"/>
    <n v="74"/>
    <n v="5.29"/>
    <s v="USA"/>
    <s v="Democratic Republic of the Congo"/>
    <x v="1"/>
  </r>
  <r>
    <s v="Tarime Tanzania"/>
    <n v="95"/>
    <s v="Medium Light"/>
    <n v="56"/>
    <n v="80"/>
    <n v="5.64"/>
    <s v="USA"/>
    <s v="Tanzania"/>
    <x v="1"/>
  </r>
  <r>
    <s v="Kiniyota Espresso"/>
    <n v="95"/>
    <s v="Medium Light"/>
    <n v="54"/>
    <n v="78"/>
    <n v="5.17"/>
    <s v="USA"/>
    <s v="Unknown"/>
    <x v="3"/>
  </r>
  <r>
    <s v="El Obraje Geisha"/>
    <n v="95"/>
    <s v="Medium Light"/>
    <n v="52"/>
    <n v="78"/>
    <n v="15.43"/>
    <s v="USA"/>
    <s v="Colombia"/>
    <x v="0"/>
  </r>
  <r>
    <s v="Mandheling Onan Ganjang"/>
    <n v="94"/>
    <s v="Medium Light"/>
    <n v="55"/>
    <n v="77"/>
    <n v="121.25"/>
    <s v="Taiwan"/>
    <s v="Indonesia"/>
    <x v="2"/>
  </r>
  <r>
    <s v="Ethiopia Banko Gotiti Natural"/>
    <n v="94"/>
    <s v="Light"/>
    <n v="60"/>
    <n v="84"/>
    <n v="154.32"/>
    <s v="Taiwan"/>
    <s v="Ethiopia"/>
    <x v="1"/>
  </r>
  <r>
    <s v="Yemen Microlot"/>
    <n v="96"/>
    <s v="Light"/>
    <n v="58"/>
    <n v="84"/>
    <n v="33.07"/>
    <s v="USA"/>
    <s v="Yemen"/>
    <x v="1"/>
  </r>
  <r>
    <s v="Lycello by Ninety Plus"/>
    <n v="95"/>
    <s v="Medium Light"/>
    <n v="54"/>
    <n v="78"/>
    <n v="33.07"/>
    <s v="USA"/>
    <s v="Panama"/>
    <x v="0"/>
  </r>
  <r>
    <s v="Lotus by Ninety Plus"/>
    <n v="95"/>
    <s v="Medium Light"/>
    <n v="52"/>
    <n v="72"/>
    <n v="63.93"/>
    <s v="USA"/>
    <s v="Panama"/>
    <x v="0"/>
  </r>
  <r>
    <s v="Karen J Red Bourbon"/>
    <n v="94"/>
    <s v="Medium Light"/>
    <n v="58"/>
    <n v="80"/>
    <n v="20.260000000000002"/>
    <s v="USA"/>
    <s v="USA"/>
    <x v="0"/>
  </r>
  <r>
    <s v="Kenya Nyeri Gatugi Peaberry"/>
    <n v="94"/>
    <s v="Medium"/>
    <n v="45"/>
    <n v="75"/>
    <n v="5.28"/>
    <s v="USA"/>
    <s v="Kenya"/>
    <x v="1"/>
  </r>
  <r>
    <s v="Kenya Gura AA"/>
    <n v="94"/>
    <s v="Medium Light"/>
    <n v="56"/>
    <n v="78"/>
    <n v="202.82"/>
    <s v="Taiwan"/>
    <s v="Kenya"/>
    <x v="1"/>
  </r>
  <r>
    <s v="Sumatra Tano Batak"/>
    <n v="94"/>
    <s v="Medium Light"/>
    <n v="53"/>
    <n v="77"/>
    <n v="6.17"/>
    <s v="USA"/>
    <s v="Indonesia"/>
    <x v="2"/>
  </r>
  <r>
    <s v="Sumatra Tano Batak"/>
    <n v="94"/>
    <s v="Medium Light"/>
    <n v="55"/>
    <n v="77"/>
    <n v="5"/>
    <s v="USA"/>
    <s v="Indonesia"/>
    <x v="2"/>
  </r>
  <r>
    <s v="Yemen Port of Mokha Al-Durrar"/>
    <n v="94"/>
    <s v="Medium Light"/>
    <n v="50"/>
    <n v="76"/>
    <n v="26.9"/>
    <s v="USA"/>
    <s v="Yemen"/>
    <x v="1"/>
  </r>
  <r>
    <s v="Finca La Maria Geisha Natural"/>
    <n v="95"/>
    <s v="Medium Light"/>
    <n v="55"/>
    <n v="79"/>
    <n v="22.49"/>
    <s v="USA"/>
    <s v="Colombia"/>
    <x v="0"/>
  </r>
  <r>
    <s v="Ethiopia Guji Gigessa"/>
    <n v="94"/>
    <s v="Light"/>
    <n v="60"/>
    <n v="84"/>
    <n v="202.82"/>
    <s v="Taiwan"/>
    <s v="Ethiopia"/>
    <x v="1"/>
  </r>
  <r>
    <s v="Granja La Esperanza Sudan Rume Natural"/>
    <n v="95"/>
    <s v="Medium"/>
    <n v="50"/>
    <n v="70"/>
    <n v="16.53"/>
    <s v="USA"/>
    <s v="Colombia"/>
    <x v="0"/>
  </r>
  <r>
    <s v="Gedeb Espresso"/>
    <n v="94"/>
    <s v="Medium Light"/>
    <n v="51"/>
    <n v="74"/>
    <n v="5.51"/>
    <s v="USA"/>
    <s v="Ethiopia"/>
    <x v="1"/>
  </r>
  <r>
    <s v="Panama Baru Geisha Honey by Joseph"/>
    <n v="94"/>
    <s v="Medium Light"/>
    <n v="56"/>
    <n v="78"/>
    <n v="396.83"/>
    <s v="Taiwan"/>
    <s v="Panama"/>
    <x v="0"/>
  </r>
  <r>
    <s v="Panama Baru Geisha Natural by Joseph"/>
    <n v="94"/>
    <s v="Medium Light"/>
    <n v="58"/>
    <n v="80"/>
    <n v="418.87"/>
    <s v="Taiwan"/>
    <s v="Panama"/>
    <x v="0"/>
  </r>
  <r>
    <s v="Burundi Buhorwa"/>
    <n v="94"/>
    <s v="Medium Light"/>
    <n v="54"/>
    <n v="78"/>
    <n v="4.41"/>
    <s v="USA"/>
    <s v="Burundi"/>
    <x v="1"/>
  </r>
  <r>
    <s v="Dodora Double"/>
    <n v="96"/>
    <s v="Light"/>
    <n v="60"/>
    <n v="84"/>
    <n v="8.77"/>
    <s v="USA"/>
    <s v="Ethiopia"/>
    <x v="1"/>
  </r>
  <r>
    <s v="Summer Night Blend Espresso"/>
    <n v="94"/>
    <s v="Medium Light"/>
    <n v="58"/>
    <n v="82"/>
    <n v="110.23"/>
    <s v="Taiwan"/>
    <s v="Ethiopia"/>
    <x v="1"/>
  </r>
  <r>
    <s v="Kenya Kirinyaga"/>
    <n v="94"/>
    <s v="Light"/>
    <n v="65"/>
    <n v="91"/>
    <n v="4.41"/>
    <s v="USA"/>
    <s v="Kenya"/>
    <x v="1"/>
  </r>
  <r>
    <s v="Sumatra Mutu Batak"/>
    <n v="94"/>
    <s v="Medium"/>
    <n v="49"/>
    <n v="71"/>
    <n v="4.3899999999999997"/>
    <s v="USA"/>
    <s v="Indonesia"/>
    <x v="2"/>
  </r>
  <r>
    <s v="Three Queens Blend"/>
    <n v="94"/>
    <s v="Medium Light"/>
    <n v="52"/>
    <n v="73"/>
    <n v="4.1100000000000003"/>
    <s v="USA"/>
    <s v="Kenya"/>
    <x v="1"/>
  </r>
  <r>
    <s v="Kiniyota Burundi"/>
    <n v="95"/>
    <s v="Medium Light"/>
    <n v="52"/>
    <n v="78"/>
    <n v="5.17"/>
    <s v="USA"/>
    <s v="Burundi"/>
    <x v="1"/>
  </r>
  <r>
    <s v="Kona MoccaВ®"/>
    <n v="95"/>
    <s v="Medium"/>
    <n v="46"/>
    <n v="62"/>
    <n v="19.82"/>
    <s v="USA"/>
    <s v="USA"/>
    <x v="0"/>
  </r>
  <r>
    <s v="Ethiopia Suke Quto Honey"/>
    <n v="94"/>
    <s v="Medium Light"/>
    <n v="58"/>
    <n v="82"/>
    <n v="5.28"/>
    <s v="USA"/>
    <s v="Ethiopia"/>
    <x v="1"/>
  </r>
  <r>
    <s v="Ethiopia Biftu Gundina Coop Espresso"/>
    <n v="94"/>
    <s v="Medium Dark"/>
    <n v="42"/>
    <n v="57"/>
    <n v="121.25"/>
    <s v="Taiwan"/>
    <s v="Ethiopia"/>
    <x v="1"/>
  </r>
  <r>
    <s v="Ethiopia Banko Gotiti Natural"/>
    <n v="94"/>
    <s v="Light"/>
    <n v="60"/>
    <n v="88"/>
    <n v="143.30000000000001"/>
    <s v="Taiwan"/>
    <s v="Ethiopia"/>
    <x v="1"/>
  </r>
  <r>
    <s v="Canoe Blend"/>
    <n v="94"/>
    <s v="Medium Light"/>
    <n v="56"/>
    <n v="82"/>
    <n v="4.12"/>
    <s v="USA"/>
    <s v="Indonesia"/>
    <x v="2"/>
  </r>
  <r>
    <s v="Guatemala Retiro Natural Process"/>
    <n v="94"/>
    <s v="Medium Light"/>
    <n v="57"/>
    <n v="70"/>
    <n v="4.63"/>
    <s v="USA"/>
    <s v="Guatemala"/>
    <x v="0"/>
  </r>
  <r>
    <s v="Kenya Gatugi AB"/>
    <n v="94"/>
    <s v="Medium Light"/>
    <n v="53"/>
    <n v="85"/>
    <n v="35"/>
    <s v="Taiwan"/>
    <s v="Kenya"/>
    <x v="1"/>
  </r>
  <r>
    <s v="Gedeb Ethiopia"/>
    <n v="95"/>
    <s v="Medium Light"/>
    <n v="58"/>
    <n v="82"/>
    <n v="5.51"/>
    <s v="USA"/>
    <s v="Ethiopia"/>
    <x v="1"/>
  </r>
  <r>
    <s v="Ethiopia Dry-Processed Guji Mt. Kayon"/>
    <n v="95"/>
    <s v="Medium Light"/>
    <n v="56"/>
    <n v="75"/>
    <n v="35"/>
    <s v="Taiwan"/>
    <s v="Ethiopia"/>
    <x v="1"/>
  </r>
  <r>
    <s v="Ethiopia Banko Gotiti"/>
    <n v="94"/>
    <s v="Light"/>
    <n v="65"/>
    <n v="93"/>
    <n v="4.99"/>
    <s v="USA"/>
    <s v="Ethiopia"/>
    <x v="1"/>
  </r>
  <r>
    <s v="Panama Auromar Estate Geisha Peaberry"/>
    <n v="95"/>
    <s v="Medium Light"/>
    <n v="53"/>
    <n v="81"/>
    <n v="22.49"/>
    <s v="USA"/>
    <s v="Panama"/>
    <x v="0"/>
  </r>
  <r>
    <s v="Panama Finca Hartmann Geisha Natural"/>
    <n v="95"/>
    <s v="Light"/>
    <n v="60"/>
    <n v="84"/>
    <n v="23.81"/>
    <s v="USA"/>
    <s v="Panama"/>
    <x v="0"/>
  </r>
  <r>
    <s v="Mini-Me Washed Kaffa Forest"/>
    <n v="95"/>
    <s v="Medium Dark"/>
    <n v="40"/>
    <n v="60"/>
    <n v="286.60000000000002"/>
    <s v="Taiwan"/>
    <s v="Ethiopia"/>
    <x v="1"/>
  </r>
  <r>
    <s v="Jade Espresso"/>
    <n v="94"/>
    <s v="Medium Light"/>
    <n v="56"/>
    <n v="72"/>
    <n v="4.12"/>
    <s v="USA"/>
    <s v="Unknown"/>
    <x v="3"/>
  </r>
  <r>
    <s v="Ulos Batak Sumatra"/>
    <n v="96"/>
    <s v="Medium Light"/>
    <n v="54"/>
    <n v="76"/>
    <n v="5.57"/>
    <s v="USA"/>
    <s v="Indonesia"/>
    <x v="2"/>
  </r>
  <r>
    <s v="Blue Label La Esmeralda Porton Pascua Gesha"/>
    <n v="95"/>
    <s v="Medium Light"/>
    <n v="53"/>
    <n v="85"/>
    <n v="26.46"/>
    <s v="USA"/>
    <s v="Panama"/>
    <x v="0"/>
  </r>
  <r>
    <s v="David Mburu Kenya"/>
    <n v="96"/>
    <s v="Light"/>
    <n v="58"/>
    <n v="84"/>
    <n v="6"/>
    <s v="USA"/>
    <s v="Kenya"/>
    <x v="1"/>
  </r>
  <r>
    <s v="El PeГ±on Nicaragua"/>
    <n v="94"/>
    <s v="Light"/>
    <n v="61"/>
    <n v="93"/>
    <n v="5.28"/>
    <s v="USA"/>
    <s v="Nicaragua"/>
    <x v="0"/>
  </r>
  <r>
    <s v="Kenya Chorongi Peaberry"/>
    <n v="95"/>
    <s v="Medium Light"/>
    <n v="50"/>
    <n v="76"/>
    <n v="5.88"/>
    <s v="USA"/>
    <s v="Kenya"/>
    <x v="1"/>
  </r>
  <r>
    <s v="Kenya Riakiberu AB"/>
    <n v="95"/>
    <s v="Medium Light"/>
    <n v="55"/>
    <n v="77"/>
    <n v="5.6"/>
    <s v="USA"/>
    <s v="Kenya"/>
    <x v="1"/>
  </r>
  <r>
    <s v="Yule Blend 2018"/>
    <n v="94"/>
    <s v="Medium Light"/>
    <n v="56"/>
    <n v="80"/>
    <n v="4.41"/>
    <s v="USA"/>
    <s v="Kenya"/>
    <x v="1"/>
  </r>
  <r>
    <s v="Kenya Thaitu"/>
    <n v="95"/>
    <s v="Medium Light"/>
    <n v="54"/>
    <n v="78"/>
    <n v="6.47"/>
    <s v="USA"/>
    <s v="Kenya"/>
    <x v="1"/>
  </r>
  <r>
    <s v="Ethiopia Banko Gotiti Natural G1"/>
    <n v="94"/>
    <s v="Light"/>
    <n v="58"/>
    <n v="86"/>
    <n v="263.64"/>
    <s v="Taiwan"/>
    <s v="Ethiopia"/>
    <x v="1"/>
  </r>
  <r>
    <s v="Panama Auromar Geisha Natural"/>
    <n v="96"/>
    <s v="Medium Light"/>
    <n v="56"/>
    <n v="80"/>
    <n v="16.170000000000002"/>
    <s v="USA"/>
    <s v="Panama"/>
    <x v="0"/>
  </r>
  <r>
    <s v="El Salvador Finca Kilimanjaro"/>
    <n v="95"/>
    <s v="Medium Light"/>
    <n v="56"/>
    <n v="80"/>
    <n v="7.35"/>
    <s v="USA"/>
    <s v="El Salvador"/>
    <x v="0"/>
  </r>
  <r>
    <s v="Panama Elida Green Tip Gesha Natural"/>
    <n v="94"/>
    <s v="Medium Light"/>
    <n v="53"/>
    <n v="77"/>
    <n v="32.630000000000003"/>
    <s v="USA"/>
    <s v="Panama"/>
    <x v="0"/>
  </r>
  <r>
    <s v="Gikanda Kenya"/>
    <n v="96"/>
    <s v="Medium Light"/>
    <n v="55"/>
    <n v="76"/>
    <n v="5.66"/>
    <s v="USA"/>
    <s v="Kenya"/>
    <x v="1"/>
  </r>
  <r>
    <s v="Panama Don Julian Pacamara"/>
    <n v="95"/>
    <s v="Medium Light"/>
    <n v="56"/>
    <n v="80"/>
    <n v="11.02"/>
    <s v="USA"/>
    <s v="Panama"/>
    <x v="0"/>
  </r>
  <r>
    <s v="100% Kona Bourbon Pointu Laurina"/>
    <n v="95"/>
    <s v="Medium Light"/>
    <n v="52"/>
    <n v="76"/>
    <n v="19.82"/>
    <s v="USA"/>
    <s v="USA"/>
    <x v="0"/>
  </r>
  <r>
    <s v="Kenya AB Muchoki"/>
    <n v="95"/>
    <s v="Medium Light"/>
    <n v="55"/>
    <n v="75"/>
    <n v="5.86"/>
    <s v="USA"/>
    <s v="Kenya"/>
    <x v="1"/>
  </r>
  <r>
    <s v="Geisha Panama Santamaria Natural"/>
    <n v="95"/>
    <s v="Medium Light"/>
    <n v="54"/>
    <n v="78"/>
    <n v="24"/>
    <s v="Australia"/>
    <s v="Panama"/>
    <x v="0"/>
  </r>
  <r>
    <s v="100% Kona SL-28"/>
    <n v="97"/>
    <s v="Medium Light"/>
    <n v="56"/>
    <n v="78"/>
    <n v="33.049999999999997"/>
    <s v="USA"/>
    <s v="USA"/>
    <x v="0"/>
  </r>
  <r>
    <s v="Kenya Kirinyaga Mukangu AB"/>
    <n v="95"/>
    <s v="Medium Light"/>
    <n v="54"/>
    <n v="76"/>
    <n v="143.30000000000001"/>
    <s v="Taiwan"/>
    <s v="Kenya"/>
    <x v="1"/>
  </r>
  <r>
    <s v="Ethiopia Washed Yirgacheffe Adado"/>
    <n v="95"/>
    <s v="Medium Light"/>
    <n v="56"/>
    <n v="78"/>
    <n v="121.25"/>
    <s v="Taiwan"/>
    <s v="Ethiopia"/>
    <x v="1"/>
  </r>
  <r>
    <s v="Ace Espresso"/>
    <n v="94"/>
    <s v="Medium Light"/>
    <n v="52"/>
    <n v="74"/>
    <n v="5.29"/>
    <s v="Canada"/>
    <s v="Ethiopia"/>
    <x v="1"/>
  </r>
  <r>
    <s v="Kenya Mutungati"/>
    <n v="94"/>
    <s v="Medium Light"/>
    <n v="54"/>
    <n v="80"/>
    <n v="6.17"/>
    <s v="Canada"/>
    <s v="Kenya"/>
    <x v="1"/>
  </r>
  <r>
    <s v="Ethiopia Gedeb Halo Beriti"/>
    <n v="94"/>
    <s v="Medium"/>
    <n v="48"/>
    <n v="70"/>
    <n v="4.8499999999999996"/>
    <s v="USA"/>
    <s v="Ethiopia"/>
    <x v="1"/>
  </r>
  <r>
    <s v="Ethiopia Sidama"/>
    <n v="94"/>
    <s v="Medium"/>
    <n v="47"/>
    <n v="72"/>
    <n v="5"/>
    <s v="Canada"/>
    <s v="Ethiopia"/>
    <x v="1"/>
  </r>
  <r>
    <s v="Thiriku AA Kenya"/>
    <n v="95"/>
    <s v="Medium"/>
    <n v="47"/>
    <n v="65"/>
    <n v="7.2"/>
    <s v="USA"/>
    <s v="Kenya"/>
    <x v="1"/>
  </r>
  <r>
    <s v="Flora Blend Espresso"/>
    <n v="94"/>
    <s v="Medium Light"/>
    <n v="54"/>
    <n v="77"/>
    <n v="69.599999999999994"/>
    <s v="China"/>
    <s v="Unknown"/>
    <x v="3"/>
  </r>
  <r>
    <s v="вЂњSweetyвЂќ Espresso Blend"/>
    <n v="95"/>
    <s v="Medium Light"/>
    <n v="50"/>
    <n v="73"/>
    <n v="110.13"/>
    <s v="China"/>
    <s v="Ethiopia"/>
    <x v="1"/>
  </r>
  <r>
    <s v="вЂњFruityвЂќ Espresso Blend"/>
    <n v="95"/>
    <s v="Medium Light"/>
    <n v="54"/>
    <n v="78"/>
    <n v="88.11"/>
    <s v="China"/>
    <s v="China"/>
    <x v="2"/>
  </r>
  <r>
    <s v="El Aquila Pacamara Espresso"/>
    <n v="94"/>
    <s v="Medium Light"/>
    <n v="54"/>
    <n v="75"/>
    <n v="5.26"/>
    <s v="USA"/>
    <s v="El Salvador"/>
    <x v="0"/>
  </r>
  <r>
    <s v="Guatemala Finca El Injerto Gesha"/>
    <n v="94"/>
    <s v="Medium Light"/>
    <n v="56"/>
    <n v="82"/>
    <n v="22.49"/>
    <s v="USA"/>
    <s v="Guatemala"/>
    <x v="0"/>
  </r>
  <r>
    <s v="Kenya Gatomboya AA"/>
    <n v="94"/>
    <s v="Medium Light"/>
    <n v="56"/>
    <n v="76"/>
    <n v="5.29"/>
    <s v="USA"/>
    <s v="Kenya"/>
    <x v="1"/>
  </r>
  <r>
    <s v="Flight Seasonal Espresso"/>
    <n v="95"/>
    <s v="Medium Light"/>
    <n v="56"/>
    <n v="80"/>
    <n v="4.8499999999999996"/>
    <s v="USA"/>
    <s v="Kenya"/>
    <x v="1"/>
  </r>
  <r>
    <s v="A.G.E. Duetto Espresso"/>
    <n v="95"/>
    <s v="Medium Light"/>
    <n v="56"/>
    <n v="76"/>
    <n v="11.46"/>
    <s v="Taiwan"/>
    <s v="Ethiopia"/>
    <x v="1"/>
  </r>
  <r>
    <s v="Kenya Nyeri Hill Farm"/>
    <n v="94"/>
    <s v="Medium Light"/>
    <n v="55"/>
    <n v="79"/>
    <n v="5.29"/>
    <s v="USA"/>
    <s v="Kenya"/>
    <x v="1"/>
  </r>
  <r>
    <s v="Jinotega Geisha"/>
    <n v="94"/>
    <s v="Medium Light"/>
    <n v="53"/>
    <n v="78"/>
    <n v="5.57"/>
    <s v="USA"/>
    <s v="Nicaragua"/>
    <x v="0"/>
  </r>
  <r>
    <s v="Nicaragua Un Regalo de Dios Bourbon"/>
    <n v="94"/>
    <s v="Medium Light"/>
    <n v="56"/>
    <n v="81"/>
    <n v="4.99"/>
    <s v="USA"/>
    <s v="Nicaragua"/>
    <x v="0"/>
  </r>
  <r>
    <s v="Gedeb Lot 83 Ethiopia Natural"/>
    <n v="95"/>
    <s v="Medium Light"/>
    <n v="58"/>
    <n v="82"/>
    <n v="5.57"/>
    <s v="USA"/>
    <s v="Ethiopia"/>
    <x v="1"/>
  </r>
  <r>
    <s v="Halo Beriti Ethiopia"/>
    <n v="94"/>
    <s v="Medium Light"/>
    <n v="53"/>
    <n v="77"/>
    <n v="5.26"/>
    <s v="USA"/>
    <s v="Ethiopia"/>
    <x v="1"/>
  </r>
  <r>
    <s v="Ethiopia Konga Sede"/>
    <n v="94"/>
    <s v="Medium Light"/>
    <n v="60"/>
    <n v="78"/>
    <n v="4.8499999999999996"/>
    <s v="USA"/>
    <s v="Ethiopia"/>
    <x v="1"/>
  </r>
  <r>
    <s v="Static Amaro Gayo Natural Ethiopia"/>
    <n v="95"/>
    <s v="Medium"/>
    <n v="45"/>
    <n v="61"/>
    <n v="5"/>
    <s v="USA"/>
    <s v="Ethiopia"/>
    <x v="1"/>
  </r>
  <r>
    <s v="Static Cali Classic Espresso"/>
    <n v="94"/>
    <s v="Medium Light"/>
    <n v="54"/>
    <n v="68"/>
    <n v="4.3899999999999997"/>
    <s v="USA"/>
    <s v="Colombia"/>
    <x v="0"/>
  </r>
  <r>
    <s v="Shine Day El Salvador"/>
    <n v="94"/>
    <s v="Light"/>
    <n v="61"/>
    <n v="84"/>
    <n v="217.78"/>
    <s v="Taiwan"/>
    <s v="El Salvador"/>
    <x v="0"/>
  </r>
  <r>
    <s v="Kenya Kirinyaga Baragwi Guama AB"/>
    <n v="95"/>
    <s v="Medium Light"/>
    <n v="59"/>
    <n v="77"/>
    <n v="132.28"/>
    <s v="Taiwan"/>
    <s v="Kenya"/>
    <x v="1"/>
  </r>
  <r>
    <s v="Guatemala Finca El General Espresso"/>
    <n v="94"/>
    <s v="Medium Light"/>
    <n v="56"/>
    <n v="76"/>
    <n v="121.25"/>
    <s v="Taiwan"/>
    <s v="Guatemala"/>
    <x v="0"/>
  </r>
  <r>
    <s v="Ethiopia Guji Zone Natural"/>
    <n v="94"/>
    <s v="Light"/>
    <n v="60"/>
    <n v="82"/>
    <n v="6.5"/>
    <s v="South Korea"/>
    <s v="Ethiopia"/>
    <x v="1"/>
  </r>
  <r>
    <s v="Kenya Boma AA"/>
    <n v="94"/>
    <s v="Medium Light"/>
    <n v="53"/>
    <n v="76"/>
    <n v="4.7"/>
    <s v="USA"/>
    <s v="Kenya"/>
    <x v="1"/>
  </r>
  <r>
    <s v="Colombia Finca Campoalegre"/>
    <n v="94"/>
    <s v="Medium Light"/>
    <n v="55"/>
    <n v="77"/>
    <n v="3.81"/>
    <s v="USA"/>
    <s v="Colombia"/>
    <x v="0"/>
  </r>
  <r>
    <s v="Kenya Boma Peaberry"/>
    <n v="94"/>
    <s v="Medium Light"/>
    <n v="54"/>
    <n v="76"/>
    <n v="4.99"/>
    <s v="USA"/>
    <s v="Kenya"/>
    <x v="1"/>
  </r>
  <r>
    <s v="Panama Geisha"/>
    <n v="94"/>
    <s v="Medium Dark"/>
    <n v="34"/>
    <n v="52"/>
    <n v="8.82"/>
    <s v="USA"/>
    <s v="Panama"/>
    <x v="0"/>
  </r>
  <r>
    <s v="Esmeralda Special Auction Washed Geisha"/>
    <n v="94"/>
    <s v="Medium Light"/>
    <n v="54"/>
    <n v="78"/>
    <n v="22.05"/>
    <s v="USA"/>
    <s v="Panama"/>
    <x v="0"/>
  </r>
  <r>
    <s v="Gesha Village 1931, Lot 86"/>
    <n v="95"/>
    <s v="Medium Light"/>
    <n v="54"/>
    <n v="78"/>
    <n v="33.07"/>
    <s v="USA"/>
    <s v="Ethiopia"/>
    <x v="1"/>
  </r>
  <r>
    <s v="Gesha Village Natural Oma Block Lot 72"/>
    <n v="95"/>
    <s v="Medium Light"/>
    <n v="56"/>
    <n v="77"/>
    <n v="705.48"/>
    <s v="Taiwan"/>
    <s v="Ethiopia"/>
    <x v="1"/>
  </r>
  <r>
    <s v="Gesha Village Lot 76 Nasha Block"/>
    <n v="95"/>
    <s v="Light"/>
    <n v="64"/>
    <n v="86"/>
    <n v="32.630000000000003"/>
    <s v="Taiwan"/>
    <s v="Ethiopia"/>
    <x v="1"/>
  </r>
  <r>
    <s v="Gesha Village Auction Lot 26 Gori Gesha Natural"/>
    <n v="95"/>
    <s v="Medium Light"/>
    <n v="54"/>
    <n v="74"/>
    <n v="30"/>
    <s v="Canada"/>
    <s v="Ethiopia"/>
    <x v="1"/>
  </r>
  <r>
    <s v="Carmen Geisha El Palomar Best of Panama #4 Carlos Aguilera"/>
    <n v="96"/>
    <s v="Medium Light"/>
    <n v="54"/>
    <n v="78"/>
    <n v="22.05"/>
    <s v="USA"/>
    <s v="Panama"/>
    <x v="0"/>
  </r>
  <r>
    <s v="Karuthi Espresso"/>
    <n v="95"/>
    <s v="Medium Light"/>
    <n v="53"/>
    <n v="77"/>
    <n v="5.57"/>
    <s v="USA"/>
    <s v="Kenya"/>
    <x v="1"/>
  </r>
  <r>
    <s v="Chelelektu Espresso"/>
    <n v="94"/>
    <s v="Medium Light"/>
    <n v="51"/>
    <n v="73"/>
    <n v="5.07"/>
    <s v="USA"/>
    <s v="Ethiopia"/>
    <x v="1"/>
  </r>
  <r>
    <s v="Karuthi Kenya"/>
    <n v="95"/>
    <s v="Medium Light"/>
    <n v="53"/>
    <n v="76"/>
    <n v="5.57"/>
    <s v="USA"/>
    <s v="Kenya"/>
    <x v="1"/>
  </r>
  <r>
    <s v="Finca El Obraje Colombia Gesha"/>
    <n v="95"/>
    <s v="Medium"/>
    <n v="46"/>
    <n v="64"/>
    <n v="17.61"/>
    <s v="USA"/>
    <s v="Colombia"/>
    <x v="0"/>
  </r>
  <r>
    <s v="Kenya AA Top Nyeri Tekangu Tegu Microlot"/>
    <n v="94"/>
    <s v="Medium Dark"/>
    <n v="41"/>
    <n v="49"/>
    <n v="9.5"/>
    <s v="South Korea"/>
    <s v="Kenya"/>
    <x v="1"/>
  </r>
  <r>
    <s v="Washed Ethiopia Yirgacheffe Banko Gotiti"/>
    <n v="95"/>
    <s v="Medium Light"/>
    <n v="58"/>
    <n v="82"/>
    <n v="242.5"/>
    <s v="Taiwan"/>
    <s v="Ethiopia"/>
    <x v="1"/>
  </r>
  <r>
    <s v="Sumatra Danau Toba"/>
    <n v="94"/>
    <s v="Medium Light"/>
    <n v="55"/>
    <n v="77"/>
    <n v="4.9800000000000004"/>
    <s v="USA"/>
    <s v="Indonesia"/>
    <x v="2"/>
  </r>
  <r>
    <s v="Kapsakiso Kenya"/>
    <n v="94"/>
    <s v="Light"/>
    <n v="60"/>
    <n v="84"/>
    <n v="5.57"/>
    <s v="USA"/>
    <s v="Kenya"/>
    <x v="1"/>
  </r>
  <r>
    <s v="Ethiopia Washed Kayon Mountain"/>
    <n v="95"/>
    <s v="Medium Light"/>
    <n v="58"/>
    <n v="80"/>
    <n v="121.25"/>
    <s v="Taiwan"/>
    <s v="Ethiopia"/>
    <x v="1"/>
  </r>
  <r>
    <s v="Ninety Plus Gesha Estates Limited Batch #227"/>
    <n v="97"/>
    <s v="Light"/>
    <n v="67"/>
    <n v="97"/>
    <n v="60.41"/>
    <s v="USA"/>
    <s v="Panama"/>
    <x v="0"/>
  </r>
  <r>
    <s v="Tano Batak Sumatra"/>
    <n v="95"/>
    <s v="Medium Light"/>
    <n v="54"/>
    <n v="80"/>
    <n v="4.8499999999999996"/>
    <s v="USA"/>
    <s v="Indonesia"/>
    <x v="2"/>
  </r>
  <r>
    <s v="Makwa Kenya AB"/>
    <n v="94"/>
    <s v="Light"/>
    <n v="62"/>
    <n v="84"/>
    <n v="4.12"/>
    <s v="USA"/>
    <s v="Kenya"/>
    <x v="1"/>
  </r>
  <r>
    <s v="Finca El Guamo Colombia"/>
    <n v="94"/>
    <s v="Medium Light"/>
    <n v="54"/>
    <n v="75"/>
    <n v="4.7"/>
    <s v="USA"/>
    <s v="Colombia"/>
    <x v="0"/>
  </r>
  <r>
    <s v="Kenya Ndaroini AA"/>
    <n v="94"/>
    <s v="Medium Light"/>
    <n v="54"/>
    <n v="76"/>
    <n v="5.88"/>
    <s v="USA"/>
    <s v="Kenya"/>
    <x v="1"/>
  </r>
  <r>
    <s v="El Salvador Finca Kilimanjaro Natural"/>
    <n v="94"/>
    <s v="Medium Light"/>
    <n v="54"/>
    <n v="78"/>
    <n v="10.29"/>
    <s v="USA"/>
    <s v="El Salvador"/>
    <x v="0"/>
  </r>
  <r>
    <s v="Kamagogo Kenya"/>
    <n v="96"/>
    <s v="Medium Light"/>
    <n v="53"/>
    <n v="76"/>
    <n v="6.14"/>
    <s v="USA"/>
    <s v="Kenya"/>
    <x v="1"/>
  </r>
  <r>
    <s v="Twisted 4.0 Espresso"/>
    <n v="94"/>
    <s v="Medium Light"/>
    <n v="53"/>
    <n v="75"/>
    <n v="4.63"/>
    <s v="USA"/>
    <s v="Unknown"/>
    <x v="3"/>
  </r>
  <r>
    <s v="El Salvador Finca Kilimanjaro Cascara Fermentation Aida Batlle"/>
    <n v="95"/>
    <s v="Medium"/>
    <n v="50"/>
    <n v="71"/>
    <n v="10.29"/>
    <s v="USA"/>
    <s v="El Salvador"/>
    <x v="0"/>
  </r>
  <r>
    <s v="Puna Natural"/>
    <n v="94"/>
    <s v="Medium Light"/>
    <n v="54"/>
    <n v="74"/>
    <n v="10.23"/>
    <s v="USA"/>
    <s v="USA"/>
    <x v="0"/>
  </r>
  <r>
    <s v="Colombia La Palma Y El Tucan Gesha"/>
    <n v="94"/>
    <s v="Light"/>
    <n v="62"/>
    <n v="84"/>
    <n v="58.24"/>
    <s v="USA"/>
    <s v="Colombia"/>
    <x v="0"/>
  </r>
  <r>
    <s v="Bourbon Peaberry"/>
    <n v="94"/>
    <s v="Medium Light"/>
    <n v="54"/>
    <n v="80"/>
    <n v="22.02"/>
    <s v="USA"/>
    <s v="USA"/>
    <x v="0"/>
  </r>
  <r>
    <s v="Sumatra Boru Batak"/>
    <n v="94"/>
    <s v="Medium Light"/>
    <n v="54"/>
    <n v="80"/>
    <n v="4.41"/>
    <s v="Canada"/>
    <s v="Indonesia"/>
    <x v="2"/>
  </r>
  <r>
    <s v="Gesha Village Estate Bench Maji Gesha G1"/>
    <n v="95"/>
    <s v="Medium Light"/>
    <n v="55"/>
    <n v="78"/>
    <n v="15.43"/>
    <s v="USA"/>
    <s v="Ethiopia"/>
    <x v="1"/>
  </r>
  <r>
    <s v="Bourbon-Barrel-Aged Kenya Baragu"/>
    <n v="94"/>
    <s v="Medium Light"/>
    <n v="55"/>
    <n v="76"/>
    <n v="8.82"/>
    <s v="USA"/>
    <s v="Kenya"/>
    <x v="1"/>
  </r>
  <r>
    <s v="Aged Sumatra Ulos Batak Peaberry"/>
    <n v="94"/>
    <s v="Medium Light"/>
    <n v="53"/>
    <n v="73"/>
    <n v="5.29"/>
    <s v="USA"/>
    <s v="Indonesia"/>
    <x v="2"/>
  </r>
  <r>
    <s v="Colombia La Palma and El Tucan Espresso"/>
    <n v="94"/>
    <s v="Medium Light"/>
    <n v="51"/>
    <n v="72"/>
    <n v="110.23"/>
    <s v="Taiwan"/>
    <s v="Colombia"/>
    <x v="0"/>
  </r>
  <r>
    <s v="Flight Seasonal Espresso"/>
    <n v="94"/>
    <s v="Medium Light"/>
    <n v="56"/>
    <n v="80"/>
    <n v="4.26"/>
    <s v="USA"/>
    <s v="Ethiopia"/>
    <x v="1"/>
  </r>
  <r>
    <s v="Kenya Kabare AA"/>
    <n v="96"/>
    <s v="Medium Light"/>
    <n v="56"/>
    <n v="77"/>
    <n v="4.26"/>
    <s v="USA"/>
    <s v="Kenya"/>
    <x v="1"/>
  </r>
  <r>
    <s v="Gesha, Gesha Village 1931"/>
    <n v="94"/>
    <s v="Medium Light"/>
    <n v="56"/>
    <n v="77"/>
    <n v="38.799999999999997"/>
    <s v="USA"/>
    <s v="Ethiopia"/>
    <x v="1"/>
  </r>
  <r>
    <s v="Aricha Yirgacheffe Ethiopia"/>
    <n v="94"/>
    <s v="Medium Light"/>
    <n v="58"/>
    <n v="82"/>
    <n v="5.86"/>
    <s v="USA"/>
    <s v="Ethiopia"/>
    <x v="1"/>
  </r>
  <r>
    <s v="Guatemala Finca Cappuccino вЂњEcho-LotвЂќ Espresso"/>
    <n v="95"/>
    <s v="Medium Light"/>
    <n v="50"/>
    <n v="74"/>
    <n v="99.21"/>
    <s v="Taiwan"/>
    <s v="Guatemala"/>
    <x v="0"/>
  </r>
  <r>
    <s v="Ethiopia Guji Shakiso Danbi Uddo"/>
    <n v="94"/>
    <s v="Medium Light"/>
    <n v="56"/>
    <n v="76"/>
    <n v="5.29"/>
    <s v="USA"/>
    <s v="Ethiopia"/>
    <x v="1"/>
  </r>
  <r>
    <s v="Kenya AA Gura Auction Lot"/>
    <n v="94"/>
    <s v="Medium Light"/>
    <n v="56"/>
    <n v="76"/>
    <n v="4.5"/>
    <s v="USA"/>
    <s v="Kenya"/>
    <x v="1"/>
  </r>
  <r>
    <s v="100% Kona Bourbon Pointu Laurina"/>
    <n v="96"/>
    <s v="Medium Light"/>
    <n v="56"/>
    <n v="76"/>
    <n v="22.02"/>
    <s v="USA"/>
    <s v="USA"/>
    <x v="0"/>
  </r>
  <r>
    <s v="Yirgacheffe G1 Idido"/>
    <n v="95"/>
    <s v="Medium Light"/>
    <n v="56"/>
    <n v="76"/>
    <n v="335.1"/>
    <s v="Taiwan"/>
    <s v="Ethiopia"/>
    <x v="1"/>
  </r>
  <r>
    <s v="Yemen Port of Mokha Hayma Microlot"/>
    <n v="97"/>
    <s v="Medium"/>
    <n v="47"/>
    <n v="68"/>
    <n v="37.479999999999997"/>
    <s v="USA"/>
    <s v="Yemen"/>
    <x v="1"/>
  </r>
  <r>
    <s v="Edgar Motta Colombia Pink Bourbon"/>
    <n v="94"/>
    <s v="Medium Light"/>
    <n v="59"/>
    <n v="78"/>
    <n v="5.59"/>
    <s v="USA"/>
    <s v="Colombia"/>
    <x v="0"/>
  </r>
  <r>
    <s v="Papua New Guinea PB Kimel Estate"/>
    <n v="94"/>
    <s v="Medium Light"/>
    <n v="56"/>
    <n v="70"/>
    <n v="3.86"/>
    <s v="USA"/>
    <s v="Papua New Guinea"/>
    <x v="2"/>
  </r>
  <r>
    <s v="Panama La Esmeralda Noria Enero Geisha"/>
    <n v="95"/>
    <s v="Medium Light"/>
    <n v="57"/>
    <n v="83"/>
    <n v="33.51"/>
    <s v="USA"/>
    <s v="Panama"/>
    <x v="0"/>
  </r>
  <r>
    <s v="Rwanda Bufcafe"/>
    <n v="95"/>
    <s v="Medium Light"/>
    <n v="54"/>
    <n v="78"/>
    <n v="5.07"/>
    <s v="USA"/>
    <s v="Rwanda"/>
    <x v="1"/>
  </r>
  <r>
    <s v="Ethiopia Queen Sheba Natural Yirgacheffe Phoenix Special"/>
    <n v="94"/>
    <s v="Medium Light"/>
    <n v="54"/>
    <n v="76"/>
    <n v="330.7"/>
    <s v="Taiwan"/>
    <s v="Ethiopia"/>
    <x v="1"/>
  </r>
  <r>
    <s v="Ulos Batak Sumatra Peaberry"/>
    <n v="97"/>
    <s v="Medium Light"/>
    <n v="57"/>
    <n v="76"/>
    <n v="5.47"/>
    <s v="USA"/>
    <s v="Indonesia"/>
    <x v="2"/>
  </r>
  <r>
    <s v="Bernachon High-Level Espresso"/>
    <n v="94"/>
    <s v="Medium"/>
    <n v="50"/>
    <n v="64"/>
    <n v="22.03"/>
    <s v="Taiwan"/>
    <s v="Ethiopia"/>
    <x v="1"/>
  </r>
  <r>
    <s v="Mora Negra Geisha Hartmann Farm"/>
    <n v="95"/>
    <s v="Medium Light"/>
    <n v="56"/>
    <n v="78"/>
    <n v="12.79"/>
    <s v="USA"/>
    <s v="Panama"/>
    <x v="0"/>
  </r>
  <r>
    <s v="Gori Gesha Forest"/>
    <n v="95"/>
    <s v="Medium Light"/>
    <n v="54"/>
    <n v="74"/>
    <n v="15.43"/>
    <s v="USA"/>
    <s v="Ethiopia"/>
    <x v="1"/>
  </r>
  <r>
    <s v="Ethiopia Natural Hambela Buku"/>
    <n v="94"/>
    <s v="Medium Light"/>
    <n v="58"/>
    <n v="78"/>
    <n v="4.1900000000000004"/>
    <s v="Taiwan"/>
    <s v="Ethiopia"/>
    <x v="1"/>
  </r>
  <r>
    <s v="Panama Camilina Natural Geisha"/>
    <n v="94"/>
    <s v="Medium Light"/>
    <n v="58"/>
    <n v="78"/>
    <n v="22.02"/>
    <s v="USA"/>
    <s v="Panama"/>
    <x v="0"/>
  </r>
  <r>
    <s v="Kenya Nyeri Thageini Peaberry"/>
    <n v="94"/>
    <s v="Medium Light"/>
    <n v="52"/>
    <n v="71"/>
    <n v="5.73"/>
    <s v="USA"/>
    <s v="Kenya"/>
    <x v="1"/>
  </r>
  <r>
    <s v="Hawaii Kilauea Volcano Nano-Lot"/>
    <n v="96"/>
    <s v="Medium Light"/>
    <n v="59"/>
    <n v="82"/>
    <n v="21.16"/>
    <s v="USA"/>
    <s v="USA"/>
    <x v="0"/>
  </r>
  <r>
    <s v="Ethiopia Charbanta Natural"/>
    <n v="95"/>
    <s v="Medium Light"/>
    <n v="60"/>
    <n v="80"/>
    <n v="5.29"/>
    <s v="USA"/>
    <s v="Ethiopia"/>
    <x v="1"/>
  </r>
  <r>
    <s v="Panama Don Julian Pacamara"/>
    <n v="95"/>
    <s v="Light"/>
    <n v="65"/>
    <n v="82"/>
    <n v="11.02"/>
    <s v="USA"/>
    <s v="Panama"/>
    <x v="0"/>
  </r>
  <r>
    <s v="Esmeralda Noria Natural"/>
    <n v="95"/>
    <s v="Medium Light"/>
    <n v="58"/>
    <n v="78"/>
    <n v="20.94"/>
    <s v="USA"/>
    <s v="Panama"/>
    <x v="0"/>
  </r>
  <r>
    <s v="Miami Winter Holiday Blend"/>
    <n v="94"/>
    <s v="Light"/>
    <n v="62"/>
    <n v="84"/>
    <n v="8.82"/>
    <s v="USA"/>
    <s v="Kenya"/>
    <x v="1"/>
  </r>
  <r>
    <s v="Duncan Estate Panamanian Gesha"/>
    <n v="94"/>
    <s v="Light"/>
    <n v="66"/>
    <n v="82"/>
    <n v="14.11"/>
    <s v="USA"/>
    <s v="Panama"/>
    <x v="0"/>
  </r>
  <r>
    <s v="The Jungle"/>
    <n v="94"/>
    <s v="Medium Dark"/>
    <n v="43"/>
    <n v="52"/>
    <n v="220.46"/>
    <s v="Taiwan"/>
    <s v="Mexico"/>
    <x v="0"/>
  </r>
  <r>
    <s v="Ethiopia Yirgacheffe"/>
    <n v="94"/>
    <s v="Light"/>
    <n v="63"/>
    <n v="84"/>
    <n v="6.8"/>
    <s v="USA"/>
    <s v="Ethiopia"/>
    <x v="1"/>
  </r>
  <r>
    <s v="Ethiopia Washed Yirgacheffe вЂњParadiseвЂќ Espresso"/>
    <n v="95"/>
    <s v="Medium"/>
    <n v="47"/>
    <n v="70"/>
    <n v="308.64999999999998"/>
    <s v="Taiwan"/>
    <s v="Ethiopia"/>
    <x v="1"/>
  </r>
  <r>
    <s v="Kenya Lenana"/>
    <n v="94"/>
    <s v="Medium"/>
    <n v="52"/>
    <n v="64"/>
    <n v="4.78"/>
    <s v="USA"/>
    <s v="Kenya"/>
    <x v="1"/>
  </r>
  <r>
    <s v="вЂњMini-MeвЂќ Washed Yirgacheffe"/>
    <n v="95"/>
    <s v="Medium Light"/>
    <n v="52"/>
    <n v="74"/>
    <n v="286.60000000000002"/>
    <s v="Taiwan"/>
    <s v="Ethiopia"/>
    <x v="1"/>
  </r>
  <r>
    <s v="Kenya Guama Peaberry"/>
    <n v="97"/>
    <s v="Medium Light"/>
    <n v="56"/>
    <n v="78"/>
    <n v="7.05"/>
    <s v="USA"/>
    <s v="Kenya"/>
    <x v="1"/>
  </r>
  <r>
    <s v="Sumatra Tano Batak"/>
    <n v="95"/>
    <s v="Medium Light"/>
    <n v="55"/>
    <n v="77"/>
    <n v="6.17"/>
    <s v="USA"/>
    <s v="Indonesia"/>
    <x v="2"/>
  </r>
  <r>
    <s v="Los Congos Pacamara Natural"/>
    <n v="94"/>
    <s v="Medium Light"/>
    <n v="60"/>
    <n v="76"/>
    <n v="5.88"/>
    <s v="USA"/>
    <s v="Nicaragua"/>
    <x v="0"/>
  </r>
  <r>
    <s v="Kibugu Kenya"/>
    <n v="94"/>
    <s v="Medium Light"/>
    <n v="60"/>
    <n v="78"/>
    <n v="5.28"/>
    <s v="USA"/>
    <s v="Kenya"/>
    <x v="1"/>
  </r>
  <r>
    <s v="Granja La Esperanza Colombia"/>
    <n v="94"/>
    <s v="Medium Light"/>
    <n v="56"/>
    <n v="78"/>
    <n v="7.05"/>
    <s v="USA"/>
    <s v="Colombia"/>
    <x v="0"/>
  </r>
  <r>
    <s v="Mokka"/>
    <n v="95"/>
    <s v="Medium Light"/>
    <n v="54"/>
    <n v="76"/>
    <n v="17.61"/>
    <s v="USA"/>
    <s v="USA"/>
    <x v="0"/>
  </r>
  <r>
    <s v="Kenya Gathugu"/>
    <n v="95"/>
    <s v="Medium Light"/>
    <n v="60"/>
    <n v="80"/>
    <n v="5.28"/>
    <s v="USA"/>
    <s v="Kenya"/>
    <x v="1"/>
  </r>
  <r>
    <s v="Pacamara Finca Los Planes El Salvador"/>
    <n v="94"/>
    <s v="Medium Light"/>
    <n v="55"/>
    <n v="78"/>
    <n v="5.73"/>
    <s v="USA"/>
    <s v="El Salvador"/>
    <x v="0"/>
  </r>
  <r>
    <s v="Kenya Karindundu"/>
    <n v="95"/>
    <s v="Medium Light"/>
    <n v="56"/>
    <n v="78"/>
    <n v="5.29"/>
    <s v="USA"/>
    <s v="Kenya"/>
    <x v="1"/>
  </r>
  <r>
    <s v="Panama Finca Las Brujas Geisha Natural"/>
    <n v="96"/>
    <s v="Medium Light"/>
    <n v="57"/>
    <n v="80"/>
    <n v="22.05"/>
    <s v="USA"/>
    <s v="Panama"/>
    <x v="0"/>
  </r>
  <r>
    <s v="P.r.o. Coffee Ethiopia Yirgacheffe"/>
    <n v="95"/>
    <s v="Medium Light"/>
    <n v="56"/>
    <n v="78"/>
    <n v="52.86"/>
    <s v="China"/>
    <s v="Ethiopia"/>
    <x v="1"/>
  </r>
  <r>
    <s v="Gichichi Peaberry Kenya"/>
    <n v="94"/>
    <s v="Medium Light"/>
    <n v="57"/>
    <n v="77"/>
    <n v="4.7"/>
    <s v="USA"/>
    <s v="Kenya"/>
    <x v="1"/>
  </r>
  <r>
    <s v="Blade Runner Blend"/>
    <n v="95"/>
    <s v="Medium Light"/>
    <n v="56"/>
    <n v="82"/>
    <n v="6.4"/>
    <s v="Australia"/>
    <s v="Brazil"/>
    <x v="0"/>
  </r>
  <r>
    <s v="LauraвЂ™s Reserve SL-28"/>
    <n v="96"/>
    <s v="Medium Light"/>
    <n v="56"/>
    <n v="82"/>
    <n v="19.82"/>
    <s v="USA"/>
    <s v="USA"/>
    <x v="0"/>
  </r>
  <r>
    <s v="Panama Finca Mama Cata Microlot Tona"/>
    <n v="94"/>
    <s v="Light"/>
    <n v="58"/>
    <n v="84"/>
    <n v="6.61"/>
    <s v="USA"/>
    <s v="Panama"/>
    <x v="0"/>
  </r>
  <r>
    <s v="Mr. David Mburu Kenya"/>
    <n v="96"/>
    <s v="Medium Light"/>
    <n v="56"/>
    <n v="78"/>
    <n v="6"/>
    <s v="USA"/>
    <s v="Kenya"/>
    <x v="1"/>
  </r>
  <r>
    <s v="Meaza Ethiopia"/>
    <n v="95"/>
    <s v="Medium Light"/>
    <n v="54"/>
    <n v="74"/>
    <n v="6"/>
    <s v="USA"/>
    <s v="Ethiopia"/>
    <x v="1"/>
  </r>
  <r>
    <s v="Costa Rica Finca Chispirta"/>
    <n v="94"/>
    <s v="Medium Light"/>
    <n v="54"/>
    <n v="68"/>
    <n v="11.02"/>
    <s v="USA"/>
    <s v="Costa Rica"/>
    <x v="0"/>
  </r>
  <r>
    <s v="Las Lajas Perla Negra Natural"/>
    <n v="94"/>
    <s v="Medium Light"/>
    <n v="52"/>
    <n v="70"/>
    <n v="6.47"/>
    <s v="USA"/>
    <s v="Costa Rica"/>
    <x v="0"/>
  </r>
  <r>
    <s v="Ninety Plus Silvia Solkiln N2"/>
    <n v="96"/>
    <s v="Medium"/>
    <n v="45"/>
    <n v="58"/>
    <n v="1152.42"/>
    <s v="Taiwan"/>
    <s v="Panama"/>
    <x v="0"/>
  </r>
  <r>
    <s v="P.R.O. Special Blended Coffee"/>
    <n v="94"/>
    <s v="Medium Dark"/>
    <n v="44"/>
    <n v="54"/>
    <n v="509.25"/>
    <s v="Taiwan"/>
    <s v="Costa Rica"/>
    <x v="0"/>
  </r>
  <r>
    <s v="Ethiopia Natural Yirgacheffe Gedeb G1 Lot 118"/>
    <n v="94"/>
    <s v="Medium Light"/>
    <n v="58"/>
    <n v="80"/>
    <n v="4.63"/>
    <s v="Taiwan"/>
    <s v="Ethiopia"/>
    <x v="1"/>
  </r>
  <r>
    <s v="Kenya Karatu"/>
    <n v="94"/>
    <s v="Medium Light"/>
    <n v="57"/>
    <n v="78"/>
    <n v="5.29"/>
    <s v="USA"/>
    <s v="Kenya"/>
    <x v="1"/>
  </r>
  <r>
    <s v="Ethiopia Gedeb Natural"/>
    <n v="94"/>
    <s v="Medium Light"/>
    <n v="58"/>
    <n v="77"/>
    <n v="5"/>
    <s v="USA"/>
    <s v="Ethiopia"/>
    <x v="1"/>
  </r>
  <r>
    <s v="Sumatra Tano Batak"/>
    <n v="95"/>
    <s v="Medium"/>
    <n v="51"/>
    <n v="62"/>
    <n v="4.4800000000000004"/>
    <s v="USA"/>
    <s v="Indonesia"/>
    <x v="2"/>
  </r>
  <r>
    <s v="Kenya Gathiruini"/>
    <n v="95"/>
    <s v="Medium Light"/>
    <n v="56"/>
    <n v="78"/>
    <n v="7.35"/>
    <s v="USA"/>
    <s v="Kenya"/>
    <x v="1"/>
  </r>
  <r>
    <s v="Kenya Thageini"/>
    <n v="96"/>
    <s v="Light"/>
    <n v="58"/>
    <n v="84"/>
    <n v="6.17"/>
    <s v="USA"/>
    <s v="Kenya"/>
    <x v="1"/>
  </r>
  <r>
    <s v="Kenya Gatomboya Peaberry"/>
    <n v="96"/>
    <s v="Medium Light"/>
    <n v="55"/>
    <n v="74"/>
    <n v="5.57"/>
    <s v="USA"/>
    <s v="Kenya"/>
    <x v="1"/>
  </r>
  <r>
    <s v="Elida Natural Dragonfly Lot"/>
    <n v="94"/>
    <s v="Medium Light"/>
    <n v="55"/>
    <n v="75"/>
    <n v="5.29"/>
    <s v="USA"/>
    <s v="Panama"/>
    <x v="0"/>
  </r>
  <r>
    <s v="Worka Ethiopia"/>
    <n v="95"/>
    <s v="Medium Light"/>
    <n v="58"/>
    <n v="78"/>
    <n v="5.51"/>
    <s v="USA"/>
    <s v="Ethiopia"/>
    <x v="1"/>
  </r>
  <r>
    <s v="Indonesia Sumatra Tano Batak"/>
    <n v="94"/>
    <s v="Medium Light"/>
    <n v="52"/>
    <n v="74"/>
    <n v="6.17"/>
    <s v="USA"/>
    <s v="Indonesia"/>
    <x v="2"/>
  </r>
  <r>
    <s v="Ethiopia Hambela Washed"/>
    <n v="94"/>
    <s v="Light"/>
    <n v="65"/>
    <n v="78"/>
    <n v="4.7"/>
    <s v="USA"/>
    <s v="Ethiopia"/>
    <x v="1"/>
  </r>
  <r>
    <s v="Kenya Muranga Gondo AA"/>
    <n v="96"/>
    <s v="Medium Light"/>
    <n v="56"/>
    <n v="80"/>
    <n v="4.8499999999999996"/>
    <s v="Taiwan"/>
    <s v="Kenya"/>
    <x v="1"/>
  </r>
  <r>
    <s v="Kenya Small-Lot Reserve Karatina AA"/>
    <n v="95"/>
    <s v="Medium Light"/>
    <n v="56"/>
    <n v="78"/>
    <n v="5.29"/>
    <s v="USA"/>
    <s v="Kenya"/>
    <x v="1"/>
  </r>
  <r>
    <s v="Washed Yirgacheffe Aramo Alemayehu Berhanu"/>
    <n v="95"/>
    <s v="Medium Light"/>
    <n v="56"/>
    <n v="78"/>
    <n v="4.1900000000000004"/>
    <s v="Taiwan"/>
    <s v="Ethiopia"/>
    <x v="1"/>
  </r>
  <r>
    <s v="Kenya Nyeri Gathugu"/>
    <n v="94"/>
    <s v="Medium Light"/>
    <n v="54"/>
    <n v="75"/>
    <n v="4.41"/>
    <s v="USA"/>
    <s v="Kenya"/>
    <x v="1"/>
  </r>
  <r>
    <s v="Ethiopia Yirgacheffe Chelelektu"/>
    <n v="94"/>
    <s v="Light"/>
    <n v="69"/>
    <n v="84"/>
    <n v="2557.3200000000002"/>
    <s v="Taiwan"/>
    <s v="Ethiopia"/>
    <x v="1"/>
  </r>
  <r>
    <s v="Passport Collection Kenya Ichamara"/>
    <n v="94"/>
    <s v="Medium Light"/>
    <n v="54"/>
    <n v="73"/>
    <n v="4.7"/>
    <s v="USA"/>
    <s v="Kenya"/>
    <x v="1"/>
  </r>
  <r>
    <s v="Ethiopia Limu Natural No. 701"/>
    <n v="94"/>
    <s v="Medium Light"/>
    <n v="57"/>
    <n v="80"/>
    <n v="4.8499999999999996"/>
    <s v="USA"/>
    <s v="Ethiopia"/>
    <x v="1"/>
  </r>
  <r>
    <s v="Ethiopia Yirgacheffe YCFCU Idido"/>
    <n v="94"/>
    <s v="Medium Light"/>
    <n v="52"/>
    <n v="76"/>
    <n v="255.51"/>
    <s v="Taiwan"/>
    <s v="Ethiopia"/>
    <x v="1"/>
  </r>
  <r>
    <s v="Sumatra Black Panther"/>
    <n v="94"/>
    <s v="Medium"/>
    <n v="50"/>
    <n v="69"/>
    <n v="4"/>
    <s v="South Korea"/>
    <s v="Indonesia"/>
    <x v="2"/>
  </r>
  <r>
    <s v="Sumatra Lintong Mutu Batak"/>
    <n v="94"/>
    <s v="Medium Light"/>
    <n v="54"/>
    <n v="74"/>
    <n v="4.26"/>
    <s v="USA"/>
    <s v="Indonesia"/>
    <x v="2"/>
  </r>
  <r>
    <s v="Amaro Gayo Natural Ethiopia"/>
    <n v="94"/>
    <s v="Light"/>
    <n v="58"/>
    <n v="90"/>
    <n v="5.28"/>
    <s v="USA"/>
    <s v="Ethiopia"/>
    <x v="1"/>
  </r>
  <r>
    <s v="Ardi Ethiopia Natural"/>
    <n v="94"/>
    <s v="Medium Light"/>
    <n v="54"/>
    <n v="79"/>
    <n v="4.7"/>
    <s v="USA"/>
    <s v="Ethiopia"/>
    <x v="1"/>
  </r>
  <r>
    <s v="Deri Kochoha Espresso"/>
    <n v="96"/>
    <s v="Medium Light"/>
    <n v="56"/>
    <n v="78"/>
    <n v="4.9400000000000004"/>
    <s v="USA"/>
    <s v="Ethiopia"/>
    <x v="1"/>
  </r>
  <r>
    <s v="Camilina Geisha Auromar Natural"/>
    <n v="95"/>
    <s v="Light"/>
    <n v="58"/>
    <n v="84"/>
    <n v="21.83"/>
    <s v="USA"/>
    <s v="Panama"/>
    <x v="0"/>
  </r>
  <r>
    <s v="ManLao River Ethiopia Yirgacheffe Dry Process Gedeb Asasa"/>
    <n v="94"/>
    <s v="Medium Light"/>
    <n v="54"/>
    <n v="78"/>
    <n v="50"/>
    <s v="China"/>
    <s v="Ethiopia"/>
    <x v="1"/>
  </r>
  <r>
    <s v="Deri Kochoha Ethiopia"/>
    <n v="94"/>
    <s v="Medium Light"/>
    <n v="56"/>
    <n v="80"/>
    <n v="4.9400000000000004"/>
    <s v="USA"/>
    <s v="Ethiopia"/>
    <x v="1"/>
  </r>
  <r>
    <s v="Cachajinas Guatemala Huehuetenango"/>
    <n v="94"/>
    <s v="Medium Light"/>
    <n v="56"/>
    <n v="80"/>
    <n v="5.28"/>
    <s v="USA"/>
    <s v="Guatemala"/>
    <x v="0"/>
  </r>
  <r>
    <s v="Ethiopia Yirgacheffe Goro"/>
    <n v="94"/>
    <s v="Medium Light"/>
    <n v="54"/>
    <n v="76"/>
    <n v="6.4"/>
    <s v="Australia"/>
    <s v="Ethiopia"/>
    <x v="1"/>
  </r>
  <r>
    <s v="El Obraje Geisha"/>
    <n v="95"/>
    <s v="Medium Light"/>
    <n v="50"/>
    <n v="73"/>
    <n v="9.41"/>
    <s v="USA"/>
    <s v="Colombia"/>
    <x v="0"/>
  </r>
  <r>
    <s v="Ethiopia Yirgacheffe Reko"/>
    <n v="96"/>
    <s v="Medium Light"/>
    <n v="54"/>
    <n v="76"/>
    <n v="5.73"/>
    <s v="USA"/>
    <s v="Ethiopia"/>
    <x v="1"/>
  </r>
  <r>
    <s v="Costa Rica Alberto Guardia Bourbon Natural"/>
    <n v="95"/>
    <s v="Medium Light"/>
    <n v="60"/>
    <n v="80"/>
    <n v="6.03"/>
    <s v="USA"/>
    <s v="Costa Rica"/>
    <x v="0"/>
  </r>
  <r>
    <s v="Colombia San Adolfo"/>
    <n v="94"/>
    <s v="Light"/>
    <n v="65"/>
    <n v="81"/>
    <n v="5"/>
    <s v="USA"/>
    <s v="Colombia"/>
    <x v="0"/>
  </r>
  <r>
    <s v="LauraвЂ™s Reserve SL-28"/>
    <n v="94"/>
    <s v="Medium Light"/>
    <n v="58"/>
    <n v="83"/>
    <n v="17.61"/>
    <s v="USA"/>
    <s v="USA"/>
    <x v="0"/>
  </r>
  <r>
    <s v="Brazil Estancia Telese"/>
    <n v="94"/>
    <s v="Light"/>
    <n v="66"/>
    <n v="83"/>
    <n v="3.89"/>
    <s v="USA"/>
    <s v="Brazil"/>
    <x v="0"/>
  </r>
  <r>
    <s v="Brazil Fazenda Passeio Natural"/>
    <n v="94"/>
    <s v="Medium Light"/>
    <n v="55"/>
    <n v="81"/>
    <n v="3.08"/>
    <s v="USA"/>
    <s v="Brazil"/>
    <x v="0"/>
  </r>
  <r>
    <s v="Kenya Nyeri Gatugi AA"/>
    <n v="94"/>
    <s v="Light"/>
    <n v="60"/>
    <n v="84"/>
    <n v="110.23"/>
    <s v="Taiwan"/>
    <s v="Kenya"/>
    <x v="1"/>
  </r>
  <r>
    <s v="Panama La Esmeralda Bosque Geisha"/>
    <n v="95"/>
    <s v="Medium Light"/>
    <n v="53"/>
    <n v="80"/>
    <n v="22.05"/>
    <s v="USA"/>
    <s v="Panama"/>
    <x v="0"/>
  </r>
  <r>
    <s v="Ethiopia Yirgacheffe Kebele Kochore"/>
    <n v="94"/>
    <s v="Medium Light"/>
    <n v="48"/>
    <n v="78"/>
    <n v="6.17"/>
    <s v="USA"/>
    <s v="Ethiopia"/>
    <x v="1"/>
  </r>
  <r>
    <s v="El Sitio Ecuador"/>
    <n v="94"/>
    <s v="Medium Light"/>
    <n v="52"/>
    <n v="80"/>
    <n v="5.57"/>
    <s v="USA"/>
    <s v="Ecuador"/>
    <x v="0"/>
  </r>
  <r>
    <s v="Harfusa Espresso"/>
    <n v="94"/>
    <s v="Medium Light"/>
    <n v="57"/>
    <n v="84"/>
    <n v="5.23"/>
    <s v="USA"/>
    <s v="Ethiopia"/>
    <x v="1"/>
  </r>
  <r>
    <s v="SOPACDI Congo"/>
    <n v="94"/>
    <s v="Medium Light"/>
    <n v="54"/>
    <n v="74"/>
    <n v="5.28"/>
    <s v="USA"/>
    <s v="Democratic Republic of the Congo"/>
    <x v="1"/>
  </r>
  <r>
    <s v="Reserve Panama Geisha Hacienda La Esmeralda"/>
    <n v="95"/>
    <s v="Medium Light"/>
    <n v="54"/>
    <n v="86"/>
    <n v="23.37"/>
    <s v="USA"/>
    <s v="Panama"/>
    <x v="0"/>
  </r>
  <r>
    <s v="Competition Blend"/>
    <n v="94"/>
    <s v="Light"/>
    <n v="62"/>
    <n v="84"/>
    <n v="4.99"/>
    <s v="USA"/>
    <s v="Ethiopia"/>
    <x v="1"/>
  </r>
  <r>
    <s v="Bean Brain Reserve Suke Quto Ethiopia Sidamo Espresso"/>
    <n v="94"/>
    <s v="Medium Light"/>
    <n v="60"/>
    <n v="80"/>
    <n v="5.59"/>
    <s v="USA"/>
    <s v="Ethiopia"/>
    <x v="1"/>
  </r>
  <r>
    <s v="Hambela Ethiopia"/>
    <n v="96"/>
    <s v="Medium Light"/>
    <n v="57"/>
    <n v="82"/>
    <n v="5.13"/>
    <s v="USA"/>
    <s v="Ethiopia"/>
    <x v="1"/>
  </r>
  <r>
    <s v="Drima Zede Ethiopia"/>
    <n v="94"/>
    <s v="Medium Light"/>
    <n v="57"/>
    <n v="82"/>
    <n v="39.65"/>
    <s v="China"/>
    <s v="Ethiopia"/>
    <x v="1"/>
  </r>
  <r>
    <s v="Ecuador Juan PeГ±a"/>
    <n v="94"/>
    <s v="Light"/>
    <n v="64"/>
    <n v="78"/>
    <n v="8"/>
    <s v="USA"/>
    <s v="Ecuador"/>
    <x v="0"/>
  </r>
  <r>
    <s v="Kenya Othaya Peaberry"/>
    <n v="94"/>
    <s v="Medium Light"/>
    <n v="55"/>
    <n v="80"/>
    <n v="4.34"/>
    <s v="USA"/>
    <s v="Kenya"/>
    <x v="1"/>
  </r>
  <r>
    <s v="Organic Ethiopia Aramo Natural"/>
    <n v="94"/>
    <s v="Light"/>
    <n v="64"/>
    <n v="84"/>
    <n v="5.22"/>
    <s v="USA"/>
    <s v="Ethiopia"/>
    <x v="1"/>
  </r>
  <r>
    <s v="Love Shack (Kenya)"/>
    <n v="94"/>
    <s v="Medium Light"/>
    <n v="54"/>
    <n v="78"/>
    <n v="5.14"/>
    <s v="USA"/>
    <s v="Kenya"/>
    <x v="1"/>
  </r>
  <r>
    <s v="100% Kona Bourbon Pointu Laurina"/>
    <n v="94"/>
    <s v="Medium Light"/>
    <n v="56"/>
    <n v="78"/>
    <n v="15.41"/>
    <s v="USA"/>
    <s v="USA"/>
    <x v="0"/>
  </r>
  <r>
    <s v="Costa Rica Alberto Guardia Venecia Natural"/>
    <n v="95"/>
    <s v="Light"/>
    <n v="60"/>
    <n v="82"/>
    <n v="5.44"/>
    <s v="USA"/>
    <s v="Costa Rica"/>
    <x v="0"/>
  </r>
  <r>
    <s v="Adame Gorbota Espresso"/>
    <n v="95"/>
    <s v="Medium Light"/>
    <n v="56"/>
    <n v="72"/>
    <n v="5.14"/>
    <s v="USA"/>
    <s v="Ethiopia"/>
    <x v="1"/>
  </r>
  <r>
    <s v="El Aguila Pacamara Espresso"/>
    <n v="94"/>
    <s v="Medium Light"/>
    <n v="60"/>
    <n v="80"/>
    <n v="4.63"/>
    <s v="El Salvador"/>
    <s v="El Salvador"/>
    <x v="0"/>
  </r>
  <r>
    <s v="Ethiopia Natural Yirgacheffe Banko Gutiti Coop"/>
    <n v="95"/>
    <s v="Light"/>
    <n v="62"/>
    <n v="84"/>
    <n v="132.28"/>
    <s v="Taiwan"/>
    <s v="Ethiopia"/>
    <x v="1"/>
  </r>
  <r>
    <s v="Ethiopia Natural Sidamo Guji Shakisso"/>
    <n v="94"/>
    <s v="Medium Light"/>
    <n v="53"/>
    <n v="81"/>
    <n v="110.23"/>
    <s v="Taiwan"/>
    <s v="Ethiopia"/>
    <x v="1"/>
  </r>
  <r>
    <s v="Colombia Granja La Esperanza Las Margaritas Sudan Rume"/>
    <n v="95"/>
    <s v="Medium Light"/>
    <n v="52"/>
    <n v="78"/>
    <n v="15.43"/>
    <s v="USA"/>
    <s v="Colombia"/>
    <x v="0"/>
  </r>
  <r>
    <s v="Adame Gorbota Ethiopia"/>
    <n v="94"/>
    <s v="Medium Light"/>
    <n v="54"/>
    <n v="82"/>
    <n v="5.14"/>
    <s v="USA"/>
    <s v="Ethiopia"/>
    <x v="1"/>
  </r>
  <r>
    <s v="Ethiopia Yirgacheffe Adado"/>
    <n v="94"/>
    <s v="Medium Light"/>
    <n v="55"/>
    <n v="78"/>
    <n v="4.5599999999999996"/>
    <s v="USA"/>
    <s v="Ethiopia"/>
    <x v="1"/>
  </r>
  <r>
    <s v="Panama Ratibor Hartmann Natural"/>
    <n v="95"/>
    <s v="Medium Light"/>
    <n v="58"/>
    <n v="80"/>
    <n v="5.14"/>
    <s v="USA"/>
    <s v="Panama"/>
    <x v="0"/>
  </r>
  <r>
    <s v="Kenya AA Nyeri Tambaya"/>
    <n v="94"/>
    <s v="Light"/>
    <n v="60"/>
    <n v="84"/>
    <n v="4.55"/>
    <s v="USA"/>
    <s v="Kenya"/>
    <x v="1"/>
  </r>
  <r>
    <s v="Costa Rica Las Lajas Red Honey"/>
    <n v="94"/>
    <s v="Medium Light"/>
    <n v="53"/>
    <n v="77"/>
    <n v="4.8499999999999996"/>
    <s v="USA"/>
    <s v="Costa Rica"/>
    <x v="0"/>
  </r>
  <r>
    <s v="Bernachon Panama Geisha"/>
    <n v="95"/>
    <s v="Medium Light"/>
    <n v="60"/>
    <n v="76"/>
    <n v="616.74"/>
    <s v="Taiwan"/>
    <s v="Panama"/>
    <x v="0"/>
  </r>
  <r>
    <s v="Panama La Esmeralda Geisha Bosque Natural"/>
    <n v="97"/>
    <s v="Medium Light"/>
    <n v="59"/>
    <n v="82"/>
    <n v="27.34"/>
    <s v="USA"/>
    <s v="Panama"/>
    <x v="0"/>
  </r>
  <r>
    <s v="Harfusa Ethiopia Yirgacheffe Fair Trade Organic"/>
    <n v="95"/>
    <s v="Medium Light"/>
    <n v="54"/>
    <n v="76"/>
    <n v="5.23"/>
    <s v="USA"/>
    <s v="Ethiopia"/>
    <x v="1"/>
  </r>
  <r>
    <s v="ASOPCAFA Colombia"/>
    <n v="94"/>
    <s v="Medium Light"/>
    <n v="60"/>
    <n v="77"/>
    <n v="4.37"/>
    <s v="USA"/>
    <s v="Colombia"/>
    <x v="0"/>
  </r>
  <r>
    <s v="Guatemala San Sebastian Natural"/>
    <n v="95"/>
    <s v="Medium Light"/>
    <n v="59"/>
    <n v="78"/>
    <n v="5.8"/>
    <s v="USA"/>
    <s v="Guatemala"/>
    <x v="0"/>
  </r>
  <r>
    <s v="Ethiopia Hachira Natural Espresso"/>
    <n v="94"/>
    <s v="Light"/>
    <n v="62"/>
    <n v="87"/>
    <n v="9"/>
    <s v="USA"/>
    <s v="Ethiopia"/>
    <x v="1"/>
  </r>
  <r>
    <s v="Ethiopia Kochere Espresso Profile"/>
    <n v="94"/>
    <s v="Medium Light"/>
    <n v="50"/>
    <n v="79"/>
    <n v="5.62"/>
    <s v="USA"/>
    <s v="Ethiopia"/>
    <x v="1"/>
  </r>
  <r>
    <s v="Kenya Nyeri Kiama FCS Ichuga Factory Peaberry"/>
    <n v="95"/>
    <s v="Medium"/>
    <n v="49"/>
    <n v="68"/>
    <n v="5.73"/>
    <s v="USA"/>
    <s v="Kenya"/>
    <x v="1"/>
  </r>
  <r>
    <s v="Kenya Nyeri Thageini"/>
    <n v="94"/>
    <s v="Medium Light"/>
    <n v="54"/>
    <n v="68"/>
    <n v="5.29"/>
    <s v="USA"/>
    <s v="Kenya"/>
    <x v="1"/>
  </r>
  <r>
    <s v="Kenya AA Lot-125 вЂњQueen FloraвЂќ"/>
    <n v="95"/>
    <s v="Medium Dark"/>
    <n v="44"/>
    <n v="56"/>
    <n v="396.83"/>
    <s v="Taiwan"/>
    <s v="Kenya"/>
    <x v="1"/>
  </r>
  <r>
    <s v="Ethiopia Natural Yirgacheffe Phoenix Special вЂњKing SolomonвЂќ"/>
    <n v="94"/>
    <s v="Medium"/>
    <n v="48"/>
    <n v="60"/>
    <n v="352.73"/>
    <s v="Taiwan"/>
    <s v="Ethiopia"/>
    <x v="1"/>
  </r>
  <r>
    <s v="Fully Washed Ethiopia Phoenix Special вЂњDr. EvilвЂќ"/>
    <n v="94"/>
    <s v="Medium"/>
    <n v="45"/>
    <n v="57"/>
    <n v="308.64"/>
    <s v="Taiwan"/>
    <s v="Ethiopia"/>
    <x v="1"/>
  </r>
  <r>
    <s v="Sulawesi вЂњTanah KebangkitanвЂќ Phoenix Special Espresso"/>
    <n v="94"/>
    <s v="Medium Dark"/>
    <n v="44"/>
    <n v="56"/>
    <n v="308.64"/>
    <s v="Taiwan"/>
    <s v="Indonesia"/>
    <x v="2"/>
  </r>
  <r>
    <s v="Kenya AA Lot-122 вЂњExcaliburвЂќ Espresso"/>
    <n v="94"/>
    <s v="Medium Dark"/>
    <n v="45"/>
    <n v="54"/>
    <n v="396.83"/>
    <s v="Taiwan"/>
    <s v="Kenya"/>
    <x v="1"/>
  </r>
  <r>
    <s v="Panama Elida Natural Lot #13"/>
    <n v="95"/>
    <s v="Light"/>
    <n v="63"/>
    <n v="86"/>
    <n v="8"/>
    <s v="USA"/>
    <s v="Panama"/>
    <x v="0"/>
  </r>
  <r>
    <s v="EmmaвЂ™s Jo: The Leam Hammer Competition Espresso"/>
    <n v="95"/>
    <s v="Medium Light"/>
    <n v="55"/>
    <n v="75"/>
    <n v="5.29"/>
    <s v="USA"/>
    <s v="Unknown"/>
    <x v="3"/>
  </r>
  <r>
    <s v="Costa Rica Sumava Natural Lot"/>
    <n v="94"/>
    <s v="Light"/>
    <n v="61"/>
    <n v="85"/>
    <n v="8"/>
    <s v="USA"/>
    <s v="Costa Rica"/>
    <x v="0"/>
  </r>
  <r>
    <s v="Panama Auromar Geisha Natural Peaberry"/>
    <n v="96"/>
    <s v="Medium Light"/>
    <n v="53"/>
    <n v="70"/>
    <n v="17.64"/>
    <s v="USA"/>
    <s v="Panama"/>
    <x v="0"/>
  </r>
  <r>
    <s v="El Burro Geisha Tachi Natural"/>
    <n v="95"/>
    <s v="Medium Light"/>
    <n v="55"/>
    <n v="75"/>
    <n v="13.8"/>
    <s v="USA"/>
    <s v="Panama"/>
    <x v="0"/>
  </r>
  <r>
    <s v="Holiday Blend"/>
    <n v="95"/>
    <s v="Medium Light"/>
    <n v="54"/>
    <n v="77"/>
    <n v="4.4800000000000004"/>
    <s v="USA"/>
    <s v="Unknown"/>
    <x v="3"/>
  </r>
  <r>
    <s v="Holiday Blend"/>
    <n v="95"/>
    <s v="Light"/>
    <n v="66"/>
    <n v="82"/>
    <n v="11.02"/>
    <s v="Taiwan"/>
    <s v="Unknown"/>
    <x v="3"/>
  </r>
  <r>
    <s v="Nicaragua Pacamara Los Congos Lot #8"/>
    <n v="95"/>
    <s v="Light"/>
    <n v="68"/>
    <n v="82"/>
    <n v="8"/>
    <s v="USA"/>
    <s v="Nicaragua"/>
    <x v="0"/>
  </r>
  <r>
    <s v="Panama Boquete Kotowa Gesha Natural"/>
    <n v="94"/>
    <s v="Light"/>
    <n v="64"/>
    <n v="84"/>
    <n v="19.84"/>
    <s v="USA"/>
    <s v="Panama"/>
    <x v="0"/>
  </r>
  <r>
    <s v="Holiday Blend"/>
    <n v="94"/>
    <s v="Medium Light"/>
    <n v="59"/>
    <n v="70"/>
    <n v="5.56"/>
    <s v="USA"/>
    <s v="Ethiopia"/>
    <x v="1"/>
  </r>
  <r>
    <s v="Panama Finca Auromar Camilina Natural"/>
    <n v="94"/>
    <s v="Light"/>
    <n v="66"/>
    <n v="90"/>
    <n v="22.05"/>
    <s v="USA"/>
    <s v="Panama"/>
    <x v="0"/>
  </r>
  <r>
    <s v="El Aguila SL-28 El Salvador"/>
    <n v="94"/>
    <s v="Medium Light"/>
    <n v="58"/>
    <n v="77"/>
    <n v="5.51"/>
    <s v="USA"/>
    <s v="El Salvador"/>
    <x v="0"/>
  </r>
  <r>
    <s v="Ethiopia Sidama Special Lot Natural"/>
    <n v="95"/>
    <s v="Light"/>
    <n v="63"/>
    <n v="86"/>
    <n v="5.29"/>
    <s v="USA"/>
    <s v="Ethiopia"/>
    <x v="1"/>
  </r>
  <r>
    <s v="Panama Finca Deborah Caturra Natural"/>
    <n v="94"/>
    <s v="Light"/>
    <n v="65"/>
    <n v="88"/>
    <n v="8.82"/>
    <s v="USA"/>
    <s v="Panama"/>
    <x v="0"/>
  </r>
  <r>
    <s v="Nekisse Red N2 Level 39"/>
    <n v="96"/>
    <s v="Medium Light"/>
    <n v="63"/>
    <n v="74"/>
    <n v="188"/>
    <s v="China"/>
    <s v="Ethiopia"/>
    <x v="1"/>
  </r>
  <r>
    <s v="Panama La Esmeralda Bosque Lot 1 Gesha"/>
    <n v="94"/>
    <s v="Light"/>
    <n v="64"/>
    <n v="85"/>
    <n v="21.16"/>
    <s v="USA"/>
    <s v="Panama"/>
    <x v="0"/>
  </r>
  <r>
    <s v="Finca La Mula Panama Geisha Natural"/>
    <n v="95"/>
    <s v="Medium Light"/>
    <n v="52"/>
    <n v="73"/>
    <n v="22.02"/>
    <s v="USA"/>
    <s v="Panama"/>
    <x v="0"/>
  </r>
  <r>
    <s v="La Lagunita El Salvador"/>
    <n v="94"/>
    <s v="Medium Light"/>
    <n v="59"/>
    <n v="79"/>
    <n v="5.51"/>
    <s v="USA"/>
    <s v="El Salvador"/>
    <x v="0"/>
  </r>
  <r>
    <s v="Kenya Kinuyu AA"/>
    <n v="95"/>
    <s v="Medium Light"/>
    <n v="57"/>
    <n v="70"/>
    <n v="6.17"/>
    <s v="USA"/>
    <s v="Kenya"/>
    <x v="1"/>
  </r>
  <r>
    <s v="Costa Rica Alberto Guardia Venecia Honey"/>
    <n v="94"/>
    <s v="Light"/>
    <n v="63"/>
    <n v="85"/>
    <n v="5.44"/>
    <s v="USA"/>
    <s v="Costa Rica"/>
    <x v="0"/>
  </r>
  <r>
    <s v="Nicaragua Cafe Vidita Los Congos Pacamara Natural"/>
    <n v="95"/>
    <s v="Light"/>
    <n v="63"/>
    <n v="91"/>
    <n v="5.29"/>
    <s v="USA"/>
    <s v="Nicaragua"/>
    <x v="0"/>
  </r>
  <r>
    <s v="Kenya Kigutha AA"/>
    <n v="94"/>
    <s v="Medium Light"/>
    <n v="60"/>
    <n v="78"/>
    <n v="5.28"/>
    <s v="USA"/>
    <s v="Kenya"/>
    <x v="1"/>
  </r>
  <r>
    <s v="Panama Altieri Natural Geisha"/>
    <n v="96"/>
    <s v="Medium"/>
    <n v="49"/>
    <n v="72"/>
    <n v="22.02"/>
    <s v="USA"/>
    <s v="Panama"/>
    <x v="0"/>
  </r>
  <r>
    <s v="Organic Espresso"/>
    <n v="94"/>
    <s v="Medium"/>
    <n v="52"/>
    <n v="60"/>
    <n v="4.41"/>
    <s v="USA"/>
    <s v="Unknown"/>
    <x v="3"/>
  </r>
  <r>
    <s v="Kemgin Ninety Plus"/>
    <n v="94"/>
    <s v="Medium Light"/>
    <n v="52"/>
    <n v="72"/>
    <n v="7.63"/>
    <s v="USA"/>
    <s v="Ethiopia"/>
    <x v="1"/>
  </r>
  <r>
    <s v="Ethiopia Nigusse Lemma"/>
    <n v="94"/>
    <s v="Medium Light"/>
    <n v="58"/>
    <n v="76"/>
    <n v="4.9800000000000004"/>
    <s v="USA"/>
    <s v="Ethiopia"/>
    <x v="1"/>
  </r>
  <r>
    <s v="Panama Don Pepe Estate Geisha Single-Origin Espresso"/>
    <n v="96"/>
    <s v="Medium"/>
    <n v="48"/>
    <n v="59"/>
    <n v="5.73"/>
    <s v="USA"/>
    <s v="Panama"/>
    <x v="0"/>
  </r>
  <r>
    <s v="Ichamama Kenya"/>
    <n v="94"/>
    <s v="Medium Light"/>
    <n v="56"/>
    <n v="74"/>
    <n v="4.7300000000000004"/>
    <s v="USA"/>
    <s v="Kenya"/>
    <x v="1"/>
  </r>
  <r>
    <s v="Las Flores Espresso"/>
    <n v="95"/>
    <s v="Medium Light"/>
    <n v="57"/>
    <n v="78"/>
    <n v="4.6399999999999997"/>
    <s v="USA"/>
    <s v="Costa Rica"/>
    <x v="0"/>
  </r>
  <r>
    <s v="El Salvador Finca Medrano Pacamara Nohemi Ventura"/>
    <n v="94"/>
    <s v="Light"/>
    <n v="62"/>
    <n v="87"/>
    <n v="8"/>
    <s v="South Korea"/>
    <s v="El Salvador"/>
    <x v="0"/>
  </r>
  <r>
    <s v="Ethiopia Jimma Agaro"/>
    <n v="95"/>
    <s v="Light"/>
    <n v="66"/>
    <n v="87"/>
    <n v="5.88"/>
    <s v="USA"/>
    <s v="Ethiopia"/>
    <x v="1"/>
  </r>
  <r>
    <s v="Rwanda Silverback Espresso"/>
    <n v="95"/>
    <s v="Medium Dark"/>
    <n v="43"/>
    <n v="52"/>
    <n v="0.22"/>
    <s v="Taiwan"/>
    <s v="Rwanda"/>
    <x v="1"/>
  </r>
  <r>
    <s v="Ecuador вЂњMama KilyaвЂќ Espresso"/>
    <n v="94"/>
    <s v="Medium Dark"/>
    <n v="44"/>
    <n v="50"/>
    <n v="0.44"/>
    <s v="Taiwan"/>
    <s v="Ecuador"/>
    <x v="0"/>
  </r>
  <r>
    <s v="Ethiopia Hambela"/>
    <n v="94"/>
    <s v="Medium Light"/>
    <n v="55"/>
    <n v="78"/>
    <n v="5.57"/>
    <s v="USA"/>
    <s v="Ethiopia"/>
    <x v="1"/>
  </r>
  <r>
    <s v="Kenya Nyeri Peaberry"/>
    <n v="95"/>
    <s v="Medium Light"/>
    <n v="55"/>
    <n v="76"/>
    <n v="4.2300000000000004"/>
    <s v="USA"/>
    <s v="Kenya"/>
    <x v="1"/>
  </r>
  <r>
    <s v="Panama Lino Esmeralda Geisha Natural"/>
    <n v="96"/>
    <s v="Light"/>
    <n v="67"/>
    <n v="88"/>
    <n v="22.49"/>
    <s v="USA"/>
    <s v="Panama"/>
    <x v="0"/>
  </r>
  <r>
    <s v="Ethiopia Sidama Akrabi"/>
    <n v="94"/>
    <s v="Medium Light"/>
    <n v="58"/>
    <n v="71"/>
    <n v="16.41"/>
    <s v="USA"/>
    <s v="Ethiopia"/>
    <x v="1"/>
  </r>
  <r>
    <s v="Kenya AA Gakuyuri"/>
    <n v="94"/>
    <s v="Medium Light"/>
    <n v="60"/>
    <n v="75"/>
    <n v="4.4800000000000004"/>
    <s v="USA"/>
    <s v="Kenya"/>
    <x v="1"/>
  </r>
  <r>
    <s v="Kenya Embu Gakui Peaberry"/>
    <n v="95"/>
    <s v="Medium Light"/>
    <n v="54"/>
    <n v="70"/>
    <n v="5.14"/>
    <s v="USA"/>
    <s v="Kenya"/>
    <x v="1"/>
  </r>
  <r>
    <s v="Kenya AA Kigwandi Estate"/>
    <n v="95"/>
    <s v="Medium Light"/>
    <n v="59"/>
    <n v="75"/>
    <n v="3.97"/>
    <s v="USA"/>
    <s v="Kenya"/>
    <x v="1"/>
  </r>
  <r>
    <s v="Ethiopia Yirgacheffe Buna Ababa"/>
    <n v="94"/>
    <s v="Medium Light"/>
    <n v="57"/>
    <n v="76"/>
    <n v="6.61"/>
    <s v="USA"/>
    <s v="Ethiopia"/>
    <x v="1"/>
  </r>
  <r>
    <s v="Panama Don Pepe Fully Washed Geisha"/>
    <n v="96"/>
    <s v="Medium Light"/>
    <n v="58"/>
    <n v="72"/>
    <n v="17.64"/>
    <s v="USA"/>
    <s v="Panama"/>
    <x v="0"/>
  </r>
  <r>
    <s v="Golden Mean Espresso Blend"/>
    <n v="94"/>
    <s v="Medium"/>
    <n v="48"/>
    <n v="60"/>
    <n v="4.3899999999999997"/>
    <s v="USA"/>
    <s v="Unknown"/>
    <x v="3"/>
  </r>
  <r>
    <s v="Finca La Mula Panama Geisha"/>
    <n v="97"/>
    <s v="Medium"/>
    <n v="52"/>
    <n v="66"/>
    <n v="26.43"/>
    <s v="USA"/>
    <s v="Panama"/>
    <x v="0"/>
  </r>
  <r>
    <s v="S.O. Espresso Brazil Fazenda Santa Ines"/>
    <n v="94"/>
    <s v="Medium"/>
    <n v="47"/>
    <n v="60"/>
    <n v="3.81"/>
    <s v="USA"/>
    <s v="Brazil"/>
    <x v="0"/>
  </r>
  <r>
    <s v="Black House"/>
    <n v="94"/>
    <s v="Medium Light"/>
    <n v="55"/>
    <n v="69"/>
    <n v="4.12"/>
    <s v="USA"/>
    <s v="Unknown"/>
    <x v="3"/>
  </r>
  <r>
    <s v="Kenya Gachatha AA"/>
    <n v="96"/>
    <s v="Medium Light"/>
    <n v="54"/>
    <n v="76"/>
    <n v="7.33"/>
    <s v="USA"/>
    <s v="Kenya"/>
    <x v="1"/>
  </r>
  <r>
    <s v="Burundi Kayanza Province Mpanga Washing Station"/>
    <n v="94"/>
    <s v="Medium Light"/>
    <n v="54"/>
    <n v="74"/>
    <n v="6.17"/>
    <s v="USA"/>
    <s v="Burundi"/>
    <x v="1"/>
  </r>
  <r>
    <s v="Ethiopia Yirgacheffe Dabub Matebya"/>
    <n v="94"/>
    <s v="Light"/>
    <n v="65"/>
    <n v="87"/>
    <n v="4.41"/>
    <s v="USA"/>
    <s v="Ethiopia"/>
    <x v="1"/>
  </r>
  <r>
    <s v="Yemen Haraaz Red A+"/>
    <n v="94"/>
    <s v="Medium Light"/>
    <n v="54"/>
    <n v="74"/>
    <n v="8.3800000000000008"/>
    <s v="USA"/>
    <s v="Yemen"/>
    <x v="1"/>
  </r>
  <r>
    <s v="El Salvador Finca Loma La Gloria"/>
    <n v="94"/>
    <s v="Light"/>
    <n v="78"/>
    <n v="99"/>
    <n v="5.58"/>
    <s v="USA"/>
    <s v="El Salvador"/>
    <x v="0"/>
  </r>
  <r>
    <s v="Ethiopia Sidama Ardi"/>
    <n v="95"/>
    <s v="Medium Light"/>
    <n v="57"/>
    <n v="78"/>
    <n v="5.59"/>
    <s v="USA"/>
    <s v="Ethiopia"/>
    <x v="1"/>
  </r>
  <r>
    <s v="Ethiopia Washed Limu Gera"/>
    <n v="94"/>
    <s v="Medium Light"/>
    <n v="61"/>
    <n v="79"/>
    <n v="3.75"/>
    <s v="Taiwan"/>
    <s v="Ethiopia"/>
    <x v="1"/>
  </r>
  <r>
    <s v="Ethiopia Aricha"/>
    <n v="94"/>
    <s v="Light"/>
    <n v="62"/>
    <n v="88"/>
    <n v="5.29"/>
    <s v="USA"/>
    <s v="Ethiopia"/>
    <x v="1"/>
  </r>
  <r>
    <s v="Ace Espresso"/>
    <n v="94"/>
    <s v="Medium Light"/>
    <n v="55"/>
    <n v="72"/>
    <n v="3.53"/>
    <s v="Canada"/>
    <s v="Unknown"/>
    <x v="3"/>
  </r>
  <r>
    <s v="Colombia Special Process Microlot 511 вЂњMemory OrchardвЂќ Espresso"/>
    <n v="94"/>
    <s v="Medium"/>
    <n v="47"/>
    <n v="56"/>
    <n v="0.44"/>
    <s v="Taiwan"/>
    <s v="Colombia"/>
    <x v="0"/>
  </r>
  <r>
    <s v="Costa Rica Sonora Bourbon Natural"/>
    <n v="94"/>
    <s v="Light"/>
    <n v="68"/>
    <n v="92"/>
    <n v="5.59"/>
    <s v="USA"/>
    <s v="Costa Rica"/>
    <x v="0"/>
  </r>
  <r>
    <s v="The Secret Coffee"/>
    <n v="94"/>
    <s v="Light"/>
    <n v="66"/>
    <n v="99"/>
    <n v="264.32"/>
    <s v="Taiwan"/>
    <s v="Unknown"/>
    <x v="3"/>
  </r>
  <r>
    <s v="Panama Finca Hartmann"/>
    <n v="95"/>
    <s v="Light"/>
    <n v="63"/>
    <n v="81"/>
    <n v="5.14"/>
    <s v="USA"/>
    <s v="Panama"/>
    <x v="0"/>
  </r>
  <r>
    <s v="Sumatra Ulos Batak"/>
    <n v="94"/>
    <s v="Medium Light"/>
    <n v="54"/>
    <n v="70"/>
    <n v="5.29"/>
    <s v="USA"/>
    <s v="Indonesia"/>
    <x v="2"/>
  </r>
  <r>
    <s v="Espresso Blend"/>
    <n v="94"/>
    <s v="Medium"/>
    <n v="52"/>
    <n v="68"/>
    <n v="231.11"/>
    <s v="Taiwan"/>
    <s v="Unknown"/>
    <x v="3"/>
  </r>
  <r>
    <s v="Sillvia Solkiln N2 Level 95"/>
    <n v="96"/>
    <s v="Medium Light"/>
    <n v="59"/>
    <n v="80"/>
    <n v="466.67"/>
    <s v="China"/>
    <s v="Unknown"/>
    <x v="3"/>
  </r>
  <r>
    <s v="Sweet MariaвЂ™s Acatenango Gesha"/>
    <n v="94"/>
    <s v="Medium Light"/>
    <n v="60"/>
    <n v="74"/>
    <n v="187.2"/>
    <s v="China"/>
    <s v="Unknown"/>
    <x v="3"/>
  </r>
  <r>
    <s v="Keremara AA Kenya"/>
    <n v="95"/>
    <s v="Medium Light"/>
    <n v="60"/>
    <n v="79"/>
    <n v="5.42"/>
    <s v="USA"/>
    <s v="Kenya"/>
    <x v="1"/>
  </r>
  <r>
    <s v="Tchembe Gedeo Ethiopia"/>
    <n v="94"/>
    <s v="Medium Light"/>
    <n v="58"/>
    <n v="72"/>
    <n v="9.1"/>
    <s v="USA"/>
    <s v="Ethiopia"/>
    <x v="1"/>
  </r>
  <r>
    <s v="Ethiopia Yirgacheffe Gedeo"/>
    <n v="95"/>
    <s v="Light"/>
    <n v="64"/>
    <n v="94"/>
    <n v="4.26"/>
    <s v="USA"/>
    <s v="Ethiopia"/>
    <x v="1"/>
  </r>
  <r>
    <s v="Finca La Aurora Camilina Geisha"/>
    <n v="95"/>
    <s v="Light"/>
    <n v="62"/>
    <n v="88"/>
    <n v="21.38"/>
    <s v="USA"/>
    <s v="Unknown"/>
    <x v="3"/>
  </r>
  <r>
    <s v="Sumatra Lake Toba Peaberry"/>
    <n v="94"/>
    <s v="Medium"/>
    <n v="47"/>
    <n v="65"/>
    <n v="5.29"/>
    <s v="USA"/>
    <s v="Indonesia"/>
    <x v="2"/>
  </r>
  <r>
    <s v="Sumatra Ulos Batak"/>
    <n v="94"/>
    <s v="Medium Light"/>
    <n v="56"/>
    <n v="70"/>
    <n v="5.07"/>
    <s v="USA"/>
    <s v="Indonesia"/>
    <x v="2"/>
  </r>
  <r>
    <s v="Ethiopian Washed Kochere G1 SO Espresso"/>
    <n v="94"/>
    <s v="Medium"/>
    <n v="49"/>
    <n v="62"/>
    <n v="2.65"/>
    <s v="Taiwan"/>
    <s v="Ethiopia"/>
    <x v="1"/>
  </r>
  <r>
    <s v="Colombia Granja La Esperanza Grand Cru Mokka"/>
    <n v="94"/>
    <s v="Light"/>
    <n v="65"/>
    <n v="86"/>
    <n v="8.08"/>
    <s v="USA"/>
    <s v="Colombia"/>
    <x v="0"/>
  </r>
  <r>
    <s v="Panama Esmeralda Geisha"/>
    <n v="96"/>
    <s v="Medium Light"/>
    <n v="57"/>
    <n v="83"/>
    <n v="16.23"/>
    <s v="USA"/>
    <s v="Panama"/>
    <x v="0"/>
  </r>
  <r>
    <s v="Rum-Barrel Conditioned Ethiopia Gelena Abaya"/>
    <n v="94"/>
    <s v="Light"/>
    <n v="65"/>
    <n v="85"/>
    <n v="5.29"/>
    <s v="USA"/>
    <s v="Ethiopia"/>
    <x v="1"/>
  </r>
  <r>
    <s v="Finca La Mula Panama Geisha"/>
    <n v="96"/>
    <s v="Medium Light"/>
    <n v="57"/>
    <n v="81"/>
    <n v="21.72"/>
    <s v="USA"/>
    <s v="Panama"/>
    <x v="0"/>
  </r>
  <r>
    <s v="Milepost Kenya Nyeri Ruarai"/>
    <n v="94"/>
    <s v="Medium Light"/>
    <n v="58"/>
    <n v="81"/>
    <n v="5.29"/>
    <s v="USA"/>
    <s v="Kenya"/>
    <x v="1"/>
  </r>
  <r>
    <s v="Kenya Thiriku"/>
    <n v="95"/>
    <s v="Medium Light"/>
    <n v="56"/>
    <n v="77"/>
    <n v="5.14"/>
    <s v="USA"/>
    <s v="Kenya"/>
    <x v="1"/>
  </r>
  <r>
    <s v="Ari-Ari Seuri-Seuri"/>
    <n v="94"/>
    <s v="Medium Light"/>
    <n v="56"/>
    <n v="72"/>
    <n v="6"/>
    <s v="South Korea"/>
    <s v="Unknown"/>
    <x v="3"/>
  </r>
  <r>
    <s v="Jazz Apricot (Espresso)"/>
    <n v="94"/>
    <s v="Medium"/>
    <n v="50"/>
    <n v="62"/>
    <n v="110.23"/>
    <s v="Taiwan"/>
    <s v="Unknown"/>
    <x v="3"/>
  </r>
  <r>
    <s v="Ethiopia Biloya Organic"/>
    <n v="95"/>
    <s v="Medium Light"/>
    <n v="55"/>
    <n v="75"/>
    <n v="4.92"/>
    <s v="USA"/>
    <s v="Ethiopia"/>
    <x v="1"/>
  </r>
  <r>
    <s v="Organic Ethiopian Worka Special Prep"/>
    <n v="94"/>
    <s v="Light"/>
    <n v="60"/>
    <n v="83"/>
    <n v="5.22"/>
    <s v="USA"/>
    <s v="Ethiopia"/>
    <x v="1"/>
  </r>
  <r>
    <s v="Ethiopia Washed Yirgacheffe Alemu Station"/>
    <n v="94"/>
    <s v="Light"/>
    <n v="65"/>
    <n v="88"/>
    <n v="3.97"/>
    <s v="Taiwan"/>
    <s v="Ethiopia"/>
    <x v="1"/>
  </r>
  <r>
    <s v="Kenya Kianjuri AB"/>
    <n v="94"/>
    <s v="Medium"/>
    <n v="53"/>
    <n v="68"/>
    <n v="5.29"/>
    <s v="USA"/>
    <s v="Kenya"/>
    <x v="1"/>
  </r>
  <r>
    <s v="Kenya Nyeri Tambaya Peaberry"/>
    <n v="94"/>
    <s v="Medium"/>
    <n v="49"/>
    <n v="65"/>
    <n v="5.73"/>
    <s v="USA"/>
    <s v="Kenya"/>
    <x v="1"/>
  </r>
  <r>
    <s v="Ethiopian Yirgacheffe Idido Natural"/>
    <n v="94"/>
    <s v="Medium Light"/>
    <n v="58"/>
    <n v="83"/>
    <n v="5.29"/>
    <s v="USA"/>
    <s v="Ethiopia"/>
    <x v="1"/>
  </r>
  <r>
    <s v="Kenya AA"/>
    <n v="95"/>
    <s v="Medium Light"/>
    <n v="56"/>
    <n v="79"/>
    <n v="220.46"/>
    <s v="Taiwan"/>
    <s v="Kenya"/>
    <x v="1"/>
  </r>
  <r>
    <s v="Ethiopia Suke Quto Organic"/>
    <n v="95"/>
    <s v="Medium"/>
    <n v="52"/>
    <n v="65"/>
    <n v="4.3899999999999997"/>
    <s v="USA"/>
    <s v="Ethiopia"/>
    <x v="1"/>
  </r>
  <r>
    <s v="Espresso Blend Spring 15"/>
    <n v="94"/>
    <s v="Medium"/>
    <n v="48"/>
    <n v="54"/>
    <n v="127.87"/>
    <s v="Taiwan"/>
    <s v="Unknown"/>
    <x v="3"/>
  </r>
  <r>
    <s v="Esmeralda Leon Natural Geisha"/>
    <n v="96"/>
    <s v="Light"/>
    <n v="71"/>
    <n v="89"/>
    <n v="19.84"/>
    <s v="USA"/>
    <s v="Unknown"/>
    <x v="3"/>
  </r>
  <r>
    <s v="Shilcho Ethiopia, Red Cherry Initiative"/>
    <n v="94"/>
    <s v="Medium"/>
    <n v="53"/>
    <n v="66"/>
    <n v="5"/>
    <s v="USA"/>
    <s v="Ethiopia"/>
    <x v="1"/>
  </r>
  <r>
    <s v="Lomi Tasha Worka, Ethiopia"/>
    <n v="95"/>
    <s v="Light"/>
    <n v="64"/>
    <n v="85"/>
    <n v="7.35"/>
    <s v="USA"/>
    <s v="Ethiopia"/>
    <x v="1"/>
  </r>
  <r>
    <s v="LauraвЂ™s Reserve SL-28"/>
    <n v="94"/>
    <s v="Medium"/>
    <n v="53"/>
    <n v="68"/>
    <n v="15.85"/>
    <s v="USA"/>
    <s v="Unknown"/>
    <x v="3"/>
  </r>
  <r>
    <s v="Semeon Abay Ethiopia"/>
    <n v="95"/>
    <s v="Light"/>
    <n v="66"/>
    <n v="84"/>
    <n v="121.4"/>
    <s v="USA"/>
    <s v="Ethiopia"/>
    <x v="1"/>
  </r>
  <r>
    <s v="Kenya Nyeri Rukira AB"/>
    <n v="95"/>
    <s v="Medium"/>
    <n v="49"/>
    <n v="66"/>
    <n v="4.41"/>
    <s v="Taiwan"/>
    <s v="Kenya"/>
    <x v="1"/>
  </r>
  <r>
    <s v="Auromar Camilina Geisha"/>
    <n v="95"/>
    <s v="Light"/>
    <n v="62"/>
    <n v="88"/>
    <n v="17.64"/>
    <s v="USA"/>
    <s v="Unknown"/>
    <x v="3"/>
  </r>
  <r>
    <s v="Holiday Blend"/>
    <n v="95"/>
    <s v="Medium Light"/>
    <n v="59"/>
    <n v="78"/>
    <n v="5.07"/>
    <s v="USA"/>
    <s v="Unknown"/>
    <x v="3"/>
  </r>
  <r>
    <s v="Ethiopia Wenago Natural"/>
    <n v="95"/>
    <s v="Medium Light"/>
    <n v="55"/>
    <n v="73"/>
    <n v="5.29"/>
    <s v="USA"/>
    <s v="Ethiopia"/>
    <x v="1"/>
  </r>
  <r>
    <s v="Panama Geisha Holiday Blend"/>
    <n v="95"/>
    <s v="Light"/>
    <n v="67"/>
    <n v="88"/>
    <n v="16"/>
    <s v="USA"/>
    <s v="Panama"/>
    <x v="0"/>
  </r>
  <r>
    <s v="Panama Esmeralda Especial Geisha Bosque 2"/>
    <n v="94"/>
    <s v="Medium"/>
    <n v="50"/>
    <n v="65"/>
    <n v="27.34"/>
    <s v="USA"/>
    <s v="Panama"/>
    <x v="0"/>
  </r>
  <r>
    <s v="Gratitude Special Blend"/>
    <n v="94"/>
    <s v="Medium"/>
    <n v="46"/>
    <n v="64"/>
    <n v="3.67"/>
    <s v="USA"/>
    <s v="Unknown"/>
    <x v="3"/>
  </r>
  <r>
    <s v="Nicaragua Pacamara Reserve Los Congos"/>
    <n v="94"/>
    <s v="Medium Light"/>
    <n v="57"/>
    <n v="73"/>
    <n v="5.29"/>
    <s v="USA"/>
    <s v="Nicaragua"/>
    <x v="0"/>
  </r>
  <r>
    <s v="Kenya Muthonjo AA"/>
    <n v="94"/>
    <s v="Medium"/>
    <n v="49"/>
    <n v="64"/>
    <n v="10.67"/>
    <s v="USA"/>
    <s v="Kenya"/>
    <x v="1"/>
  </r>
  <r>
    <s v="Ethiopia Ninety Plus Hachira N2"/>
    <n v="95"/>
    <s v="Medium"/>
    <n v="51"/>
    <n v="67"/>
    <n v="8.82"/>
    <s v="USA"/>
    <s v="Ethiopia"/>
    <x v="1"/>
  </r>
  <r>
    <s v="Perci Red Panama Gesha"/>
    <n v="95"/>
    <s v="Light"/>
    <n v="74"/>
    <n v="101"/>
    <n v="21.3"/>
    <s v="USA"/>
    <s v="Panama"/>
    <x v="0"/>
  </r>
  <r>
    <s v="Kenya Karagoto"/>
    <n v="94"/>
    <s v="Medium"/>
    <n v="54"/>
    <n v="66"/>
    <n v="3.82"/>
    <s v="USA"/>
    <s v="Kenya"/>
    <x v="1"/>
  </r>
  <r>
    <s v="Nekisse Natural Process Ethiopia"/>
    <n v="94"/>
    <s v="Light"/>
    <n v="64"/>
    <n v="89"/>
    <n v="9.1"/>
    <s v="USA"/>
    <s v="Ethiopia"/>
    <x v="1"/>
  </r>
  <r>
    <s v="Ethiopia Yirgacheffe Gutiti"/>
    <n v="94"/>
    <s v="Medium"/>
    <n v="52"/>
    <n v="69"/>
    <n v="4.9800000000000004"/>
    <s v="USA"/>
    <s v="Ethiopia"/>
    <x v="1"/>
  </r>
  <r>
    <s v="Ulos Batak Sumatra Peaberry"/>
    <n v="95"/>
    <s v="Medium Light"/>
    <n v="54"/>
    <n v="78"/>
    <n v="5.44"/>
    <s v="USA"/>
    <s v="Indonesia"/>
    <x v="2"/>
  </r>
  <r>
    <s v="Ethiopia Konga"/>
    <n v="94"/>
    <s v="Medium Light"/>
    <n v="56"/>
    <n v="76"/>
    <n v="4.9800000000000004"/>
    <s v="USA"/>
    <s v="Ethiopia"/>
    <x v="1"/>
  </r>
  <r>
    <s v="Kenya AA Top 405A Espresso"/>
    <n v="95"/>
    <s v="Medium"/>
    <n v="47"/>
    <n v="62"/>
    <n v="352.74"/>
    <s v="Taiwan"/>
    <s v="Kenya"/>
    <x v="1"/>
  </r>
  <r>
    <s v="Seasonal Mini-Me Yirgacheffe Washed"/>
    <n v="94"/>
    <s v="Medium"/>
    <n v="52"/>
    <n v="68"/>
    <n v="220.46"/>
    <s v="Taiwan"/>
    <s v="Ethiopia"/>
    <x v="1"/>
  </r>
  <r>
    <s v="Panama Mama Cata Natural"/>
    <n v="95"/>
    <s v="Medium"/>
    <n v="42"/>
    <n v="63"/>
    <n v="9.98"/>
    <s v="USA"/>
    <s v="Panama"/>
    <x v="0"/>
  </r>
  <r>
    <s v="High Mountain Red Bourbon"/>
    <n v="95"/>
    <s v="Medium Light"/>
    <n v="61"/>
    <n v="77"/>
    <n v="15.41"/>
    <s v="USA"/>
    <s v="Unknown"/>
    <x v="3"/>
  </r>
  <r>
    <s v="Nicaragua Pacamara Reserve Los Congos"/>
    <n v="94"/>
    <s v="Medium Light"/>
    <n v="56"/>
    <n v="73"/>
    <n v="5.29"/>
    <s v="USA"/>
    <s v="Nicaragua"/>
    <x v="0"/>
  </r>
  <r>
    <s v="Panama Duncan Natural Gesha"/>
    <n v="94"/>
    <s v="Light"/>
    <n v="61"/>
    <n v="81"/>
    <n v="20.72"/>
    <s v="USA"/>
    <s v="Panama"/>
    <x v="0"/>
  </r>
  <r>
    <s v="Guatemala Acatenango Gesha"/>
    <n v="94"/>
    <s v="Light"/>
    <n v="72"/>
    <n v="87"/>
    <n v="9.6999999999999993"/>
    <s v="USA"/>
    <s v="Guatemala"/>
    <x v="0"/>
  </r>
  <r>
    <s v="Kenya Kigwandi AA"/>
    <n v="94"/>
    <s v="Medium Light"/>
    <n v="53"/>
    <n v="70"/>
    <n v="5.86"/>
    <s v="USA"/>
    <s v="Kenya"/>
    <x v="1"/>
  </r>
  <r>
    <s v="Ethiopia Homacho Waeno"/>
    <n v="95"/>
    <s v="Medium Light"/>
    <n v="62"/>
    <n v="75"/>
    <n v="217.47"/>
    <s v="USA"/>
    <s v="Ethiopia"/>
    <x v="1"/>
  </r>
  <r>
    <s v="Colombia Granja Esperanza Gesha AAA"/>
    <n v="95"/>
    <s v="Medium Light"/>
    <n v="53"/>
    <n v="76"/>
    <n v="97.39"/>
    <s v="USA"/>
    <s v="Colombia"/>
    <x v="0"/>
  </r>
  <r>
    <s v="Kenya Mathew Mugo"/>
    <n v="94"/>
    <s v="Medium Light"/>
    <n v="61"/>
    <n v="79"/>
    <n v="5.28"/>
    <s v="USA"/>
    <s v="Kenya"/>
    <x v="1"/>
  </r>
  <r>
    <s v="Organic Ethiopian Banko Natural"/>
    <n v="94"/>
    <s v="Medium Light"/>
    <n v="59"/>
    <n v="75"/>
    <n v="4.92"/>
    <s v="USA"/>
    <s v="Ethiopia"/>
    <x v="1"/>
  </r>
  <r>
    <s v="Kenya Nyeri"/>
    <n v="94"/>
    <s v="Medium"/>
    <n v="52"/>
    <n v="62"/>
    <n v="5.29"/>
    <s v="USA"/>
    <s v="Kenya"/>
    <x v="1"/>
  </r>
  <r>
    <s v="Konga Natural Ethiopia"/>
    <n v="94"/>
    <s v="Light"/>
    <n v="62"/>
    <n v="84"/>
    <n v="5.24"/>
    <s v="USA"/>
    <s v="Ethiopia"/>
    <x v="1"/>
  </r>
  <r>
    <s v="Kenya AA Giakanja"/>
    <n v="94"/>
    <s v="Medium Light"/>
    <n v="53"/>
    <n v="71"/>
    <n v="43.82"/>
    <s v="USA"/>
    <s v="Kenya"/>
    <x v="1"/>
  </r>
  <r>
    <s v="Ethiopia CheleвЂ™ Lektu"/>
    <n v="94"/>
    <s v="Medium"/>
    <n v="52"/>
    <n v="68"/>
    <n v="4.12"/>
    <s v="USA"/>
    <s v="Ethiopia"/>
    <x v="1"/>
  </r>
  <r>
    <s v="Ethiopia Boke Natural Grade 1 Espresso"/>
    <n v="94"/>
    <s v="Medium Light"/>
    <n v="56"/>
    <n v="66"/>
    <n v="5.14"/>
    <s v="USA"/>
    <s v="Ethiopia"/>
    <x v="1"/>
  </r>
  <r>
    <s v="Kochoha Espresso"/>
    <n v="94"/>
    <s v="Medium Light"/>
    <n v="56"/>
    <n v="72"/>
    <n v="4.37"/>
    <s v="USA"/>
    <s v="Unknown"/>
    <x v="3"/>
  </r>
  <r>
    <s v="Kenya Nyeri Giakanja"/>
    <n v="95"/>
    <s v="Medium"/>
    <n v="50"/>
    <n v="55"/>
    <n v="6.17"/>
    <s v="USA"/>
    <s v="Kenya"/>
    <x v="1"/>
  </r>
  <r>
    <s v="Perci N2 L39"/>
    <n v="94"/>
    <s v="Medium Light"/>
    <n v="55"/>
    <n v="78"/>
    <n v="188"/>
    <s v="China"/>
    <s v="Unknown"/>
    <x v="3"/>
  </r>
  <r>
    <s v="Yirgacheffe Aricha Natural G1"/>
    <n v="94"/>
    <s v="Medium Light"/>
    <n v="59"/>
    <n v="74"/>
    <n v="10"/>
    <s v="South Korea"/>
    <s v="Ethiopia"/>
    <x v="1"/>
  </r>
  <r>
    <s v="Sumatra Tano Batak"/>
    <n v="94"/>
    <s v="Medium"/>
    <n v="54"/>
    <n v="66"/>
    <n v="5.14"/>
    <s v="USA"/>
    <s v="Indonesia"/>
    <x v="2"/>
  </r>
  <r>
    <s v="Panama Ironman Camilina Geisha"/>
    <n v="97"/>
    <s v="Medium Light"/>
    <n v="58"/>
    <n v="80"/>
    <n v="22.02"/>
    <s v="USA"/>
    <s v="Panama"/>
    <x v="0"/>
  </r>
  <r>
    <s v="Panama Estate Reserve: Elida Estate Natural"/>
    <n v="94"/>
    <s v="Medium Light"/>
    <n v="58"/>
    <n v="80"/>
    <n v="5.29"/>
    <s v="USA"/>
    <s v="Panama"/>
    <x v="0"/>
  </r>
  <r>
    <s v="ByronвЂ™s Maracaturra Natural Nicaragua"/>
    <n v="94"/>
    <s v="Light"/>
    <n v="64"/>
    <n v="80"/>
    <n v="4.8499999999999996"/>
    <s v="USA"/>
    <s v="Nicaragua"/>
    <x v="0"/>
  </r>
  <r>
    <s v="Panama Chiriqui Finca Santa Teresa Geisha"/>
    <n v="94"/>
    <s v="Light"/>
    <n v="72"/>
    <n v="87"/>
    <n v="7.94"/>
    <s v="USA"/>
    <s v="Panama"/>
    <x v="0"/>
  </r>
  <r>
    <s v="Costa Rica Cerro San Luis Natural"/>
    <n v="94"/>
    <s v="Medium Light"/>
    <n v="57"/>
    <n v="74"/>
    <n v="5.26"/>
    <s v="USA"/>
    <s v="Costa Rica"/>
    <x v="0"/>
  </r>
  <r>
    <s v="Panama La Berlina Typica Natural"/>
    <n v="94"/>
    <s v="Medium Light"/>
    <n v="56"/>
    <n v="76"/>
    <n v="211.64"/>
    <s v="Taiwan"/>
    <s v="Panama"/>
    <x v="0"/>
  </r>
  <r>
    <s v="Costa Rica Flor de Santos Bourbon Natural"/>
    <n v="94"/>
    <s v="Medium Light"/>
    <n v="57"/>
    <n v="79"/>
    <n v="89"/>
    <s v="China"/>
    <s v="Costa Rica"/>
    <x v="0"/>
  </r>
  <r>
    <s v="Panama NPGE Perci N2"/>
    <n v="94"/>
    <s v="Medium Light"/>
    <n v="59"/>
    <n v="77"/>
    <n v="25"/>
    <s v="South Korea"/>
    <s v="Panama"/>
    <x v="0"/>
  </r>
  <r>
    <s v="El Salvador Cerro Las Ranas Espresso"/>
    <n v="94"/>
    <s v="Medium Dark"/>
    <n v="44"/>
    <n v="50"/>
    <n v="4.6900000000000004"/>
    <s v="USA"/>
    <s v="El Salvador"/>
    <x v="0"/>
  </r>
  <r>
    <s v="Kii Kenya"/>
    <n v="94"/>
    <s v="Medium Light"/>
    <n v="58"/>
    <n v="73"/>
    <n v="5.86"/>
    <s v="USA"/>
    <s v="Kenya"/>
    <x v="1"/>
  </r>
  <r>
    <s v="Ethiopia Boke Washed Grade 1"/>
    <n v="95"/>
    <s v="Medium Light"/>
    <n v="57"/>
    <n v="82"/>
    <n v="5"/>
    <s v="USA"/>
    <s v="Ethiopia"/>
    <x v="1"/>
  </r>
  <r>
    <s v="Ethiopia Semeon Abay N3"/>
    <n v="94"/>
    <s v="Light"/>
    <n v="62"/>
    <n v="87"/>
    <n v="95"/>
    <s v="South Korea"/>
    <s v="Ethiopia"/>
    <x v="1"/>
  </r>
  <r>
    <s v="Kenya Kahiriga"/>
    <n v="94"/>
    <s v="Medium Light"/>
    <n v="56"/>
    <n v="74"/>
    <n v="5.44"/>
    <s v="USA"/>
    <s v="Kenya"/>
    <x v="1"/>
  </r>
  <r>
    <s v="Elida Estate Panama"/>
    <n v="95"/>
    <s v="Medium Light"/>
    <n v="57"/>
    <n v="74"/>
    <n v="7.64"/>
    <s v="USA"/>
    <s v="Panama"/>
    <x v="0"/>
  </r>
  <r>
    <s v="Kenya Baragwi Kagongo Peaberry"/>
    <n v="94"/>
    <s v="Medium"/>
    <n v="49"/>
    <n v="71"/>
    <n v="4.26"/>
    <s v="USA"/>
    <s v="Kenya"/>
    <x v="1"/>
  </r>
  <r>
    <s v="Sumatra Ulos Batak"/>
    <n v="96"/>
    <s v="Medium"/>
    <n v="53"/>
    <n v="68"/>
    <n v="5.29"/>
    <s v="USA"/>
    <s v="Indonesia"/>
    <x v="2"/>
  </r>
  <r>
    <s v="Washed Yirgacheffe"/>
    <n v="94"/>
    <s v="Medium Light"/>
    <n v="54"/>
    <n v="76"/>
    <n v="5.58"/>
    <s v="USA"/>
    <s v="Ethiopia"/>
    <x v="1"/>
  </r>
  <r>
    <s v="Kenya Kikai"/>
    <n v="95"/>
    <s v="Medium Light"/>
    <n v="57"/>
    <n v="77"/>
    <n v="5.22"/>
    <s v="USA"/>
    <s v="Kenya"/>
    <x v="1"/>
  </r>
  <r>
    <s v="Ethiopia Yirgacheffe Kore Kochore"/>
    <n v="94"/>
    <s v="Medium Light"/>
    <n v="59"/>
    <n v="76"/>
    <n v="4.26"/>
    <s v="USA"/>
    <s v="Ethiopia"/>
    <x v="1"/>
  </r>
  <r>
    <s v="SO Espresso Brazil Fazenda Rainha Natural"/>
    <n v="94"/>
    <s v="Medium"/>
    <n v="54"/>
    <n v="66"/>
    <n v="3.81"/>
    <s v="USA"/>
    <s v="Brazil"/>
    <x v="0"/>
  </r>
  <r>
    <s v="Papua New Guinea Kunjin"/>
    <n v="94"/>
    <s v="Light"/>
    <n v="64"/>
    <n v="82"/>
    <n v="4.8499999999999996"/>
    <s v="USA"/>
    <s v="Papua New Guinea"/>
    <x v="2"/>
  </r>
  <r>
    <s v="Ethiopia Sidama Ardi"/>
    <n v="94"/>
    <s v="Medium"/>
    <n v="52"/>
    <n v="61"/>
    <n v="5"/>
    <s v="USA"/>
    <s v="Ethiopia"/>
    <x v="1"/>
  </r>
  <r>
    <s v="Celinga Ethiopia Espresso"/>
    <n v="94"/>
    <s v="Medium Light"/>
    <n v="57"/>
    <n v="73"/>
    <n v="4.8499999999999996"/>
    <s v="USA"/>
    <s v="Ethiopia"/>
    <x v="1"/>
  </r>
  <r>
    <s v="Celinga Ethiopia"/>
    <n v="95"/>
    <s v="Medium Light"/>
    <n v="57"/>
    <n v="73"/>
    <n v="4.8499999999999996"/>
    <s v="USA"/>
    <s v="Ethiopia"/>
    <x v="1"/>
  </r>
  <r>
    <s v="Ethiopia Danch Meng"/>
    <n v="94"/>
    <s v="Medium Light"/>
    <n v="57"/>
    <n v="77"/>
    <n v="5.73"/>
    <s v="USA"/>
    <s v="Ethiopia"/>
    <x v="1"/>
  </r>
  <r>
    <s v="Ethiopia Moplaco Yirgacheffe"/>
    <n v="94"/>
    <s v="Medium Light"/>
    <n v="58"/>
    <n v="80"/>
    <n v="450"/>
    <s v="Taiwan"/>
    <s v="Ethiopia"/>
    <x v="1"/>
  </r>
  <r>
    <s v="Ethiopia Yirga Natural Bedhatu"/>
    <n v="94"/>
    <s v="Light"/>
    <n v="65"/>
    <n v="90"/>
    <n v="5.07"/>
    <s v="Taiwan"/>
    <s v="Ethiopia"/>
    <x v="1"/>
  </r>
  <r>
    <s v="Kenya Nyeri Tambaya AA"/>
    <n v="95"/>
    <s v="Medium Light"/>
    <n v="55"/>
    <n v="72"/>
    <n v="450"/>
    <s v="Taiwan"/>
    <s v="Kenya"/>
    <x v="1"/>
  </r>
  <r>
    <s v="Guji Zone Ethiopia"/>
    <n v="95"/>
    <s v="Medium Light"/>
    <n v="59"/>
    <n v="77"/>
    <n v="5.29"/>
    <s v="USA"/>
    <s v="Ethiopia"/>
    <x v="1"/>
  </r>
  <r>
    <s v="Colombia Cerro Azul Geisha"/>
    <n v="95"/>
    <s v="Medium"/>
    <n v="52"/>
    <n v="63"/>
    <n v="13.33"/>
    <s v="USA"/>
    <s v="Colombia"/>
    <x v="0"/>
  </r>
  <r>
    <s v="Colombia Cerro Azul Enano"/>
    <n v="94"/>
    <s v="Medium Light"/>
    <n v="60"/>
    <n v="79"/>
    <n v="4.51"/>
    <s v="USA"/>
    <s v="Colombia"/>
    <x v="0"/>
  </r>
  <r>
    <s v="Colombia Finca Monte Verde, Gildardo Gutierrez"/>
    <n v="94"/>
    <s v="Medium Light"/>
    <n v="58"/>
    <n v="73"/>
    <n v="5.73"/>
    <s v="USA"/>
    <s v="Colombia"/>
    <x v="0"/>
  </r>
  <r>
    <s v="Twisted 3.0 Espresso"/>
    <n v="94"/>
    <s v="Medium"/>
    <n v="50"/>
    <n v="60"/>
    <n v="4.63"/>
    <s v="USA"/>
    <s v="Unknown"/>
    <x v="3"/>
  </r>
  <r>
    <s v="Ethiopia Amaro Gayo Dry Process"/>
    <n v="94"/>
    <s v="Medium Light"/>
    <n v="60"/>
    <n v="81"/>
    <n v="3.97"/>
    <s v="USA"/>
    <s v="Ethiopia"/>
    <x v="1"/>
  </r>
  <r>
    <s v="Ethiopia Gedeo Yirgacheffe"/>
    <n v="94"/>
    <s v="Light"/>
    <n v="63"/>
    <n v="85"/>
    <n v="4.04"/>
    <s v="USA"/>
    <s v="Ethiopia"/>
    <x v="1"/>
  </r>
  <r>
    <s v="Rwanda Karongi Gitesi"/>
    <n v="94"/>
    <s v="Medium Light"/>
    <n v="53"/>
    <n v="71"/>
    <n v="4.26"/>
    <s v="USA"/>
    <s v="Rwanda"/>
    <x v="1"/>
  </r>
  <r>
    <s v="Gelgelu Adame Ethiopia Yirgacheffe Organic Natural Process"/>
    <n v="96"/>
    <s v="Light"/>
    <n v="63"/>
    <n v="81"/>
    <n v="5.66"/>
    <s v="USA"/>
    <s v="Ethiopia"/>
    <x v="1"/>
  </r>
  <r>
    <s v="Ethiopia FTO Worka"/>
    <n v="95"/>
    <s v="Light"/>
    <n v="66"/>
    <n v="88"/>
    <n v="4.41"/>
    <s v="USA"/>
    <s v="Ethiopia"/>
    <x v="1"/>
  </r>
  <r>
    <s v="Kenya Makwa AB"/>
    <n v="96"/>
    <s v="Medium"/>
    <n v="54"/>
    <n v="67"/>
    <n v="4.9800000000000004"/>
    <s v="USA"/>
    <s v="Kenya"/>
    <x v="1"/>
  </r>
  <r>
    <s v="Kenya Kabare AB"/>
    <n v="95"/>
    <s v="Light"/>
    <n v="64"/>
    <n v="84"/>
    <n v="4.26"/>
    <s v="USA"/>
    <s v="Kenya"/>
    <x v="1"/>
  </r>
  <r>
    <s v="El Salvador Santa Elena Honey Pacamara"/>
    <n v="94"/>
    <s v="Medium Light"/>
    <n v="55"/>
    <n v="68"/>
    <n v="5.59"/>
    <s v="USA"/>
    <s v="El Salvador"/>
    <x v="0"/>
  </r>
  <r>
    <s v="Kenya Makwa AB"/>
    <n v="95"/>
    <s v="Medium"/>
    <n v="51"/>
    <n v="59"/>
    <n v="4.7"/>
    <s v="USA"/>
    <s v="Kenya"/>
    <x v="1"/>
  </r>
  <r>
    <s v="Ethiopia Yirgacheffe ECX Auction Lot"/>
    <n v="94"/>
    <s v="Medium Light"/>
    <n v="56"/>
    <n v="71"/>
    <n v="5"/>
    <s v="USA"/>
    <s v="Ethiopia"/>
    <x v="1"/>
  </r>
  <r>
    <s v="Ethiopia Ninety Plus Pheribo N2"/>
    <n v="95"/>
    <s v="Light"/>
    <n v="66"/>
    <n v="85"/>
    <n v="15"/>
    <s v="South Korea"/>
    <s v="Ethiopia"/>
    <x v="1"/>
  </r>
  <r>
    <s v="Ethiopia Washed Sidama Shilcho Coop G1"/>
    <n v="94"/>
    <s v="Light"/>
    <n v="64"/>
    <n v="80"/>
    <n v="143.30000000000001"/>
    <s v="Taiwan"/>
    <s v="Ethiopia"/>
    <x v="1"/>
  </r>
  <r>
    <s v="Ethiopia Washed Yirgacheffe вЂњMini-MeвЂќ 2014"/>
    <n v="96"/>
    <s v="Medium"/>
    <n v="50"/>
    <n v="65"/>
    <n v="220.46"/>
    <s v="Taiwan"/>
    <s v="Ethiopia"/>
    <x v="1"/>
  </r>
  <r>
    <s v="Panama Los Lajones Bambu Geisha"/>
    <n v="96"/>
    <s v="Medium Light"/>
    <n v="57"/>
    <n v="78"/>
    <n v="26.46"/>
    <s v="USA"/>
    <s v="Panama"/>
    <x v="0"/>
  </r>
  <r>
    <s v="Kikai Kenya"/>
    <n v="95"/>
    <s v="Medium"/>
    <n v="52"/>
    <n v="62"/>
    <n v="4.26"/>
    <s v="USA"/>
    <s v="Kenya"/>
    <x v="1"/>
  </r>
  <r>
    <s v="Panama Gesha Perci Red"/>
    <n v="96"/>
    <s v="Light"/>
    <n v="66"/>
    <n v="88"/>
    <n v="21.3"/>
    <s v="USA"/>
    <s v="Panama"/>
    <x v="0"/>
  </r>
  <r>
    <s v="Organic Ethiopian Yirgacheffe Idido"/>
    <n v="94"/>
    <s v="Medium Light"/>
    <n v="59"/>
    <n v="74"/>
    <n v="4.63"/>
    <s v="USA"/>
    <s v="Ethiopia"/>
    <x v="1"/>
  </r>
  <r>
    <s v="Holiday Blend"/>
    <n v="95"/>
    <s v="Medium Light"/>
    <n v="56"/>
    <n v="78"/>
    <n v="3.75"/>
    <s v="USA"/>
    <s v="Unknown"/>
    <x v="3"/>
  </r>
  <r>
    <s v="Panama Finca La Mula Geisha Natural"/>
    <n v="94"/>
    <s v="Medium Light"/>
    <n v="60"/>
    <n v="75"/>
    <n v="22.02"/>
    <s v="USA"/>
    <s v="Panama"/>
    <x v="0"/>
  </r>
  <r>
    <s v="Kenya Gichuka AA"/>
    <n v="94"/>
    <s v="Medium Light"/>
    <n v="56"/>
    <n v="72"/>
    <n v="5"/>
    <s v="USA"/>
    <s v="Kenya"/>
    <x v="1"/>
  </r>
  <r>
    <s v="Ethiopia Washed Yirgacheffe Mini-Me"/>
    <n v="94"/>
    <s v="Medium"/>
    <n v="50"/>
    <n v="62"/>
    <n v="220.46"/>
    <s v="Taiwan"/>
    <s v="Ethiopia"/>
    <x v="1"/>
  </r>
  <r>
    <s v="Ethiopia Kelenso Mokanisa"/>
    <n v="94"/>
    <s v="Medium Light"/>
    <n v="59"/>
    <n v="73"/>
    <n v="4.1100000000000003"/>
    <s v="USA"/>
    <s v="Ethiopia"/>
    <x v="1"/>
  </r>
  <r>
    <s v="Ganesha Espresso"/>
    <n v="94"/>
    <s v="Medium"/>
    <n v="49"/>
    <n v="59"/>
    <n v="3.08"/>
    <s v="USA"/>
    <s v="Unknown"/>
    <x v="3"/>
  </r>
  <r>
    <s v="Lennette Kenya"/>
    <n v="94"/>
    <s v="Medium Light"/>
    <n v="56"/>
    <n v="68"/>
    <n v="4.7"/>
    <s v="USA"/>
    <s v="Kenya"/>
    <x v="1"/>
  </r>
  <r>
    <s v="Ethiopia Ninety Plus Nekisse Red"/>
    <n v="95"/>
    <s v="Medium"/>
    <n v="49"/>
    <n v="66"/>
    <n v="19.11"/>
    <s v="USA"/>
    <s v="Ethiopia"/>
    <x v="1"/>
  </r>
  <r>
    <s v="Ethiopia Yirgacheffe Kochere Aricha"/>
    <n v="94"/>
    <s v="Medium Light"/>
    <n v="53"/>
    <n v="79"/>
    <n v="3.56"/>
    <s v="USA"/>
    <s v="Ethiopia"/>
    <x v="1"/>
  </r>
  <r>
    <s v="Ethiopia Banko Natural"/>
    <n v="94"/>
    <s v="Medium Light"/>
    <n v="58"/>
    <n v="75"/>
    <n v="4.79"/>
    <s v="USA"/>
    <s v="Ethiopia"/>
    <x v="1"/>
  </r>
  <r>
    <s v="Makwa Kenya Nyeri"/>
    <n v="94"/>
    <s v="Medium Light"/>
    <n v="57"/>
    <n v="71"/>
    <n v="5.29"/>
    <s v="USA"/>
    <s v="Kenya"/>
    <x v="1"/>
  </r>
  <r>
    <s v="Panama Los Lajones Bambu Geisha Natural"/>
    <n v="94"/>
    <s v="Medium Light"/>
    <n v="58"/>
    <n v="75"/>
    <n v="26.43"/>
    <s v="USA"/>
    <s v="Panama"/>
    <x v="0"/>
  </r>
  <r>
    <s v="Juliette Red Ninety Plus Gesha Estate Panama"/>
    <n v="94"/>
    <s v="Medium Light"/>
    <n v="53"/>
    <n v="72"/>
    <n v="35"/>
    <s v="South Korea"/>
    <s v="Panama"/>
    <x v="0"/>
  </r>
  <r>
    <s v="100% Kona High Mountain Io Extra Fancy"/>
    <n v="94"/>
    <s v="Medium Light"/>
    <n v="55"/>
    <n v="75"/>
    <n v="15.85"/>
    <s v="USA"/>
    <s v="USA"/>
    <x v="0"/>
  </r>
  <r>
    <s v="Sumatra Blue Batak Peaberry"/>
    <n v="94"/>
    <s v="Medium"/>
    <n v="53"/>
    <n v="68"/>
    <n v="4.8499999999999996"/>
    <s v="USA"/>
    <s v="Indonesia"/>
    <x v="2"/>
  </r>
  <r>
    <s v="Panama Gesha Ninety Plus Perci Red"/>
    <n v="95"/>
    <s v="Medium"/>
    <n v="52"/>
    <n v="68"/>
    <n v="19.11"/>
    <s v="USA"/>
    <s v="Panama"/>
    <x v="0"/>
  </r>
  <r>
    <s v="El Agulia Pacamara El Salvador"/>
    <n v="94"/>
    <s v="Light"/>
    <n v="63"/>
    <n v="82"/>
    <n v="5.1100000000000003"/>
    <s v="USA"/>
    <s v="El Salvador"/>
    <x v="0"/>
  </r>
  <r>
    <s v="Mexico Finca Kassandra Pacamara"/>
    <n v="94"/>
    <s v="Medium Light"/>
    <n v="55"/>
    <n v="68"/>
    <n v="5"/>
    <s v="USA"/>
    <s v="Mexico"/>
    <x v="0"/>
  </r>
  <r>
    <s v="Panama Finca Santa Teresa Honey Geisha"/>
    <n v="94"/>
    <s v="Medium"/>
    <n v="55"/>
    <n v="66"/>
    <n v="1234.57"/>
    <s v="Taiwan"/>
    <s v="Panama"/>
    <x v="0"/>
  </r>
  <r>
    <s v="Batista Natural Geisha"/>
    <n v="94"/>
    <s v="Light"/>
    <n v="65"/>
    <n v="84"/>
    <n v="837.74"/>
    <s v="Taiwan"/>
    <s v="Unknown"/>
    <x v="3"/>
  </r>
  <r>
    <s v="Perci N2 Ninety Plus Gesha Estates Panama"/>
    <n v="94"/>
    <s v="Medium Light"/>
    <n v="58"/>
    <n v="71"/>
    <n v="35"/>
    <s v="South Korea"/>
    <s v="Panama"/>
    <x v="0"/>
  </r>
  <r>
    <s v="Ethiopia Sidama Deri Kochoha"/>
    <n v="94"/>
    <s v="Medium"/>
    <n v="52"/>
    <n v="66"/>
    <n v="3.97"/>
    <s v="USA"/>
    <s v="Ethiopia"/>
    <x v="1"/>
  </r>
  <r>
    <s v="Kenya Kirinyaga Karimikui Peaberry"/>
    <n v="95"/>
    <s v="Medium"/>
    <n v="52"/>
    <n v="66"/>
    <n v="4.26"/>
    <s v="USA"/>
    <s v="Kenya"/>
    <x v="1"/>
  </r>
  <r>
    <s v="Ethiopia Yirgacheffe"/>
    <n v="94"/>
    <s v="Light"/>
    <n v="59"/>
    <n v="84"/>
    <n v="4.41"/>
    <s v="USA"/>
    <s v="Ethiopia"/>
    <x v="1"/>
  </r>
  <r>
    <s v="Panama Auromar Estate вЂњIronmanвЂќ Geisha"/>
    <n v="94"/>
    <s v="Medium Light"/>
    <n v="56"/>
    <n v="82"/>
    <n v="23.36"/>
    <s v="USA"/>
    <s v="Panama"/>
    <x v="0"/>
  </r>
  <r>
    <s v="Guatemala Acatenango Gesha"/>
    <n v="95"/>
    <s v="Medium"/>
    <n v="50"/>
    <n v="65"/>
    <n v="8.82"/>
    <s v="USA"/>
    <s v="Guatemala"/>
    <x v="0"/>
  </r>
  <r>
    <s v="Kenya Ruira Mchana Estate"/>
    <n v="94"/>
    <s v="Medium"/>
    <n v="51"/>
    <n v="55"/>
    <n v="4.5599999999999996"/>
    <s v="USA"/>
    <s v="Kenya"/>
    <x v="1"/>
  </r>
  <r>
    <s v="Honeyed Yellow Caturra"/>
    <n v="94"/>
    <s v="Medium"/>
    <n v="52"/>
    <n v="60"/>
    <n v="11.76"/>
    <s v="USA"/>
    <s v="USA"/>
    <x v="0"/>
  </r>
  <r>
    <s v="Hawaii KaвЂ™u Isla"/>
    <n v="94"/>
    <s v="Medium Light"/>
    <n v="57"/>
    <n v="75"/>
    <n v="9.69"/>
    <s v="USA"/>
    <s v="USA"/>
    <x v="0"/>
  </r>
  <r>
    <s v="Ethiopia Yirgacheffe Kochere Grade 1"/>
    <n v="94"/>
    <s v="Medium Light"/>
    <n v="58"/>
    <n v="74"/>
    <n v="4.5599999999999996"/>
    <s v="USA"/>
    <s v="Ethiopia"/>
    <x v="1"/>
  </r>
  <r>
    <s v="Colombia Valle del Cauca Cerro Azul Geisha AAA"/>
    <n v="96"/>
    <s v="Medium Light"/>
    <n v="60"/>
    <n v="81"/>
    <n v="26.34"/>
    <s v="USA"/>
    <s v="Colombia"/>
    <x v="0"/>
  </r>
  <r>
    <s v="Nyala Kenya Peaberry"/>
    <n v="94"/>
    <s v="Medium Light"/>
    <n v="55"/>
    <n v="68"/>
    <n v="4.41"/>
    <s v="USA"/>
    <s v="Kenya"/>
    <x v="1"/>
  </r>
  <r>
    <s v="Ethiopia Kercha Naturally Processed Sidama"/>
    <n v="94"/>
    <s v="Light"/>
    <n v="64"/>
    <n v="81"/>
    <n v="5.23"/>
    <s v="Canada"/>
    <s v="Ethiopia"/>
    <x v="1"/>
  </r>
  <r>
    <s v="Kenya AA Top Lot A114"/>
    <n v="94"/>
    <s v="Medium"/>
    <n v="49"/>
    <n v="62"/>
    <n v="352.74"/>
    <s v="Taiwan"/>
    <s v="Kenya"/>
    <x v="1"/>
  </r>
  <r>
    <s v="Mchana Kenya Peaberry"/>
    <n v="95"/>
    <s v="Medium"/>
    <n v="53"/>
    <n v="65"/>
    <n v="4.7"/>
    <s v="USA"/>
    <s v="Kenya"/>
    <x v="1"/>
  </r>
  <r>
    <s v="Deri Kochoha Ethiopian Sidamo"/>
    <n v="94"/>
    <s v="Medium Light"/>
    <n v="57"/>
    <n v="72"/>
    <n v="4.41"/>
    <s v="USA"/>
    <s v="Ethiopia"/>
    <x v="1"/>
  </r>
  <r>
    <s v="Kemgin Ethiopia"/>
    <n v="94"/>
    <s v="Medium"/>
    <n v="51"/>
    <n v="62"/>
    <n v="4.3"/>
    <s v="USA"/>
    <s v="Ethiopia"/>
    <x v="1"/>
  </r>
  <r>
    <s v="Lintong Sumatra Dolok Sangul"/>
    <n v="94"/>
    <s v="Medium Light"/>
    <n v="54"/>
    <n v="77"/>
    <n v="4.8499999999999996"/>
    <s v="USA"/>
    <s v="Indonesia"/>
    <x v="2"/>
  </r>
  <r>
    <s v="Tano Batak Sumatra"/>
    <n v="94"/>
    <s v="Medium Light"/>
    <n v="54"/>
    <n v="73"/>
    <n v="4.1100000000000003"/>
    <s v="USA"/>
    <s v="Indonesia"/>
    <x v="2"/>
  </r>
  <r>
    <s v="Momma Bear Espresso"/>
    <n v="94"/>
    <s v="Medium Light"/>
    <n v="56"/>
    <n v="76"/>
    <n v="5"/>
    <s v="USA"/>
    <s v="Unknown"/>
    <x v="3"/>
  </r>
  <r>
    <s v="Ethiopia Yirgacheffe Kochere G1"/>
    <n v="94"/>
    <s v="Medium Light"/>
    <n v="58"/>
    <n v="75"/>
    <n v="4.8499999999999996"/>
    <s v="USA"/>
    <s v="Ethiopia"/>
    <x v="1"/>
  </r>
  <r>
    <s v="Maragogype Honey Process"/>
    <n v="94"/>
    <s v="Medium Light"/>
    <n v="51"/>
    <n v="75"/>
    <n v="20.16"/>
    <s v="USA"/>
    <s v="USA"/>
    <x v="0"/>
  </r>
  <r>
    <s v="Ulos Batak Sumatra Peaberry"/>
    <n v="95"/>
    <s v="Medium"/>
    <n v="52"/>
    <n v="68"/>
    <n v="4.41"/>
    <s v="USA"/>
    <s v="Indonesia"/>
    <x v="2"/>
  </r>
  <r>
    <s v="Ninety Plus Kemgin W2 Ethiopia"/>
    <n v="94"/>
    <s v="Medium"/>
    <n v="49"/>
    <n v="65"/>
    <n v="286.60000000000002"/>
    <s v="Taiwan"/>
    <s v="Ethiopia"/>
    <x v="1"/>
  </r>
  <r>
    <s v="Ethiopia Dry Process Saris Abaya"/>
    <n v="94"/>
    <s v="Medium Light"/>
    <n v="59"/>
    <n v="72"/>
    <n v="198.41"/>
    <s v="Taiwan"/>
    <s v="Ethiopia"/>
    <x v="1"/>
  </r>
  <r>
    <s v="Kenya AB Top Lot Single-Origin Espresso"/>
    <n v="94"/>
    <s v="Medium Dark"/>
    <n v="46"/>
    <n v="53"/>
    <n v="286.60000000000002"/>
    <s v="Taiwan"/>
    <s v="Kenya"/>
    <x v="1"/>
  </r>
  <r>
    <s v="Geisha S94"/>
    <n v="94"/>
    <s v="Light"/>
    <n v="61"/>
    <n v="93"/>
    <n v="288"/>
    <s v="China"/>
    <s v="Panama"/>
    <x v="0"/>
  </r>
  <r>
    <s v="Sumatra Mandheling Wahana"/>
    <n v="94"/>
    <s v="Medium Light"/>
    <n v="59"/>
    <n v="76"/>
    <n v="3.97"/>
    <s v="USA"/>
    <s v="Indonesia"/>
    <x v="2"/>
  </r>
  <r>
    <s v="Geisha P.E.B. (RFA)"/>
    <n v="94"/>
    <s v="Medium Light"/>
    <n v="56"/>
    <n v="83"/>
    <n v="588"/>
    <s v="China"/>
    <s v="Panama"/>
    <x v="0"/>
  </r>
  <r>
    <s v="Ethiopia Dry Process Grade 1 Aricha Yirgacheffe"/>
    <n v="95"/>
    <s v="Medium Light"/>
    <n v="56"/>
    <n v="81"/>
    <n v="500"/>
    <s v="Taiwan"/>
    <s v="Ethiopia"/>
    <x v="1"/>
  </r>
  <r>
    <s v="Ethiopia Yirgacheffe ECX"/>
    <n v="96"/>
    <s v="Light"/>
    <n v="64"/>
    <n v="83"/>
    <n v="4.5599999999999996"/>
    <s v="USA"/>
    <s v="Ethiopia"/>
    <x v="1"/>
  </r>
  <r>
    <s v="Tchembe Single Origin Espresso"/>
    <n v="94"/>
    <s v="Medium"/>
    <n v="53"/>
    <n v="66"/>
    <n v="5.5"/>
    <s v="USA"/>
    <s v="Unknown"/>
    <x v="3"/>
  </r>
  <r>
    <s v="Ethiopia Ninety Plus Kemgin"/>
    <n v="96"/>
    <s v="Medium Light"/>
    <n v="52"/>
    <n v="73"/>
    <n v="5.29"/>
    <s v="USA"/>
    <s v="Ethiopia"/>
    <x v="1"/>
  </r>
  <r>
    <s v="El Salvador Santa Marta Honey"/>
    <n v="94"/>
    <s v="Medium Light"/>
    <n v="55"/>
    <n v="79"/>
    <n v="4.9800000000000004"/>
    <s v="USA"/>
    <s v="El Salvador"/>
    <x v="0"/>
  </r>
  <r>
    <s v="Rwanda Nyamasheke"/>
    <n v="95"/>
    <s v="Medium Light"/>
    <n v="56"/>
    <n v="73"/>
    <n v="4.12"/>
    <s v="USA"/>
    <s v="Rwanda"/>
    <x v="1"/>
  </r>
  <r>
    <s v="Kenya Riakiberu Peaberry"/>
    <n v="95"/>
    <s v="Medium"/>
    <n v="45"/>
    <n v="67"/>
    <n v="3.82"/>
    <s v="USA"/>
    <s v="Kenya"/>
    <x v="1"/>
  </r>
  <r>
    <s v="Belekatu Ethiopia Yirgacheffe"/>
    <n v="94"/>
    <s v="Medium Light"/>
    <n v="56"/>
    <n v="78"/>
    <n v="4.41"/>
    <s v="USA"/>
    <s v="Ethiopia"/>
    <x v="1"/>
  </r>
  <r>
    <s v="Yukro Ethiopia"/>
    <n v="94"/>
    <s v="Medium Light"/>
    <n v="57"/>
    <n v="72"/>
    <n v="6.17"/>
    <s v="USA"/>
    <s v="Ethiopia"/>
    <x v="1"/>
  </r>
  <r>
    <s v="Kenya Nyeri Gaturiri Peaberry"/>
    <n v="95"/>
    <s v="Medium"/>
    <n v="49"/>
    <n v="69"/>
    <n v="4.7"/>
    <s v="USA"/>
    <s v="Kenya"/>
    <x v="1"/>
  </r>
  <r>
    <s v="Rutana Burundi Espresso"/>
    <n v="94"/>
    <s v="Medium Dark"/>
    <n v="46"/>
    <n v="55"/>
    <n v="4.1100000000000003"/>
    <s v="USA"/>
    <s v="Burundi"/>
    <x v="1"/>
  </r>
  <r>
    <s v="La Esmeralda Mario Carnaval 2012 Panama"/>
    <n v="96"/>
    <s v="Light"/>
    <n v="66"/>
    <n v="86"/>
    <n v="104.84"/>
    <s v="USA"/>
    <s v="Panama"/>
    <x v="0"/>
  </r>
  <r>
    <s v="Sumatra Wahana Natural"/>
    <n v="94"/>
    <s v="Medium Light"/>
    <n v="59"/>
    <n v="69"/>
    <n v="4.76"/>
    <s v="USA"/>
    <s v="Indonesia"/>
    <x v="2"/>
  </r>
  <r>
    <s v="Harfusa Ethiopia Yirgacheffe Fair Trade Organic"/>
    <n v="94"/>
    <s v="Medium Light"/>
    <n v="56"/>
    <n v="73"/>
    <n v="4.41"/>
    <s v="USA"/>
    <s v="Ethiopia"/>
    <x v="1"/>
  </r>
  <r>
    <s v="Kenya Mukurweini Kamuchuni AA"/>
    <n v="94"/>
    <s v="Medium"/>
    <n v="53"/>
    <n v="63"/>
    <n v="5.29"/>
    <s v="USA"/>
    <s v="Kenya"/>
    <x v="1"/>
  </r>
  <r>
    <s v="Sweet Breeze"/>
    <n v="94"/>
    <s v="Medium Light"/>
    <n v="58"/>
    <n v="76"/>
    <n v="220.46"/>
    <s v="Taiwan"/>
    <s v="Unknown"/>
    <x v="3"/>
  </r>
  <r>
    <s v="Washed Yirgacheffe"/>
    <n v="94"/>
    <s v="Light"/>
    <n v="61"/>
    <n v="81"/>
    <n v="176.37"/>
    <s v="Taiwan"/>
    <s v="Ethiopia"/>
    <x v="1"/>
  </r>
  <r>
    <s v="Ninety Plus Sillvia SK L95"/>
    <n v="94"/>
    <s v="Medium Light"/>
    <n v="55"/>
    <n v="75"/>
    <n v="40"/>
    <s v="China"/>
    <s v="Unknown"/>
    <x v="3"/>
  </r>
  <r>
    <s v="Mexico Santa Teresa BCS 02: Cabernet Franc Barrel"/>
    <n v="95"/>
    <s v="Medium Light"/>
    <n v="58"/>
    <n v="79"/>
    <n v="5.88"/>
    <s v="USA"/>
    <s v="Mexico"/>
    <x v="0"/>
  </r>
  <r>
    <s v="Yirgacheffe Blue Nile"/>
    <n v="94"/>
    <s v="Medium Light"/>
    <n v="54"/>
    <n v="73"/>
    <n v="3.86"/>
    <s v="USA"/>
    <s v="Ethiopia"/>
    <x v="1"/>
  </r>
  <r>
    <s v="Yirgacheffe Belekatu"/>
    <n v="95"/>
    <s v="Medium Light"/>
    <n v="52"/>
    <n v="70"/>
    <n v="4.41"/>
    <s v="USA"/>
    <s v="Ethiopia"/>
    <x v="1"/>
  </r>
  <r>
    <s v="Ethiopia Yirgacheffe Kochere"/>
    <n v="94"/>
    <s v="Medium Light"/>
    <n v="53"/>
    <n v="69"/>
    <n v="4.3899999999999997"/>
    <s v="USA"/>
    <s v="Ethiopia"/>
    <x v="1"/>
  </r>
  <r>
    <s v="Mario San Jose Geisha"/>
    <n v="94"/>
    <s v="Medium Light"/>
    <n v="54"/>
    <n v="71"/>
    <n v="29.72"/>
    <s v="USA"/>
    <s v="Panama"/>
    <x v="0"/>
  </r>
  <r>
    <s v="Perci Red Panama Gesha"/>
    <n v="97"/>
    <s v="Medium"/>
    <n v="52"/>
    <n v="67"/>
    <n v="16.739999999999998"/>
    <s v="USA"/>
    <s v="Panama"/>
    <x v="0"/>
  </r>
  <r>
    <s v="Panama Don Pachi Natural Geisha"/>
    <n v="96"/>
    <s v="Light"/>
    <n v="62"/>
    <n v="86"/>
    <n v="26.45"/>
    <s v="USA"/>
    <s v="Panama"/>
    <x v="0"/>
  </r>
  <r>
    <s v="Kenya Kamviu"/>
    <n v="95"/>
    <s v="Medium"/>
    <n v="52"/>
    <n v="61"/>
    <n v="4.8499999999999996"/>
    <s v="USA"/>
    <s v="Kenya"/>
    <x v="1"/>
  </r>
  <r>
    <s v="Panama La Esmeralda Especial"/>
    <n v="95"/>
    <s v="Medium Light"/>
    <n v="57"/>
    <n v="74"/>
    <n v="14.09"/>
    <s v="USA"/>
    <s v="Panama"/>
    <x v="0"/>
  </r>
  <r>
    <s v="Jingle Bell Natural Yirgacheffe"/>
    <n v="95"/>
    <s v="Light"/>
    <n v="58"/>
    <n v="84"/>
    <n v="4.41"/>
    <s v="Taiwan"/>
    <s v="Ethiopia"/>
    <x v="1"/>
  </r>
  <r>
    <s v="Rwanda Abakundakawa"/>
    <n v="94"/>
    <s v="Medium Light"/>
    <n v="58"/>
    <n v="82"/>
    <n v="4.34"/>
    <s v="USA"/>
    <s v="Rwanda"/>
    <x v="1"/>
  </r>
  <r>
    <s v="Ethiopia Nekisse"/>
    <n v="94"/>
    <s v="Light"/>
    <n v="63"/>
    <n v="79"/>
    <n v="9.98"/>
    <s v="USA"/>
    <s v="Ethiopia"/>
    <x v="1"/>
  </r>
  <r>
    <s v="Finca El Injerto Patagonia, Guatemala"/>
    <n v="94"/>
    <s v="Medium Light"/>
    <n v="59"/>
    <n v="78"/>
    <n v="8.8000000000000007"/>
    <s v="USA"/>
    <s v="Guatemala"/>
    <x v="0"/>
  </r>
  <r>
    <s v="Colombia Geisha"/>
    <n v="94"/>
    <s v="Medium"/>
    <n v="46"/>
    <n v="68"/>
    <n v="8.81"/>
    <s v="USA"/>
    <s v="Colombia"/>
    <x v="0"/>
  </r>
  <r>
    <s v="Colombia La Esperanza Cerro Azul Geisha"/>
    <n v="96"/>
    <s v="Medium Light"/>
    <n v="58"/>
    <n v="81"/>
    <n v="15.43"/>
    <s v="USA"/>
    <s v="Colombia"/>
    <x v="0"/>
  </r>
  <r>
    <s v="Ethiopia Washed Yirgacheffe Aroma Roast"/>
    <n v="94"/>
    <s v="Medium"/>
    <n v="53"/>
    <n v="64"/>
    <n v="209.44"/>
    <s v="Taiwan"/>
    <s v="Ethiopia"/>
    <x v="1"/>
  </r>
  <r>
    <s v="Bourbon Duets"/>
    <n v="94"/>
    <s v="Medium"/>
    <n v="47"/>
    <n v="59"/>
    <n v="0.22"/>
    <s v="Taiwan"/>
    <s v="Unknown"/>
    <x v="3"/>
  </r>
  <r>
    <s v="Lycello Panama Gesha"/>
    <n v="95"/>
    <s v="Medium Light"/>
    <n v="56"/>
    <n v="71"/>
    <n v="10.02"/>
    <s v="USA"/>
    <s v="Panama"/>
    <x v="0"/>
  </r>
  <r>
    <s v="Karatu Kenya AA"/>
    <n v="94"/>
    <s v="Medium"/>
    <n v="53"/>
    <n v="67"/>
    <n v="4.99"/>
    <s v="USA"/>
    <s v="Kenya"/>
    <x v="1"/>
  </r>
  <r>
    <s v="Kenya Mamuto"/>
    <n v="96"/>
    <s v="Medium Light"/>
    <n v="61"/>
    <n v="76"/>
    <n v="7.35"/>
    <s v="USA"/>
    <s v="Kenya"/>
    <x v="1"/>
  </r>
  <r>
    <s v="Kenya Thunguri вЂ“ Top Auction Lot"/>
    <n v="94"/>
    <s v="Medium"/>
    <n v="49"/>
    <n v="62"/>
    <n v="5.57"/>
    <s v="USA"/>
    <s v="Kenya"/>
    <x v="1"/>
  </r>
  <r>
    <s v="Kenya Nyeri AA Tegu"/>
    <n v="95"/>
    <s v="Medium Light"/>
    <n v="56"/>
    <n v="76"/>
    <n v="450"/>
    <s v="Taiwan"/>
    <s v="Kenya"/>
    <x v="1"/>
  </r>
  <r>
    <s v="Panama Gesha Estates: Perci Estate 29 Natural"/>
    <n v="95"/>
    <s v="Medium Light"/>
    <n v="60"/>
    <n v="78"/>
    <n v="19.84"/>
    <s v="USA"/>
    <s v="Panama"/>
    <x v="0"/>
  </r>
  <r>
    <s v="Ethiopia Hachira"/>
    <n v="94"/>
    <s v="Medium Light"/>
    <n v="58"/>
    <n v="74"/>
    <n v="11.02"/>
    <s v="USA"/>
    <s v="Ethiopia"/>
    <x v="1"/>
  </r>
  <r>
    <s v="Goldilocks Espresso"/>
    <n v="94"/>
    <s v="Medium Light"/>
    <n v="56"/>
    <n v="75"/>
    <n v="4.41"/>
    <s v="USA"/>
    <s v="Unknown"/>
    <x v="3"/>
  </r>
  <r>
    <s v="RoastmasterвЂ™s Reserve Esmeralda"/>
    <n v="97"/>
    <s v="Medium"/>
    <n v="52"/>
    <n v="66"/>
    <n v="8.81"/>
    <s v="USA"/>
    <s v="Panama"/>
    <x v="0"/>
  </r>
  <r>
    <s v="Panama Don Pachi Natural Geisha"/>
    <n v="94"/>
    <s v="Medium Light"/>
    <n v="61"/>
    <n v="77"/>
    <n v="26.45"/>
    <s v="USA"/>
    <s v="Panama"/>
    <x v="0"/>
  </r>
  <r>
    <s v="Ethiopia Nanno Challa Cooperative"/>
    <n v="94"/>
    <s v="Medium"/>
    <n v="53"/>
    <n v="66"/>
    <n v="4.9800000000000004"/>
    <s v="USA"/>
    <s v="Ethiopia"/>
    <x v="1"/>
  </r>
  <r>
    <s v="Esmeralda Leon, Panama Geisha Auction Lot"/>
    <n v="96"/>
    <s v="Medium Light"/>
    <n v="52"/>
    <n v="73"/>
    <n v="17.61"/>
    <s v="USA"/>
    <s v="Panama"/>
    <x v="0"/>
  </r>
  <r>
    <s v="Panama Don Pachi Natural Geisha"/>
    <n v="94"/>
    <s v="Medium Light"/>
    <n v="55"/>
    <n v="78"/>
    <n v="26.43"/>
    <s v="USA"/>
    <s v="Panama"/>
    <x v="0"/>
  </r>
  <r>
    <s v="Gelena Abaya Natural Processed Ethiopia"/>
    <n v="94"/>
    <s v="Light"/>
    <n v="66"/>
    <n v="88"/>
    <n v="4.41"/>
    <s v="USA"/>
    <s v="Ethiopia"/>
    <x v="1"/>
  </r>
  <r>
    <s v="Ulos Batak Sumatra"/>
    <n v="94"/>
    <s v="Medium Light"/>
    <n v="57"/>
    <n v="82"/>
    <n v="4.41"/>
    <s v="USA"/>
    <s v="Indonesia"/>
    <x v="2"/>
  </r>
  <r>
    <s v="Maui Mokka Peaberry"/>
    <n v="95"/>
    <s v="Medium Dark"/>
    <n v="42"/>
    <n v="55"/>
    <n v="10.58"/>
    <s v="USA"/>
    <s v="USA"/>
    <x v="0"/>
  </r>
  <r>
    <s v="Kona Maragogipe Honey S.O. Espresso"/>
    <n v="94"/>
    <s v="Medium"/>
    <n v="53"/>
    <n v="63"/>
    <n v="705.47"/>
    <s v="Taiwan"/>
    <s v="USA"/>
    <x v="0"/>
  </r>
  <r>
    <s v="Panama Lerida Estate"/>
    <n v="94"/>
    <s v="Medium"/>
    <n v="51"/>
    <n v="61"/>
    <n v="5.73"/>
    <s v="USA"/>
    <s v="Panama"/>
    <x v="0"/>
  </r>
  <r>
    <s v="Kenya Mamuto"/>
    <n v="95"/>
    <s v="Medium Light"/>
    <n v="58"/>
    <n v="76"/>
    <n v="8.52"/>
    <s v="USA"/>
    <s v="Kenya"/>
    <x v="1"/>
  </r>
  <r>
    <s v="Colombian La Esperanza"/>
    <n v="94"/>
    <s v="Medium Light"/>
    <n v="58"/>
    <n v="73"/>
    <n v="3.96"/>
    <s v="USA"/>
    <s v="Colombia"/>
    <x v="0"/>
  </r>
  <r>
    <s v="Colombia Finca Villa Loyola"/>
    <n v="94"/>
    <s v="Medium Light"/>
    <n v="60"/>
    <n v="72"/>
    <n v="5.39"/>
    <s v="USA"/>
    <s v="Colombia"/>
    <x v="0"/>
  </r>
  <r>
    <s v="El Vergel Guatemala"/>
    <n v="97"/>
    <s v="Medium Light"/>
    <n v="61"/>
    <n v="75"/>
    <n v="4.8499999999999996"/>
    <s v="USA"/>
    <s v="Guatemala"/>
    <x v="0"/>
  </r>
  <r>
    <s v="Kenya Nyeri AA Gaturiri"/>
    <n v="94"/>
    <s v="Medium Dark"/>
    <n v="45"/>
    <n v="52"/>
    <n v="7.05"/>
    <s v="USA"/>
    <s v="Kenya"/>
    <x v="1"/>
  </r>
  <r>
    <s v="Colombia Huila Monserrate Yaneth Gil Microlot"/>
    <n v="94"/>
    <s v="Medium"/>
    <n v="54"/>
    <n v="63"/>
    <n v="4.1900000000000004"/>
    <s v="USA"/>
    <s v="Colombia"/>
    <x v="0"/>
  </r>
  <r>
    <s v="Colombia El Roble Single Origin Espresso"/>
    <n v="94"/>
    <s v="Medium"/>
    <n v="48"/>
    <n v="59"/>
    <n v="5.22"/>
    <s v="USA"/>
    <s v="Colombia"/>
    <x v="0"/>
  </r>
  <r>
    <s v="Kenya AA Top Single Origin Espresso"/>
    <n v="96"/>
    <s v="Medium"/>
    <n v="47"/>
    <n v="59"/>
    <n v="308.64999999999998"/>
    <s v="Taiwan"/>
    <s v="Kenya"/>
    <x v="1"/>
  </r>
  <r>
    <s v="El Salvador Santa Rita"/>
    <n v="94"/>
    <s v="Medium Light"/>
    <n v="56"/>
    <n v="80"/>
    <n v="3.31"/>
    <s v="USA"/>
    <s v="El Salvador"/>
    <x v="0"/>
  </r>
  <r>
    <s v="Kenya Meru Kinjo Peaberry"/>
    <n v="94"/>
    <s v="Medium Light"/>
    <n v="54"/>
    <n v="72"/>
    <n v="5.88"/>
    <s v="USA"/>
    <s v="Kenya"/>
    <x v="1"/>
  </r>
  <r>
    <s v="Ethiopia Yirgacheffe Gedeo Worka Fair Trade Organic Certified"/>
    <n v="94"/>
    <s v="Light"/>
    <n v="59"/>
    <n v="89"/>
    <n v="52.08"/>
    <s v="USA"/>
    <s v="Ethiopia"/>
    <x v="1"/>
  </r>
  <r>
    <s v="RustyвЂ™s Hawaiian Red Caturra Natural"/>
    <n v="94"/>
    <s v="Medium"/>
    <n v="55"/>
    <n v="64"/>
    <n v="9.92"/>
    <s v="USA"/>
    <s v="USA"/>
    <x v="0"/>
  </r>
  <r>
    <s v="Guatemala El Injerto Pacamara"/>
    <n v="95"/>
    <s v="Medium"/>
    <n v="54"/>
    <n v="64"/>
    <n v="7.71"/>
    <s v="USA"/>
    <s v="Guatemala"/>
    <x v="0"/>
  </r>
  <r>
    <s v="Guatemala El Diamante"/>
    <n v="94"/>
    <s v="Medium Light"/>
    <n v="53"/>
    <n v="70"/>
    <n v="4.5599999999999996"/>
    <s v="USA"/>
    <s v="Guatemala"/>
    <x v="0"/>
  </r>
  <r>
    <s v="Honey Pot Espresso"/>
    <n v="94"/>
    <s v="Medium Light"/>
    <n v="55"/>
    <n v="74"/>
    <n v="4.7"/>
    <s v="USA"/>
    <s v="Unknown"/>
    <x v="3"/>
  </r>
  <r>
    <s v="Mocha Java"/>
    <n v="95"/>
    <s v="Medium"/>
    <n v="47"/>
    <n v="62"/>
    <n v="2.79"/>
    <s v="USA"/>
    <s v="Unknown"/>
    <x v="3"/>
  </r>
  <r>
    <s v="Guatemala Pandora Pacamara Medium-Light Roast"/>
    <n v="96"/>
    <s v="Medium"/>
    <n v="52"/>
    <n v="63"/>
    <n v="11.02"/>
    <s v="Taiwan"/>
    <s v="Guatemala"/>
    <x v="0"/>
  </r>
  <r>
    <s v="Panama Geisha Aroma Roast"/>
    <n v="95"/>
    <s v="Medium"/>
    <n v="49"/>
    <n v="71"/>
    <n v="1146.3800000000001"/>
    <s v="Taiwan"/>
    <s v="Panama"/>
    <x v="0"/>
  </r>
  <r>
    <s v="Starlight Blend"/>
    <n v="96"/>
    <s v="Medium"/>
    <n v="54"/>
    <n v="67"/>
    <n v="3.3"/>
    <s v="USA"/>
    <s v="Unknown"/>
    <x v="3"/>
  </r>
  <r>
    <s v="Kenya Nyeri AB Gichatha-ini Signature Series"/>
    <n v="97"/>
    <s v="Medium"/>
    <n v="45"/>
    <n v="60"/>
    <n v="4.8499999999999996"/>
    <s v="USA"/>
    <s v="Kenya"/>
    <x v="1"/>
  </r>
  <r>
    <s v="Colombia Tolimas"/>
    <n v="95"/>
    <s v="Medium"/>
    <n v="50"/>
    <n v="56"/>
    <n v="4.41"/>
    <s v="USA"/>
    <s v="Colombia"/>
    <x v="0"/>
  </r>
  <r>
    <s v="Ethiopia Harrar"/>
    <n v="94"/>
    <s v="Medium"/>
    <n v="48"/>
    <n v="70"/>
    <n v="4.53"/>
    <s v="USA"/>
    <s v="Ethiopia"/>
    <x v="1"/>
  </r>
  <r>
    <s v="El Salvador Nombre de Dios"/>
    <n v="94"/>
    <s v="Medium Light"/>
    <n v="53"/>
    <n v="73"/>
    <n v="4.12"/>
    <s v="USA"/>
    <s v="El Salvador"/>
    <x v="0"/>
  </r>
  <r>
    <s v="Panama Elida Estate"/>
    <n v="95"/>
    <s v="Medium Light"/>
    <n v="54"/>
    <n v="80"/>
    <n v="4.12"/>
    <s v="USA"/>
    <s v="Panama"/>
    <x v="0"/>
  </r>
  <r>
    <s v="Panama Elida Estate Natural Process"/>
    <n v="94"/>
    <s v="Medium Light"/>
    <n v="52"/>
    <n v="76"/>
    <n v="4.12"/>
    <s v="USA"/>
    <s v="Panama"/>
    <x v="0"/>
  </r>
  <r>
    <s v="Ethiopia Sidamo Guji"/>
    <n v="94"/>
    <s v="Medium Light"/>
    <n v="57"/>
    <n v="81"/>
    <n v="3.67"/>
    <s v="USA"/>
    <s v="Ethiopia"/>
    <x v="1"/>
  </r>
  <r>
    <s v="Kenya Karinga"/>
    <n v="95"/>
    <s v="Medium"/>
    <n v="52"/>
    <n v="67"/>
    <n v="5.88"/>
    <s v="USA"/>
    <s v="Kenya"/>
    <x v="1"/>
  </r>
  <r>
    <s v="Kenya Karatu AA"/>
    <n v="95"/>
    <s v="Medium"/>
    <n v="50"/>
    <n v="68"/>
    <n v="8.8000000000000007"/>
    <s v="USA"/>
    <s v="Kenya"/>
    <x v="1"/>
  </r>
  <r>
    <s v="Kenya Giakanja"/>
    <n v="94"/>
    <s v="Medium Light"/>
    <n v="51"/>
    <n v="75"/>
    <n v="6.75"/>
    <s v="USA"/>
    <s v="Kenya"/>
    <x v="1"/>
  </r>
  <r>
    <s v="Kenya AA Kiaora Estate Full City Roast"/>
    <n v="94"/>
    <s v="Medium"/>
    <n v="47"/>
    <n v="56"/>
    <n v="3.75"/>
    <s v="USA"/>
    <s v="Kenya"/>
    <x v="1"/>
  </r>
  <r>
    <s v="Kenya Kiandu"/>
    <n v="95"/>
    <s v="Medium Light"/>
    <n v="54"/>
    <n v="81"/>
    <n v="6.76"/>
    <s v="USA"/>
    <s v="Kenya"/>
    <x v="1"/>
  </r>
  <r>
    <s v="Kenya Kirinyaga Kii Peaberry Espresso"/>
    <n v="94"/>
    <s v="Medium Dark"/>
    <n v="37"/>
    <n v="49"/>
    <n v="4.0999999999999996"/>
    <s v="USA"/>
    <s v="Kenya"/>
    <x v="1"/>
  </r>
  <r>
    <s v="Sumatra Lake Tawar"/>
    <n v="94"/>
    <s v="Medium"/>
    <n v="49"/>
    <n v="56"/>
    <n v="4.63"/>
    <s v="USA"/>
    <s v="Indonesia"/>
    <x v="2"/>
  </r>
  <r>
    <s v="Espresso Nuevo"/>
    <n v="95"/>
    <s v="Medium Dark"/>
    <n v="39"/>
    <n v="54"/>
    <n v="3.81"/>
    <s v="USA"/>
    <s v="Unknown"/>
    <x v="3"/>
  </r>
  <r>
    <s v="Nicaragua SHG"/>
    <n v="94"/>
    <s v="Medium"/>
    <n v="50"/>
    <n v="61"/>
    <n v="3.53"/>
    <s v="USA"/>
    <s v="Nicaragua"/>
    <x v="0"/>
  </r>
  <r>
    <s v="Costa Rica Micro Lot вЂњPepeвЂќ Honey Processed"/>
    <n v="95"/>
    <s v="Medium Light"/>
    <n v="53"/>
    <n v="69"/>
    <n v="4.38"/>
    <s v="USA"/>
    <s v="Costa Rica"/>
    <x v="0"/>
  </r>
  <r>
    <s v="Panama Gesha 2011"/>
    <n v="94"/>
    <s v="Medium"/>
    <n v="53"/>
    <n v="68"/>
    <n v="11.01"/>
    <s v="USA"/>
    <s v="Panama"/>
    <x v="0"/>
  </r>
  <r>
    <s v="Guatemala Xeucalvitz"/>
    <n v="95"/>
    <s v="Medium Light"/>
    <n v="58"/>
    <n v="79"/>
    <n v="136.36000000000001"/>
    <s v="USA"/>
    <s v="Guatemala"/>
    <x v="0"/>
  </r>
  <r>
    <s v="Kenya Gethembwini"/>
    <n v="95"/>
    <s v="Medium Light"/>
    <n v="57"/>
    <n v="73"/>
    <n v="6.17"/>
    <s v="USA"/>
    <s v="Kenya"/>
    <x v="1"/>
  </r>
  <r>
    <s v="Ibonia Kenya Peaberry"/>
    <n v="94"/>
    <s v="Medium"/>
    <n v="51"/>
    <n v="69"/>
    <n v="170.45"/>
    <s v="USA"/>
    <s v="Kenya"/>
    <x v="1"/>
  </r>
  <r>
    <s v="Colombia Finca Cerro Azul"/>
    <n v="95"/>
    <s v="Medium Light"/>
    <n v="57"/>
    <n v="68"/>
    <n v="8.3800000000000008"/>
    <s v="USA"/>
    <s v="Colombia"/>
    <x v="0"/>
  </r>
  <r>
    <s v="El Patron Nicaragua Espresso"/>
    <n v="94"/>
    <s v="Medium Dark"/>
    <n v="46"/>
    <n v="53"/>
    <n v="2.86"/>
    <s v="Canada"/>
    <s v="Nicaragua"/>
    <x v="0"/>
  </r>
  <r>
    <s v="Ethiopia Yirgacheffe Addis Ketema North Italian Espresso Roast"/>
    <n v="94"/>
    <s v="Medium"/>
    <n v="50"/>
    <n v="59"/>
    <n v="4.7"/>
    <s v="USA"/>
    <s v="Ethiopia"/>
    <x v="1"/>
  </r>
  <r>
    <s v="Bolivia Caranavi Cenaproc Co-op"/>
    <n v="94"/>
    <s v="Medium Dark"/>
    <n v="43"/>
    <n v="55"/>
    <n v="4.1900000000000004"/>
    <s v="USA"/>
    <s v="Bolivia"/>
    <x v="0"/>
  </r>
  <r>
    <s v="Kenya Ndiara"/>
    <n v="94"/>
    <s v="Medium"/>
    <n v="52"/>
    <n v="68"/>
    <n v="5.44"/>
    <s v="USA"/>
    <s v="Kenya"/>
    <x v="1"/>
  </r>
  <r>
    <s v="Guatemala La Conception"/>
    <n v="95"/>
    <s v="Medium"/>
    <n v="53"/>
    <n v="59"/>
    <n v="4.9800000000000004"/>
    <s v="USA"/>
    <s v="Guatemala"/>
    <x v="0"/>
  </r>
  <r>
    <s v="Colombia La Escuelita"/>
    <n v="95"/>
    <s v="Medium Light"/>
    <n v="57"/>
    <n v="65"/>
    <n v="147.72999999999999"/>
    <s v="USA"/>
    <s v="Colombia"/>
    <x v="0"/>
  </r>
  <r>
    <s v="Kenya Thiriku Top Auction Lot"/>
    <n v="95"/>
    <s v="Medium"/>
    <n v="54"/>
    <n v="64"/>
    <n v="5.95"/>
    <s v="USA"/>
    <s v="Kenya"/>
    <x v="1"/>
  </r>
  <r>
    <s v="Extra Fancy Kona Coffee Medium Roast"/>
    <n v="94"/>
    <s v="Medium Light"/>
    <n v="55"/>
    <n v="71"/>
    <n v="8.81"/>
    <s v="USA"/>
    <s v="USA"/>
    <x v="0"/>
  </r>
  <r>
    <s v="El Salvador La Montana Pacamara"/>
    <n v="94"/>
    <s v="Medium"/>
    <n v="55"/>
    <n v="61"/>
    <n v="4.63"/>
    <s v="USA"/>
    <s v="El Salvador"/>
    <x v="0"/>
  </r>
  <r>
    <s v="Stars of Formosa Blend"/>
    <n v="94"/>
    <s v="Medium Light"/>
    <n v="54"/>
    <n v="78"/>
    <n v="264.55"/>
    <s v="Taiwan"/>
    <s v="Unknown"/>
    <x v="3"/>
  </r>
  <r>
    <s v="Kenya Kagongo Peaberry"/>
    <n v="95"/>
    <s v="Medium"/>
    <n v="45"/>
    <n v="59"/>
    <n v="5.59"/>
    <s v="USA"/>
    <s v="Kenya"/>
    <x v="1"/>
  </r>
  <r>
    <s v="Kenya Peaberry Muthunzunni Estate"/>
    <n v="95"/>
    <s v="Medium Dark"/>
    <n v="43"/>
    <n v="54"/>
    <n v="4.0999999999999996"/>
    <s v="USA"/>
    <s v="Kenya"/>
    <x v="1"/>
  </r>
  <r>
    <s v="Kenya Kangunu"/>
    <n v="95"/>
    <s v="Medium"/>
    <n v="50"/>
    <n v="66"/>
    <n v="6.17"/>
    <s v="USA"/>
    <s v="Kenya"/>
    <x v="1"/>
  </r>
  <r>
    <s v="Ethiopia Konga Co-op Yirgacheffe"/>
    <n v="95"/>
    <s v="Medium"/>
    <n v="50"/>
    <n v="66"/>
    <n v="4.6900000000000004"/>
    <s v="USA"/>
    <s v="Ethiopia"/>
    <x v="1"/>
  </r>
  <r>
    <s v="Honduras David Mancia"/>
    <n v="94"/>
    <s v="Medium Light"/>
    <n v="57"/>
    <n v="73"/>
    <n v="119.32"/>
    <s v="USA"/>
    <s v="Honduras"/>
    <x v="0"/>
  </r>
  <r>
    <s v="Hawaii Isla Kona Mauka"/>
    <n v="94"/>
    <s v="Medium Light"/>
    <n v="53"/>
    <n v="71"/>
    <n v="13.28"/>
    <s v="USA"/>
    <s v="USA"/>
    <x v="0"/>
  </r>
  <r>
    <s v="Ethiopia Nekisse Espresso"/>
    <n v="94"/>
    <s v="Medium"/>
    <n v="48"/>
    <n v="56"/>
    <n v="11.16"/>
    <s v="USA"/>
    <s v="Ethiopia"/>
    <x v="1"/>
  </r>
  <r>
    <s v="Panama Mama Cata Geisha"/>
    <n v="95"/>
    <s v="Medium"/>
    <n v="47"/>
    <n v="62"/>
    <n v="15.5"/>
    <s v="USA"/>
    <s v="Panama"/>
    <x v="0"/>
  </r>
  <r>
    <s v="El Salvador Pacamara Finca Los Alpes The Bank"/>
    <n v="94"/>
    <s v="Medium Light"/>
    <n v="58"/>
    <n v="78"/>
    <n v="4.3899999999999997"/>
    <s v="USA"/>
    <s v="El Salvador"/>
    <x v="0"/>
  </r>
  <r>
    <s v="Honduras Fernandez Farm"/>
    <n v="94"/>
    <s v="Medium Light"/>
    <n v="54"/>
    <n v="73"/>
    <n v="7.94"/>
    <s v="USA"/>
    <s v="Honduras"/>
    <x v="0"/>
  </r>
  <r>
    <s v="Resiprocate Verita Espresso"/>
    <n v="94"/>
    <s v="Medium Dark"/>
    <n v="40"/>
    <n v="49"/>
    <n v="2"/>
    <s v="Canada"/>
    <s v="Unknown"/>
    <x v="3"/>
  </r>
  <r>
    <s v="KaвЂ™u Coffee Natural Dried"/>
    <n v="95"/>
    <s v="Medium"/>
    <n v="46"/>
    <n v="67"/>
    <n v="11.9"/>
    <s v="USA"/>
    <s v="USA"/>
    <x v="0"/>
  </r>
  <r>
    <s v="Stars of Italy Espresso"/>
    <n v="96"/>
    <s v="Medium"/>
    <n v="46"/>
    <n v="60"/>
    <n v="264.55"/>
    <s v="Taiwan"/>
    <s v="Unknown"/>
    <x v="3"/>
  </r>
  <r>
    <s v="Guatemala Hunapu Antigua Bourbon"/>
    <n v="97"/>
    <s v="Medium"/>
    <n v="48"/>
    <n v="58"/>
    <n v="4.41"/>
    <s v="USA"/>
    <s v="Guatemala"/>
    <x v="0"/>
  </r>
  <r>
    <s v="Kenya Bourbon French Mission"/>
    <n v="94"/>
    <s v="Medium Light"/>
    <n v="55"/>
    <n v="83"/>
    <n v="264.55"/>
    <s v="Taiwan"/>
    <s v="Kenya"/>
    <x v="1"/>
  </r>
  <r>
    <s v="Kenya Peaberry Kirinyaga Kii"/>
    <n v="94"/>
    <s v="Medium Light"/>
    <n v="49"/>
    <n v="73"/>
    <n v="4.3899999999999997"/>
    <s v="USA"/>
    <s v="Kenya"/>
    <x v="1"/>
  </r>
  <r>
    <s v="El Salvador Pacamara Finca Los Alpes Tierra Fertil"/>
    <n v="94"/>
    <s v="Medium Light"/>
    <n v="56"/>
    <n v="69"/>
    <n v="3.51"/>
    <s v="USA"/>
    <s v="El Salvador"/>
    <x v="0"/>
  </r>
  <r>
    <s v="Panama Esmeralda Mario Carnival"/>
    <n v="94"/>
    <s v="Medium"/>
    <n v="52"/>
    <n v="68"/>
    <n v="15.5"/>
    <s v="USA"/>
    <s v="Panama"/>
    <x v="0"/>
  </r>
  <r>
    <s v="Panama La Esmeralda Especial Mario San Jose"/>
    <n v="94"/>
    <s v="Medium"/>
    <n v="49"/>
    <n v="62"/>
    <n v="12.35"/>
    <s v="USA"/>
    <s v="Panama"/>
    <x v="0"/>
  </r>
  <r>
    <s v="Mocha Java Espresso"/>
    <n v="95"/>
    <s v="Medium"/>
    <n v="48"/>
    <n v="57"/>
    <n v="3.31"/>
    <s v="Canada"/>
    <s v="Unknown"/>
    <x v="3"/>
  </r>
  <r>
    <s v="Ethiopia Nekisse"/>
    <n v="96"/>
    <s v="Medium"/>
    <n v="50"/>
    <n v="65"/>
    <n v="11.16"/>
    <s v="USA"/>
    <s v="Ethiopia"/>
    <x v="1"/>
  </r>
  <r>
    <s v="Sumatra Aceh Pondok"/>
    <n v="94"/>
    <s v="Medium Light"/>
    <n v="58"/>
    <n v="83"/>
    <n v="3.51"/>
    <s v="USA"/>
    <s v="Indonesia"/>
    <x v="2"/>
  </r>
  <r>
    <s v="Ethiopian Sidamo Fair Trade/Organic"/>
    <n v="95"/>
    <s v="Medium Light"/>
    <n v="57"/>
    <n v="76"/>
    <n v="3.81"/>
    <s v="USA"/>
    <s v="Ethiopia"/>
    <x v="1"/>
  </r>
  <r>
    <s v="PeopleвЂ™s Daily Espresso"/>
    <n v="94"/>
    <s v="Medium"/>
    <n v="48"/>
    <n v="57"/>
    <n v="3.53"/>
    <s v="Canada"/>
    <s v="El Salvador"/>
    <x v="0"/>
  </r>
  <r>
    <s v="Tanzanian Songea Peaberry"/>
    <n v="94"/>
    <s v="Medium"/>
    <n v="47"/>
    <n v="62"/>
    <n v="3.88"/>
    <s v="Canada"/>
    <s v="Tanzania"/>
    <x v="1"/>
  </r>
  <r>
    <s v="La Esperanza Colombia Huila"/>
    <n v="95"/>
    <s v="Medium Light"/>
    <n v="63"/>
    <n v="72"/>
    <n v="4.9800000000000004"/>
    <s v="USA"/>
    <s v="Colombia"/>
    <x v="0"/>
  </r>
  <r>
    <s v="Ethiopia Yirga Cheffe Koke Espresso"/>
    <n v="94"/>
    <s v="Medium Light"/>
    <n v="53"/>
    <n v="72"/>
    <n v="105.11"/>
    <s v="USA"/>
    <s v="Ethiopia"/>
    <x v="1"/>
  </r>
  <r>
    <s v="Ethiopia Sidama ARDI"/>
    <n v="95"/>
    <s v="Medium Light"/>
    <n v="54"/>
    <n v="76"/>
    <n v="113.64"/>
    <s v="USA"/>
    <s v="Ethiopia"/>
    <x v="1"/>
  </r>
  <r>
    <s v="Sumatra Lake Tawar"/>
    <n v="94"/>
    <s v="Medium"/>
    <n v="46"/>
    <n v="60"/>
    <n v="3.2"/>
    <s v="USA"/>
    <s v="Indonesia"/>
    <x v="2"/>
  </r>
  <r>
    <s v="Ethiopia Yirgacheffe"/>
    <n v="94"/>
    <s v="Medium Light"/>
    <n v="59"/>
    <n v="82"/>
    <n v="3.82"/>
    <s v="USA"/>
    <s v="Ethiopia"/>
    <x v="1"/>
  </r>
  <r>
    <s v="Sulawesi Toraja"/>
    <n v="94"/>
    <s v="Medium"/>
    <n v="49"/>
    <n v="71"/>
    <n v="385.01"/>
    <s v="USA"/>
    <s v="Indonesia"/>
    <x v="2"/>
  </r>
  <r>
    <s v="Indonesia Blue Batak Peaberry"/>
    <n v="94"/>
    <s v="Medium Dark"/>
    <n v="39"/>
    <n v="53"/>
    <n v="1245.71"/>
    <s v="USA"/>
    <s v="Indonesia"/>
    <x v="2"/>
  </r>
  <r>
    <s v="Romance by Paradise"/>
    <n v="94"/>
    <s v="Light"/>
    <n v="62"/>
    <n v="89"/>
    <n v="10.7"/>
    <s v="USA"/>
    <s v="Unknown"/>
    <x v="3"/>
  </r>
  <r>
    <s v="Ethiopia Washed Yirgacheffe, Koke Grade 1"/>
    <n v="97"/>
    <s v="Medium Light"/>
    <n v="49"/>
    <n v="78"/>
    <n v="6.37"/>
    <s v="Taiwan"/>
    <s v="Ethiopia"/>
    <x v="1"/>
  </r>
  <r>
    <s v="Kenya AA Top"/>
    <n v="96"/>
    <s v="Medium"/>
    <n v="49"/>
    <n v="64"/>
    <n v="79.66"/>
    <s v="Taiwan"/>
    <s v="Kenya"/>
    <x v="1"/>
  </r>
  <r>
    <s v="Costa Rica Finca Cerro Palado"/>
    <n v="95"/>
    <s v="Medium Light"/>
    <n v="55"/>
    <n v="77"/>
    <n v="5.33"/>
    <s v="USA"/>
    <s v="Costa Rica"/>
    <x v="0"/>
  </r>
  <r>
    <s v="Ethiopia Yirgacheffe Koke"/>
    <n v="94"/>
    <s v="Medium"/>
    <n v="51"/>
    <n v="70"/>
    <n v="93.62"/>
    <s v="USA"/>
    <s v="Ethiopia"/>
    <x v="1"/>
  </r>
  <r>
    <s v="Kenya Gichathaini"/>
    <n v="94"/>
    <s v="Medium Light"/>
    <n v="52"/>
    <n v="82"/>
    <n v="45.88"/>
    <s v="USA"/>
    <s v="Kenya"/>
    <x v="1"/>
  </r>
  <r>
    <s v="La Esmeralda"/>
    <n v="95"/>
    <s v="Medium Light"/>
    <n v="55"/>
    <n v="82"/>
    <n v="11.29"/>
    <s v="USA"/>
    <s v="Panama"/>
    <x v="0"/>
  </r>
  <r>
    <s v="Sumatra Danau Toba"/>
    <n v="94"/>
    <s v="Medium Light"/>
    <n v="58"/>
    <n v="73"/>
    <n v="5.18"/>
    <s v="USA"/>
    <s v="Indonesia"/>
    <x v="2"/>
  </r>
  <r>
    <s v="Kenya Githiru"/>
    <n v="95"/>
    <s v="Medium Light"/>
    <n v="53"/>
    <n v="75"/>
    <n v="233.63"/>
    <s v="USA"/>
    <s v="Kenya"/>
    <x v="1"/>
  </r>
  <r>
    <s v="Panama Elida Estate Natural"/>
    <n v="95"/>
    <s v="Medium Light"/>
    <n v="55"/>
    <n v="79"/>
    <n v="123.6"/>
    <s v="USA"/>
    <s v="Panama"/>
    <x v="0"/>
  </r>
  <r>
    <s v="Fair Trade Organic Ethiopia Yirgacheffe"/>
    <n v="94"/>
    <s v="Medium"/>
    <n v="45"/>
    <n v="61"/>
    <n v="98.18"/>
    <s v="USA"/>
    <s v="Ethiopia"/>
    <x v="1"/>
  </r>
  <r>
    <s v="Hacienda La Esmeralda Special Mario Carnaval"/>
    <n v="96"/>
    <s v="Light"/>
    <n v="59"/>
    <n v="99"/>
    <n v="123.62"/>
    <s v="USA"/>
    <s v="Panama"/>
    <x v="0"/>
  </r>
  <r>
    <s v="Panama El Burro Estate"/>
    <n v="94"/>
    <s v="Medium"/>
    <n v="44"/>
    <n v="73"/>
    <n v="219.28"/>
    <s v="USA"/>
    <s v="Panama"/>
    <x v="0"/>
  </r>
  <r>
    <s v="KaвЂ™u Bourbon"/>
    <n v="95"/>
    <s v="Medium"/>
    <n v="49"/>
    <n v="69"/>
    <n v="32.869999999999997"/>
    <s v="USA"/>
    <s v="USA"/>
    <x v="0"/>
  </r>
  <r>
    <s v="Kenya Peaberry Thika Gethumbwini"/>
    <n v="96"/>
    <s v="Light"/>
    <n v="57"/>
    <n v="90"/>
    <n v="76.13"/>
    <s v="USA"/>
    <s v="Kenya"/>
    <x v="1"/>
  </r>
  <r>
    <s v="Burundi Kinyovu"/>
    <n v="95"/>
    <s v="Medium Light"/>
    <n v="53"/>
    <n v="77"/>
    <n v="5.53"/>
    <s v="USA"/>
    <s v="Burundi"/>
    <x v="1"/>
  </r>
  <r>
    <s v="Bonsai Blend Espresso"/>
    <n v="94"/>
    <s v="Medium Dark"/>
    <n v="37"/>
    <n v="47"/>
    <n v="68.180000000000007"/>
    <s v="USA"/>
    <s v="Unknown"/>
    <x v="3"/>
  </r>
  <r>
    <s v="Ethiopia Yirgacheffe Beloya Selection 8"/>
    <n v="95"/>
    <s v="Light"/>
    <n v="65"/>
    <n v="91"/>
    <n v="22.96"/>
    <s v="USA"/>
    <s v="Ethiopia"/>
    <x v="1"/>
  </r>
  <r>
    <s v="Romance by Paradise"/>
    <n v="95"/>
    <s v="Medium"/>
    <n v="51"/>
    <n v="66"/>
    <n v="6.42"/>
    <s v="USA"/>
    <s v="Unknown"/>
    <x v="3"/>
  </r>
  <r>
    <s v="Kenya AA Gachatha"/>
    <n v="95"/>
    <s v="Medium"/>
    <n v="47"/>
    <n v="58"/>
    <n v="104.06"/>
    <s v="USA"/>
    <s v="Kenya"/>
    <x v="1"/>
  </r>
  <r>
    <s v="вЂњKona SweetвЂќ 100% Kona"/>
    <n v="97"/>
    <s v="Light"/>
    <n v="62"/>
    <n v="83"/>
    <n v="2008.52"/>
    <s v="USA"/>
    <s v="USA"/>
    <x v="0"/>
  </r>
  <r>
    <s v="Kenya Ndiara Full Flavor Roast"/>
    <n v="96"/>
    <s v="Medium Light"/>
    <n v="56"/>
    <n v="75"/>
    <n v="12.45"/>
    <s v="USA"/>
    <s v="Kenya"/>
    <x v="1"/>
  </r>
  <r>
    <s v="Kenya Ndaroini Microlot"/>
    <n v="95"/>
    <s v="Medium"/>
    <n v="52"/>
    <n v="69"/>
    <n v="5.75"/>
    <s v="USA"/>
    <s v="Kenya"/>
    <x v="1"/>
  </r>
  <r>
    <s v="Kenya Mamuto"/>
    <n v="96"/>
    <s v="Medium"/>
    <n v="49"/>
    <n v="69"/>
    <n v="32.869999999999997"/>
    <s v="USA"/>
    <s v="Kenya"/>
    <x v="1"/>
  </r>
  <r>
    <s v="Sumatra Lintong"/>
    <n v="94"/>
    <s v="Medium Light"/>
    <n v="55"/>
    <n v="75"/>
    <n v="22.05"/>
    <s v="USA"/>
    <s v="Indonesia"/>
    <x v="2"/>
  </r>
  <r>
    <s v="Panama Elida Natural"/>
    <n v="95"/>
    <s v="Medium Light"/>
    <n v="57"/>
    <n v="81"/>
    <n v="10.37"/>
    <s v="USA"/>
    <s v="Panama"/>
    <x v="0"/>
  </r>
  <r>
    <s v="Sumatra Danau Toba"/>
    <n v="94"/>
    <s v="Medium Light"/>
    <n v="50"/>
    <n v="74"/>
    <n v="63.49"/>
    <s v="USA"/>
    <s v="Indonesia"/>
    <x v="2"/>
  </r>
  <r>
    <s v="Ethiopia Sidamo Special Prep"/>
    <n v="95"/>
    <s v="Light"/>
    <n v="71"/>
    <n v="98"/>
    <n v="24.18"/>
    <s v="USA"/>
    <s v="Ethiopia"/>
    <x v="1"/>
  </r>
  <r>
    <s v="El Salvador Finca Kilimanjaro"/>
    <n v="95"/>
    <s v="Light"/>
    <n v="71"/>
    <n v="99"/>
    <n v="11.95"/>
    <s v="USA"/>
    <s v="El Salvador"/>
    <x v="0"/>
  </r>
  <r>
    <s v="El Salvador Finca Siberia Pacamara"/>
    <n v="94"/>
    <s v="Medium"/>
    <n v="50"/>
    <n v="56"/>
    <n v="5.07"/>
    <s v="USA"/>
    <s v="El Salvador"/>
    <x v="0"/>
  </r>
  <r>
    <s v="Panama Esmeralda Especial"/>
    <n v="94"/>
    <s v="Light"/>
    <n v="57"/>
    <n v="86"/>
    <n v="200.59"/>
    <s v="USA"/>
    <s v="Panama"/>
    <x v="0"/>
  </r>
  <r>
    <s v="La Esmeralda Panama"/>
    <n v="95"/>
    <s v="Medium Light"/>
    <n v="54"/>
    <n v="71"/>
    <n v="51.92"/>
    <s v="USA"/>
    <s v="Panama"/>
    <x v="0"/>
  </r>
  <r>
    <s v="Panama Esmeralda Lot 9"/>
    <n v="94"/>
    <s v="Medium Light"/>
    <n v="54"/>
    <n v="79"/>
    <n v="118.06"/>
    <s v="USA"/>
    <s v="Panama"/>
    <x v="0"/>
  </r>
  <r>
    <s v="Ethiopia Awassa Special"/>
    <n v="94"/>
    <s v="Light"/>
    <n v="57"/>
    <n v="85"/>
    <n v="41.72"/>
    <s v="USA"/>
    <s v="Ethiopia"/>
    <x v="1"/>
  </r>
  <r>
    <s v="Kenya Peaberry Nyeri-Tatu"/>
    <n v="94"/>
    <s v="Medium"/>
    <n v="48"/>
    <n v="63"/>
    <n v="122.58"/>
    <s v="USA"/>
    <s v="Kenya"/>
    <x v="1"/>
  </r>
  <r>
    <s v="El Salvador Pacamara Tierra Fertil Los Alpes Reserva"/>
    <n v="94"/>
    <s v="Light"/>
    <n v="75"/>
    <n v="97"/>
    <n v="9.4700000000000006"/>
    <s v="USA"/>
    <s v="El Salvador"/>
    <x v="0"/>
  </r>
  <r>
    <s v="Ruvuma Tanzanian Peaberry"/>
    <n v="95"/>
    <s v="Medium"/>
    <n v="44"/>
    <n v="63"/>
    <n v="168.52"/>
    <s v="USA"/>
    <s v="Tanzania"/>
    <x v="1"/>
  </r>
  <r>
    <s v="Ethiopia Sidamo Natural Korate"/>
    <n v="94"/>
    <s v="Medium Light"/>
    <n v="52"/>
    <n v="73"/>
    <n v="54.07"/>
    <s v="USA"/>
    <s v="Ethiopia"/>
    <x v="1"/>
  </r>
  <r>
    <s v="Kenya AA Nyeri Tatu"/>
    <n v="94"/>
    <s v="Medium Dark"/>
    <n v="42"/>
    <n v="46"/>
    <n v="213.26"/>
    <s v="USA"/>
    <s v="Kenya"/>
    <x v="1"/>
  </r>
  <r>
    <s v="Kenya Peaberry Ruera Estate"/>
    <n v="96"/>
    <s v="Medium Dark"/>
    <n v="46"/>
    <n v="54"/>
    <n v="134.6"/>
    <s v="USA"/>
    <s v="Kenya"/>
    <x v="1"/>
  </r>
  <r>
    <s v="Brazil Fazenda Boa Vista"/>
    <n v="94"/>
    <s v="Medium"/>
    <n v="55"/>
    <n v="65"/>
    <n v="416.54"/>
    <s v="USA"/>
    <s v="Brazil"/>
    <x v="0"/>
  </r>
  <r>
    <s v="Panama Elida Estate"/>
    <n v="95"/>
    <s v="Light"/>
    <n v="64"/>
    <n v="82"/>
    <n v="72.290000000000006"/>
    <s v="USA"/>
    <s v="Panama"/>
    <x v="0"/>
  </r>
  <r>
    <s v="Ethiopia Yirgacheffe Aricha Selection #7"/>
    <n v="94"/>
    <s v="Medium"/>
    <n v="49"/>
    <n v="65"/>
    <n v="106.56"/>
    <s v="USA"/>
    <s v="Ethiopia"/>
    <x v="1"/>
  </r>
  <r>
    <s v="Guatemala El Injerto"/>
    <n v="94"/>
    <s v="Medium Light"/>
    <n v="58"/>
    <n v="72"/>
    <n v="6.51"/>
    <s v="USA"/>
    <s v="Guatemala"/>
    <x v="0"/>
  </r>
  <r>
    <s v="Kenya Mamuto"/>
    <n v="97"/>
    <s v="Medium"/>
    <n v="53"/>
    <n v="65"/>
    <n v="13.31"/>
    <s v="USA"/>
    <s v="Kenya"/>
    <x v="1"/>
  </r>
  <r>
    <s v="Sumatra Danau Toba"/>
    <n v="96"/>
    <s v="Medium Light"/>
    <n v="58"/>
    <n v="78"/>
    <n v="260.88"/>
    <s v="USA"/>
    <s v="Indonesia"/>
    <x v="2"/>
  </r>
  <r>
    <s v="Organic Colombia"/>
    <n v="95"/>
    <s v="Medium"/>
    <n v="51"/>
    <n v="62"/>
    <n v="4.3499999999999996"/>
    <s v="USA"/>
    <s v="Colombia"/>
    <x v="0"/>
  </r>
  <r>
    <s v="Colombia Tolima Jairo Guiterrez Micro-Lot 07"/>
    <n v="95"/>
    <s v="Medium"/>
    <n v="52"/>
    <n v="59"/>
    <n v="4.7"/>
    <s v="USA"/>
    <s v="Colombia"/>
    <x v="0"/>
  </r>
  <r>
    <s v="Tres Santos Micro-Lot La Dorada Cauca"/>
    <n v="94"/>
    <s v="Medium Light"/>
    <n v="56"/>
    <n v="66"/>
    <n v="462.48"/>
    <s v="USA"/>
    <s v="Colombia"/>
    <x v="0"/>
  </r>
  <r>
    <s v="Nectar"/>
    <n v="94"/>
    <s v="Medium Light"/>
    <n v="52"/>
    <n v="75"/>
    <n v="140.51"/>
    <s v="USA"/>
    <s v="Panama"/>
    <x v="0"/>
  </r>
  <r>
    <s v="La Minita Costa Rica"/>
    <n v="94"/>
    <s v="Medium Light"/>
    <n v="59"/>
    <n v="79"/>
    <n v="100.77"/>
    <s v="USA"/>
    <s v="Costa Rica"/>
    <x v="0"/>
  </r>
  <r>
    <s v="Kenya Kigutha"/>
    <n v="95"/>
    <s v="Medium"/>
    <n v="53"/>
    <n v="65"/>
    <n v="4.8899999999999997"/>
    <s v="USA"/>
    <s v="Kenya"/>
    <x v="1"/>
  </r>
  <r>
    <s v="Hacienda La Esmeralda"/>
    <n v="94"/>
    <s v="Medium Light"/>
    <n v="54"/>
    <n v="76"/>
    <n v="113.76"/>
    <s v="USA"/>
    <s v="Panama"/>
    <x v="0"/>
  </r>
  <r>
    <s v="Kenya AA Mathareini"/>
    <n v="94"/>
    <s v="Medium"/>
    <n v="50"/>
    <n v="59"/>
    <n v="4.1399999999999997"/>
    <s v="USA"/>
    <s v="Kenya"/>
    <x v="1"/>
  </r>
  <r>
    <s v="Sumatra Lake Tawar"/>
    <n v="95"/>
    <s v="Medium"/>
    <n v="48"/>
    <n v="63"/>
    <n v="326.82"/>
    <s v="USA"/>
    <s v="Indonesia"/>
    <x v="2"/>
  </r>
  <r>
    <s v="Kenyan Highland Cooperatives"/>
    <n v="96"/>
    <s v="Medium Dark"/>
    <n v="44"/>
    <n v="56"/>
    <n v="619.29999999999995"/>
    <s v="USA"/>
    <s v="Kenya"/>
    <x v="1"/>
  </r>
  <r>
    <s v="Esmeralda Especial Best of Panama"/>
    <n v="97"/>
    <s v="Medium"/>
    <n v="44"/>
    <n v="58"/>
    <n v="405.76"/>
    <s v="USA"/>
    <s v="Panama"/>
    <x v="0"/>
  </r>
  <r>
    <s v="Esmeralda Especial Panama"/>
    <n v="94"/>
    <s v="Medium"/>
    <n v="51"/>
    <n v="66"/>
    <n v="30.44"/>
    <s v="USA"/>
    <s v="Panama"/>
    <x v="0"/>
  </r>
  <r>
    <s v="Rwanda Karaba Fair Trade"/>
    <n v="96"/>
    <s v="Medium Light"/>
    <n v="53"/>
    <n v="69"/>
    <n v="9.1"/>
    <s v="USA"/>
    <s v="Rwanda"/>
    <x v="1"/>
  </r>
  <r>
    <s v="Kenya Karogoto"/>
    <n v="96"/>
    <s v="Medium Light"/>
    <n v="52"/>
    <n v="71"/>
    <n v="30.12"/>
    <s v="USA"/>
    <s v="Kenya"/>
    <x v="1"/>
  </r>
  <r>
    <s v="Panama Hacienda La Esmeralda Gesha"/>
    <n v="96"/>
    <s v="Medium"/>
    <n v="51"/>
    <n v="69"/>
    <n v="18.190000000000001"/>
    <s v="USA"/>
    <s v="Panama"/>
    <x v="0"/>
  </r>
  <r>
    <s v="Panama Esmeralda Especial"/>
    <n v="97"/>
    <s v="Medium"/>
    <n v="51"/>
    <n v="65"/>
    <n v="80.14"/>
    <s v="USA"/>
    <s v="Panama"/>
    <x v="0"/>
  </r>
  <r>
    <s v="Kenya AA Wagamuga Auction Lot"/>
    <n v="97"/>
    <s v="Medium"/>
    <n v="45"/>
    <n v="70"/>
    <n v="323.33999999999997"/>
    <s v="USA"/>
    <s v="Kenya"/>
    <x v="1"/>
  </r>
  <r>
    <s v="Aricha Selection Seven Ethiopia Yirgacheffe"/>
    <n v="95"/>
    <s v="Light"/>
    <n v="63"/>
    <n v="86"/>
    <n v="52.2"/>
    <s v="USA"/>
    <s v="Ethiopia"/>
    <x v="1"/>
  </r>
  <r>
    <s v="Kenya Peaberry Deep River Estate"/>
    <n v="95"/>
    <s v="Medium"/>
    <n v="44"/>
    <n v="58"/>
    <n v="477.67"/>
    <s v="USA"/>
    <s v="Kenya"/>
    <x v="1"/>
  </r>
  <r>
    <s v="Ethiopia Biloya Special"/>
    <n v="97"/>
    <s v="Medium Light"/>
    <n v="57"/>
    <n v="78"/>
    <n v="57.46"/>
    <s v="USA"/>
    <s v="Ethiopia"/>
    <x v="1"/>
  </r>
  <r>
    <s v="Huila El Palacio Colombia"/>
    <n v="94"/>
    <s v="Medium"/>
    <n v="55"/>
    <n v="66"/>
    <n v="414.95"/>
    <s v="USA"/>
    <s v="Colombia"/>
    <x v="0"/>
  </r>
  <r>
    <s v="El Salvador Los Planes Cup of Excellence 2006"/>
    <n v="95"/>
    <s v="Medium"/>
    <n v="50"/>
    <n v="62"/>
    <n v="111.72"/>
    <s v="USA"/>
    <s v="El Salvador"/>
    <x v="0"/>
  </r>
  <r>
    <s v="Natural Decaf Espresso"/>
    <n v="94"/>
    <s v="Dark"/>
    <n v="30"/>
    <n v="44"/>
    <n v="286.60000000000002"/>
    <s v="USA"/>
    <s v="Unknown"/>
    <x v="3"/>
  </r>
  <r>
    <s v="Decaf Organic Caffe Volcan"/>
    <n v="94"/>
    <s v="Medium Dark"/>
    <n v="39"/>
    <n v="57"/>
    <n v="159.26"/>
    <s v="USA"/>
    <s v="Unknown"/>
    <x v="3"/>
  </r>
  <r>
    <s v="Colombia Cauca, Special Micro-Lot Selection Juvenal Penna"/>
    <n v="94"/>
    <s v="Medium"/>
    <n v="46"/>
    <n v="58"/>
    <n v="194.62"/>
    <s v="USA"/>
    <s v="Colombia"/>
    <x v="0"/>
  </r>
  <r>
    <s v="Colombia El Castillo Micro-Lot Nelson Melo"/>
    <n v="94"/>
    <s v="Medium Dark"/>
    <n v="46"/>
    <n v="53"/>
    <n v="98.84"/>
    <s v="USA"/>
    <s v="Colombia"/>
    <x v="0"/>
  </r>
  <r>
    <s v="Colombia Hato Viejo Cup of Excellence"/>
    <n v="94"/>
    <s v="Medium"/>
    <n v="49"/>
    <n v="65"/>
    <n v="106.56"/>
    <s v="USA"/>
    <s v="Colombia"/>
    <x v="0"/>
  </r>
  <r>
    <s v="Colombia Tolima Reynel Perez Micro-Lot"/>
    <n v="96"/>
    <s v="Medium"/>
    <n v="52"/>
    <n v="66"/>
    <n v="13.17"/>
    <s v="USA"/>
    <s v="Colombia"/>
    <x v="0"/>
  </r>
  <r>
    <s v="Colombia Huila Supremo"/>
    <n v="94"/>
    <s v="Medium Light"/>
    <n v="57"/>
    <n v="68"/>
    <n v="5.63"/>
    <s v="USA"/>
    <s v="Colombia"/>
    <x v="0"/>
  </r>
  <r>
    <s v="Kenyan AA"/>
    <n v="96"/>
    <s v="Medium Light"/>
    <n v="55"/>
    <n v="72"/>
    <n v="252.88"/>
    <s v="USA"/>
    <s v="Kenya"/>
    <x v="1"/>
  </r>
  <r>
    <s v="El Salvador Los Planes Pacamara"/>
    <n v="96"/>
    <s v="Medium Light"/>
    <n v="58"/>
    <n v="71"/>
    <n v="10.38"/>
    <s v="USA"/>
    <s v="El Salvador"/>
    <x v="0"/>
  </r>
  <r>
    <s v="El Salvador Pacamara Los Planes"/>
    <n v="95"/>
    <s v="Medium"/>
    <n v="49"/>
    <n v="60"/>
    <n v="3.89"/>
    <s v="USA"/>
    <s v="El Salvador"/>
    <x v="0"/>
  </r>
  <r>
    <s v="Panama Esmeralda Especial"/>
    <n v="95"/>
    <s v="Medium Light"/>
    <n v="56"/>
    <n v="69"/>
    <n v="7.64"/>
    <s v="USA"/>
    <s v="Panama"/>
    <x v="0"/>
  </r>
  <r>
    <s v="Nicaragua El Progresso COE Lot #1"/>
    <n v="95"/>
    <s v="Medium Light"/>
    <n v="55"/>
    <n v="71"/>
    <n v="11.13"/>
    <s v="USA"/>
    <s v="Nicaragua"/>
    <x v="0"/>
  </r>
  <r>
    <s v="Kenya Mamuto Kirinyaga"/>
    <n v="96"/>
    <s v="Medium"/>
    <n v="52"/>
    <n v="65"/>
    <n v="7.39"/>
    <s v="USA"/>
    <s v="Kenya"/>
    <x v="1"/>
  </r>
  <r>
    <s v="Sumatra Lake Tawar"/>
    <n v="94"/>
    <s v="Medium Dark"/>
    <n v="46"/>
    <n v="54"/>
    <n v="134.6"/>
    <s v="USA"/>
    <s v="Indonesia"/>
    <x v="2"/>
  </r>
  <r>
    <s v="Sumatra Lake Tawar"/>
    <n v="94"/>
    <s v="Medium Dark"/>
    <n v="42"/>
    <n v="51"/>
    <n v="76.73"/>
    <s v="USA"/>
    <s v="Indonesia"/>
    <x v="2"/>
  </r>
  <r>
    <s v="Belle Espresso"/>
    <n v="94"/>
    <s v="Medium Dark"/>
    <n v="43"/>
    <n v="49"/>
    <n v="4.88"/>
    <s v="USA"/>
    <s v="Ethiopia"/>
    <x v="1"/>
  </r>
  <r>
    <s v="Colombia Pitalito Estate"/>
    <n v="94"/>
    <s v="Medium"/>
    <n v="56"/>
    <n v="63"/>
    <n v="7.52"/>
    <s v="USA"/>
    <s v="Colombia"/>
    <x v="0"/>
  </r>
  <r>
    <s v="Hamma Cooperative Yirgacheffe, Fair-Trade Organic"/>
    <n v="95"/>
    <s v="Medium Light"/>
    <n v="54"/>
    <n v="73"/>
    <n v="51.33"/>
    <s v="USA"/>
    <s v="Ethiopia"/>
    <x v="1"/>
  </r>
  <r>
    <s v="Sumatra Golden Mandheling"/>
    <n v="94"/>
    <s v="Medium"/>
    <n v="51"/>
    <n v="68"/>
    <n v="122.5"/>
    <s v="USA"/>
    <s v="Indonesia"/>
    <x v="2"/>
  </r>
  <r>
    <s v="Guatemala Antigua вЂ“ Finca La Tacita"/>
    <n v="94"/>
    <s v="Medium"/>
    <n v="51"/>
    <n v="64"/>
    <n v="75.599999999999994"/>
    <s v="USA"/>
    <s v="Guatemala"/>
    <x v="0"/>
  </r>
  <r>
    <s v="Kenya AA Nyeri Fine Cup"/>
    <n v="94"/>
    <s v="Dark"/>
    <n v="35"/>
    <n v="43"/>
    <n v="205.91"/>
    <s v="USA"/>
    <s v="Kenya"/>
    <x v="1"/>
  </r>
  <r>
    <s v="El Salvador Montecarlos Tablon Crater"/>
    <n v="94"/>
    <s v="Medium Light"/>
    <n v="55"/>
    <n v="72"/>
    <n v="47.23"/>
    <s v="USA"/>
    <s v="El Salvador"/>
    <x v="0"/>
  </r>
  <r>
    <s v="El Salvador Montecarlos Peaberry"/>
    <n v="94"/>
    <s v="Medium"/>
    <n v="53"/>
    <n v="64"/>
    <n v="249.35"/>
    <s v="USA"/>
    <s v="El Salvador"/>
    <x v="0"/>
  </r>
  <r>
    <s v="Nicaragua Maragogipe Organic"/>
    <n v="94"/>
    <s v="Medium Dark"/>
    <n v="46"/>
    <n v="54"/>
    <n v="134.6"/>
    <s v="USA"/>
    <s v="Nicaragua"/>
    <x v="0"/>
  </r>
  <r>
    <s v="Kenya AA, 2003 Crop"/>
    <n v="95"/>
    <s v="Medium"/>
    <n v="49"/>
    <n v="66"/>
    <n v="10"/>
    <s v="USA"/>
    <s v="Kenya"/>
    <x v="1"/>
  </r>
  <r>
    <s v="Kenya AA"/>
    <n v="94"/>
    <s v="Medium"/>
    <n v="43"/>
    <n v="76"/>
    <n v="180.28"/>
    <s v="USA"/>
    <s v="Kenya"/>
    <x v="1"/>
  </r>
  <r>
    <s v="Kenya"/>
    <n v="94"/>
    <s v="Medium Dark"/>
    <n v="42"/>
    <n v="47"/>
    <n v="106.72"/>
    <s v="USA"/>
    <s v="Kenya"/>
    <x v="1"/>
  </r>
  <r>
    <s v="Fair Trade Organic Guatemala"/>
    <n v="94"/>
    <s v="Very Dark"/>
    <n v="0"/>
    <n v="66"/>
    <n v="184.51"/>
    <s v="USA"/>
    <s v="Guatemala"/>
    <x v="0"/>
  </r>
  <r>
    <s v="Nicaraguan Maracaturra Light Roast"/>
    <n v="94"/>
    <s v="Medium Light"/>
    <n v="75"/>
    <n v="63"/>
    <n v="224.33"/>
    <s v="USA"/>
    <s v="Nicaragua"/>
    <x v="0"/>
  </r>
  <r>
    <s v="Elm City House Blend"/>
    <n v="94"/>
    <s v="Dark"/>
    <n v="38"/>
    <n v="43"/>
    <n v="198.56"/>
    <s v="USA"/>
    <s v="Unknown"/>
    <x v="3"/>
  </r>
  <r>
    <s v="Vienna Roast"/>
    <n v="94"/>
    <s v="Medium Dark"/>
    <n v="38"/>
    <n v="44"/>
    <n v="198.57"/>
    <s v="USA"/>
    <s v="Unknown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21DCD-6E54-463A-9831-F0613C149DB5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63:R289" firstHeaderRow="1" firstDataRow="2" firstDataCol="1"/>
  <pivotFields count="9">
    <pivotField showAll="0"/>
    <pivotField dataField="1" showAll="0"/>
    <pivotField showAll="0"/>
    <pivotField showAll="0"/>
    <pivotField showAll="0"/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axis="axisCol" showAll="0">
      <items count="16">
        <item x="12"/>
        <item x="7"/>
        <item x="6"/>
        <item x="10"/>
        <item x="14"/>
        <item x="3"/>
        <item x="11"/>
        <item x="4"/>
        <item x="8"/>
        <item x="13"/>
        <item x="2"/>
        <item x="5"/>
        <item x="1"/>
        <item x="9"/>
        <item x="0"/>
        <item t="default"/>
      </items>
    </pivotField>
    <pivotField axis="axisRow" showAll="0">
      <items count="26">
        <item x="24"/>
        <item x="7"/>
        <item x="19"/>
        <item x="23"/>
        <item x="0"/>
        <item x="6"/>
        <item x="22"/>
        <item x="5"/>
        <item x="16"/>
        <item x="1"/>
        <item x="11"/>
        <item x="18"/>
        <item x="15"/>
        <item x="8"/>
        <item x="13"/>
        <item x="21"/>
        <item x="12"/>
        <item x="20"/>
        <item x="3"/>
        <item x="10"/>
        <item x="2"/>
        <item x="4"/>
        <item h="1" x="17"/>
        <item x="9"/>
        <item x="14"/>
        <item t="default"/>
      </items>
    </pivotField>
    <pivotField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 t="grand">
      <x/>
    </i>
  </rowItems>
  <colFields count="1">
    <field x="6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Average of total_score" fld="1" subtotal="average" baseField="7" baseItem="0"/>
  </dataFields>
  <formats count="1">
    <format dxfId="0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FDC5B-EFBD-4901-85EB-362E67FE695E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139:C164" firstHeaderRow="1" firstDataRow="1" firstDataCol="1"/>
  <pivotFields count="9">
    <pivotField showAll="0"/>
    <pivotField dataField="1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showAll="0"/>
    <pivotField axis="axisRow" showAll="0" sortType="descending">
      <items count="26">
        <item x="24"/>
        <item x="7"/>
        <item x="19"/>
        <item x="23"/>
        <item x="0"/>
        <item x="6"/>
        <item x="22"/>
        <item x="5"/>
        <item x="16"/>
        <item x="1"/>
        <item x="11"/>
        <item x="18"/>
        <item x="15"/>
        <item x="8"/>
        <item x="13"/>
        <item x="21"/>
        <item x="12"/>
        <item x="20"/>
        <item x="3"/>
        <item x="10"/>
        <item x="2"/>
        <item x="4"/>
        <item h="1" x="1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7"/>
  </rowFields>
  <rowItems count="25">
    <i>
      <x v="16"/>
    </i>
    <i>
      <x v="3"/>
    </i>
    <i>
      <x v="24"/>
    </i>
    <i>
      <x v="23"/>
    </i>
    <i>
      <x v="7"/>
    </i>
    <i>
      <x v="13"/>
    </i>
    <i>
      <x v="21"/>
    </i>
    <i>
      <x v="4"/>
    </i>
    <i>
      <x v="9"/>
    </i>
    <i>
      <x v="10"/>
    </i>
    <i>
      <x v="20"/>
    </i>
    <i>
      <x v="2"/>
    </i>
    <i>
      <x v="12"/>
    </i>
    <i>
      <x v="19"/>
    </i>
    <i>
      <x v="5"/>
    </i>
    <i>
      <x v="18"/>
    </i>
    <i>
      <x v="14"/>
    </i>
    <i>
      <x v="8"/>
    </i>
    <i>
      <x v="1"/>
    </i>
    <i>
      <x v="17"/>
    </i>
    <i>
      <x v="15"/>
    </i>
    <i>
      <x v="6"/>
    </i>
    <i>
      <x/>
    </i>
    <i>
      <x v="11"/>
    </i>
    <i t="grand">
      <x/>
    </i>
  </rowItems>
  <colItems count="1">
    <i/>
  </colItems>
  <dataFields count="1">
    <dataField name="Average of total_score" fld="1" subtotal="average" baseField="7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DE345-6B59-4273-8899-03DA961813C9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187:C193" firstHeaderRow="1" firstDataRow="1" firstDataCol="1"/>
  <pivotFields count="9">
    <pivotField dataField="1" showAll="0">
      <items count="2004">
        <item x="845"/>
        <item x="1768"/>
        <item x="1420"/>
        <item x="360"/>
        <item x="170"/>
        <item x="1214"/>
        <item x="1086"/>
        <item x="1434"/>
        <item x="1176"/>
        <item x="213"/>
        <item x="868"/>
        <item x="1423"/>
        <item x="1576"/>
        <item x="1581"/>
        <item x="402"/>
        <item x="762"/>
        <item x="999"/>
        <item x="1478"/>
        <item x="865"/>
        <item x="1212"/>
        <item x="1347"/>
        <item x="1158"/>
        <item x="1547"/>
        <item x="1031"/>
        <item x="1074"/>
        <item x="1548"/>
        <item x="1665"/>
        <item x="1972"/>
        <item x="1482"/>
        <item x="217"/>
        <item x="1588"/>
        <item x="1681"/>
        <item x="1279"/>
        <item x="108"/>
        <item x="935"/>
        <item x="491"/>
        <item x="131"/>
        <item x="1303"/>
        <item x="513"/>
        <item x="1265"/>
        <item x="766"/>
        <item x="1319"/>
        <item x="1774"/>
        <item x="1568"/>
        <item x="802"/>
        <item x="860"/>
        <item x="1807"/>
        <item x="1989"/>
        <item x="165"/>
        <item x="1118"/>
        <item x="1205"/>
        <item x="1034"/>
        <item x="1349"/>
        <item x="1494"/>
        <item x="1585"/>
        <item x="1240"/>
        <item x="363"/>
        <item x="1640"/>
        <item x="796"/>
        <item x="1121"/>
        <item x="1520"/>
        <item x="966"/>
        <item x="1405"/>
        <item x="509"/>
        <item x="840"/>
        <item x="1886"/>
        <item x="1936"/>
        <item x="1286"/>
        <item x="1830"/>
        <item x="1475"/>
        <item x="990"/>
        <item x="1477"/>
        <item x="1558"/>
        <item x="1955"/>
        <item x="1559"/>
        <item x="734"/>
        <item x="930"/>
        <item x="19"/>
        <item x="746"/>
        <item x="110"/>
        <item x="914"/>
        <item x="1022"/>
        <item x="1096"/>
        <item x="1388"/>
        <item x="1137"/>
        <item x="1642"/>
        <item x="700"/>
        <item x="1935"/>
        <item x="538"/>
        <item x="1714"/>
        <item x="1553"/>
        <item x="899"/>
        <item x="1285"/>
        <item x="1080"/>
        <item x="1550"/>
        <item x="888"/>
        <item x="272"/>
        <item x="1395"/>
        <item x="1455"/>
        <item x="1225"/>
        <item x="1733"/>
        <item x="1732"/>
        <item x="1211"/>
        <item x="816"/>
        <item x="787"/>
        <item x="387"/>
        <item x="719"/>
        <item x="863"/>
        <item x="450"/>
        <item x="690"/>
        <item x="1457"/>
        <item x="912"/>
        <item x="911"/>
        <item x="1090"/>
        <item x="368"/>
        <item x="361"/>
        <item x="1149"/>
        <item x="691"/>
        <item x="1026"/>
        <item x="118"/>
        <item x="1112"/>
        <item x="314"/>
        <item x="495"/>
        <item x="901"/>
        <item x="140"/>
        <item x="141"/>
        <item x="236"/>
        <item x="394"/>
        <item x="960"/>
        <item x="623"/>
        <item x="625"/>
        <item x="624"/>
        <item x="1165"/>
        <item x="289"/>
        <item x="1007"/>
        <item x="292"/>
        <item x="637"/>
        <item x="553"/>
        <item x="24"/>
        <item x="1979"/>
        <item x="645"/>
        <item x="598"/>
        <item x="328"/>
        <item x="449"/>
        <item x="324"/>
        <item x="1028"/>
        <item x="595"/>
        <item x="673"/>
        <item x="443"/>
        <item x="269"/>
        <item x="268"/>
        <item x="270"/>
        <item x="105"/>
        <item x="1980"/>
        <item x="444"/>
        <item x="285"/>
        <item x="317"/>
        <item x="244"/>
        <item x="1317"/>
        <item x="134"/>
        <item x="392"/>
        <item x="291"/>
        <item x="437"/>
        <item x="433"/>
        <item x="1851"/>
        <item x="208"/>
        <item x="177"/>
        <item x="726"/>
        <item x="22"/>
        <item x="39"/>
        <item x="0"/>
        <item x="1448"/>
        <item x="1883"/>
        <item x="425"/>
        <item x="1025"/>
        <item x="744"/>
        <item x="781"/>
        <item x="551"/>
        <item x="474"/>
        <item x="1142"/>
        <item x="717"/>
        <item x="543"/>
        <item x="521"/>
        <item x="708"/>
        <item x="1190"/>
        <item x="1242"/>
        <item x="767"/>
        <item x="181"/>
        <item x="468"/>
        <item x="275"/>
        <item x="1"/>
        <item x="1177"/>
        <item x="1172"/>
        <item x="343"/>
        <item x="1739"/>
        <item x="520"/>
        <item x="593"/>
        <item x="21"/>
        <item x="926"/>
        <item x="168"/>
        <item x="1847"/>
        <item x="196"/>
        <item x="482"/>
        <item x="674"/>
        <item x="563"/>
        <item x="672"/>
        <item x="578"/>
        <item x="349"/>
        <item x="694"/>
        <item x="798"/>
        <item x="891"/>
        <item x="1701"/>
        <item x="1660"/>
        <item x="1071"/>
        <item x="854"/>
        <item x="1580"/>
        <item x="1189"/>
        <item x="331"/>
        <item x="320"/>
        <item x="581"/>
        <item x="556"/>
        <item x="251"/>
        <item x="1092"/>
        <item x="94"/>
        <item x="1981"/>
        <item x="399"/>
        <item x="964"/>
        <item x="483"/>
        <item x="366"/>
        <item x="385"/>
        <item x="453"/>
        <item x="370"/>
        <item x="503"/>
        <item x="833"/>
        <item x="522"/>
        <item x="1850"/>
        <item x="1983"/>
        <item x="755"/>
        <item x="378"/>
        <item x="644"/>
        <item x="846"/>
        <item x="1029"/>
        <item x="259"/>
        <item x="1889"/>
        <item x="628"/>
        <item x="877"/>
        <item x="1828"/>
        <item x="884"/>
        <item x="307"/>
        <item x="1027"/>
        <item x="1479"/>
        <item x="1474"/>
        <item x="856"/>
        <item x="252"/>
        <item x="864"/>
        <item x="852"/>
        <item x="426"/>
        <item x="1246"/>
        <item x="401"/>
        <item x="40"/>
        <item x="286"/>
        <item x="266"/>
        <item x="245"/>
        <item x="180"/>
        <item x="288"/>
        <item x="517"/>
        <item x="276"/>
        <item x="56"/>
        <item x="995"/>
        <item x="129"/>
        <item x="552"/>
        <item x="7"/>
        <item x="434"/>
        <item x="555"/>
        <item x="249"/>
        <item x="310"/>
        <item x="333"/>
        <item x="470"/>
        <item x="558"/>
        <item x="671"/>
        <item x="1001"/>
        <item x="983"/>
        <item x="184"/>
        <item x="1990"/>
        <item x="715"/>
        <item x="545"/>
        <item x="318"/>
        <item x="322"/>
        <item x="88"/>
        <item x="284"/>
        <item x="1557"/>
        <item x="28"/>
        <item x="1125"/>
        <item x="71"/>
        <item x="1152"/>
        <item x="400"/>
        <item x="55"/>
        <item x="1308"/>
        <item x="780"/>
        <item x="311"/>
        <item x="1648"/>
        <item x="668"/>
        <item x="233"/>
        <item x="329"/>
        <item x="494"/>
        <item x="1146"/>
        <item x="414"/>
        <item x="1959"/>
        <item x="1280"/>
        <item x="1982"/>
        <item x="1863"/>
        <item x="619"/>
        <item x="716"/>
        <item x="851"/>
        <item x="362"/>
        <item x="1263"/>
        <item x="1783"/>
        <item x="113"/>
        <item x="297"/>
        <item x="484"/>
        <item x="222"/>
        <item x="287"/>
        <item x="220"/>
        <item x="223"/>
        <item x="152"/>
        <item x="415"/>
        <item x="413"/>
        <item x="174"/>
        <item x="221"/>
        <item x="929"/>
        <item x="729"/>
        <item x="435"/>
        <item x="326"/>
        <item x="1846"/>
        <item x="1567"/>
        <item x="943"/>
        <item x="1044"/>
        <item x="379"/>
        <item x="1556"/>
        <item x="1615"/>
        <item x="1575"/>
        <item x="116"/>
        <item x="1200"/>
        <item x="997"/>
        <item x="918"/>
        <item x="696"/>
        <item x="792"/>
        <item x="747"/>
        <item x="347"/>
        <item x="735"/>
        <item x="144"/>
        <item x="638"/>
        <item x="1716"/>
        <item x="1087"/>
        <item x="1362"/>
        <item x="1925"/>
        <item x="1525"/>
        <item x="17"/>
        <item x="125"/>
        <item x="1718"/>
        <item x="1327"/>
        <item x="692"/>
        <item x="115"/>
        <item x="1159"/>
        <item x="928"/>
        <item x="68"/>
        <item x="705"/>
        <item x="921"/>
        <item x="130"/>
        <item x="390"/>
        <item x="42"/>
        <item x="859"/>
        <item x="219"/>
        <item x="340"/>
        <item x="1584"/>
        <item x="479"/>
        <item x="80"/>
        <item x="707"/>
        <item x="1188"/>
        <item x="1878"/>
        <item x="731"/>
        <item x="1366"/>
        <item x="526"/>
        <item x="124"/>
        <item x="120"/>
        <item x="67"/>
        <item x="699"/>
        <item x="454"/>
        <item x="1228"/>
        <item x="1649"/>
        <item x="1601"/>
        <item x="477"/>
        <item x="238"/>
        <item x="374"/>
        <item x="502"/>
        <item x="825"/>
        <item x="560"/>
        <item x="386"/>
        <item x="568"/>
        <item x="980"/>
        <item x="1094"/>
        <item x="1358"/>
        <item x="681"/>
        <item x="128"/>
        <item x="1273"/>
        <item x="1194"/>
        <item x="1033"/>
        <item x="1406"/>
        <item x="1978"/>
        <item x="1549"/>
        <item x="1552"/>
        <item x="1788"/>
        <item x="1389"/>
        <item x="611"/>
        <item x="605"/>
        <item x="1371"/>
        <item x="1153"/>
        <item x="298"/>
        <item x="1570"/>
        <item x="1504"/>
        <item x="20"/>
        <item x="1293"/>
        <item x="630"/>
        <item x="436"/>
        <item x="1207"/>
        <item x="1178"/>
        <item x="761"/>
        <item x="525"/>
        <item x="785"/>
        <item x="204"/>
        <item x="1571"/>
        <item x="488"/>
        <item x="57"/>
        <item x="30"/>
        <item x="724"/>
        <item x="506"/>
        <item x="1184"/>
        <item x="937"/>
        <item x="757"/>
        <item x="1627"/>
        <item x="1488"/>
        <item x="1577"/>
        <item x="1607"/>
        <item x="1771"/>
        <item x="1431"/>
        <item x="1603"/>
        <item x="669"/>
        <item x="1154"/>
        <item x="1097"/>
        <item x="933"/>
        <item x="432"/>
        <item x="512"/>
        <item x="514"/>
        <item x="1373"/>
        <item x="1884"/>
        <item x="1407"/>
        <item x="1256"/>
        <item x="571"/>
        <item x="693"/>
        <item x="779"/>
        <item x="490"/>
        <item x="1720"/>
        <item x="1291"/>
        <item x="861"/>
        <item x="1202"/>
        <item x="582"/>
        <item x="1414"/>
        <item x="1472"/>
        <item x="1469"/>
        <item x="683"/>
        <item x="1645"/>
        <item x="316"/>
        <item x="389"/>
        <item x="1624"/>
        <item x="790"/>
        <item x="193"/>
        <item x="117"/>
        <item x="1944"/>
        <item x="1155"/>
        <item x="1892"/>
        <item x="542"/>
        <item x="176"/>
        <item x="791"/>
        <item x="79"/>
        <item x="1976"/>
        <item x="1985"/>
        <item x="1996"/>
        <item x="1995"/>
        <item x="1865"/>
        <item x="1902"/>
        <item x="1910"/>
        <item x="1986"/>
        <item x="1950"/>
        <item x="1748"/>
        <item x="1119"/>
        <item x="1804"/>
        <item x="1853"/>
        <item x="121"/>
        <item x="1563"/>
        <item x="819"/>
        <item x="1848"/>
        <item x="881"/>
        <item x="880"/>
        <item x="1231"/>
        <item x="1326"/>
        <item x="1725"/>
        <item x="1192"/>
        <item x="2001"/>
        <item x="1600"/>
        <item x="1101"/>
        <item x="496"/>
        <item x="1967"/>
        <item x="1968"/>
        <item x="1338"/>
        <item x="1676"/>
        <item x="1841"/>
        <item x="1502"/>
        <item x="1450"/>
        <item x="835"/>
        <item x="1367"/>
        <item x="910"/>
        <item x="1675"/>
        <item x="547"/>
        <item x="1269"/>
        <item x="621"/>
        <item x="148"/>
        <item x="1876"/>
        <item x="1140"/>
        <item x="546"/>
        <item x="574"/>
        <item x="69"/>
        <item x="721"/>
        <item x="135"/>
        <item x="1741"/>
        <item x="811"/>
        <item x="769"/>
        <item x="313"/>
        <item x="114"/>
        <item x="686"/>
        <item x="814"/>
        <item x="420"/>
        <item x="191"/>
        <item x="1647"/>
        <item x="1948"/>
        <item x="190"/>
        <item x="32"/>
        <item x="1311"/>
        <item x="383"/>
        <item x="1375"/>
        <item x="1412"/>
        <item x="1764"/>
        <item x="112"/>
        <item x="516"/>
        <item x="741"/>
        <item x="505"/>
        <item x="499"/>
        <item x="614"/>
        <item x="805"/>
        <item x="905"/>
        <item x="462"/>
        <item x="171"/>
        <item x="822"/>
        <item x="211"/>
        <item x="62"/>
        <item x="198"/>
        <item x="770"/>
        <item x="367"/>
        <item x="596"/>
        <item x="1394"/>
        <item x="1667"/>
        <item x="1974"/>
        <item x="338"/>
        <item x="1707"/>
        <item x="1722"/>
        <item x="1088"/>
        <item x="925"/>
        <item x="848"/>
        <item x="1501"/>
        <item x="246"/>
        <item x="606"/>
        <item x="1706"/>
        <item x="584"/>
        <item x="1068"/>
        <item x="1047"/>
        <item x="321"/>
        <item x="1734"/>
        <item x="727"/>
        <item x="826"/>
        <item x="1195"/>
        <item x="557"/>
        <item x="279"/>
        <item x="226"/>
        <item x="1800"/>
        <item x="1795"/>
        <item x="1399"/>
        <item x="1075"/>
        <item x="675"/>
        <item x="849"/>
        <item x="569"/>
        <item x="350"/>
        <item x="81"/>
        <item x="1745"/>
        <item x="554"/>
        <item x="1425"/>
        <item x="1530"/>
        <item x="1271"/>
        <item x="893"/>
        <item x="996"/>
        <item x="1742"/>
        <item x="636"/>
        <item x="1139"/>
        <item x="587"/>
        <item x="1345"/>
        <item x="1017"/>
        <item x="654"/>
        <item x="473"/>
        <item x="586"/>
        <item x="89"/>
        <item x="225"/>
        <item x="103"/>
        <item x="631"/>
        <item x="1359"/>
        <item x="878"/>
        <item x="524"/>
        <item x="1357"/>
        <item x="1051"/>
        <item x="312"/>
        <item x="537"/>
        <item x="380"/>
        <item x="961"/>
        <item x="1133"/>
        <item x="83"/>
        <item x="228"/>
        <item x="1057"/>
        <item x="429"/>
        <item x="956"/>
        <item x="1383"/>
        <item x="1045"/>
        <item x="43"/>
        <item x="15"/>
        <item x="991"/>
        <item x="919"/>
        <item x="428"/>
        <item x="900"/>
        <item x="1049"/>
        <item x="862"/>
        <item x="216"/>
        <item x="1138"/>
        <item x="1315"/>
        <item x="906"/>
        <item x="751"/>
        <item x="210"/>
        <item x="981"/>
        <item x="978"/>
        <item x="1484"/>
        <item x="732"/>
        <item x="1254"/>
        <item x="267"/>
        <item x="649"/>
        <item x="648"/>
        <item x="866"/>
        <item x="745"/>
        <item x="643"/>
        <item x="1013"/>
        <item x="970"/>
        <item x="969"/>
        <item x="1446"/>
        <item x="1837"/>
        <item x="1590"/>
        <item x="608"/>
        <item x="523"/>
        <item x="1006"/>
        <item x="602"/>
        <item x="1628"/>
        <item x="1344"/>
        <item x="1300"/>
        <item x="1536"/>
        <item x="917"/>
        <item x="1147"/>
        <item x="1302"/>
        <item x="1864"/>
        <item x="1187"/>
        <item x="617"/>
        <item x="583"/>
        <item x="1700"/>
        <item x="607"/>
        <item x="687"/>
        <item x="603"/>
        <item x="344"/>
        <item x="1625"/>
        <item x="489"/>
        <item x="87"/>
        <item x="1130"/>
        <item x="1131"/>
        <item x="1257"/>
        <item x="892"/>
        <item x="1759"/>
        <item x="957"/>
        <item x="1054"/>
        <item x="1785"/>
        <item x="580"/>
        <item x="1063"/>
        <item x="1356"/>
        <item x="1591"/>
        <item x="879"/>
        <item x="1297"/>
        <item x="1314"/>
        <item x="460"/>
        <item x="1693"/>
        <item x="1897"/>
        <item x="1440"/>
        <item x="364"/>
        <item x="1239"/>
        <item x="1543"/>
        <item x="235"/>
        <item x="1735"/>
        <item x="183"/>
        <item x="1206"/>
        <item x="224"/>
        <item x="33"/>
        <item x="1840"/>
        <item x="659"/>
        <item x="93"/>
        <item x="1221"/>
        <item x="979"/>
        <item x="952"/>
        <item x="458"/>
        <item x="371"/>
        <item x="1066"/>
        <item x="916"/>
        <item x="1085"/>
        <item x="530"/>
        <item x="768"/>
        <item x="803"/>
        <item x="1289"/>
        <item x="100"/>
        <item x="977"/>
        <item x="1093"/>
        <item x="1156"/>
        <item x="1185"/>
        <item x="661"/>
        <item x="1038"/>
        <item x="641"/>
        <item x="4"/>
        <item x="1497"/>
        <item x="1036"/>
        <item x="132"/>
        <item x="712"/>
        <item x="441"/>
        <item x="660"/>
        <item x="98"/>
        <item x="161"/>
        <item x="372"/>
        <item x="264"/>
        <item x="412"/>
        <item x="229"/>
        <item x="240"/>
        <item x="50"/>
        <item x="154"/>
        <item x="262"/>
        <item x="304"/>
        <item x="801"/>
        <item x="375"/>
        <item x="1579"/>
        <item x="871"/>
        <item x="1237"/>
        <item x="1578"/>
        <item x="1258"/>
        <item x="1220"/>
        <item x="616"/>
        <item x="1529"/>
        <item x="1052"/>
        <item x="416"/>
        <item x="1595"/>
        <item x="459"/>
        <item x="1227"/>
        <item x="1002"/>
        <item x="1826"/>
        <item x="1900"/>
        <item x="967"/>
        <item x="1621"/>
        <item x="1688"/>
        <item x="1803"/>
        <item x="1762"/>
        <item x="1750"/>
        <item x="737"/>
        <item x="837"/>
        <item x="212"/>
        <item x="1281"/>
        <item x="1492"/>
        <item x="695"/>
        <item x="411"/>
        <item x="365"/>
        <item x="1032"/>
        <item x="278"/>
        <item x="1723"/>
        <item x="847"/>
        <item x="422"/>
        <item x="1120"/>
        <item x="1426"/>
        <item x="86"/>
        <item x="1631"/>
        <item x="195"/>
        <item x="1196"/>
        <item x="492"/>
        <item x="890"/>
        <item x="209"/>
        <item x="78"/>
        <item x="839"/>
        <item x="123"/>
        <item x="84"/>
        <item x="145"/>
        <item x="299"/>
        <item x="942"/>
        <item x="1082"/>
        <item x="1776"/>
        <item x="290"/>
        <item x="323"/>
        <item x="1160"/>
        <item x="254"/>
        <item x="1283"/>
        <item x="1608"/>
        <item x="627"/>
        <item x="1048"/>
        <item x="234"/>
        <item x="253"/>
        <item x="920"/>
        <item x="1249"/>
        <item x="1868"/>
        <item x="335"/>
        <item x="752"/>
        <item x="1952"/>
        <item x="1113"/>
        <item x="533"/>
        <item x="1943"/>
        <item x="1012"/>
        <item x="1209"/>
        <item x="1674"/>
        <item x="1016"/>
        <item x="875"/>
        <item x="842"/>
        <item x="843"/>
        <item x="813"/>
        <item x="950"/>
        <item x="591"/>
        <item x="958"/>
        <item x="1198"/>
        <item x="182"/>
        <item x="241"/>
        <item x="409"/>
        <item x="301"/>
        <item x="160"/>
        <item x="610"/>
        <item x="153"/>
        <item x="3"/>
        <item x="302"/>
        <item x="303"/>
        <item x="1464"/>
        <item x="1646"/>
        <item x="1340"/>
        <item x="713"/>
        <item x="771"/>
        <item x="828"/>
        <item x="255"/>
        <item x="99"/>
        <item x="949"/>
        <item x="575"/>
        <item x="1751"/>
        <item x="97"/>
        <item x="1422"/>
        <item x="1669"/>
        <item x="1829"/>
        <item x="203"/>
        <item x="179"/>
        <item x="1758"/>
        <item x="1255"/>
        <item x="1752"/>
        <item x="1507"/>
        <item x="1923"/>
        <item x="838"/>
        <item x="1134"/>
        <item x="1682"/>
        <item x="941"/>
        <item x="178"/>
        <item x="1310"/>
        <item x="158"/>
        <item x="424"/>
        <item x="1186"/>
        <item x="1110"/>
        <item x="1919"/>
        <item x="1736"/>
        <item x="1506"/>
        <item x="703"/>
        <item x="561"/>
        <item x="265"/>
        <item x="1885"/>
        <item x="1956"/>
        <item x="1937"/>
        <item x="1343"/>
        <item x="922"/>
        <item x="1635"/>
        <item x="295"/>
        <item x="1541"/>
        <item x="1260"/>
        <item x="1041"/>
        <item x="1643"/>
        <item x="1042"/>
        <item x="23"/>
        <item x="1801"/>
        <item x="1749"/>
        <item x="471"/>
        <item x="1294"/>
        <item x="14"/>
        <item x="670"/>
        <item x="954"/>
        <item x="1089"/>
        <item x="451"/>
        <item x="1657"/>
        <item x="1855"/>
        <item x="1554"/>
        <item x="1023"/>
        <item x="1692"/>
        <item x="169"/>
        <item x="167"/>
        <item x="748"/>
        <item x="207"/>
        <item x="206"/>
        <item x="973"/>
        <item x="508"/>
        <item x="1562"/>
        <item x="1819"/>
        <item x="1763"/>
        <item x="1143"/>
        <item x="615"/>
        <item x="1792"/>
        <item x="1782"/>
        <item x="227"/>
        <item x="1926"/>
        <item x="1729"/>
        <item x="199"/>
        <item x="76"/>
        <item x="1352"/>
        <item x="1351"/>
        <item x="1123"/>
        <item x="1069"/>
        <item x="1555"/>
        <item x="870"/>
        <item x="818"/>
        <item x="1544"/>
        <item x="469"/>
        <item x="1046"/>
        <item x="1915"/>
        <item x="38"/>
        <item x="1659"/>
        <item x="1672"/>
        <item x="1164"/>
        <item x="1361"/>
        <item x="1891"/>
        <item x="1930"/>
        <item x="1999"/>
        <item x="665"/>
        <item x="16"/>
        <item x="1467"/>
        <item x="1827"/>
        <item x="1459"/>
        <item x="1355"/>
        <item x="119"/>
        <item x="1333"/>
        <item x="1030"/>
        <item x="1638"/>
        <item x="1612"/>
        <item x="189"/>
        <item x="1084"/>
        <item x="622"/>
        <item x="1070"/>
        <item x="339"/>
        <item x="992"/>
        <item x="1428"/>
        <item x="1318"/>
        <item x="632"/>
        <item x="172"/>
        <item x="1040"/>
        <item x="626"/>
        <item x="1596"/>
        <item x="1182"/>
        <item x="1226"/>
        <item x="666"/>
        <item x="549"/>
        <item x="1760"/>
        <item x="1350"/>
        <item x="1385"/>
        <item x="1398"/>
        <item x="1438"/>
        <item x="1061"/>
        <item x="357"/>
        <item x="1799"/>
        <item x="1419"/>
        <item x="1797"/>
        <item x="667"/>
        <item x="1259"/>
        <item x="1241"/>
        <item x="1842"/>
        <item x="810"/>
        <item x="1744"/>
        <item x="1284"/>
        <item x="243"/>
        <item x="1248"/>
        <item x="1451"/>
        <item x="1454"/>
        <item x="1476"/>
        <item x="406"/>
        <item x="1365"/>
        <item x="1236"/>
        <item x="1453"/>
        <item x="1247"/>
        <item x="1452"/>
        <item x="1179"/>
        <item x="1481"/>
        <item x="515"/>
        <item x="1519"/>
        <item x="753"/>
        <item x="932"/>
        <item x="1416"/>
        <item x="1204"/>
        <item x="1637"/>
        <item x="913"/>
        <item x="548"/>
        <item x="1838"/>
        <item x="381"/>
        <item x="1496"/>
        <item x="65"/>
        <item x="465"/>
        <item x="1512"/>
        <item x="1384"/>
        <item x="1685"/>
        <item x="1354"/>
        <item x="1264"/>
        <item x="61"/>
        <item x="535"/>
        <item x="1993"/>
        <item x="256"/>
        <item x="1005"/>
        <item x="897"/>
        <item x="457"/>
        <item x="1857"/>
        <item x="1957"/>
        <item x="445"/>
        <item x="186"/>
        <item x="185"/>
        <item x="873"/>
        <item x="618"/>
        <item x="438"/>
        <item x="567"/>
        <item x="77"/>
        <item x="308"/>
        <item x="1483"/>
        <item x="53"/>
        <item x="1445"/>
        <item x="1353"/>
        <item x="869"/>
        <item x="872"/>
        <item x="1432"/>
        <item x="858"/>
        <item x="405"/>
        <item x="263"/>
        <item x="1907"/>
        <item x="1888"/>
        <item x="345"/>
        <item x="898"/>
        <item x="101"/>
        <item x="573"/>
        <item x="544"/>
        <item x="421"/>
        <item x="1328"/>
        <item x="1859"/>
        <item x="562"/>
        <item x="37"/>
        <item x="1396"/>
        <item x="1589"/>
        <item x="1043"/>
        <item x="853"/>
        <item x="664"/>
        <item x="639"/>
        <item x="52"/>
        <item x="663"/>
        <item x="187"/>
        <item x="159"/>
        <item x="410"/>
        <item x="1880"/>
        <item x="994"/>
        <item x="886"/>
        <item x="1738"/>
        <item x="1077"/>
        <item x="388"/>
        <item x="809"/>
        <item x="1964"/>
        <item x="1081"/>
        <item x="1332"/>
        <item x="820"/>
        <item x="1931"/>
        <item x="1439"/>
        <item x="1203"/>
        <item x="18"/>
        <item x="1569"/>
        <item x="1991"/>
        <item x="985"/>
        <item x="778"/>
        <item x="1564"/>
        <item x="1587"/>
        <item x="1011"/>
        <item x="1899"/>
        <item x="689"/>
        <item x="1781"/>
        <item x="1500"/>
        <item x="455"/>
        <item x="532"/>
        <item x="1116"/>
        <item x="1091"/>
        <item x="1109"/>
        <item x="10"/>
        <item x="337"/>
        <item x="1697"/>
        <item x="1213"/>
        <item x="446"/>
        <item x="1316"/>
        <item x="1898"/>
        <item x="1903"/>
        <item x="1305"/>
        <item x="718"/>
        <item x="126"/>
        <item x="1858"/>
        <item x="1060"/>
        <item x="1780"/>
        <item x="1975"/>
        <item x="800"/>
        <item x="793"/>
        <item x="507"/>
        <item x="439"/>
        <item x="1882"/>
        <item x="430"/>
        <item x="1168"/>
        <item x="2"/>
        <item x="1180"/>
        <item x="1921"/>
        <item x="1014"/>
        <item x="1122"/>
        <item x="1238"/>
        <item x="763"/>
        <item x="772"/>
        <item x="408"/>
        <item x="1535"/>
        <item x="13"/>
        <item x="1403"/>
        <item x="519"/>
        <item x="282"/>
        <item x="1666"/>
        <item x="1824"/>
        <item x="1436"/>
        <item x="358"/>
        <item x="1767"/>
        <item x="319"/>
        <item x="564"/>
        <item x="342"/>
        <item x="651"/>
        <item x="149"/>
        <item x="1470"/>
        <item x="594"/>
        <item x="47"/>
        <item x="1463"/>
        <item x="711"/>
        <item x="1126"/>
        <item x="710"/>
        <item x="1832"/>
        <item x="395"/>
        <item x="294"/>
        <item x="789"/>
        <item x="1379"/>
        <item x="1360"/>
        <item x="1335"/>
        <item x="1150"/>
        <item x="1151"/>
        <item x="797"/>
        <item x="1337"/>
        <item x="1456"/>
        <item x="1458"/>
        <item x="579"/>
        <item x="565"/>
        <item x="359"/>
        <item x="356"/>
        <item x="550"/>
        <item x="743"/>
        <item x="518"/>
        <item x="739"/>
        <item x="427"/>
        <item x="1933"/>
        <item x="815"/>
        <item x="1277"/>
        <item x="764"/>
        <item x="1905"/>
        <item x="34"/>
        <item x="784"/>
        <item x="1019"/>
        <item x="35"/>
        <item x="1135"/>
        <item x="585"/>
        <item x="1035"/>
        <item x="26"/>
        <item x="27"/>
        <item x="1250"/>
        <item x="1789"/>
        <item x="1620"/>
        <item x="497"/>
        <item x="1673"/>
        <item x="1076"/>
        <item x="146"/>
        <item x="1073"/>
        <item x="1938"/>
        <item x="1632"/>
        <item x="1705"/>
        <item x="1485"/>
        <item x="143"/>
        <item x="1872"/>
        <item x="1634"/>
        <item x="404"/>
        <item x="1148"/>
        <item x="1598"/>
        <item x="1594"/>
        <item x="1965"/>
        <item x="1994"/>
        <item x="1583"/>
        <item x="1953"/>
        <item x="1924"/>
        <item x="1694"/>
        <item x="955"/>
        <item x="1108"/>
        <item x="417"/>
        <item x="341"/>
        <item x="1786"/>
        <item x="650"/>
        <item x="1460"/>
        <item x="1852"/>
        <item x="1971"/>
        <item x="1998"/>
        <item x="656"/>
        <item x="500"/>
        <item x="1418"/>
        <item x="1341"/>
        <item x="1796"/>
        <item x="147"/>
        <item x="1100"/>
        <item x="876"/>
        <item x="96"/>
        <item x="44"/>
        <item x="1099"/>
        <item x="1726"/>
        <item x="1336"/>
        <item x="334"/>
        <item x="1447"/>
        <item x="1449"/>
        <item x="1908"/>
        <item x="1408"/>
        <item x="59"/>
        <item x="1633"/>
        <item x="1171"/>
        <item x="1370"/>
        <item x="1210"/>
        <item x="1015"/>
        <item x="1641"/>
        <item x="197"/>
        <item x="874"/>
        <item x="336"/>
        <item x="1234"/>
        <item x="808"/>
        <item x="642"/>
        <item x="1531"/>
        <item x="1514"/>
        <item x="260"/>
        <item x="536"/>
        <item x="1433"/>
        <item x="1533"/>
        <item x="1397"/>
        <item x="1128"/>
        <item x="1881"/>
        <item x="1871"/>
        <item x="398"/>
        <item x="1129"/>
        <item x="448"/>
        <item x="1325"/>
        <item x="612"/>
        <item x="1928"/>
        <item x="588"/>
        <item x="1510"/>
        <item x="1381"/>
        <item x="1262"/>
        <item x="157"/>
        <item x="590"/>
        <item x="1480"/>
        <item x="1747"/>
        <item x="1346"/>
        <item x="1330"/>
        <item x="1894"/>
        <item x="1724"/>
        <item x="836"/>
        <item x="1822"/>
        <item x="904"/>
        <item x="1896"/>
        <item x="504"/>
        <item x="1690"/>
        <item x="894"/>
        <item x="1124"/>
        <item x="756"/>
        <item x="1870"/>
        <item x="959"/>
        <item x="1516"/>
        <item x="1295"/>
        <item x="1869"/>
        <item x="1970"/>
        <item x="1312"/>
        <item x="1339"/>
        <item x="577"/>
        <item x="1102"/>
        <item x="1219"/>
        <item x="1191"/>
        <item x="1274"/>
        <item x="559"/>
        <item x="1103"/>
        <item x="1218"/>
        <item x="1253"/>
        <item x="122"/>
        <item x="1873"/>
        <item x="1215"/>
        <item x="1670"/>
        <item x="194"/>
        <item x="1963"/>
        <item x="1617"/>
        <item x="1699"/>
        <item x="82"/>
        <item x="1728"/>
        <item x="1261"/>
        <item x="1614"/>
        <item x="1197"/>
        <item x="66"/>
        <item x="1444"/>
        <item x="1010"/>
        <item x="369"/>
        <item x="1105"/>
        <item x="25"/>
        <item x="1777"/>
        <item x="1106"/>
        <item x="1874"/>
        <item x="1421"/>
        <item x="1331"/>
        <item x="1508"/>
        <item x="407"/>
        <item x="1746"/>
        <item x="1833"/>
        <item x="1988"/>
        <item x="1702"/>
        <item x="173"/>
        <item x="1854"/>
        <item x="1813"/>
        <item x="501"/>
        <item x="1537"/>
        <item x="1282"/>
        <item x="1309"/>
        <item x="1687"/>
        <item x="447"/>
        <item x="1424"/>
        <item x="1468"/>
        <item x="1941"/>
        <item x="1887"/>
        <item x="1940"/>
        <item x="652"/>
        <item x="655"/>
        <item x="1009"/>
        <item x="1849"/>
        <item x="1835"/>
        <item x="1862"/>
        <item x="1132"/>
        <item x="634"/>
        <item x="953"/>
        <item x="1540"/>
        <item x="821"/>
        <item x="1560"/>
        <item x="1380"/>
        <item x="1809"/>
        <item x="476"/>
        <item x="1709"/>
        <item x="296"/>
        <item x="85"/>
        <item x="330"/>
        <item x="1435"/>
        <item x="706"/>
        <item x="774"/>
        <item x="1592"/>
        <item x="306"/>
        <item x="1039"/>
        <item x="1313"/>
        <item x="1629"/>
        <item x="1680"/>
        <item x="1737"/>
        <item x="1671"/>
        <item x="1593"/>
        <item x="1499"/>
        <item x="1199"/>
        <item x="728"/>
        <item x="1572"/>
        <item x="1973"/>
        <item x="1909"/>
        <item x="1895"/>
        <item x="1949"/>
        <item x="1954"/>
        <item x="1934"/>
        <item x="740"/>
        <item x="1409"/>
        <item x="1806"/>
        <item x="1342"/>
        <item x="1779"/>
        <item x="1107"/>
        <item x="1304"/>
        <item x="1538"/>
        <item x="1532"/>
        <item x="1411"/>
        <item x="1664"/>
        <item x="1890"/>
        <item x="1298"/>
        <item x="1104"/>
        <item x="1834"/>
        <item x="1175"/>
        <item x="1098"/>
        <item x="773"/>
        <item x="201"/>
        <item x="156"/>
        <item x="529"/>
        <item x="202"/>
        <item x="709"/>
        <item x="456"/>
        <item x="150"/>
        <item x="261"/>
        <item x="976"/>
        <item x="982"/>
        <item x="658"/>
        <item x="1067"/>
        <item x="376"/>
        <item x="1984"/>
        <item x="1966"/>
        <item x="1655"/>
        <item x="1170"/>
        <item x="889"/>
        <item x="1323"/>
        <item x="1721"/>
        <item x="1754"/>
        <item x="1144"/>
        <item x="1037"/>
        <item x="1393"/>
        <item x="1372"/>
        <item x="1322"/>
        <item x="1306"/>
        <item x="1708"/>
        <item x="164"/>
        <item x="36"/>
        <item x="758"/>
        <item x="531"/>
        <item x="1163"/>
        <item x="315"/>
        <item x="629"/>
        <item x="92"/>
        <item x="274"/>
        <item x="139"/>
        <item x="293"/>
        <item x="487"/>
        <item x="903"/>
        <item x="1193"/>
        <item x="1844"/>
        <item x="239"/>
        <item x="975"/>
        <item x="936"/>
        <item x="1020"/>
        <item x="423"/>
        <item x="382"/>
        <item x="722"/>
        <item x="353"/>
        <item x="151"/>
        <item x="987"/>
        <item x="1117"/>
        <item x="393"/>
        <item x="657"/>
        <item x="348"/>
        <item x="1058"/>
        <item x="887"/>
        <item x="138"/>
        <item x="325"/>
        <item x="702"/>
        <item x="984"/>
        <item x="64"/>
        <item x="1000"/>
        <item x="1704"/>
        <item x="1272"/>
        <item x="431"/>
        <item x="1927"/>
        <item x="788"/>
        <item x="1811"/>
        <item x="1946"/>
        <item x="1918"/>
        <item x="1078"/>
        <item x="48"/>
        <item x="968"/>
        <item x="1613"/>
        <item x="1962"/>
        <item x="1276"/>
        <item x="493"/>
        <item x="510"/>
        <item x="280"/>
        <item x="938"/>
        <item x="95"/>
        <item x="1329"/>
        <item x="895"/>
        <item x="963"/>
        <item x="939"/>
        <item x="1623"/>
        <item x="1526"/>
        <item x="73"/>
        <item x="248"/>
        <item x="11"/>
        <item x="250"/>
        <item x="1521"/>
        <item x="354"/>
        <item x="576"/>
        <item x="1761"/>
        <item x="1141"/>
        <item x="1790"/>
        <item x="1678"/>
        <item x="1511"/>
        <item x="1378"/>
        <item x="965"/>
        <item x="1574"/>
        <item x="775"/>
        <item x="1377"/>
        <item x="1831"/>
        <item x="777"/>
        <item x="1050"/>
        <item x="1466"/>
        <item x="1765"/>
        <item x="1320"/>
        <item x="841"/>
        <item x="1374"/>
        <item x="1551"/>
        <item x="1793"/>
        <item x="309"/>
        <item x="1820"/>
        <item x="1843"/>
        <item x="962"/>
        <item x="1787"/>
        <item x="1524"/>
        <item x="635"/>
        <item x="49"/>
        <item x="604"/>
        <item x="1772"/>
        <item x="597"/>
        <item x="419"/>
        <item x="1816"/>
        <item x="1503"/>
        <item x="1663"/>
        <item x="738"/>
        <item x="1402"/>
        <item x="1127"/>
        <item x="1173"/>
        <item x="1913"/>
        <item x="924"/>
        <item x="1513"/>
        <item x="1791"/>
        <item x="782"/>
        <item x="1278"/>
        <item x="1181"/>
        <item x="1495"/>
        <item x="485"/>
        <item x="1523"/>
        <item x="442"/>
        <item x="480"/>
        <item x="1167"/>
        <item x="677"/>
        <item x="1162"/>
        <item x="609"/>
        <item x="1977"/>
        <item x="824"/>
        <item x="1363"/>
        <item x="1961"/>
        <item x="1691"/>
        <item x="592"/>
        <item x="1610"/>
        <item x="127"/>
        <item x="1616"/>
        <item x="1987"/>
        <item x="902"/>
        <item x="1145"/>
        <item x="1997"/>
        <item x="1604"/>
        <item x="1686"/>
        <item x="1877"/>
        <item x="1437"/>
        <item x="940"/>
        <item x="2000"/>
        <item x="1275"/>
        <item x="1465"/>
        <item x="1794"/>
        <item x="834"/>
        <item x="1815"/>
        <item x="1527"/>
        <item x="1369"/>
        <item x="214"/>
        <item x="1784"/>
        <item x="232"/>
        <item x="754"/>
        <item x="384"/>
        <item x="205"/>
        <item x="1958"/>
        <item x="1619"/>
        <item x="1169"/>
        <item x="1573"/>
        <item x="1703"/>
        <item x="1668"/>
        <item x="1756"/>
        <item x="528"/>
        <item x="1174"/>
        <item x="1518"/>
        <item x="1528"/>
        <item x="1515"/>
        <item x="799"/>
        <item x="281"/>
        <item x="829"/>
        <item x="1062"/>
        <item x="572"/>
        <item x="41"/>
        <item x="1618"/>
        <item x="678"/>
        <item x="1400"/>
        <item x="1778"/>
        <item x="1413"/>
        <item x="1602"/>
        <item x="680"/>
        <item x="104"/>
        <item x="440"/>
        <item x="136"/>
        <item x="1292"/>
        <item x="1386"/>
        <item x="1387"/>
        <item x="993"/>
        <item x="1605"/>
        <item x="1114"/>
        <item x="1498"/>
        <item x="418"/>
        <item x="1715"/>
        <item x="273"/>
        <item x="1417"/>
        <item x="1821"/>
        <item x="1622"/>
        <item x="1636"/>
        <item x="1698"/>
        <item x="1932"/>
        <item x="831"/>
        <item x="1055"/>
        <item x="1866"/>
        <item x="972"/>
        <item x="175"/>
        <item x="1929"/>
        <item x="1867"/>
        <item x="974"/>
        <item x="1222"/>
        <item x="1415"/>
        <item x="986"/>
        <item x="1942"/>
        <item x="1224"/>
        <item x="1599"/>
        <item x="682"/>
        <item x="1945"/>
        <item x="1684"/>
        <item x="1661"/>
        <item x="1208"/>
        <item x="1217"/>
        <item x="1947"/>
        <item x="1911"/>
        <item x="1713"/>
        <item x="1606"/>
        <item x="725"/>
        <item x="1609"/>
        <item x="467"/>
        <item x="1651"/>
        <item x="1401"/>
        <item x="1243"/>
        <item x="1757"/>
        <item x="1517"/>
        <item x="566"/>
        <item x="988"/>
        <item x="1522"/>
        <item x="830"/>
        <item x="1064"/>
        <item x="1251"/>
        <item x="1773"/>
        <item x="1004"/>
        <item x="934"/>
        <item x="461"/>
        <item x="896"/>
        <item x="1245"/>
        <item x="1860"/>
        <item x="601"/>
        <item x="600"/>
        <item x="1683"/>
        <item x="137"/>
        <item x="90"/>
        <item x="1879"/>
        <item x="1836"/>
        <item x="1770"/>
        <item x="1755"/>
        <item x="885"/>
        <item x="351"/>
        <item x="463"/>
        <item x="1201"/>
        <item x="464"/>
        <item x="823"/>
        <item x="200"/>
        <item x="701"/>
        <item x="218"/>
        <item x="1244"/>
        <item x="1233"/>
        <item x="684"/>
        <item x="589"/>
        <item x="481"/>
        <item x="1712"/>
        <item x="91"/>
        <item x="1717"/>
        <item x="1561"/>
        <item x="1611"/>
        <item x="1823"/>
        <item x="1912"/>
        <item x="1586"/>
        <item x="1490"/>
        <item x="698"/>
        <item x="832"/>
        <item x="133"/>
        <item x="1845"/>
        <item x="1630"/>
        <item x="1753"/>
        <item x="1766"/>
        <item x="1901"/>
        <item x="817"/>
        <item x="1696"/>
        <item x="355"/>
        <item x="1307"/>
        <item x="1719"/>
        <item x="1018"/>
        <item x="1230"/>
        <item x="1582"/>
        <item x="70"/>
        <item x="697"/>
        <item x="142"/>
        <item x="75"/>
        <item x="1731"/>
        <item x="1489"/>
        <item x="633"/>
        <item x="1542"/>
        <item x="377"/>
        <item x="1916"/>
        <item x="1710"/>
        <item x="1775"/>
        <item x="1689"/>
        <item x="736"/>
        <item x="231"/>
        <item x="1003"/>
        <item x="31"/>
        <item x="759"/>
        <item x="723"/>
        <item x="397"/>
        <item x="646"/>
        <item x="373"/>
        <item x="8"/>
        <item x="230"/>
        <item x="749"/>
        <item x="1056"/>
        <item x="857"/>
        <item x="760"/>
        <item x="1223"/>
        <item x="1324"/>
        <item x="45"/>
        <item x="909"/>
        <item x="472"/>
        <item x="106"/>
        <item x="844"/>
        <item x="1473"/>
        <item x="258"/>
        <item x="332"/>
        <item x="685"/>
        <item x="527"/>
        <item x="188"/>
        <item x="812"/>
        <item x="305"/>
        <item x="1021"/>
        <item x="1161"/>
        <item x="776"/>
        <item x="647"/>
        <item x="277"/>
        <item x="1566"/>
        <item x="1904"/>
        <item x="1111"/>
        <item x="300"/>
        <item x="1839"/>
        <item x="1922"/>
        <item x="1267"/>
        <item x="1266"/>
        <item x="1235"/>
        <item x="1662"/>
        <item x="1856"/>
        <item x="1810"/>
        <item x="1951"/>
        <item x="1825"/>
        <item x="1491"/>
        <item x="620"/>
        <item x="730"/>
        <item x="271"/>
        <item x="1296"/>
        <item x="1969"/>
        <item x="1743"/>
        <item x="946"/>
        <item x="29"/>
        <item x="1299"/>
        <item x="1805"/>
        <item x="283"/>
        <item x="944"/>
        <item x="662"/>
        <item x="1626"/>
        <item x="391"/>
        <item x="931"/>
        <item x="1639"/>
        <item x="804"/>
        <item x="1095"/>
        <item x="794"/>
        <item x="1695"/>
        <item x="1679"/>
        <item x="786"/>
        <item x="1072"/>
        <item x="1677"/>
        <item x="1443"/>
        <item x="1083"/>
        <item x="1653"/>
        <item x="989"/>
        <item x="498"/>
        <item x="1730"/>
        <item x="1270"/>
        <item x="102"/>
        <item x="1565"/>
        <item x="1861"/>
        <item x="1893"/>
        <item x="1906"/>
        <item x="1441"/>
        <item x="1442"/>
        <item x="907"/>
        <item x="1920"/>
        <item x="1597"/>
        <item x="1914"/>
        <item x="1545"/>
        <item x="1769"/>
        <item x="765"/>
        <item x="1462"/>
        <item x="1166"/>
        <item x="1992"/>
        <item x="1875"/>
        <item x="1658"/>
        <item x="1288"/>
        <item x="466"/>
        <item x="1546"/>
        <item x="1798"/>
        <item x="1391"/>
        <item x="346"/>
        <item x="192"/>
        <item x="1216"/>
        <item x="806"/>
        <item x="676"/>
        <item x="1287"/>
        <item x="1652"/>
        <item x="1812"/>
        <item x="1390"/>
        <item x="720"/>
        <item x="1814"/>
        <item x="827"/>
        <item x="867"/>
        <item x="1654"/>
        <item x="403"/>
        <item x="850"/>
        <item x="653"/>
        <item x="1053"/>
        <item x="72"/>
        <item x="1079"/>
        <item x="155"/>
        <item x="162"/>
        <item x="688"/>
        <item x="951"/>
        <item x="1157"/>
        <item x="640"/>
        <item x="242"/>
        <item x="1008"/>
        <item x="750"/>
        <item x="714"/>
        <item x="1368"/>
        <item x="855"/>
        <item x="915"/>
        <item x="247"/>
        <item x="704"/>
        <item x="948"/>
        <item x="1301"/>
        <item x="475"/>
        <item x="947"/>
        <item x="945"/>
        <item x="1065"/>
        <item x="1290"/>
        <item x="1917"/>
        <item x="1348"/>
        <item x="1656"/>
        <item x="1802"/>
        <item x="541"/>
        <item x="540"/>
        <item x="908"/>
        <item x="1268"/>
        <item x="1505"/>
        <item x="1650"/>
        <item x="1427"/>
        <item x="1392"/>
        <item x="679"/>
        <item x="452"/>
        <item x="971"/>
        <item x="1960"/>
        <item x="54"/>
        <item x="51"/>
        <item x="1024"/>
        <item x="1334"/>
        <item x="1740"/>
        <item x="1471"/>
        <item x="998"/>
        <item x="1404"/>
        <item x="1493"/>
        <item x="783"/>
        <item x="2002"/>
        <item x="107"/>
        <item x="1461"/>
        <item x="1229"/>
        <item x="1232"/>
        <item x="1727"/>
        <item x="1539"/>
        <item x="1321"/>
        <item x="795"/>
        <item x="5"/>
        <item x="396"/>
        <item x="63"/>
        <item x="12"/>
        <item x="215"/>
        <item x="237"/>
        <item x="478"/>
        <item x="257"/>
        <item x="163"/>
        <item x="109"/>
        <item x="46"/>
        <item x="511"/>
        <item x="570"/>
        <item x="1534"/>
        <item x="539"/>
        <item x="1059"/>
        <item x="1136"/>
        <item x="74"/>
        <item x="327"/>
        <item x="1364"/>
        <item x="352"/>
        <item x="1115"/>
        <item x="486"/>
        <item x="742"/>
        <item x="58"/>
        <item x="1183"/>
        <item x="166"/>
        <item x="1644"/>
        <item x="733"/>
        <item x="60"/>
        <item x="807"/>
        <item x="1376"/>
        <item x="923"/>
        <item x="927"/>
        <item x="534"/>
        <item x="613"/>
        <item x="1382"/>
        <item x="883"/>
        <item x="1487"/>
        <item x="882"/>
        <item x="1711"/>
        <item x="1818"/>
        <item x="1817"/>
        <item x="1486"/>
        <item x="1252"/>
        <item x="599"/>
        <item x="1808"/>
        <item x="1410"/>
        <item x="9"/>
        <item x="6"/>
        <item x="111"/>
        <item x="1430"/>
        <item x="1939"/>
        <item x="1509"/>
        <item x="1429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>
      <items count="64">
        <item x="62"/>
        <item x="40"/>
        <item x="54"/>
        <item x="52"/>
        <item x="60"/>
        <item x="45"/>
        <item x="56"/>
        <item x="44"/>
        <item x="38"/>
        <item x="39"/>
        <item x="46"/>
        <item x="43"/>
        <item x="59"/>
        <item x="57"/>
        <item x="55"/>
        <item x="42"/>
        <item x="53"/>
        <item x="22"/>
        <item x="32"/>
        <item x="28"/>
        <item x="48"/>
        <item x="13"/>
        <item x="29"/>
        <item x="36"/>
        <item x="30"/>
        <item x="51"/>
        <item x="23"/>
        <item x="33"/>
        <item x="37"/>
        <item x="15"/>
        <item x="11"/>
        <item x="12"/>
        <item x="35"/>
        <item x="16"/>
        <item x="3"/>
        <item x="4"/>
        <item x="10"/>
        <item x="5"/>
        <item x="8"/>
        <item x="0"/>
        <item x="14"/>
        <item x="6"/>
        <item x="9"/>
        <item x="7"/>
        <item x="1"/>
        <item x="2"/>
        <item x="19"/>
        <item x="20"/>
        <item x="26"/>
        <item x="21"/>
        <item x="18"/>
        <item x="17"/>
        <item x="50"/>
        <item x="25"/>
        <item x="61"/>
        <item x="41"/>
        <item x="31"/>
        <item x="58"/>
        <item x="24"/>
        <item x="27"/>
        <item x="47"/>
        <item x="49"/>
        <item x="34"/>
        <item t="default"/>
      </items>
    </pivotField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showAll="0"/>
    <pivotField showAll="0"/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ffee_name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1DDEA-44E8-4631-ADA2-CCCC0B0B5702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79:C105" firstHeaderRow="1" firstDataRow="1" firstDataCol="1"/>
  <pivotFields count="9">
    <pivotField showAll="0"/>
    <pivotField showAll="0"/>
    <pivotField showAll="0"/>
    <pivotField dataField="1" showAll="0"/>
    <pivotField showAll="0"/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showAll="0"/>
    <pivotField axis="axisRow" showAll="0" sortType="descending">
      <items count="26">
        <item x="24"/>
        <item x="7"/>
        <item x="19"/>
        <item x="23"/>
        <item x="0"/>
        <item x="6"/>
        <item x="22"/>
        <item x="5"/>
        <item x="16"/>
        <item x="1"/>
        <item x="11"/>
        <item x="18"/>
        <item x="15"/>
        <item x="8"/>
        <item x="13"/>
        <item x="21"/>
        <item x="12"/>
        <item x="20"/>
        <item x="3"/>
        <item x="10"/>
        <item x="2"/>
        <item x="4"/>
        <item x="1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7"/>
  </rowFields>
  <rowItems count="26">
    <i>
      <x v="4"/>
    </i>
    <i>
      <x v="18"/>
    </i>
    <i>
      <x v="20"/>
    </i>
    <i>
      <x v="17"/>
    </i>
    <i>
      <x v="7"/>
    </i>
    <i>
      <x v="15"/>
    </i>
    <i>
      <x v="1"/>
    </i>
    <i>
      <x v="9"/>
    </i>
    <i>
      <x v="5"/>
    </i>
    <i>
      <x v="11"/>
    </i>
    <i>
      <x v="8"/>
    </i>
    <i>
      <x v="16"/>
    </i>
    <i>
      <x v="23"/>
    </i>
    <i>
      <x v="10"/>
    </i>
    <i>
      <x v="21"/>
    </i>
    <i>
      <x v="14"/>
    </i>
    <i>
      <x v="24"/>
    </i>
    <i>
      <x v="13"/>
    </i>
    <i>
      <x v="6"/>
    </i>
    <i>
      <x v="2"/>
    </i>
    <i>
      <x v="19"/>
    </i>
    <i>
      <x v="3"/>
    </i>
    <i>
      <x v="22"/>
    </i>
    <i>
      <x v="12"/>
    </i>
    <i>
      <x/>
    </i>
    <i t="grand">
      <x/>
    </i>
  </rowItems>
  <colItems count="1">
    <i/>
  </colItems>
  <dataFields count="1">
    <dataField name="Average of agtron_ground" fld="3" subtotal="average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23:B44" firstHeaderRow="1" firstDataRow="1" firstDataCol="1"/>
  <pivotFields count="9">
    <pivotField showAll="0"/>
    <pivotField showAll="0"/>
    <pivotField showAll="0"/>
    <pivotField showAll="0"/>
    <pivotField showAll="0"/>
    <pivotField dataField="1"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showAll="0"/>
    <pivotField axis="axisRow" showAll="0" sortType="descending">
      <items count="26">
        <item h="1" x="24"/>
        <item x="7"/>
        <item h="1" x="19"/>
        <item x="23"/>
        <item x="0"/>
        <item x="6"/>
        <item h="1" x="22"/>
        <item x="5"/>
        <item x="16"/>
        <item x="1"/>
        <item x="11"/>
        <item x="18"/>
        <item x="15"/>
        <item x="8"/>
        <item x="13"/>
        <item h="1" x="21"/>
        <item x="12"/>
        <item x="20"/>
        <item x="3"/>
        <item x="10"/>
        <item x="2"/>
        <item x="4"/>
        <item h="1" x="1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7"/>
  </rowFields>
  <rowItems count="21">
    <i>
      <x v="20"/>
    </i>
    <i>
      <x v="1"/>
    </i>
    <i>
      <x v="7"/>
    </i>
    <i>
      <x v="16"/>
    </i>
    <i>
      <x v="18"/>
    </i>
    <i>
      <x v="10"/>
    </i>
    <i>
      <x v="24"/>
    </i>
    <i>
      <x v="9"/>
    </i>
    <i>
      <x v="14"/>
    </i>
    <i>
      <x v="3"/>
    </i>
    <i>
      <x v="13"/>
    </i>
    <i>
      <x v="11"/>
    </i>
    <i>
      <x v="4"/>
    </i>
    <i>
      <x v="5"/>
    </i>
    <i>
      <x v="12"/>
    </i>
    <i>
      <x v="19"/>
    </i>
    <i>
      <x v="23"/>
    </i>
    <i>
      <x v="17"/>
    </i>
    <i>
      <x v="21"/>
    </i>
    <i>
      <x v="8"/>
    </i>
    <i t="grand">
      <x/>
    </i>
  </rowItems>
  <colItems count="1">
    <i/>
  </colItems>
  <dataFields count="1">
    <dataField name="Average of price_per_100g" fld="5" subtotal="average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2C7E2-13EB-4E45-B076-9EB9381A00C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60:C76" firstHeaderRow="1" firstDataRow="1" firstDataCol="1"/>
  <pivotFields count="9">
    <pivotField showAll="0"/>
    <pivotField showAll="0"/>
    <pivotField showAll="0"/>
    <pivotField showAll="0"/>
    <pivotField dataField="1" showAll="0"/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axis="axisRow" showAll="0" sortType="descending">
      <items count="16">
        <item x="0"/>
        <item x="9"/>
        <item x="1"/>
        <item x="5"/>
        <item x="2"/>
        <item x="13"/>
        <item x="8"/>
        <item x="4"/>
        <item x="11"/>
        <item x="3"/>
        <item x="14"/>
        <item x="10"/>
        <item x="6"/>
        <item x="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6"/>
  </rowFields>
  <rowItems count="16">
    <i>
      <x v="7"/>
    </i>
    <i>
      <x v="10"/>
    </i>
    <i>
      <x v="14"/>
    </i>
    <i>
      <x v="4"/>
    </i>
    <i>
      <x v="5"/>
    </i>
    <i>
      <x v="2"/>
    </i>
    <i>
      <x v="1"/>
    </i>
    <i>
      <x v="12"/>
    </i>
    <i>
      <x/>
    </i>
    <i>
      <x v="6"/>
    </i>
    <i>
      <x v="3"/>
    </i>
    <i>
      <x v="9"/>
    </i>
    <i>
      <x v="11"/>
    </i>
    <i>
      <x v="13"/>
    </i>
    <i>
      <x v="8"/>
    </i>
    <i t="grand">
      <x/>
    </i>
  </rowItems>
  <colItems count="1">
    <i/>
  </colItems>
  <dataFields count="1">
    <dataField name="Average of agtron_roast" fld="4" subtotal="average" baseField="6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7F90A-124D-4E62-8E4A-7400F2AC7300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167:C183" firstHeaderRow="1" firstDataRow="1" firstDataCol="1"/>
  <pivotFields count="9">
    <pivotField showAll="0"/>
    <pivotField showAll="0"/>
    <pivotField showAll="0"/>
    <pivotField showAll="0"/>
    <pivotField dataField="1" showAll="0"/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axis="axisRow" showAll="0">
      <items count="16">
        <item x="12"/>
        <item x="7"/>
        <item x="6"/>
        <item x="10"/>
        <item x="14"/>
        <item x="3"/>
        <item x="11"/>
        <item x="4"/>
        <item x="8"/>
        <item x="13"/>
        <item x="2"/>
        <item x="5"/>
        <item x="1"/>
        <item x="9"/>
        <item x="0"/>
        <item t="default"/>
      </items>
    </pivotField>
    <pivotField showAll="0">
      <items count="26">
        <item x="24"/>
        <item x="7"/>
        <item x="19"/>
        <item x="23"/>
        <item x="0"/>
        <item x="6"/>
        <item x="22"/>
        <item x="5"/>
        <item x="16"/>
        <item x="1"/>
        <item x="11"/>
        <item x="18"/>
        <item x="15"/>
        <item x="8"/>
        <item x="13"/>
        <item x="21"/>
        <item x="12"/>
        <item x="20"/>
        <item x="3"/>
        <item x="10"/>
        <item x="2"/>
        <item x="4"/>
        <item x="17"/>
        <item x="9"/>
        <item x="14"/>
        <item t="default"/>
      </items>
    </pivotField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agtron_roast" fld="4" subtotal="average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E8C8B-33DC-4993-93FB-393151428F4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121:C127" firstHeaderRow="1" firstDataRow="1" firstDataCol="1"/>
  <pivotFields count="9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dataField="1"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showAll="0"/>
    <pivotField showAll="0"/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ice_per_100g" fld="5" subtotal="average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AA90D-1774-4209-9DFB-255896C9207A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200:C205" firstHeaderRow="1" firstDataRow="1" firstDataCol="1"/>
  <pivotFields count="9">
    <pivotField dataField="1" showAll="0"/>
    <pivotField showAll="0"/>
    <pivotField showAll="0"/>
    <pivotField showAll="0"/>
    <pivotField showAll="0"/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axis="axisRow" showAll="0" sortType="descending">
      <items count="16">
        <item h="1" x="12"/>
        <item x="7"/>
        <item x="6"/>
        <item h="1" x="10"/>
        <item h="1" x="14"/>
        <item h="1" x="3"/>
        <item h="1" x="11"/>
        <item h="1" x="4"/>
        <item h="1" x="8"/>
        <item h="1" x="13"/>
        <item h="1" x="2"/>
        <item h="1" x="5"/>
        <item x="1"/>
        <item h="1"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</pivotFields>
  <rowFields count="1">
    <field x="6"/>
  </rowFields>
  <rowItems count="5">
    <i>
      <x v="14"/>
    </i>
    <i>
      <x v="12"/>
    </i>
    <i>
      <x v="2"/>
    </i>
    <i>
      <x v="1"/>
    </i>
    <i t="grand">
      <x/>
    </i>
  </rowItems>
  <colItems count="1">
    <i/>
  </colItems>
  <dataFields count="1">
    <dataField name="Count of coffee_name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D7203-B5A5-48BD-BCFE-CA0DD9BEB94F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217:C224" firstHeaderRow="1" firstDataRow="1" firstDataCol="1"/>
  <pivotFields count="9">
    <pivotField showAll="0"/>
    <pivotField showAll="0">
      <items count="6">
        <item x="0"/>
        <item x="2"/>
        <item x="1"/>
        <item x="3"/>
        <item x="4"/>
        <item t="default"/>
      </items>
    </pivotField>
    <pivotField axis="axisRow" showAll="0" sortType="descending">
      <items count="7">
        <item x="4"/>
        <item x="0"/>
        <item x="2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showAll="0"/>
    <pivotField showAll="0">
      <items count="26">
        <item x="24"/>
        <item x="7"/>
        <item x="19"/>
        <item x="23"/>
        <item x="0"/>
        <item x="6"/>
        <item x="22"/>
        <item x="5"/>
        <item x="16"/>
        <item x="1"/>
        <item x="11"/>
        <item x="18"/>
        <item x="15"/>
        <item x="8"/>
        <item x="13"/>
        <item x="21"/>
        <item x="12"/>
        <item x="20"/>
        <item x="3"/>
        <item x="10"/>
        <item x="2"/>
        <item x="4"/>
        <item x="17"/>
        <item x="9"/>
        <item x="14"/>
        <item t="default"/>
      </items>
    </pivotField>
    <pivotField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</pivotFields>
  <rowFields count="1">
    <field x="2"/>
  </rowFields>
  <rowItems count="7">
    <i>
      <x v="1"/>
    </i>
    <i>
      <x v="4"/>
    </i>
    <i>
      <x v="5"/>
    </i>
    <i>
      <x v="2"/>
    </i>
    <i>
      <x v="3"/>
    </i>
    <i>
      <x/>
    </i>
    <i t="grand">
      <x/>
    </i>
  </rowItems>
  <colItems count="1">
    <i/>
  </colItems>
  <dataFields count="1">
    <dataField name="Average of agtron_roast" fld="4" subtotal="average" baseField="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2:B18" firstHeaderRow="1" firstDataRow="1" firstDataCol="1"/>
  <pivotFields count="9">
    <pivotField dataField="1" showAll="0">
      <items count="2004">
        <item x="845"/>
        <item x="1768"/>
        <item x="1420"/>
        <item x="360"/>
        <item x="170"/>
        <item x="1214"/>
        <item x="1086"/>
        <item x="1434"/>
        <item x="1176"/>
        <item x="213"/>
        <item x="868"/>
        <item x="1423"/>
        <item x="1576"/>
        <item x="1581"/>
        <item x="402"/>
        <item x="762"/>
        <item x="999"/>
        <item x="1478"/>
        <item x="865"/>
        <item x="1212"/>
        <item x="1347"/>
        <item x="1158"/>
        <item x="1547"/>
        <item x="1031"/>
        <item x="1074"/>
        <item x="1548"/>
        <item x="1665"/>
        <item x="1972"/>
        <item x="1482"/>
        <item x="217"/>
        <item x="1588"/>
        <item x="1681"/>
        <item x="1279"/>
        <item x="108"/>
        <item x="935"/>
        <item x="491"/>
        <item x="131"/>
        <item x="1303"/>
        <item x="513"/>
        <item x="1265"/>
        <item x="766"/>
        <item x="1319"/>
        <item x="1774"/>
        <item x="1568"/>
        <item x="802"/>
        <item x="860"/>
        <item x="1807"/>
        <item x="1989"/>
        <item x="165"/>
        <item x="1118"/>
        <item x="1205"/>
        <item x="1034"/>
        <item x="1349"/>
        <item x="1494"/>
        <item x="1585"/>
        <item x="1240"/>
        <item x="363"/>
        <item x="1640"/>
        <item x="796"/>
        <item x="1121"/>
        <item x="1520"/>
        <item x="966"/>
        <item x="1405"/>
        <item x="509"/>
        <item x="840"/>
        <item x="1886"/>
        <item x="1936"/>
        <item x="1286"/>
        <item x="1830"/>
        <item x="1475"/>
        <item x="990"/>
        <item x="1477"/>
        <item x="1558"/>
        <item x="1955"/>
        <item x="1559"/>
        <item x="734"/>
        <item x="930"/>
        <item x="19"/>
        <item x="746"/>
        <item x="110"/>
        <item x="914"/>
        <item x="1022"/>
        <item x="1096"/>
        <item x="1388"/>
        <item x="1137"/>
        <item x="1642"/>
        <item x="700"/>
        <item x="1935"/>
        <item x="538"/>
        <item x="1714"/>
        <item x="1553"/>
        <item x="899"/>
        <item x="1285"/>
        <item x="1080"/>
        <item x="1550"/>
        <item x="888"/>
        <item x="272"/>
        <item x="1395"/>
        <item x="1455"/>
        <item x="1225"/>
        <item x="1733"/>
        <item x="1732"/>
        <item x="1211"/>
        <item x="816"/>
        <item x="787"/>
        <item x="387"/>
        <item x="719"/>
        <item x="863"/>
        <item x="450"/>
        <item x="690"/>
        <item x="1457"/>
        <item x="912"/>
        <item x="911"/>
        <item x="1090"/>
        <item x="368"/>
        <item x="361"/>
        <item x="1149"/>
        <item x="691"/>
        <item x="1026"/>
        <item x="118"/>
        <item x="1112"/>
        <item x="314"/>
        <item x="495"/>
        <item x="901"/>
        <item x="140"/>
        <item x="141"/>
        <item x="236"/>
        <item x="394"/>
        <item x="960"/>
        <item x="623"/>
        <item x="625"/>
        <item x="624"/>
        <item x="1165"/>
        <item x="289"/>
        <item x="1007"/>
        <item x="292"/>
        <item x="637"/>
        <item x="553"/>
        <item x="24"/>
        <item x="1979"/>
        <item x="645"/>
        <item x="598"/>
        <item x="328"/>
        <item x="449"/>
        <item x="324"/>
        <item x="1028"/>
        <item x="595"/>
        <item x="673"/>
        <item x="443"/>
        <item x="269"/>
        <item x="268"/>
        <item x="270"/>
        <item x="105"/>
        <item x="1980"/>
        <item x="444"/>
        <item x="285"/>
        <item x="317"/>
        <item x="244"/>
        <item x="1317"/>
        <item x="134"/>
        <item x="392"/>
        <item x="291"/>
        <item x="437"/>
        <item x="433"/>
        <item x="1851"/>
        <item x="208"/>
        <item x="177"/>
        <item x="726"/>
        <item x="22"/>
        <item x="39"/>
        <item x="0"/>
        <item x="1448"/>
        <item x="1883"/>
        <item x="425"/>
        <item x="1025"/>
        <item x="744"/>
        <item x="781"/>
        <item x="551"/>
        <item x="474"/>
        <item x="1142"/>
        <item x="717"/>
        <item x="543"/>
        <item x="521"/>
        <item x="708"/>
        <item x="1190"/>
        <item x="1242"/>
        <item x="767"/>
        <item x="181"/>
        <item x="468"/>
        <item x="275"/>
        <item x="1"/>
        <item x="1177"/>
        <item x="1172"/>
        <item x="343"/>
        <item x="1739"/>
        <item x="520"/>
        <item x="593"/>
        <item x="21"/>
        <item x="926"/>
        <item x="168"/>
        <item x="1847"/>
        <item x="196"/>
        <item x="482"/>
        <item x="674"/>
        <item x="563"/>
        <item x="672"/>
        <item x="578"/>
        <item x="349"/>
        <item x="694"/>
        <item x="798"/>
        <item x="891"/>
        <item x="1701"/>
        <item x="1660"/>
        <item x="1071"/>
        <item x="854"/>
        <item x="1580"/>
        <item x="1189"/>
        <item x="331"/>
        <item x="320"/>
        <item x="581"/>
        <item x="556"/>
        <item x="251"/>
        <item x="1092"/>
        <item x="94"/>
        <item x="1981"/>
        <item x="399"/>
        <item x="964"/>
        <item x="483"/>
        <item x="366"/>
        <item x="385"/>
        <item x="453"/>
        <item x="370"/>
        <item x="503"/>
        <item x="833"/>
        <item x="522"/>
        <item x="1850"/>
        <item x="1983"/>
        <item x="755"/>
        <item x="378"/>
        <item x="644"/>
        <item x="846"/>
        <item x="1029"/>
        <item x="259"/>
        <item x="1889"/>
        <item x="628"/>
        <item x="877"/>
        <item x="1828"/>
        <item x="884"/>
        <item x="307"/>
        <item x="1027"/>
        <item x="1479"/>
        <item x="1474"/>
        <item x="856"/>
        <item x="252"/>
        <item x="864"/>
        <item x="852"/>
        <item x="426"/>
        <item x="1246"/>
        <item x="401"/>
        <item x="40"/>
        <item x="286"/>
        <item x="266"/>
        <item x="245"/>
        <item x="180"/>
        <item x="288"/>
        <item x="517"/>
        <item x="276"/>
        <item x="56"/>
        <item x="995"/>
        <item x="129"/>
        <item x="552"/>
        <item x="7"/>
        <item x="434"/>
        <item x="555"/>
        <item x="249"/>
        <item x="310"/>
        <item x="333"/>
        <item x="470"/>
        <item x="558"/>
        <item x="671"/>
        <item x="1001"/>
        <item x="983"/>
        <item x="184"/>
        <item x="1990"/>
        <item x="715"/>
        <item x="545"/>
        <item x="318"/>
        <item x="322"/>
        <item x="88"/>
        <item x="284"/>
        <item x="1557"/>
        <item x="28"/>
        <item x="1125"/>
        <item x="71"/>
        <item x="1152"/>
        <item x="400"/>
        <item x="55"/>
        <item x="1308"/>
        <item x="780"/>
        <item x="311"/>
        <item x="1648"/>
        <item x="668"/>
        <item x="233"/>
        <item x="329"/>
        <item x="494"/>
        <item x="1146"/>
        <item x="414"/>
        <item x="1959"/>
        <item x="1280"/>
        <item x="1982"/>
        <item x="1863"/>
        <item x="619"/>
        <item x="716"/>
        <item x="851"/>
        <item x="362"/>
        <item x="1263"/>
        <item x="1783"/>
        <item x="113"/>
        <item x="297"/>
        <item x="484"/>
        <item x="222"/>
        <item x="287"/>
        <item x="220"/>
        <item x="223"/>
        <item x="152"/>
        <item x="415"/>
        <item x="413"/>
        <item x="174"/>
        <item x="221"/>
        <item x="929"/>
        <item x="729"/>
        <item x="435"/>
        <item x="326"/>
        <item x="1846"/>
        <item x="1567"/>
        <item x="943"/>
        <item x="1044"/>
        <item x="379"/>
        <item x="1556"/>
        <item x="1615"/>
        <item x="1575"/>
        <item x="116"/>
        <item x="1200"/>
        <item x="997"/>
        <item x="918"/>
        <item x="696"/>
        <item x="792"/>
        <item x="747"/>
        <item x="347"/>
        <item x="735"/>
        <item x="144"/>
        <item x="638"/>
        <item x="1716"/>
        <item x="1087"/>
        <item x="1362"/>
        <item x="1925"/>
        <item x="1525"/>
        <item x="17"/>
        <item x="125"/>
        <item x="1718"/>
        <item x="1327"/>
        <item x="692"/>
        <item x="115"/>
        <item x="1159"/>
        <item x="928"/>
        <item x="68"/>
        <item x="705"/>
        <item x="921"/>
        <item x="130"/>
        <item x="390"/>
        <item x="42"/>
        <item x="859"/>
        <item x="219"/>
        <item x="340"/>
        <item x="1584"/>
        <item x="479"/>
        <item x="80"/>
        <item x="707"/>
        <item x="1188"/>
        <item x="1878"/>
        <item x="731"/>
        <item x="1366"/>
        <item x="526"/>
        <item x="124"/>
        <item x="120"/>
        <item x="67"/>
        <item x="699"/>
        <item x="454"/>
        <item x="1228"/>
        <item x="1649"/>
        <item x="1601"/>
        <item x="477"/>
        <item x="238"/>
        <item x="374"/>
        <item x="502"/>
        <item x="825"/>
        <item x="560"/>
        <item x="386"/>
        <item x="568"/>
        <item x="980"/>
        <item x="1094"/>
        <item x="1358"/>
        <item x="681"/>
        <item x="128"/>
        <item x="1273"/>
        <item x="1194"/>
        <item x="1033"/>
        <item x="1406"/>
        <item x="1978"/>
        <item x="1549"/>
        <item x="1552"/>
        <item x="1788"/>
        <item x="1389"/>
        <item x="611"/>
        <item x="605"/>
        <item x="1371"/>
        <item x="1153"/>
        <item x="298"/>
        <item x="1570"/>
        <item x="1504"/>
        <item x="20"/>
        <item x="1293"/>
        <item x="630"/>
        <item x="436"/>
        <item x="1207"/>
        <item x="1178"/>
        <item x="761"/>
        <item x="525"/>
        <item x="785"/>
        <item x="204"/>
        <item x="1571"/>
        <item x="488"/>
        <item x="57"/>
        <item x="30"/>
        <item x="724"/>
        <item x="506"/>
        <item x="1184"/>
        <item x="937"/>
        <item x="757"/>
        <item x="1627"/>
        <item x="1488"/>
        <item x="1577"/>
        <item x="1607"/>
        <item x="1771"/>
        <item x="1431"/>
        <item x="1603"/>
        <item x="669"/>
        <item x="1154"/>
        <item x="1097"/>
        <item x="933"/>
        <item x="432"/>
        <item x="512"/>
        <item x="514"/>
        <item x="1373"/>
        <item x="1884"/>
        <item x="1407"/>
        <item x="1256"/>
        <item x="571"/>
        <item x="693"/>
        <item x="779"/>
        <item x="490"/>
        <item x="1720"/>
        <item x="1291"/>
        <item x="861"/>
        <item x="1202"/>
        <item x="582"/>
        <item x="1414"/>
        <item x="1472"/>
        <item x="1469"/>
        <item x="683"/>
        <item x="1645"/>
        <item x="316"/>
        <item x="389"/>
        <item x="1624"/>
        <item x="790"/>
        <item x="193"/>
        <item x="117"/>
        <item x="1944"/>
        <item x="1155"/>
        <item x="1892"/>
        <item x="542"/>
        <item x="176"/>
        <item x="791"/>
        <item x="79"/>
        <item x="1976"/>
        <item x="1985"/>
        <item x="1996"/>
        <item x="1995"/>
        <item x="1865"/>
        <item x="1902"/>
        <item x="1910"/>
        <item x="1986"/>
        <item x="1950"/>
        <item x="1748"/>
        <item x="1119"/>
        <item x="1804"/>
        <item x="1853"/>
        <item x="121"/>
        <item x="1563"/>
        <item x="819"/>
        <item x="1848"/>
        <item x="881"/>
        <item x="880"/>
        <item x="1231"/>
        <item x="1326"/>
        <item x="1725"/>
        <item x="1192"/>
        <item x="2001"/>
        <item x="1600"/>
        <item x="1101"/>
        <item x="496"/>
        <item x="1967"/>
        <item x="1968"/>
        <item x="1338"/>
        <item x="1676"/>
        <item x="1841"/>
        <item x="1502"/>
        <item x="1450"/>
        <item x="835"/>
        <item x="1367"/>
        <item x="910"/>
        <item x="1675"/>
        <item x="547"/>
        <item x="1269"/>
        <item x="621"/>
        <item x="148"/>
        <item x="1876"/>
        <item x="1140"/>
        <item x="546"/>
        <item x="574"/>
        <item x="69"/>
        <item x="721"/>
        <item x="135"/>
        <item x="1741"/>
        <item x="811"/>
        <item x="769"/>
        <item x="313"/>
        <item x="114"/>
        <item x="686"/>
        <item x="814"/>
        <item x="420"/>
        <item x="191"/>
        <item x="1647"/>
        <item x="1948"/>
        <item x="190"/>
        <item x="32"/>
        <item x="1311"/>
        <item x="383"/>
        <item x="1375"/>
        <item x="1412"/>
        <item x="1764"/>
        <item x="112"/>
        <item x="516"/>
        <item x="741"/>
        <item x="505"/>
        <item x="499"/>
        <item x="614"/>
        <item x="805"/>
        <item x="905"/>
        <item x="462"/>
        <item x="171"/>
        <item x="822"/>
        <item x="211"/>
        <item x="62"/>
        <item x="198"/>
        <item x="770"/>
        <item x="367"/>
        <item x="596"/>
        <item x="1394"/>
        <item x="1667"/>
        <item x="1974"/>
        <item x="338"/>
        <item x="1707"/>
        <item x="1722"/>
        <item x="1088"/>
        <item x="925"/>
        <item x="848"/>
        <item x="1501"/>
        <item x="246"/>
        <item x="606"/>
        <item x="1706"/>
        <item x="584"/>
        <item x="1068"/>
        <item x="1047"/>
        <item x="321"/>
        <item x="1734"/>
        <item x="727"/>
        <item x="826"/>
        <item x="1195"/>
        <item x="557"/>
        <item x="279"/>
        <item x="226"/>
        <item x="1800"/>
        <item x="1795"/>
        <item x="1399"/>
        <item x="1075"/>
        <item x="675"/>
        <item x="849"/>
        <item x="569"/>
        <item x="350"/>
        <item x="81"/>
        <item x="1745"/>
        <item x="554"/>
        <item x="1425"/>
        <item x="1530"/>
        <item x="1271"/>
        <item x="893"/>
        <item x="996"/>
        <item x="1742"/>
        <item x="636"/>
        <item x="1139"/>
        <item x="587"/>
        <item x="1345"/>
        <item x="1017"/>
        <item x="654"/>
        <item x="473"/>
        <item x="586"/>
        <item x="89"/>
        <item x="225"/>
        <item x="103"/>
        <item x="631"/>
        <item x="1359"/>
        <item x="878"/>
        <item x="524"/>
        <item x="1357"/>
        <item x="1051"/>
        <item x="312"/>
        <item x="537"/>
        <item x="380"/>
        <item x="961"/>
        <item x="1133"/>
        <item x="83"/>
        <item x="228"/>
        <item x="1057"/>
        <item x="429"/>
        <item x="956"/>
        <item x="1383"/>
        <item x="1045"/>
        <item x="43"/>
        <item x="15"/>
        <item x="991"/>
        <item x="919"/>
        <item x="428"/>
        <item x="900"/>
        <item x="1049"/>
        <item x="862"/>
        <item x="216"/>
        <item x="1138"/>
        <item x="1315"/>
        <item x="906"/>
        <item x="751"/>
        <item x="210"/>
        <item x="981"/>
        <item x="978"/>
        <item x="1484"/>
        <item x="732"/>
        <item x="1254"/>
        <item x="267"/>
        <item x="649"/>
        <item x="648"/>
        <item x="866"/>
        <item x="745"/>
        <item x="643"/>
        <item x="1013"/>
        <item x="970"/>
        <item x="969"/>
        <item x="1446"/>
        <item x="1837"/>
        <item x="1590"/>
        <item x="608"/>
        <item x="523"/>
        <item x="1006"/>
        <item x="602"/>
        <item x="1628"/>
        <item x="1344"/>
        <item x="1300"/>
        <item x="1536"/>
        <item x="917"/>
        <item x="1147"/>
        <item x="1302"/>
        <item x="1864"/>
        <item x="1187"/>
        <item x="617"/>
        <item x="583"/>
        <item x="1700"/>
        <item x="607"/>
        <item x="687"/>
        <item x="603"/>
        <item x="344"/>
        <item x="1625"/>
        <item x="489"/>
        <item x="87"/>
        <item x="1130"/>
        <item x="1131"/>
        <item x="1257"/>
        <item x="892"/>
        <item x="1759"/>
        <item x="957"/>
        <item x="1054"/>
        <item x="1785"/>
        <item x="580"/>
        <item x="1063"/>
        <item x="1356"/>
        <item x="1591"/>
        <item x="879"/>
        <item x="1297"/>
        <item x="1314"/>
        <item x="460"/>
        <item x="1693"/>
        <item x="1897"/>
        <item x="1440"/>
        <item x="364"/>
        <item x="1239"/>
        <item x="1543"/>
        <item x="235"/>
        <item x="1735"/>
        <item x="183"/>
        <item x="1206"/>
        <item x="224"/>
        <item x="33"/>
        <item x="1840"/>
        <item x="659"/>
        <item x="93"/>
        <item x="1221"/>
        <item x="979"/>
        <item x="952"/>
        <item x="458"/>
        <item x="371"/>
        <item x="1066"/>
        <item x="916"/>
        <item x="1085"/>
        <item x="530"/>
        <item x="768"/>
        <item x="803"/>
        <item x="1289"/>
        <item x="100"/>
        <item x="977"/>
        <item x="1093"/>
        <item x="1156"/>
        <item x="1185"/>
        <item x="661"/>
        <item x="1038"/>
        <item x="641"/>
        <item x="4"/>
        <item x="1497"/>
        <item x="1036"/>
        <item x="132"/>
        <item x="712"/>
        <item x="441"/>
        <item x="660"/>
        <item x="98"/>
        <item x="161"/>
        <item x="372"/>
        <item x="264"/>
        <item x="412"/>
        <item x="229"/>
        <item x="240"/>
        <item x="50"/>
        <item x="154"/>
        <item x="262"/>
        <item x="304"/>
        <item x="801"/>
        <item x="375"/>
        <item x="1579"/>
        <item x="871"/>
        <item x="1237"/>
        <item x="1578"/>
        <item x="1258"/>
        <item x="1220"/>
        <item x="616"/>
        <item x="1529"/>
        <item x="1052"/>
        <item x="416"/>
        <item x="1595"/>
        <item x="459"/>
        <item x="1227"/>
        <item x="1002"/>
        <item x="1826"/>
        <item x="1900"/>
        <item x="967"/>
        <item x="1621"/>
        <item x="1688"/>
        <item x="1803"/>
        <item x="1762"/>
        <item x="1750"/>
        <item x="737"/>
        <item x="837"/>
        <item x="212"/>
        <item x="1281"/>
        <item x="1492"/>
        <item x="695"/>
        <item x="411"/>
        <item x="365"/>
        <item x="1032"/>
        <item x="278"/>
        <item x="1723"/>
        <item x="847"/>
        <item x="422"/>
        <item x="1120"/>
        <item x="1426"/>
        <item x="86"/>
        <item x="1631"/>
        <item x="195"/>
        <item x="1196"/>
        <item x="492"/>
        <item x="890"/>
        <item x="209"/>
        <item x="78"/>
        <item x="839"/>
        <item x="123"/>
        <item x="84"/>
        <item x="145"/>
        <item x="299"/>
        <item x="942"/>
        <item x="1082"/>
        <item x="1776"/>
        <item x="290"/>
        <item x="323"/>
        <item x="1160"/>
        <item x="254"/>
        <item x="1283"/>
        <item x="1608"/>
        <item x="627"/>
        <item x="1048"/>
        <item x="234"/>
        <item x="253"/>
        <item x="920"/>
        <item x="1249"/>
        <item x="1868"/>
        <item x="335"/>
        <item x="752"/>
        <item x="1952"/>
        <item x="1113"/>
        <item x="533"/>
        <item x="1943"/>
        <item x="1012"/>
        <item x="1209"/>
        <item x="1674"/>
        <item x="1016"/>
        <item x="875"/>
        <item x="842"/>
        <item x="843"/>
        <item x="813"/>
        <item x="950"/>
        <item x="591"/>
        <item x="958"/>
        <item x="1198"/>
        <item x="182"/>
        <item x="241"/>
        <item x="409"/>
        <item x="301"/>
        <item x="160"/>
        <item x="610"/>
        <item x="153"/>
        <item x="3"/>
        <item x="302"/>
        <item x="303"/>
        <item x="1464"/>
        <item x="1646"/>
        <item x="1340"/>
        <item x="713"/>
        <item x="771"/>
        <item x="828"/>
        <item x="255"/>
        <item x="99"/>
        <item x="949"/>
        <item x="575"/>
        <item x="1751"/>
        <item x="97"/>
        <item x="1422"/>
        <item x="1669"/>
        <item x="1829"/>
        <item x="203"/>
        <item x="179"/>
        <item x="1758"/>
        <item x="1255"/>
        <item x="1752"/>
        <item x="1507"/>
        <item x="1923"/>
        <item x="838"/>
        <item x="1134"/>
        <item x="1682"/>
        <item x="941"/>
        <item x="178"/>
        <item x="1310"/>
        <item x="158"/>
        <item x="424"/>
        <item x="1186"/>
        <item x="1110"/>
        <item x="1919"/>
        <item x="1736"/>
        <item x="1506"/>
        <item x="703"/>
        <item x="561"/>
        <item x="265"/>
        <item x="1885"/>
        <item x="1956"/>
        <item x="1937"/>
        <item x="1343"/>
        <item x="922"/>
        <item x="1635"/>
        <item x="295"/>
        <item x="1541"/>
        <item x="1260"/>
        <item x="1041"/>
        <item x="1643"/>
        <item x="1042"/>
        <item x="23"/>
        <item x="1801"/>
        <item x="1749"/>
        <item x="471"/>
        <item x="1294"/>
        <item x="14"/>
        <item x="670"/>
        <item x="954"/>
        <item x="1089"/>
        <item x="451"/>
        <item x="1657"/>
        <item x="1855"/>
        <item x="1554"/>
        <item x="1023"/>
        <item x="1692"/>
        <item x="169"/>
        <item x="167"/>
        <item x="748"/>
        <item x="207"/>
        <item x="206"/>
        <item x="973"/>
        <item x="508"/>
        <item x="1562"/>
        <item x="1819"/>
        <item x="1763"/>
        <item x="1143"/>
        <item x="615"/>
        <item x="1792"/>
        <item x="1782"/>
        <item x="227"/>
        <item x="1926"/>
        <item x="1729"/>
        <item x="199"/>
        <item x="76"/>
        <item x="1352"/>
        <item x="1351"/>
        <item x="1123"/>
        <item x="1069"/>
        <item x="1555"/>
        <item x="870"/>
        <item x="818"/>
        <item x="1544"/>
        <item x="469"/>
        <item x="1046"/>
        <item x="1915"/>
        <item x="38"/>
        <item x="1659"/>
        <item x="1672"/>
        <item x="1164"/>
        <item x="1361"/>
        <item x="1891"/>
        <item x="1930"/>
        <item x="1999"/>
        <item x="665"/>
        <item x="16"/>
        <item x="1467"/>
        <item x="1827"/>
        <item x="1459"/>
        <item x="1355"/>
        <item x="119"/>
        <item x="1333"/>
        <item x="1030"/>
        <item x="1638"/>
        <item x="1612"/>
        <item x="189"/>
        <item x="1084"/>
        <item x="622"/>
        <item x="1070"/>
        <item x="339"/>
        <item x="992"/>
        <item x="1428"/>
        <item x="1318"/>
        <item x="632"/>
        <item x="172"/>
        <item x="1040"/>
        <item x="626"/>
        <item x="1596"/>
        <item x="1182"/>
        <item x="1226"/>
        <item x="666"/>
        <item x="549"/>
        <item x="1760"/>
        <item x="1350"/>
        <item x="1385"/>
        <item x="1398"/>
        <item x="1438"/>
        <item x="1061"/>
        <item x="357"/>
        <item x="1799"/>
        <item x="1419"/>
        <item x="1797"/>
        <item x="667"/>
        <item x="1259"/>
        <item x="1241"/>
        <item x="1842"/>
        <item x="810"/>
        <item x="1744"/>
        <item x="1284"/>
        <item x="243"/>
        <item x="1248"/>
        <item x="1451"/>
        <item x="1454"/>
        <item x="1476"/>
        <item x="406"/>
        <item x="1365"/>
        <item x="1236"/>
        <item x="1453"/>
        <item x="1247"/>
        <item x="1452"/>
        <item x="1179"/>
        <item x="1481"/>
        <item x="515"/>
        <item x="1519"/>
        <item x="753"/>
        <item x="932"/>
        <item x="1416"/>
        <item x="1204"/>
        <item x="1637"/>
        <item x="913"/>
        <item x="548"/>
        <item x="1838"/>
        <item x="381"/>
        <item x="1496"/>
        <item x="65"/>
        <item x="465"/>
        <item x="1512"/>
        <item x="1384"/>
        <item x="1685"/>
        <item x="1354"/>
        <item x="1264"/>
        <item x="61"/>
        <item x="535"/>
        <item x="1993"/>
        <item x="256"/>
        <item x="1005"/>
        <item x="897"/>
        <item x="457"/>
        <item x="1857"/>
        <item x="1957"/>
        <item x="445"/>
        <item x="186"/>
        <item x="185"/>
        <item x="873"/>
        <item x="618"/>
        <item x="438"/>
        <item x="567"/>
        <item x="77"/>
        <item x="308"/>
        <item x="1483"/>
        <item x="53"/>
        <item x="1445"/>
        <item x="1353"/>
        <item x="869"/>
        <item x="872"/>
        <item x="1432"/>
        <item x="858"/>
        <item x="405"/>
        <item x="263"/>
        <item x="1907"/>
        <item x="1888"/>
        <item x="345"/>
        <item x="898"/>
        <item x="101"/>
        <item x="573"/>
        <item x="544"/>
        <item x="421"/>
        <item x="1328"/>
        <item x="1859"/>
        <item x="562"/>
        <item x="37"/>
        <item x="1396"/>
        <item x="1589"/>
        <item x="1043"/>
        <item x="853"/>
        <item x="664"/>
        <item x="639"/>
        <item x="52"/>
        <item x="663"/>
        <item x="187"/>
        <item x="159"/>
        <item x="410"/>
        <item x="1880"/>
        <item x="994"/>
        <item x="886"/>
        <item x="1738"/>
        <item x="1077"/>
        <item x="388"/>
        <item x="809"/>
        <item x="1964"/>
        <item x="1081"/>
        <item x="1332"/>
        <item x="820"/>
        <item x="1931"/>
        <item x="1439"/>
        <item x="1203"/>
        <item x="18"/>
        <item x="1569"/>
        <item x="1991"/>
        <item x="985"/>
        <item x="778"/>
        <item x="1564"/>
        <item x="1587"/>
        <item x="1011"/>
        <item x="1899"/>
        <item x="689"/>
        <item x="1781"/>
        <item x="1500"/>
        <item x="455"/>
        <item x="532"/>
        <item x="1116"/>
        <item x="1091"/>
        <item x="1109"/>
        <item x="10"/>
        <item x="337"/>
        <item x="1697"/>
        <item x="1213"/>
        <item x="446"/>
        <item x="1316"/>
        <item x="1898"/>
        <item x="1903"/>
        <item x="1305"/>
        <item x="718"/>
        <item x="126"/>
        <item x="1858"/>
        <item x="1060"/>
        <item x="1780"/>
        <item x="1975"/>
        <item x="800"/>
        <item x="793"/>
        <item x="507"/>
        <item x="439"/>
        <item x="1882"/>
        <item x="430"/>
        <item x="1168"/>
        <item x="2"/>
        <item x="1180"/>
        <item x="1921"/>
        <item x="1014"/>
        <item x="1122"/>
        <item x="1238"/>
        <item x="763"/>
        <item x="772"/>
        <item x="408"/>
        <item x="1535"/>
        <item x="13"/>
        <item x="1403"/>
        <item x="519"/>
        <item x="282"/>
        <item x="1666"/>
        <item x="1824"/>
        <item x="1436"/>
        <item x="358"/>
        <item x="1767"/>
        <item x="319"/>
        <item x="564"/>
        <item x="342"/>
        <item x="651"/>
        <item x="149"/>
        <item x="1470"/>
        <item x="594"/>
        <item x="47"/>
        <item x="1463"/>
        <item x="711"/>
        <item x="1126"/>
        <item x="710"/>
        <item x="1832"/>
        <item x="395"/>
        <item x="294"/>
        <item x="789"/>
        <item x="1379"/>
        <item x="1360"/>
        <item x="1335"/>
        <item x="1150"/>
        <item x="1151"/>
        <item x="797"/>
        <item x="1337"/>
        <item x="1456"/>
        <item x="1458"/>
        <item x="579"/>
        <item x="565"/>
        <item x="359"/>
        <item x="356"/>
        <item x="550"/>
        <item x="743"/>
        <item x="518"/>
        <item x="739"/>
        <item x="427"/>
        <item x="1933"/>
        <item x="815"/>
        <item x="1277"/>
        <item x="764"/>
        <item x="1905"/>
        <item x="34"/>
        <item x="784"/>
        <item x="1019"/>
        <item x="35"/>
        <item x="1135"/>
        <item x="585"/>
        <item x="1035"/>
        <item x="26"/>
        <item x="27"/>
        <item x="1250"/>
        <item x="1789"/>
        <item x="1620"/>
        <item x="497"/>
        <item x="1673"/>
        <item x="1076"/>
        <item x="146"/>
        <item x="1073"/>
        <item x="1938"/>
        <item x="1632"/>
        <item x="1705"/>
        <item x="1485"/>
        <item x="143"/>
        <item x="1872"/>
        <item x="1634"/>
        <item x="404"/>
        <item x="1148"/>
        <item x="1598"/>
        <item x="1594"/>
        <item x="1965"/>
        <item x="1994"/>
        <item x="1583"/>
        <item x="1953"/>
        <item x="1924"/>
        <item x="1694"/>
        <item x="955"/>
        <item x="1108"/>
        <item x="417"/>
        <item x="341"/>
        <item x="1786"/>
        <item x="650"/>
        <item x="1460"/>
        <item x="1852"/>
        <item x="1971"/>
        <item x="1998"/>
        <item x="656"/>
        <item x="500"/>
        <item x="1418"/>
        <item x="1341"/>
        <item x="1796"/>
        <item x="147"/>
        <item x="1100"/>
        <item x="876"/>
        <item x="96"/>
        <item x="44"/>
        <item x="1099"/>
        <item x="1726"/>
        <item x="1336"/>
        <item x="334"/>
        <item x="1447"/>
        <item x="1449"/>
        <item x="1908"/>
        <item x="1408"/>
        <item x="59"/>
        <item x="1633"/>
        <item x="1171"/>
        <item x="1370"/>
        <item x="1210"/>
        <item x="1015"/>
        <item x="1641"/>
        <item x="197"/>
        <item x="874"/>
        <item x="336"/>
        <item x="1234"/>
        <item x="808"/>
        <item x="642"/>
        <item x="1531"/>
        <item x="1514"/>
        <item x="260"/>
        <item x="536"/>
        <item x="1433"/>
        <item x="1533"/>
        <item x="1397"/>
        <item x="1128"/>
        <item x="1881"/>
        <item x="1871"/>
        <item x="398"/>
        <item x="1129"/>
        <item x="448"/>
        <item x="1325"/>
        <item x="612"/>
        <item x="1928"/>
        <item x="588"/>
        <item x="1510"/>
        <item x="1381"/>
        <item x="1262"/>
        <item x="157"/>
        <item x="590"/>
        <item x="1480"/>
        <item x="1747"/>
        <item x="1346"/>
        <item x="1330"/>
        <item x="1894"/>
        <item x="1724"/>
        <item x="836"/>
        <item x="1822"/>
        <item x="904"/>
        <item x="1896"/>
        <item x="504"/>
        <item x="1690"/>
        <item x="894"/>
        <item x="1124"/>
        <item x="756"/>
        <item x="1870"/>
        <item x="959"/>
        <item x="1516"/>
        <item x="1295"/>
        <item x="1869"/>
        <item x="1970"/>
        <item x="1312"/>
        <item x="1339"/>
        <item x="577"/>
        <item x="1102"/>
        <item x="1219"/>
        <item x="1191"/>
        <item x="1274"/>
        <item x="559"/>
        <item x="1103"/>
        <item x="1218"/>
        <item x="1253"/>
        <item x="122"/>
        <item x="1873"/>
        <item x="1215"/>
        <item x="1670"/>
        <item x="194"/>
        <item x="1963"/>
        <item x="1617"/>
        <item x="1699"/>
        <item x="82"/>
        <item x="1728"/>
        <item x="1261"/>
        <item x="1614"/>
        <item x="1197"/>
        <item x="66"/>
        <item x="1444"/>
        <item x="1010"/>
        <item x="369"/>
        <item x="1105"/>
        <item x="25"/>
        <item x="1777"/>
        <item x="1106"/>
        <item x="1874"/>
        <item x="1421"/>
        <item x="1331"/>
        <item x="1508"/>
        <item x="407"/>
        <item x="1746"/>
        <item x="1833"/>
        <item x="1988"/>
        <item x="1702"/>
        <item x="173"/>
        <item x="1854"/>
        <item x="1813"/>
        <item x="501"/>
        <item x="1537"/>
        <item x="1282"/>
        <item x="1309"/>
        <item x="1687"/>
        <item x="447"/>
        <item x="1424"/>
        <item x="1468"/>
        <item x="1941"/>
        <item x="1887"/>
        <item x="1940"/>
        <item x="652"/>
        <item x="655"/>
        <item x="1009"/>
        <item x="1849"/>
        <item x="1835"/>
        <item x="1862"/>
        <item x="1132"/>
        <item x="634"/>
        <item x="953"/>
        <item x="1540"/>
        <item x="821"/>
        <item x="1560"/>
        <item x="1380"/>
        <item x="1809"/>
        <item x="476"/>
        <item x="1709"/>
        <item x="296"/>
        <item x="85"/>
        <item x="330"/>
        <item x="1435"/>
        <item x="706"/>
        <item x="774"/>
        <item x="1592"/>
        <item x="306"/>
        <item x="1039"/>
        <item x="1313"/>
        <item x="1629"/>
        <item x="1680"/>
        <item x="1737"/>
        <item x="1671"/>
        <item x="1593"/>
        <item x="1499"/>
        <item x="1199"/>
        <item x="728"/>
        <item x="1572"/>
        <item x="1973"/>
        <item x="1909"/>
        <item x="1895"/>
        <item x="1949"/>
        <item x="1954"/>
        <item x="1934"/>
        <item x="740"/>
        <item x="1409"/>
        <item x="1806"/>
        <item x="1342"/>
        <item x="1779"/>
        <item x="1107"/>
        <item x="1304"/>
        <item x="1538"/>
        <item x="1532"/>
        <item x="1411"/>
        <item x="1664"/>
        <item x="1890"/>
        <item x="1298"/>
        <item x="1104"/>
        <item x="1834"/>
        <item x="1175"/>
        <item x="1098"/>
        <item x="773"/>
        <item x="201"/>
        <item x="156"/>
        <item x="529"/>
        <item x="202"/>
        <item x="709"/>
        <item x="456"/>
        <item x="150"/>
        <item x="261"/>
        <item x="976"/>
        <item x="982"/>
        <item x="658"/>
        <item x="1067"/>
        <item x="376"/>
        <item x="1984"/>
        <item x="1966"/>
        <item x="1655"/>
        <item x="1170"/>
        <item x="889"/>
        <item x="1323"/>
        <item x="1721"/>
        <item x="1754"/>
        <item x="1144"/>
        <item x="1037"/>
        <item x="1393"/>
        <item x="1372"/>
        <item x="1322"/>
        <item x="1306"/>
        <item x="1708"/>
        <item x="164"/>
        <item x="36"/>
        <item x="758"/>
        <item x="531"/>
        <item x="1163"/>
        <item x="315"/>
        <item x="629"/>
        <item x="92"/>
        <item x="274"/>
        <item x="139"/>
        <item x="293"/>
        <item x="487"/>
        <item x="903"/>
        <item x="1193"/>
        <item x="1844"/>
        <item x="239"/>
        <item x="975"/>
        <item x="936"/>
        <item x="1020"/>
        <item x="423"/>
        <item x="382"/>
        <item x="722"/>
        <item x="353"/>
        <item x="151"/>
        <item x="987"/>
        <item x="1117"/>
        <item x="393"/>
        <item x="657"/>
        <item x="348"/>
        <item x="1058"/>
        <item x="887"/>
        <item x="138"/>
        <item x="325"/>
        <item x="702"/>
        <item x="984"/>
        <item x="64"/>
        <item x="1000"/>
        <item x="1704"/>
        <item x="1272"/>
        <item x="431"/>
        <item x="1927"/>
        <item x="788"/>
        <item x="1811"/>
        <item x="1946"/>
        <item x="1918"/>
        <item x="1078"/>
        <item x="48"/>
        <item x="968"/>
        <item x="1613"/>
        <item x="1962"/>
        <item x="1276"/>
        <item x="493"/>
        <item x="510"/>
        <item x="280"/>
        <item x="938"/>
        <item x="95"/>
        <item x="1329"/>
        <item x="895"/>
        <item x="963"/>
        <item x="939"/>
        <item x="1623"/>
        <item x="1526"/>
        <item x="73"/>
        <item x="248"/>
        <item x="11"/>
        <item x="250"/>
        <item x="1521"/>
        <item x="354"/>
        <item x="576"/>
        <item x="1761"/>
        <item x="1141"/>
        <item x="1790"/>
        <item x="1678"/>
        <item x="1511"/>
        <item x="1378"/>
        <item x="965"/>
        <item x="1574"/>
        <item x="775"/>
        <item x="1377"/>
        <item x="1831"/>
        <item x="777"/>
        <item x="1050"/>
        <item x="1466"/>
        <item x="1765"/>
        <item x="1320"/>
        <item x="841"/>
        <item x="1374"/>
        <item x="1551"/>
        <item x="1793"/>
        <item x="309"/>
        <item x="1820"/>
        <item x="1843"/>
        <item x="962"/>
        <item x="1787"/>
        <item x="1524"/>
        <item x="635"/>
        <item x="49"/>
        <item x="604"/>
        <item x="1772"/>
        <item x="597"/>
        <item x="419"/>
        <item x="1816"/>
        <item x="1503"/>
        <item x="1663"/>
        <item x="738"/>
        <item x="1402"/>
        <item x="1127"/>
        <item x="1173"/>
        <item x="1913"/>
        <item x="924"/>
        <item x="1513"/>
        <item x="1791"/>
        <item x="782"/>
        <item x="1278"/>
        <item x="1181"/>
        <item x="1495"/>
        <item x="485"/>
        <item x="1523"/>
        <item x="442"/>
        <item x="480"/>
        <item x="1167"/>
        <item x="677"/>
        <item x="1162"/>
        <item x="609"/>
        <item x="1977"/>
        <item x="824"/>
        <item x="1363"/>
        <item x="1961"/>
        <item x="1691"/>
        <item x="592"/>
        <item x="1610"/>
        <item x="127"/>
        <item x="1616"/>
        <item x="1987"/>
        <item x="902"/>
        <item x="1145"/>
        <item x="1997"/>
        <item x="1604"/>
        <item x="1686"/>
        <item x="1877"/>
        <item x="1437"/>
        <item x="940"/>
        <item x="2000"/>
        <item x="1275"/>
        <item x="1465"/>
        <item x="1794"/>
        <item x="834"/>
        <item x="1815"/>
        <item x="1527"/>
        <item x="1369"/>
        <item x="214"/>
        <item x="1784"/>
        <item x="232"/>
        <item x="754"/>
        <item x="384"/>
        <item x="205"/>
        <item x="1958"/>
        <item x="1619"/>
        <item x="1169"/>
        <item x="1573"/>
        <item x="1703"/>
        <item x="1668"/>
        <item x="1756"/>
        <item x="528"/>
        <item x="1174"/>
        <item x="1518"/>
        <item x="1528"/>
        <item x="1515"/>
        <item x="799"/>
        <item x="281"/>
        <item x="829"/>
        <item x="1062"/>
        <item x="572"/>
        <item x="41"/>
        <item x="1618"/>
        <item x="678"/>
        <item x="1400"/>
        <item x="1778"/>
        <item x="1413"/>
        <item x="1602"/>
        <item x="680"/>
        <item x="104"/>
        <item x="440"/>
        <item x="136"/>
        <item x="1292"/>
        <item x="1386"/>
        <item x="1387"/>
        <item x="993"/>
        <item x="1605"/>
        <item x="1114"/>
        <item x="1498"/>
        <item x="418"/>
        <item x="1715"/>
        <item x="273"/>
        <item x="1417"/>
        <item x="1821"/>
        <item x="1622"/>
        <item x="1636"/>
        <item x="1698"/>
        <item x="1932"/>
        <item x="831"/>
        <item x="1055"/>
        <item x="1866"/>
        <item x="972"/>
        <item x="175"/>
        <item x="1929"/>
        <item x="1867"/>
        <item x="974"/>
        <item x="1222"/>
        <item x="1415"/>
        <item x="986"/>
        <item x="1942"/>
        <item x="1224"/>
        <item x="1599"/>
        <item x="682"/>
        <item x="1945"/>
        <item x="1684"/>
        <item x="1661"/>
        <item x="1208"/>
        <item x="1217"/>
        <item x="1947"/>
        <item x="1911"/>
        <item x="1713"/>
        <item x="1606"/>
        <item x="725"/>
        <item x="1609"/>
        <item x="467"/>
        <item x="1651"/>
        <item x="1401"/>
        <item x="1243"/>
        <item x="1757"/>
        <item x="1517"/>
        <item x="566"/>
        <item x="988"/>
        <item x="1522"/>
        <item x="830"/>
        <item x="1064"/>
        <item x="1251"/>
        <item x="1773"/>
        <item x="1004"/>
        <item x="934"/>
        <item x="461"/>
        <item x="896"/>
        <item x="1245"/>
        <item x="1860"/>
        <item x="601"/>
        <item x="600"/>
        <item x="1683"/>
        <item x="137"/>
        <item x="90"/>
        <item x="1879"/>
        <item x="1836"/>
        <item x="1770"/>
        <item x="1755"/>
        <item x="885"/>
        <item x="351"/>
        <item x="463"/>
        <item x="1201"/>
        <item x="464"/>
        <item x="823"/>
        <item x="200"/>
        <item x="701"/>
        <item x="218"/>
        <item x="1244"/>
        <item x="1233"/>
        <item x="684"/>
        <item x="589"/>
        <item x="481"/>
        <item x="1712"/>
        <item x="91"/>
        <item x="1717"/>
        <item x="1561"/>
        <item x="1611"/>
        <item x="1823"/>
        <item x="1912"/>
        <item x="1586"/>
        <item x="1490"/>
        <item x="698"/>
        <item x="832"/>
        <item x="133"/>
        <item x="1845"/>
        <item x="1630"/>
        <item x="1753"/>
        <item x="1766"/>
        <item x="1901"/>
        <item x="817"/>
        <item x="1696"/>
        <item x="355"/>
        <item x="1307"/>
        <item x="1719"/>
        <item x="1018"/>
        <item x="1230"/>
        <item x="1582"/>
        <item x="70"/>
        <item x="697"/>
        <item x="142"/>
        <item x="75"/>
        <item x="1731"/>
        <item x="1489"/>
        <item x="633"/>
        <item x="1542"/>
        <item x="377"/>
        <item x="1916"/>
        <item x="1710"/>
        <item x="1775"/>
        <item x="1689"/>
        <item x="736"/>
        <item x="231"/>
        <item x="1003"/>
        <item x="31"/>
        <item x="759"/>
        <item x="723"/>
        <item x="397"/>
        <item x="646"/>
        <item x="373"/>
        <item x="8"/>
        <item x="230"/>
        <item x="749"/>
        <item x="1056"/>
        <item x="857"/>
        <item x="760"/>
        <item x="1223"/>
        <item x="1324"/>
        <item x="45"/>
        <item x="909"/>
        <item x="472"/>
        <item x="106"/>
        <item x="844"/>
        <item x="1473"/>
        <item x="258"/>
        <item x="332"/>
        <item x="685"/>
        <item x="527"/>
        <item x="188"/>
        <item x="812"/>
        <item x="305"/>
        <item x="1021"/>
        <item x="1161"/>
        <item x="776"/>
        <item x="647"/>
        <item x="277"/>
        <item x="1566"/>
        <item x="1904"/>
        <item x="1111"/>
        <item x="300"/>
        <item x="1839"/>
        <item x="1922"/>
        <item x="1267"/>
        <item x="1266"/>
        <item x="1235"/>
        <item x="1662"/>
        <item x="1856"/>
        <item x="1810"/>
        <item x="1951"/>
        <item x="1825"/>
        <item x="1491"/>
        <item x="620"/>
        <item x="730"/>
        <item x="271"/>
        <item x="1296"/>
        <item x="1969"/>
        <item x="1743"/>
        <item x="946"/>
        <item x="29"/>
        <item x="1299"/>
        <item x="1805"/>
        <item x="283"/>
        <item x="944"/>
        <item x="662"/>
        <item x="1626"/>
        <item x="391"/>
        <item x="931"/>
        <item x="1639"/>
        <item x="804"/>
        <item x="1095"/>
        <item x="794"/>
        <item x="1695"/>
        <item x="1679"/>
        <item x="786"/>
        <item x="1072"/>
        <item x="1677"/>
        <item x="1443"/>
        <item x="1083"/>
        <item x="1653"/>
        <item x="989"/>
        <item x="498"/>
        <item x="1730"/>
        <item x="1270"/>
        <item x="102"/>
        <item x="1565"/>
        <item x="1861"/>
        <item x="1893"/>
        <item x="1906"/>
        <item x="1441"/>
        <item x="1442"/>
        <item x="907"/>
        <item x="1920"/>
        <item x="1597"/>
        <item x="1914"/>
        <item x="1545"/>
        <item x="1769"/>
        <item x="765"/>
        <item x="1462"/>
        <item x="1166"/>
        <item x="1992"/>
        <item x="1875"/>
        <item x="1658"/>
        <item x="1288"/>
        <item x="466"/>
        <item x="1546"/>
        <item x="1798"/>
        <item x="1391"/>
        <item x="346"/>
        <item x="192"/>
        <item x="1216"/>
        <item x="806"/>
        <item x="676"/>
        <item x="1287"/>
        <item x="1652"/>
        <item x="1812"/>
        <item x="1390"/>
        <item x="720"/>
        <item x="1814"/>
        <item x="827"/>
        <item x="867"/>
        <item x="1654"/>
        <item x="403"/>
        <item x="850"/>
        <item x="653"/>
        <item x="1053"/>
        <item x="72"/>
        <item x="1079"/>
        <item x="155"/>
        <item x="162"/>
        <item x="688"/>
        <item x="951"/>
        <item x="1157"/>
        <item x="640"/>
        <item x="242"/>
        <item x="1008"/>
        <item x="750"/>
        <item x="714"/>
        <item x="1368"/>
        <item x="855"/>
        <item x="915"/>
        <item x="247"/>
        <item x="704"/>
        <item x="948"/>
        <item x="1301"/>
        <item x="475"/>
        <item x="947"/>
        <item x="945"/>
        <item x="1065"/>
        <item x="1290"/>
        <item x="1917"/>
        <item x="1348"/>
        <item x="1656"/>
        <item x="1802"/>
        <item x="541"/>
        <item x="540"/>
        <item x="908"/>
        <item x="1268"/>
        <item x="1505"/>
        <item x="1650"/>
        <item x="1427"/>
        <item x="1392"/>
        <item x="679"/>
        <item x="452"/>
        <item x="971"/>
        <item x="1960"/>
        <item x="54"/>
        <item x="51"/>
        <item x="1024"/>
        <item x="1334"/>
        <item x="1740"/>
        <item x="1471"/>
        <item x="998"/>
        <item x="1404"/>
        <item x="1493"/>
        <item x="783"/>
        <item x="2002"/>
        <item x="107"/>
        <item x="1461"/>
        <item x="1229"/>
        <item x="1232"/>
        <item x="1727"/>
        <item x="1539"/>
        <item x="1321"/>
        <item x="795"/>
        <item x="5"/>
        <item x="396"/>
        <item x="63"/>
        <item x="12"/>
        <item x="215"/>
        <item x="237"/>
        <item x="478"/>
        <item x="257"/>
        <item x="163"/>
        <item x="109"/>
        <item x="46"/>
        <item x="511"/>
        <item x="570"/>
        <item x="1534"/>
        <item x="539"/>
        <item x="1059"/>
        <item x="1136"/>
        <item x="74"/>
        <item x="327"/>
        <item x="1364"/>
        <item x="352"/>
        <item x="1115"/>
        <item x="486"/>
        <item x="742"/>
        <item x="58"/>
        <item x="1183"/>
        <item x="166"/>
        <item x="1644"/>
        <item x="733"/>
        <item x="60"/>
        <item x="807"/>
        <item x="1376"/>
        <item x="923"/>
        <item x="927"/>
        <item x="534"/>
        <item x="613"/>
        <item x="1382"/>
        <item x="883"/>
        <item x="1487"/>
        <item x="882"/>
        <item x="1711"/>
        <item x="1818"/>
        <item x="1817"/>
        <item x="1486"/>
        <item x="1252"/>
        <item x="599"/>
        <item x="1808"/>
        <item x="1410"/>
        <item x="9"/>
        <item x="6"/>
        <item x="111"/>
        <item x="1430"/>
        <item x="1939"/>
        <item x="1509"/>
        <item x="1429"/>
        <item t="default"/>
      </items>
    </pivotField>
    <pivotField showAll="0"/>
    <pivotField showAll="0"/>
    <pivotField showAll="0"/>
    <pivotField showAll="0"/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showAll="0"/>
    <pivotField axis="axisRow" showAll="0" sortType="descending">
      <items count="26">
        <item h="1" x="24"/>
        <item h="1" x="7"/>
        <item h="1" x="19"/>
        <item h="1" x="23"/>
        <item x="0"/>
        <item x="6"/>
        <item h="1" x="22"/>
        <item x="5"/>
        <item x="16"/>
        <item x="1"/>
        <item x="11"/>
        <item h="1" x="18"/>
        <item x="15"/>
        <item x="8"/>
        <item h="1" x="13"/>
        <item x="21"/>
        <item x="12"/>
        <item h="1" x="20"/>
        <item x="3"/>
        <item x="10"/>
        <item h="1" x="2"/>
        <item x="4"/>
        <item h="1" x="1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7"/>
  </rowFields>
  <rowItems count="16">
    <i>
      <x v="9"/>
    </i>
    <i>
      <x v="13"/>
    </i>
    <i>
      <x v="4"/>
    </i>
    <i>
      <x v="16"/>
    </i>
    <i>
      <x v="23"/>
    </i>
    <i>
      <x v="10"/>
    </i>
    <i>
      <x v="12"/>
    </i>
    <i>
      <x v="5"/>
    </i>
    <i>
      <x v="8"/>
    </i>
    <i>
      <x v="7"/>
    </i>
    <i>
      <x v="24"/>
    </i>
    <i>
      <x v="18"/>
    </i>
    <i>
      <x v="19"/>
    </i>
    <i>
      <x v="15"/>
    </i>
    <i>
      <x v="21"/>
    </i>
    <i t="grand">
      <x/>
    </i>
  </rowItems>
  <colItems count="1">
    <i/>
  </colItems>
  <dataFields count="1">
    <dataField name="Count of coffee_name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68734-E8FC-472E-B3EB-1E92CD7A4CF7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108:C115" firstHeaderRow="1" firstDataRow="1" firstDataCol="1"/>
  <pivotFields count="9">
    <pivotField dataField="1" showAll="0"/>
    <pivotField showAll="0"/>
    <pivotField axis="axisRow" showAll="0" sortType="descending">
      <items count="7">
        <item x="4"/>
        <item x="0"/>
        <item x="2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showAll="0"/>
    <pivotField showAll="0"/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2"/>
  </rowFields>
  <rowItems count="7">
    <i>
      <x v="4"/>
    </i>
    <i>
      <x v="1"/>
    </i>
    <i>
      <x v="2"/>
    </i>
    <i>
      <x v="3"/>
    </i>
    <i>
      <x/>
    </i>
    <i>
      <x v="5"/>
    </i>
    <i t="grand">
      <x/>
    </i>
  </rowItems>
  <colItems count="1">
    <i/>
  </colItems>
  <dataFields count="1">
    <dataField name="Count of coffee_name" fld="0" subtotal="count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D9E78-470F-4221-827E-82FBEFC9E17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47:C53" firstHeaderRow="1" firstDataRow="1" firstDataCol="1"/>
  <pivotFields count="9">
    <pivotField showAll="0"/>
    <pivotField axis="axisRow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showAll="0"/>
    <pivotField showAll="0"/>
    <pivotField showAll="0">
      <items count="46">
        <item x="44"/>
        <item x="36"/>
        <item x="43"/>
        <item x="23"/>
        <item x="19"/>
        <item x="42"/>
        <item x="32"/>
        <item x="34"/>
        <item x="31"/>
        <item x="41"/>
        <item x="15"/>
        <item x="35"/>
        <item x="28"/>
        <item x="20"/>
        <item x="38"/>
        <item x="12"/>
        <item x="10"/>
        <item x="7"/>
        <item x="3"/>
        <item x="29"/>
        <item x="11"/>
        <item x="17"/>
        <item x="40"/>
        <item x="14"/>
        <item x="26"/>
        <item x="18"/>
        <item x="8"/>
        <item x="5"/>
        <item x="16"/>
        <item x="6"/>
        <item x="13"/>
        <item x="22"/>
        <item x="9"/>
        <item x="39"/>
        <item x="30"/>
        <item x="33"/>
        <item x="27"/>
        <item x="0"/>
        <item x="37"/>
        <item x="21"/>
        <item x="24"/>
        <item x="25"/>
        <item x="2"/>
        <item x="1"/>
        <item x="4"/>
        <item t="default"/>
      </items>
    </pivotField>
  </pivotFields>
  <rowFields count="1">
    <field x="1"/>
  </rowFields>
  <rowItems count="6">
    <i>
      <x v="3"/>
    </i>
    <i>
      <x v="2"/>
    </i>
    <i>
      <x v="4"/>
    </i>
    <i>
      <x v="1"/>
    </i>
    <i>
      <x/>
    </i>
    <i t="grand">
      <x/>
    </i>
  </rowItems>
  <colItems count="1">
    <i/>
  </colItems>
  <dataFields count="1">
    <dataField name="Average of price_per_100g" fld="5" subtotal="average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38CCB-5592-445C-A27C-806B3023A3E6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33:R260" firstHeaderRow="1" firstDataRow="2" firstDataCol="1"/>
  <pivotFields count="9">
    <pivotField showAll="0">
      <items count="2004">
        <item x="845"/>
        <item x="1768"/>
        <item x="1420"/>
        <item x="360"/>
        <item x="170"/>
        <item x="1214"/>
        <item x="1086"/>
        <item x="1434"/>
        <item x="1176"/>
        <item x="213"/>
        <item x="868"/>
        <item x="1423"/>
        <item x="1576"/>
        <item x="1581"/>
        <item x="402"/>
        <item x="762"/>
        <item x="999"/>
        <item x="1478"/>
        <item x="865"/>
        <item x="1212"/>
        <item x="1347"/>
        <item x="1158"/>
        <item x="1547"/>
        <item x="1031"/>
        <item x="1074"/>
        <item x="1548"/>
        <item x="1665"/>
        <item x="1972"/>
        <item x="1482"/>
        <item x="217"/>
        <item x="1588"/>
        <item x="1681"/>
        <item x="1279"/>
        <item x="108"/>
        <item x="935"/>
        <item x="491"/>
        <item x="131"/>
        <item x="1303"/>
        <item x="513"/>
        <item x="1265"/>
        <item x="766"/>
        <item x="1319"/>
        <item x="1774"/>
        <item x="1568"/>
        <item x="802"/>
        <item x="860"/>
        <item x="1807"/>
        <item x="1989"/>
        <item x="165"/>
        <item x="1118"/>
        <item x="1205"/>
        <item x="1034"/>
        <item x="1349"/>
        <item x="1494"/>
        <item x="1585"/>
        <item x="1240"/>
        <item x="363"/>
        <item x="1640"/>
        <item x="796"/>
        <item x="1121"/>
        <item x="1520"/>
        <item x="966"/>
        <item x="1405"/>
        <item x="509"/>
        <item x="840"/>
        <item x="1886"/>
        <item x="1936"/>
        <item x="1286"/>
        <item x="1830"/>
        <item x="1475"/>
        <item x="990"/>
        <item x="1477"/>
        <item x="1558"/>
        <item x="1955"/>
        <item x="1559"/>
        <item x="734"/>
        <item x="930"/>
        <item x="19"/>
        <item x="746"/>
        <item x="110"/>
        <item x="914"/>
        <item x="1022"/>
        <item x="1096"/>
        <item x="1388"/>
        <item x="1137"/>
        <item x="1642"/>
        <item x="700"/>
        <item x="1935"/>
        <item x="538"/>
        <item x="1714"/>
        <item x="1553"/>
        <item x="899"/>
        <item x="1285"/>
        <item x="1080"/>
        <item x="1550"/>
        <item x="888"/>
        <item x="272"/>
        <item x="1395"/>
        <item x="1455"/>
        <item x="1225"/>
        <item x="1733"/>
        <item x="1732"/>
        <item x="1211"/>
        <item x="816"/>
        <item x="787"/>
        <item x="387"/>
        <item x="719"/>
        <item x="863"/>
        <item x="450"/>
        <item x="690"/>
        <item x="1457"/>
        <item x="912"/>
        <item x="911"/>
        <item x="1090"/>
        <item x="368"/>
        <item x="361"/>
        <item x="1149"/>
        <item x="691"/>
        <item x="1026"/>
        <item x="118"/>
        <item x="1112"/>
        <item x="314"/>
        <item x="495"/>
        <item x="901"/>
        <item x="140"/>
        <item x="141"/>
        <item x="236"/>
        <item x="394"/>
        <item x="960"/>
        <item x="623"/>
        <item x="625"/>
        <item x="624"/>
        <item x="1165"/>
        <item x="289"/>
        <item x="1007"/>
        <item x="292"/>
        <item x="637"/>
        <item x="553"/>
        <item x="24"/>
        <item x="1979"/>
        <item x="645"/>
        <item x="598"/>
        <item x="328"/>
        <item x="449"/>
        <item x="324"/>
        <item x="1028"/>
        <item x="595"/>
        <item x="673"/>
        <item x="443"/>
        <item x="269"/>
        <item x="268"/>
        <item x="270"/>
        <item x="105"/>
        <item x="1980"/>
        <item x="444"/>
        <item x="285"/>
        <item x="317"/>
        <item x="244"/>
        <item x="1317"/>
        <item x="134"/>
        <item x="392"/>
        <item x="291"/>
        <item x="437"/>
        <item x="433"/>
        <item x="1851"/>
        <item x="208"/>
        <item x="177"/>
        <item x="726"/>
        <item x="22"/>
        <item x="39"/>
        <item x="0"/>
        <item x="1448"/>
        <item x="1883"/>
        <item x="425"/>
        <item x="1025"/>
        <item x="744"/>
        <item x="781"/>
        <item x="551"/>
        <item x="474"/>
        <item x="1142"/>
        <item x="717"/>
        <item x="543"/>
        <item x="521"/>
        <item x="708"/>
        <item x="1190"/>
        <item x="1242"/>
        <item x="767"/>
        <item x="181"/>
        <item x="468"/>
        <item x="275"/>
        <item x="1"/>
        <item x="1177"/>
        <item x="1172"/>
        <item x="343"/>
        <item x="1739"/>
        <item x="520"/>
        <item x="593"/>
        <item x="21"/>
        <item x="926"/>
        <item x="168"/>
        <item x="1847"/>
        <item x="196"/>
        <item x="482"/>
        <item x="674"/>
        <item x="563"/>
        <item x="672"/>
        <item x="578"/>
        <item x="349"/>
        <item x="694"/>
        <item x="798"/>
        <item x="891"/>
        <item x="1701"/>
        <item x="1660"/>
        <item x="1071"/>
        <item x="854"/>
        <item x="1580"/>
        <item x="1189"/>
        <item x="331"/>
        <item x="320"/>
        <item x="581"/>
        <item x="556"/>
        <item x="251"/>
        <item x="1092"/>
        <item x="94"/>
        <item x="1981"/>
        <item x="399"/>
        <item x="964"/>
        <item x="483"/>
        <item x="366"/>
        <item x="385"/>
        <item x="453"/>
        <item x="370"/>
        <item x="503"/>
        <item x="833"/>
        <item x="522"/>
        <item x="1850"/>
        <item x="1983"/>
        <item x="755"/>
        <item x="378"/>
        <item x="644"/>
        <item x="846"/>
        <item x="1029"/>
        <item x="259"/>
        <item x="1889"/>
        <item x="628"/>
        <item x="877"/>
        <item x="1828"/>
        <item x="884"/>
        <item x="307"/>
        <item x="1027"/>
        <item x="1479"/>
        <item x="1474"/>
        <item x="856"/>
        <item x="252"/>
        <item x="864"/>
        <item x="852"/>
        <item x="426"/>
        <item x="1246"/>
        <item x="401"/>
        <item x="40"/>
        <item x="286"/>
        <item x="266"/>
        <item x="245"/>
        <item x="180"/>
        <item x="288"/>
        <item x="517"/>
        <item x="276"/>
        <item x="56"/>
        <item x="995"/>
        <item x="129"/>
        <item x="552"/>
        <item x="7"/>
        <item x="434"/>
        <item x="555"/>
        <item x="249"/>
        <item x="310"/>
        <item x="333"/>
        <item x="470"/>
        <item x="558"/>
        <item x="671"/>
        <item x="1001"/>
        <item x="983"/>
        <item x="184"/>
        <item x="1990"/>
        <item x="715"/>
        <item x="545"/>
        <item x="318"/>
        <item x="322"/>
        <item x="88"/>
        <item x="284"/>
        <item x="1557"/>
        <item x="28"/>
        <item x="1125"/>
        <item x="71"/>
        <item x="1152"/>
        <item x="400"/>
        <item x="55"/>
        <item x="1308"/>
        <item x="780"/>
        <item x="311"/>
        <item x="1648"/>
        <item x="668"/>
        <item x="233"/>
        <item x="329"/>
        <item x="494"/>
        <item x="1146"/>
        <item x="414"/>
        <item x="1959"/>
        <item x="1280"/>
        <item x="1982"/>
        <item x="1863"/>
        <item x="619"/>
        <item x="716"/>
        <item x="851"/>
        <item x="362"/>
        <item x="1263"/>
        <item x="1783"/>
        <item x="113"/>
        <item x="297"/>
        <item x="484"/>
        <item x="222"/>
        <item x="287"/>
        <item x="220"/>
        <item x="223"/>
        <item x="152"/>
        <item x="415"/>
        <item x="413"/>
        <item x="174"/>
        <item x="221"/>
        <item x="929"/>
        <item x="729"/>
        <item x="435"/>
        <item x="326"/>
        <item x="1846"/>
        <item x="1567"/>
        <item x="943"/>
        <item x="1044"/>
        <item x="379"/>
        <item x="1556"/>
        <item x="1615"/>
        <item x="1575"/>
        <item x="116"/>
        <item x="1200"/>
        <item x="997"/>
        <item x="918"/>
        <item x="696"/>
        <item x="792"/>
        <item x="747"/>
        <item x="347"/>
        <item x="735"/>
        <item x="144"/>
        <item x="638"/>
        <item x="1716"/>
        <item x="1087"/>
        <item x="1362"/>
        <item x="1925"/>
        <item x="1525"/>
        <item x="17"/>
        <item x="125"/>
        <item x="1718"/>
        <item x="1327"/>
        <item x="692"/>
        <item x="115"/>
        <item x="1159"/>
        <item x="928"/>
        <item x="68"/>
        <item x="705"/>
        <item x="921"/>
        <item x="130"/>
        <item x="390"/>
        <item x="42"/>
        <item x="859"/>
        <item x="219"/>
        <item x="340"/>
        <item x="1584"/>
        <item x="479"/>
        <item x="80"/>
        <item x="707"/>
        <item x="1188"/>
        <item x="1878"/>
        <item x="731"/>
        <item x="1366"/>
        <item x="526"/>
        <item x="124"/>
        <item x="120"/>
        <item x="67"/>
        <item x="699"/>
        <item x="454"/>
        <item x="1228"/>
        <item x="1649"/>
        <item x="1601"/>
        <item x="477"/>
        <item x="238"/>
        <item x="374"/>
        <item x="502"/>
        <item x="825"/>
        <item x="560"/>
        <item x="386"/>
        <item x="568"/>
        <item x="980"/>
        <item x="1094"/>
        <item x="1358"/>
        <item x="681"/>
        <item x="128"/>
        <item x="1273"/>
        <item x="1194"/>
        <item x="1033"/>
        <item x="1406"/>
        <item x="1978"/>
        <item x="1549"/>
        <item x="1552"/>
        <item x="1788"/>
        <item x="1389"/>
        <item x="611"/>
        <item x="605"/>
        <item x="1371"/>
        <item x="1153"/>
        <item x="298"/>
        <item x="1570"/>
        <item x="1504"/>
        <item x="20"/>
        <item x="1293"/>
        <item x="630"/>
        <item x="436"/>
        <item x="1207"/>
        <item x="1178"/>
        <item x="761"/>
        <item x="525"/>
        <item x="785"/>
        <item x="204"/>
        <item x="1571"/>
        <item x="488"/>
        <item x="57"/>
        <item x="30"/>
        <item x="724"/>
        <item x="506"/>
        <item x="1184"/>
        <item x="937"/>
        <item x="757"/>
        <item x="1627"/>
        <item x="1488"/>
        <item x="1577"/>
        <item x="1607"/>
        <item x="1771"/>
        <item x="1431"/>
        <item x="1603"/>
        <item x="669"/>
        <item x="1154"/>
        <item x="1097"/>
        <item x="933"/>
        <item x="432"/>
        <item x="512"/>
        <item x="514"/>
        <item x="1373"/>
        <item x="1884"/>
        <item x="1407"/>
        <item x="1256"/>
        <item x="571"/>
        <item x="693"/>
        <item x="779"/>
        <item x="490"/>
        <item x="1720"/>
        <item x="1291"/>
        <item x="861"/>
        <item x="1202"/>
        <item x="582"/>
        <item x="1414"/>
        <item x="1472"/>
        <item x="1469"/>
        <item x="683"/>
        <item x="1645"/>
        <item x="316"/>
        <item x="389"/>
        <item x="1624"/>
        <item x="790"/>
        <item x="193"/>
        <item x="117"/>
        <item x="1944"/>
        <item x="1155"/>
        <item x="1892"/>
        <item x="542"/>
        <item x="176"/>
        <item x="791"/>
        <item x="79"/>
        <item x="1976"/>
        <item x="1985"/>
        <item x="1996"/>
        <item x="1995"/>
        <item x="1865"/>
        <item x="1902"/>
        <item x="1910"/>
        <item x="1986"/>
        <item x="1950"/>
        <item x="1748"/>
        <item x="1119"/>
        <item x="1804"/>
        <item x="1853"/>
        <item x="121"/>
        <item x="1563"/>
        <item x="819"/>
        <item x="1848"/>
        <item x="881"/>
        <item x="880"/>
        <item x="1231"/>
        <item x="1326"/>
        <item x="1725"/>
        <item x="1192"/>
        <item x="2001"/>
        <item x="1600"/>
        <item x="1101"/>
        <item x="496"/>
        <item x="1967"/>
        <item x="1968"/>
        <item x="1338"/>
        <item x="1676"/>
        <item x="1841"/>
        <item x="1502"/>
        <item x="1450"/>
        <item x="835"/>
        <item x="1367"/>
        <item x="910"/>
        <item x="1675"/>
        <item x="547"/>
        <item x="1269"/>
        <item x="621"/>
        <item x="148"/>
        <item x="1876"/>
        <item x="1140"/>
        <item x="546"/>
        <item x="574"/>
        <item x="69"/>
        <item x="721"/>
        <item x="135"/>
        <item x="1741"/>
        <item x="811"/>
        <item x="769"/>
        <item x="313"/>
        <item x="114"/>
        <item x="686"/>
        <item x="814"/>
        <item x="420"/>
        <item x="191"/>
        <item x="1647"/>
        <item x="1948"/>
        <item x="190"/>
        <item x="32"/>
        <item x="1311"/>
        <item x="383"/>
        <item x="1375"/>
        <item x="1412"/>
        <item x="1764"/>
        <item x="112"/>
        <item x="516"/>
        <item x="741"/>
        <item x="505"/>
        <item x="499"/>
        <item x="614"/>
        <item x="805"/>
        <item x="905"/>
        <item x="462"/>
        <item x="171"/>
        <item x="822"/>
        <item x="211"/>
        <item x="62"/>
        <item x="198"/>
        <item x="770"/>
        <item x="367"/>
        <item x="596"/>
        <item x="1394"/>
        <item x="1667"/>
        <item x="1974"/>
        <item x="338"/>
        <item x="1707"/>
        <item x="1722"/>
        <item x="1088"/>
        <item x="925"/>
        <item x="848"/>
        <item x="1501"/>
        <item x="246"/>
        <item x="606"/>
        <item x="1706"/>
        <item x="584"/>
        <item x="1068"/>
        <item x="1047"/>
        <item x="321"/>
        <item x="1734"/>
        <item x="727"/>
        <item x="826"/>
        <item x="1195"/>
        <item x="557"/>
        <item x="279"/>
        <item x="226"/>
        <item x="1800"/>
        <item x="1795"/>
        <item x="1399"/>
        <item x="1075"/>
        <item x="675"/>
        <item x="849"/>
        <item x="569"/>
        <item x="350"/>
        <item x="81"/>
        <item x="1745"/>
        <item x="554"/>
        <item x="1425"/>
        <item x="1530"/>
        <item x="1271"/>
        <item x="893"/>
        <item x="996"/>
        <item x="1742"/>
        <item x="636"/>
        <item x="1139"/>
        <item x="587"/>
        <item x="1345"/>
        <item x="1017"/>
        <item x="654"/>
        <item x="473"/>
        <item x="586"/>
        <item x="89"/>
        <item x="225"/>
        <item x="103"/>
        <item x="631"/>
        <item x="1359"/>
        <item x="878"/>
        <item x="524"/>
        <item x="1357"/>
        <item x="1051"/>
        <item x="312"/>
        <item x="537"/>
        <item x="380"/>
        <item x="961"/>
        <item x="1133"/>
        <item x="83"/>
        <item x="228"/>
        <item x="1057"/>
        <item x="429"/>
        <item x="956"/>
        <item x="1383"/>
        <item x="1045"/>
        <item x="43"/>
        <item x="15"/>
        <item x="991"/>
        <item x="919"/>
        <item x="428"/>
        <item x="900"/>
        <item x="1049"/>
        <item x="862"/>
        <item x="216"/>
        <item x="1138"/>
        <item x="1315"/>
        <item x="906"/>
        <item x="751"/>
        <item x="210"/>
        <item x="981"/>
        <item x="978"/>
        <item x="1484"/>
        <item x="732"/>
        <item x="1254"/>
        <item x="267"/>
        <item x="649"/>
        <item x="648"/>
        <item x="866"/>
        <item x="745"/>
        <item x="643"/>
        <item x="1013"/>
        <item x="970"/>
        <item x="969"/>
        <item x="1446"/>
        <item x="1837"/>
        <item x="1590"/>
        <item x="608"/>
        <item x="523"/>
        <item x="1006"/>
        <item x="602"/>
        <item x="1628"/>
        <item x="1344"/>
        <item x="1300"/>
        <item x="1536"/>
        <item x="917"/>
        <item x="1147"/>
        <item x="1302"/>
        <item x="1864"/>
        <item x="1187"/>
        <item x="617"/>
        <item x="583"/>
        <item x="1700"/>
        <item x="607"/>
        <item x="687"/>
        <item x="603"/>
        <item x="344"/>
        <item x="1625"/>
        <item x="489"/>
        <item x="87"/>
        <item x="1130"/>
        <item x="1131"/>
        <item x="1257"/>
        <item x="892"/>
        <item x="1759"/>
        <item x="957"/>
        <item x="1054"/>
        <item x="1785"/>
        <item x="580"/>
        <item x="1063"/>
        <item x="1356"/>
        <item x="1591"/>
        <item x="879"/>
        <item x="1297"/>
        <item x="1314"/>
        <item x="460"/>
        <item x="1693"/>
        <item x="1897"/>
        <item x="1440"/>
        <item x="364"/>
        <item x="1239"/>
        <item x="1543"/>
        <item x="235"/>
        <item x="1735"/>
        <item x="183"/>
        <item x="1206"/>
        <item x="224"/>
        <item x="33"/>
        <item x="1840"/>
        <item x="659"/>
        <item x="93"/>
        <item x="1221"/>
        <item x="979"/>
        <item x="952"/>
        <item x="458"/>
        <item x="371"/>
        <item x="1066"/>
        <item x="916"/>
        <item x="1085"/>
        <item x="530"/>
        <item x="768"/>
        <item x="803"/>
        <item x="1289"/>
        <item x="100"/>
        <item x="977"/>
        <item x="1093"/>
        <item x="1156"/>
        <item x="1185"/>
        <item x="661"/>
        <item x="1038"/>
        <item x="641"/>
        <item x="4"/>
        <item x="1497"/>
        <item x="1036"/>
        <item x="132"/>
        <item x="712"/>
        <item x="441"/>
        <item x="660"/>
        <item x="98"/>
        <item x="161"/>
        <item x="372"/>
        <item x="264"/>
        <item x="412"/>
        <item x="229"/>
        <item x="240"/>
        <item x="50"/>
        <item x="154"/>
        <item x="262"/>
        <item x="304"/>
        <item x="801"/>
        <item x="375"/>
        <item x="1579"/>
        <item x="871"/>
        <item x="1237"/>
        <item x="1578"/>
        <item x="1258"/>
        <item x="1220"/>
        <item x="616"/>
        <item x="1529"/>
        <item x="1052"/>
        <item x="416"/>
        <item x="1595"/>
        <item x="459"/>
        <item x="1227"/>
        <item x="1002"/>
        <item x="1826"/>
        <item x="1900"/>
        <item x="967"/>
        <item x="1621"/>
        <item x="1688"/>
        <item x="1803"/>
        <item x="1762"/>
        <item x="1750"/>
        <item x="737"/>
        <item x="837"/>
        <item x="212"/>
        <item x="1281"/>
        <item x="1492"/>
        <item x="695"/>
        <item x="411"/>
        <item x="365"/>
        <item x="1032"/>
        <item x="278"/>
        <item x="1723"/>
        <item x="847"/>
        <item x="422"/>
        <item x="1120"/>
        <item x="1426"/>
        <item x="86"/>
        <item x="1631"/>
        <item x="195"/>
        <item x="1196"/>
        <item x="492"/>
        <item x="890"/>
        <item x="209"/>
        <item x="78"/>
        <item x="839"/>
        <item x="123"/>
        <item x="84"/>
        <item x="145"/>
        <item x="299"/>
        <item x="942"/>
        <item x="1082"/>
        <item x="1776"/>
        <item x="290"/>
        <item x="323"/>
        <item x="1160"/>
        <item x="254"/>
        <item x="1283"/>
        <item x="1608"/>
        <item x="627"/>
        <item x="1048"/>
        <item x="234"/>
        <item x="253"/>
        <item x="920"/>
        <item x="1249"/>
        <item x="1868"/>
        <item x="335"/>
        <item x="752"/>
        <item x="1952"/>
        <item x="1113"/>
        <item x="533"/>
        <item x="1943"/>
        <item x="1012"/>
        <item x="1209"/>
        <item x="1674"/>
        <item x="1016"/>
        <item x="875"/>
        <item x="842"/>
        <item x="843"/>
        <item x="813"/>
        <item x="950"/>
        <item x="591"/>
        <item x="958"/>
        <item x="1198"/>
        <item x="182"/>
        <item x="241"/>
        <item x="409"/>
        <item x="301"/>
        <item x="160"/>
        <item x="610"/>
        <item x="153"/>
        <item x="3"/>
        <item x="302"/>
        <item x="303"/>
        <item x="1464"/>
        <item x="1646"/>
        <item x="1340"/>
        <item x="713"/>
        <item x="771"/>
        <item x="828"/>
        <item x="255"/>
        <item x="99"/>
        <item x="949"/>
        <item x="575"/>
        <item x="1751"/>
        <item x="97"/>
        <item x="1422"/>
        <item x="1669"/>
        <item x="1829"/>
        <item x="203"/>
        <item x="179"/>
        <item x="1758"/>
        <item x="1255"/>
        <item x="1752"/>
        <item x="1507"/>
        <item x="1923"/>
        <item x="838"/>
        <item x="1134"/>
        <item x="1682"/>
        <item x="941"/>
        <item x="178"/>
        <item x="1310"/>
        <item x="158"/>
        <item x="424"/>
        <item x="1186"/>
        <item x="1110"/>
        <item x="1919"/>
        <item x="1736"/>
        <item x="1506"/>
        <item x="703"/>
        <item x="561"/>
        <item x="265"/>
        <item x="1885"/>
        <item x="1956"/>
        <item x="1937"/>
        <item x="1343"/>
        <item x="922"/>
        <item x="1635"/>
        <item x="295"/>
        <item x="1541"/>
        <item x="1260"/>
        <item x="1041"/>
        <item x="1643"/>
        <item x="1042"/>
        <item x="23"/>
        <item x="1801"/>
        <item x="1749"/>
        <item x="471"/>
        <item x="1294"/>
        <item x="14"/>
        <item x="670"/>
        <item x="954"/>
        <item x="1089"/>
        <item x="451"/>
        <item x="1657"/>
        <item x="1855"/>
        <item x="1554"/>
        <item x="1023"/>
        <item x="1692"/>
        <item x="169"/>
        <item x="167"/>
        <item x="748"/>
        <item x="207"/>
        <item x="206"/>
        <item x="973"/>
        <item x="508"/>
        <item x="1562"/>
        <item x="1819"/>
        <item x="1763"/>
        <item x="1143"/>
        <item x="615"/>
        <item x="1792"/>
        <item x="1782"/>
        <item x="227"/>
        <item x="1926"/>
        <item x="1729"/>
        <item x="199"/>
        <item x="76"/>
        <item x="1352"/>
        <item x="1351"/>
        <item x="1123"/>
        <item x="1069"/>
        <item x="1555"/>
        <item x="870"/>
        <item x="818"/>
        <item x="1544"/>
        <item x="469"/>
        <item x="1046"/>
        <item x="1915"/>
        <item x="38"/>
        <item x="1659"/>
        <item x="1672"/>
        <item x="1164"/>
        <item x="1361"/>
        <item x="1891"/>
        <item x="1930"/>
        <item x="1999"/>
        <item x="665"/>
        <item x="16"/>
        <item x="1467"/>
        <item x="1827"/>
        <item x="1459"/>
        <item x="1355"/>
        <item x="119"/>
        <item x="1333"/>
        <item x="1030"/>
        <item x="1638"/>
        <item x="1612"/>
        <item x="189"/>
        <item x="1084"/>
        <item x="622"/>
        <item x="1070"/>
        <item x="339"/>
        <item x="992"/>
        <item x="1428"/>
        <item x="1318"/>
        <item x="632"/>
        <item x="172"/>
        <item x="1040"/>
        <item x="626"/>
        <item x="1596"/>
        <item x="1182"/>
        <item x="1226"/>
        <item x="666"/>
        <item x="549"/>
        <item x="1760"/>
        <item x="1350"/>
        <item x="1385"/>
        <item x="1398"/>
        <item x="1438"/>
        <item x="1061"/>
        <item x="357"/>
        <item x="1799"/>
        <item x="1419"/>
        <item x="1797"/>
        <item x="667"/>
        <item x="1259"/>
        <item x="1241"/>
        <item x="1842"/>
        <item x="810"/>
        <item x="1744"/>
        <item x="1284"/>
        <item x="243"/>
        <item x="1248"/>
        <item x="1451"/>
        <item x="1454"/>
        <item x="1476"/>
        <item x="406"/>
        <item x="1365"/>
        <item x="1236"/>
        <item x="1453"/>
        <item x="1247"/>
        <item x="1452"/>
        <item x="1179"/>
        <item x="1481"/>
        <item x="515"/>
        <item x="1519"/>
        <item x="753"/>
        <item x="932"/>
        <item x="1416"/>
        <item x="1204"/>
        <item x="1637"/>
        <item x="913"/>
        <item x="548"/>
        <item x="1838"/>
        <item x="381"/>
        <item x="1496"/>
        <item x="65"/>
        <item x="465"/>
        <item x="1512"/>
        <item x="1384"/>
        <item x="1685"/>
        <item x="1354"/>
        <item x="1264"/>
        <item x="61"/>
        <item x="535"/>
        <item x="1993"/>
        <item x="256"/>
        <item x="1005"/>
        <item x="897"/>
        <item x="457"/>
        <item x="1857"/>
        <item x="1957"/>
        <item x="445"/>
        <item x="186"/>
        <item x="185"/>
        <item x="873"/>
        <item x="618"/>
        <item x="438"/>
        <item x="567"/>
        <item x="77"/>
        <item x="308"/>
        <item x="1483"/>
        <item x="53"/>
        <item x="1445"/>
        <item x="1353"/>
        <item x="869"/>
        <item x="872"/>
        <item x="1432"/>
        <item x="858"/>
        <item x="405"/>
        <item x="263"/>
        <item x="1907"/>
        <item x="1888"/>
        <item x="345"/>
        <item x="898"/>
        <item x="101"/>
        <item x="573"/>
        <item x="544"/>
        <item x="421"/>
        <item x="1328"/>
        <item x="1859"/>
        <item x="562"/>
        <item x="37"/>
        <item x="1396"/>
        <item x="1589"/>
        <item x="1043"/>
        <item x="853"/>
        <item x="664"/>
        <item x="639"/>
        <item x="52"/>
        <item x="663"/>
        <item x="187"/>
        <item x="159"/>
        <item x="410"/>
        <item x="1880"/>
        <item x="994"/>
        <item x="886"/>
        <item x="1738"/>
        <item x="1077"/>
        <item x="388"/>
        <item x="809"/>
        <item x="1964"/>
        <item x="1081"/>
        <item x="1332"/>
        <item x="820"/>
        <item x="1931"/>
        <item x="1439"/>
        <item x="1203"/>
        <item x="18"/>
        <item x="1569"/>
        <item x="1991"/>
        <item x="985"/>
        <item x="778"/>
        <item x="1564"/>
        <item x="1587"/>
        <item x="1011"/>
        <item x="1899"/>
        <item x="689"/>
        <item x="1781"/>
        <item x="1500"/>
        <item x="455"/>
        <item x="532"/>
        <item x="1116"/>
        <item x="1091"/>
        <item x="1109"/>
        <item x="10"/>
        <item x="337"/>
        <item x="1697"/>
        <item x="1213"/>
        <item x="446"/>
        <item x="1316"/>
        <item x="1898"/>
        <item x="1903"/>
        <item x="1305"/>
        <item x="718"/>
        <item x="126"/>
        <item x="1858"/>
        <item x="1060"/>
        <item x="1780"/>
        <item x="1975"/>
        <item x="800"/>
        <item x="793"/>
        <item x="507"/>
        <item x="439"/>
        <item x="1882"/>
        <item x="430"/>
        <item x="1168"/>
        <item x="2"/>
        <item x="1180"/>
        <item x="1921"/>
        <item x="1014"/>
        <item x="1122"/>
        <item x="1238"/>
        <item x="763"/>
        <item x="772"/>
        <item x="408"/>
        <item x="1535"/>
        <item x="13"/>
        <item x="1403"/>
        <item x="519"/>
        <item x="282"/>
        <item x="1666"/>
        <item x="1824"/>
        <item x="1436"/>
        <item x="358"/>
        <item x="1767"/>
        <item x="319"/>
        <item x="564"/>
        <item x="342"/>
        <item x="651"/>
        <item x="149"/>
        <item x="1470"/>
        <item x="594"/>
        <item x="47"/>
        <item x="1463"/>
        <item x="711"/>
        <item x="1126"/>
        <item x="710"/>
        <item x="1832"/>
        <item x="395"/>
        <item x="294"/>
        <item x="789"/>
        <item x="1379"/>
        <item x="1360"/>
        <item x="1335"/>
        <item x="1150"/>
        <item x="1151"/>
        <item x="797"/>
        <item x="1337"/>
        <item x="1456"/>
        <item x="1458"/>
        <item x="579"/>
        <item x="565"/>
        <item x="359"/>
        <item x="356"/>
        <item x="550"/>
        <item x="743"/>
        <item x="518"/>
        <item x="739"/>
        <item x="427"/>
        <item x="1933"/>
        <item x="815"/>
        <item x="1277"/>
        <item x="764"/>
        <item x="1905"/>
        <item x="34"/>
        <item x="784"/>
        <item x="1019"/>
        <item x="35"/>
        <item x="1135"/>
        <item x="585"/>
        <item x="1035"/>
        <item x="26"/>
        <item x="27"/>
        <item x="1250"/>
        <item x="1789"/>
        <item x="1620"/>
        <item x="497"/>
        <item x="1673"/>
        <item x="1076"/>
        <item x="146"/>
        <item x="1073"/>
        <item x="1938"/>
        <item x="1632"/>
        <item x="1705"/>
        <item x="1485"/>
        <item x="143"/>
        <item x="1872"/>
        <item x="1634"/>
        <item x="404"/>
        <item x="1148"/>
        <item x="1598"/>
        <item x="1594"/>
        <item x="1965"/>
        <item x="1994"/>
        <item x="1583"/>
        <item x="1953"/>
        <item x="1924"/>
        <item x="1694"/>
        <item x="955"/>
        <item x="1108"/>
        <item x="417"/>
        <item x="341"/>
        <item x="1786"/>
        <item x="650"/>
        <item x="1460"/>
        <item x="1852"/>
        <item x="1971"/>
        <item x="1998"/>
        <item x="656"/>
        <item x="500"/>
        <item x="1418"/>
        <item x="1341"/>
        <item x="1796"/>
        <item x="147"/>
        <item x="1100"/>
        <item x="876"/>
        <item x="96"/>
        <item x="44"/>
        <item x="1099"/>
        <item x="1726"/>
        <item x="1336"/>
        <item x="334"/>
        <item x="1447"/>
        <item x="1449"/>
        <item x="1908"/>
        <item x="1408"/>
        <item x="59"/>
        <item x="1633"/>
        <item x="1171"/>
        <item x="1370"/>
        <item x="1210"/>
        <item x="1015"/>
        <item x="1641"/>
        <item x="197"/>
        <item x="874"/>
        <item x="336"/>
        <item x="1234"/>
        <item x="808"/>
        <item x="642"/>
        <item x="1531"/>
        <item x="1514"/>
        <item x="260"/>
        <item x="536"/>
        <item x="1433"/>
        <item x="1533"/>
        <item x="1397"/>
        <item x="1128"/>
        <item x="1881"/>
        <item x="1871"/>
        <item x="398"/>
        <item x="1129"/>
        <item x="448"/>
        <item x="1325"/>
        <item x="612"/>
        <item x="1928"/>
        <item x="588"/>
        <item x="1510"/>
        <item x="1381"/>
        <item x="1262"/>
        <item x="157"/>
        <item x="590"/>
        <item x="1480"/>
        <item x="1747"/>
        <item x="1346"/>
        <item x="1330"/>
        <item x="1894"/>
        <item x="1724"/>
        <item x="836"/>
        <item x="1822"/>
        <item x="904"/>
        <item x="1896"/>
        <item x="504"/>
        <item x="1690"/>
        <item x="894"/>
        <item x="1124"/>
        <item x="756"/>
        <item x="1870"/>
        <item x="959"/>
        <item x="1516"/>
        <item x="1295"/>
        <item x="1869"/>
        <item x="1970"/>
        <item x="1312"/>
        <item x="1339"/>
        <item x="577"/>
        <item x="1102"/>
        <item x="1219"/>
        <item x="1191"/>
        <item x="1274"/>
        <item x="559"/>
        <item x="1103"/>
        <item x="1218"/>
        <item x="1253"/>
        <item x="122"/>
        <item x="1873"/>
        <item x="1215"/>
        <item x="1670"/>
        <item x="194"/>
        <item x="1963"/>
        <item x="1617"/>
        <item x="1699"/>
        <item x="82"/>
        <item x="1728"/>
        <item x="1261"/>
        <item x="1614"/>
        <item x="1197"/>
        <item x="66"/>
        <item x="1444"/>
        <item x="1010"/>
        <item x="369"/>
        <item x="1105"/>
        <item x="25"/>
        <item x="1777"/>
        <item x="1106"/>
        <item x="1874"/>
        <item x="1421"/>
        <item x="1331"/>
        <item x="1508"/>
        <item x="407"/>
        <item x="1746"/>
        <item x="1833"/>
        <item x="1988"/>
        <item x="1702"/>
        <item x="173"/>
        <item x="1854"/>
        <item x="1813"/>
        <item x="501"/>
        <item x="1537"/>
        <item x="1282"/>
        <item x="1309"/>
        <item x="1687"/>
        <item x="447"/>
        <item x="1424"/>
        <item x="1468"/>
        <item x="1941"/>
        <item x="1887"/>
        <item x="1940"/>
        <item x="652"/>
        <item x="655"/>
        <item x="1009"/>
        <item x="1849"/>
        <item x="1835"/>
        <item x="1862"/>
        <item x="1132"/>
        <item x="634"/>
        <item x="953"/>
        <item x="1540"/>
        <item x="821"/>
        <item x="1560"/>
        <item x="1380"/>
        <item x="1809"/>
        <item x="476"/>
        <item x="1709"/>
        <item x="296"/>
        <item x="85"/>
        <item x="330"/>
        <item x="1435"/>
        <item x="706"/>
        <item x="774"/>
        <item x="1592"/>
        <item x="306"/>
        <item x="1039"/>
        <item x="1313"/>
        <item x="1629"/>
        <item x="1680"/>
        <item x="1737"/>
        <item x="1671"/>
        <item x="1593"/>
        <item x="1499"/>
        <item x="1199"/>
        <item x="728"/>
        <item x="1572"/>
        <item x="1973"/>
        <item x="1909"/>
        <item x="1895"/>
        <item x="1949"/>
        <item x="1954"/>
        <item x="1934"/>
        <item x="740"/>
        <item x="1409"/>
        <item x="1806"/>
        <item x="1342"/>
        <item x="1779"/>
        <item x="1107"/>
        <item x="1304"/>
        <item x="1538"/>
        <item x="1532"/>
        <item x="1411"/>
        <item x="1664"/>
        <item x="1890"/>
        <item x="1298"/>
        <item x="1104"/>
        <item x="1834"/>
        <item x="1175"/>
        <item x="1098"/>
        <item x="773"/>
        <item x="201"/>
        <item x="156"/>
        <item x="529"/>
        <item x="202"/>
        <item x="709"/>
        <item x="456"/>
        <item x="150"/>
        <item x="261"/>
        <item x="976"/>
        <item x="982"/>
        <item x="658"/>
        <item x="1067"/>
        <item x="376"/>
        <item x="1984"/>
        <item x="1966"/>
        <item x="1655"/>
        <item x="1170"/>
        <item x="889"/>
        <item x="1323"/>
        <item x="1721"/>
        <item x="1754"/>
        <item x="1144"/>
        <item x="1037"/>
        <item x="1393"/>
        <item x="1372"/>
        <item x="1322"/>
        <item x="1306"/>
        <item x="1708"/>
        <item x="164"/>
        <item x="36"/>
        <item x="758"/>
        <item x="531"/>
        <item x="1163"/>
        <item x="315"/>
        <item x="629"/>
        <item x="92"/>
        <item x="274"/>
        <item x="139"/>
        <item x="293"/>
        <item x="487"/>
        <item x="903"/>
        <item x="1193"/>
        <item x="1844"/>
        <item x="239"/>
        <item x="975"/>
        <item x="936"/>
        <item x="1020"/>
        <item x="423"/>
        <item x="382"/>
        <item x="722"/>
        <item x="353"/>
        <item x="151"/>
        <item x="987"/>
        <item x="1117"/>
        <item x="393"/>
        <item x="657"/>
        <item x="348"/>
        <item x="1058"/>
        <item x="887"/>
        <item x="138"/>
        <item x="325"/>
        <item x="702"/>
        <item x="984"/>
        <item x="64"/>
        <item x="1000"/>
        <item x="1704"/>
        <item x="1272"/>
        <item x="431"/>
        <item x="1927"/>
        <item x="788"/>
        <item x="1811"/>
        <item x="1946"/>
        <item x="1918"/>
        <item x="1078"/>
        <item x="48"/>
        <item x="968"/>
        <item x="1613"/>
        <item x="1962"/>
        <item x="1276"/>
        <item x="493"/>
        <item x="510"/>
        <item x="280"/>
        <item x="938"/>
        <item x="95"/>
        <item x="1329"/>
        <item x="895"/>
        <item x="963"/>
        <item x="939"/>
        <item x="1623"/>
        <item x="1526"/>
        <item x="73"/>
        <item x="248"/>
        <item x="11"/>
        <item x="250"/>
        <item x="1521"/>
        <item x="354"/>
        <item x="576"/>
        <item x="1761"/>
        <item x="1141"/>
        <item x="1790"/>
        <item x="1678"/>
        <item x="1511"/>
        <item x="1378"/>
        <item x="965"/>
        <item x="1574"/>
        <item x="775"/>
        <item x="1377"/>
        <item x="1831"/>
        <item x="777"/>
        <item x="1050"/>
        <item x="1466"/>
        <item x="1765"/>
        <item x="1320"/>
        <item x="841"/>
        <item x="1374"/>
        <item x="1551"/>
        <item x="1793"/>
        <item x="309"/>
        <item x="1820"/>
        <item x="1843"/>
        <item x="962"/>
        <item x="1787"/>
        <item x="1524"/>
        <item x="635"/>
        <item x="49"/>
        <item x="604"/>
        <item x="1772"/>
        <item x="597"/>
        <item x="419"/>
        <item x="1816"/>
        <item x="1503"/>
        <item x="1663"/>
        <item x="738"/>
        <item x="1402"/>
        <item x="1127"/>
        <item x="1173"/>
        <item x="1913"/>
        <item x="924"/>
        <item x="1513"/>
        <item x="1791"/>
        <item x="782"/>
        <item x="1278"/>
        <item x="1181"/>
        <item x="1495"/>
        <item x="485"/>
        <item x="1523"/>
        <item x="442"/>
        <item x="480"/>
        <item x="1167"/>
        <item x="677"/>
        <item x="1162"/>
        <item x="609"/>
        <item x="1977"/>
        <item x="824"/>
        <item x="1363"/>
        <item x="1961"/>
        <item x="1691"/>
        <item x="592"/>
        <item x="1610"/>
        <item x="127"/>
        <item x="1616"/>
        <item x="1987"/>
        <item x="902"/>
        <item x="1145"/>
        <item x="1997"/>
        <item x="1604"/>
        <item x="1686"/>
        <item x="1877"/>
        <item x="1437"/>
        <item x="940"/>
        <item x="2000"/>
        <item x="1275"/>
        <item x="1465"/>
        <item x="1794"/>
        <item x="834"/>
        <item x="1815"/>
        <item x="1527"/>
        <item x="1369"/>
        <item x="214"/>
        <item x="1784"/>
        <item x="232"/>
        <item x="754"/>
        <item x="384"/>
        <item x="205"/>
        <item x="1958"/>
        <item x="1619"/>
        <item x="1169"/>
        <item x="1573"/>
        <item x="1703"/>
        <item x="1668"/>
        <item x="1756"/>
        <item x="528"/>
        <item x="1174"/>
        <item x="1518"/>
        <item x="1528"/>
        <item x="1515"/>
        <item x="799"/>
        <item x="281"/>
        <item x="829"/>
        <item x="1062"/>
        <item x="572"/>
        <item x="41"/>
        <item x="1618"/>
        <item x="678"/>
        <item x="1400"/>
        <item x="1778"/>
        <item x="1413"/>
        <item x="1602"/>
        <item x="680"/>
        <item x="104"/>
        <item x="440"/>
        <item x="136"/>
        <item x="1292"/>
        <item x="1386"/>
        <item x="1387"/>
        <item x="993"/>
        <item x="1605"/>
        <item x="1114"/>
        <item x="1498"/>
        <item x="418"/>
        <item x="1715"/>
        <item x="273"/>
        <item x="1417"/>
        <item x="1821"/>
        <item x="1622"/>
        <item x="1636"/>
        <item x="1698"/>
        <item x="1932"/>
        <item x="831"/>
        <item x="1055"/>
        <item x="1866"/>
        <item x="972"/>
        <item x="175"/>
        <item x="1929"/>
        <item x="1867"/>
        <item x="974"/>
        <item x="1222"/>
        <item x="1415"/>
        <item x="986"/>
        <item x="1942"/>
        <item x="1224"/>
        <item x="1599"/>
        <item x="682"/>
        <item x="1945"/>
        <item x="1684"/>
        <item x="1661"/>
        <item x="1208"/>
        <item x="1217"/>
        <item x="1947"/>
        <item x="1911"/>
        <item x="1713"/>
        <item x="1606"/>
        <item x="725"/>
        <item x="1609"/>
        <item x="467"/>
        <item x="1651"/>
        <item x="1401"/>
        <item x="1243"/>
        <item x="1757"/>
        <item x="1517"/>
        <item x="566"/>
        <item x="988"/>
        <item x="1522"/>
        <item x="830"/>
        <item x="1064"/>
        <item x="1251"/>
        <item x="1773"/>
        <item x="1004"/>
        <item x="934"/>
        <item x="461"/>
        <item x="896"/>
        <item x="1245"/>
        <item x="1860"/>
        <item x="601"/>
        <item x="600"/>
        <item x="1683"/>
        <item x="137"/>
        <item x="90"/>
        <item x="1879"/>
        <item x="1836"/>
        <item x="1770"/>
        <item x="1755"/>
        <item x="885"/>
        <item x="351"/>
        <item x="463"/>
        <item x="1201"/>
        <item x="464"/>
        <item x="823"/>
        <item x="200"/>
        <item x="701"/>
        <item x="218"/>
        <item x="1244"/>
        <item x="1233"/>
        <item x="684"/>
        <item x="589"/>
        <item x="481"/>
        <item x="1712"/>
        <item x="91"/>
        <item x="1717"/>
        <item x="1561"/>
        <item x="1611"/>
        <item x="1823"/>
        <item x="1912"/>
        <item x="1586"/>
        <item x="1490"/>
        <item x="698"/>
        <item x="832"/>
        <item x="133"/>
        <item x="1845"/>
        <item x="1630"/>
        <item x="1753"/>
        <item x="1766"/>
        <item x="1901"/>
        <item x="817"/>
        <item x="1696"/>
        <item x="355"/>
        <item x="1307"/>
        <item x="1719"/>
        <item x="1018"/>
        <item x="1230"/>
        <item x="1582"/>
        <item x="70"/>
        <item x="697"/>
        <item x="142"/>
        <item x="75"/>
        <item x="1731"/>
        <item x="1489"/>
        <item x="633"/>
        <item x="1542"/>
        <item x="377"/>
        <item x="1916"/>
        <item x="1710"/>
        <item x="1775"/>
        <item x="1689"/>
        <item x="736"/>
        <item x="231"/>
        <item x="1003"/>
        <item x="31"/>
        <item x="759"/>
        <item x="723"/>
        <item x="397"/>
        <item x="646"/>
        <item x="373"/>
        <item x="8"/>
        <item x="230"/>
        <item x="749"/>
        <item x="1056"/>
        <item x="857"/>
        <item x="760"/>
        <item x="1223"/>
        <item x="1324"/>
        <item x="45"/>
        <item x="909"/>
        <item x="472"/>
        <item x="106"/>
        <item x="844"/>
        <item x="1473"/>
        <item x="258"/>
        <item x="332"/>
        <item x="685"/>
        <item x="527"/>
        <item x="188"/>
        <item x="812"/>
        <item x="305"/>
        <item x="1021"/>
        <item x="1161"/>
        <item x="776"/>
        <item x="647"/>
        <item x="277"/>
        <item x="1566"/>
        <item x="1904"/>
        <item x="1111"/>
        <item x="300"/>
        <item x="1839"/>
        <item x="1922"/>
        <item x="1267"/>
        <item x="1266"/>
        <item x="1235"/>
        <item x="1662"/>
        <item x="1856"/>
        <item x="1810"/>
        <item x="1951"/>
        <item x="1825"/>
        <item x="1491"/>
        <item x="620"/>
        <item x="730"/>
        <item x="271"/>
        <item x="1296"/>
        <item x="1969"/>
        <item x="1743"/>
        <item x="946"/>
        <item x="29"/>
        <item x="1299"/>
        <item x="1805"/>
        <item x="283"/>
        <item x="944"/>
        <item x="662"/>
        <item x="1626"/>
        <item x="391"/>
        <item x="931"/>
        <item x="1639"/>
        <item x="804"/>
        <item x="1095"/>
        <item x="794"/>
        <item x="1695"/>
        <item x="1679"/>
        <item x="786"/>
        <item x="1072"/>
        <item x="1677"/>
        <item x="1443"/>
        <item x="1083"/>
        <item x="1653"/>
        <item x="989"/>
        <item x="498"/>
        <item x="1730"/>
        <item x="1270"/>
        <item x="102"/>
        <item x="1565"/>
        <item x="1861"/>
        <item x="1893"/>
        <item x="1906"/>
        <item x="1441"/>
        <item x="1442"/>
        <item x="907"/>
        <item x="1920"/>
        <item x="1597"/>
        <item x="1914"/>
        <item x="1545"/>
        <item x="1769"/>
        <item x="765"/>
        <item x="1462"/>
        <item x="1166"/>
        <item x="1992"/>
        <item x="1875"/>
        <item x="1658"/>
        <item x="1288"/>
        <item x="466"/>
        <item x="1546"/>
        <item x="1798"/>
        <item x="1391"/>
        <item x="346"/>
        <item x="192"/>
        <item x="1216"/>
        <item x="806"/>
        <item x="676"/>
        <item x="1287"/>
        <item x="1652"/>
        <item x="1812"/>
        <item x="1390"/>
        <item x="720"/>
        <item x="1814"/>
        <item x="827"/>
        <item x="867"/>
        <item x="1654"/>
        <item x="403"/>
        <item x="850"/>
        <item x="653"/>
        <item x="1053"/>
        <item x="72"/>
        <item x="1079"/>
        <item x="155"/>
        <item x="162"/>
        <item x="688"/>
        <item x="951"/>
        <item x="1157"/>
        <item x="640"/>
        <item x="242"/>
        <item x="1008"/>
        <item x="750"/>
        <item x="714"/>
        <item x="1368"/>
        <item x="855"/>
        <item x="915"/>
        <item x="247"/>
        <item x="704"/>
        <item x="948"/>
        <item x="1301"/>
        <item x="475"/>
        <item x="947"/>
        <item x="945"/>
        <item x="1065"/>
        <item x="1290"/>
        <item x="1917"/>
        <item x="1348"/>
        <item x="1656"/>
        <item x="1802"/>
        <item x="541"/>
        <item x="540"/>
        <item x="908"/>
        <item x="1268"/>
        <item x="1505"/>
        <item x="1650"/>
        <item x="1427"/>
        <item x="1392"/>
        <item x="679"/>
        <item x="452"/>
        <item x="971"/>
        <item x="1960"/>
        <item x="54"/>
        <item x="51"/>
        <item x="1024"/>
        <item x="1334"/>
        <item x="1740"/>
        <item x="1471"/>
        <item x="998"/>
        <item x="1404"/>
        <item x="1493"/>
        <item x="783"/>
        <item x="2002"/>
        <item x="107"/>
        <item x="1461"/>
        <item x="1229"/>
        <item x="1232"/>
        <item x="1727"/>
        <item x="1539"/>
        <item x="1321"/>
        <item x="795"/>
        <item x="5"/>
        <item x="396"/>
        <item x="63"/>
        <item x="12"/>
        <item x="215"/>
        <item x="237"/>
        <item x="478"/>
        <item x="257"/>
        <item x="163"/>
        <item x="109"/>
        <item x="46"/>
        <item x="511"/>
        <item x="570"/>
        <item x="1534"/>
        <item x="539"/>
        <item x="1059"/>
        <item x="1136"/>
        <item x="74"/>
        <item x="327"/>
        <item x="1364"/>
        <item x="352"/>
        <item x="1115"/>
        <item x="486"/>
        <item x="742"/>
        <item x="58"/>
        <item x="1183"/>
        <item x="166"/>
        <item x="1644"/>
        <item x="733"/>
        <item x="60"/>
        <item x="807"/>
        <item x="1376"/>
        <item x="923"/>
        <item x="927"/>
        <item x="534"/>
        <item x="613"/>
        <item x="1382"/>
        <item x="883"/>
        <item x="1487"/>
        <item x="882"/>
        <item x="1711"/>
        <item x="1818"/>
        <item x="1817"/>
        <item x="1486"/>
        <item x="1252"/>
        <item x="599"/>
        <item x="1808"/>
        <item x="1410"/>
        <item x="9"/>
        <item x="6"/>
        <item x="111"/>
        <item x="1430"/>
        <item x="1939"/>
        <item x="1509"/>
        <item x="1429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dataField="1" showAll="0">
      <items count="686">
        <item x="518"/>
        <item x="227"/>
        <item x="205"/>
        <item x="82"/>
        <item x="219"/>
        <item x="149"/>
        <item x="52"/>
        <item x="528"/>
        <item x="578"/>
        <item x="585"/>
        <item x="501"/>
        <item x="595"/>
        <item x="579"/>
        <item x="575"/>
        <item x="591"/>
        <item x="430"/>
        <item x="553"/>
        <item x="534"/>
        <item x="522"/>
        <item x="475"/>
        <item x="264"/>
        <item x="485"/>
        <item x="592"/>
        <item x="500"/>
        <item x="321"/>
        <item x="573"/>
        <item x="360"/>
        <item x="374"/>
        <item x="550"/>
        <item x="581"/>
        <item x="464"/>
        <item x="300"/>
        <item x="647"/>
        <item x="415"/>
        <item x="519"/>
        <item x="450"/>
        <item x="409"/>
        <item x="560"/>
        <item x="454"/>
        <item x="641"/>
        <item x="508"/>
        <item x="582"/>
        <item x="463"/>
        <item x="117"/>
        <item x="495"/>
        <item x="482"/>
        <item x="549"/>
        <item x="580"/>
        <item x="505"/>
        <item x="504"/>
        <item x="373"/>
        <item x="517"/>
        <item x="545"/>
        <item x="76"/>
        <item x="516"/>
        <item x="287"/>
        <item x="566"/>
        <item x="490"/>
        <item x="554"/>
        <item x="402"/>
        <item x="671"/>
        <item x="645"/>
        <item x="451"/>
        <item x="497"/>
        <item x="445"/>
        <item x="234"/>
        <item x="33"/>
        <item x="240"/>
        <item x="429"/>
        <item x="421"/>
        <item x="435"/>
        <item x="555"/>
        <item x="502"/>
        <item x="224"/>
        <item x="458"/>
        <item x="605"/>
        <item x="456"/>
        <item x="407"/>
        <item x="542"/>
        <item x="358"/>
        <item x="362"/>
        <item x="40"/>
        <item x="601"/>
        <item x="574"/>
        <item x="48"/>
        <item x="80"/>
        <item x="286"/>
        <item x="487"/>
        <item x="294"/>
        <item x="564"/>
        <item x="298"/>
        <item x="613"/>
        <item x="513"/>
        <item x="179"/>
        <item x="297"/>
        <item x="89"/>
        <item x="272"/>
        <item x="511"/>
        <item x="665"/>
        <item x="422"/>
        <item x="469"/>
        <item x="309"/>
        <item x="620"/>
        <item x="509"/>
        <item x="413"/>
        <item x="32"/>
        <item x="29"/>
        <item x="442"/>
        <item x="424"/>
        <item x="361"/>
        <item x="255"/>
        <item x="289"/>
        <item x="479"/>
        <item x="137"/>
        <item x="18"/>
        <item x="434"/>
        <item x="178"/>
        <item x="180"/>
        <item x="599"/>
        <item x="492"/>
        <item x="616"/>
        <item x="274"/>
        <item x="330"/>
        <item x="13"/>
        <item x="474"/>
        <item x="638"/>
        <item x="334"/>
        <item x="201"/>
        <item x="406"/>
        <item x="30"/>
        <item x="276"/>
        <item x="278"/>
        <item x="59"/>
        <item x="245"/>
        <item x="61"/>
        <item x="186"/>
        <item x="365"/>
        <item x="344"/>
        <item x="39"/>
        <item x="669"/>
        <item x="123"/>
        <item x="672"/>
        <item x="446"/>
        <item x="515"/>
        <item x="155"/>
        <item x="577"/>
        <item x="369"/>
        <item x="237"/>
        <item x="69"/>
        <item x="62"/>
        <item x="416"/>
        <item x="529"/>
        <item x="263"/>
        <item x="150"/>
        <item x="19"/>
        <item x="379"/>
        <item x="75"/>
        <item x="79"/>
        <item x="431"/>
        <item x="462"/>
        <item x="350"/>
        <item x="199"/>
        <item x="106"/>
        <item x="16"/>
        <item x="34"/>
        <item x="510"/>
        <item x="526"/>
        <item x="285"/>
        <item x="232"/>
        <item x="20"/>
        <item x="630"/>
        <item x="197"/>
        <item x="439"/>
        <item x="246"/>
        <item x="252"/>
        <item x="46"/>
        <item x="399"/>
        <item x="214"/>
        <item x="411"/>
        <item x="213"/>
        <item x="153"/>
        <item x="380"/>
        <item x="538"/>
        <item x="200"/>
        <item x="2"/>
        <item x="572"/>
        <item x="315"/>
        <item x="1"/>
        <item x="55"/>
        <item x="49"/>
        <item x="621"/>
        <item x="667"/>
        <item x="56"/>
        <item x="341"/>
        <item x="17"/>
        <item x="535"/>
        <item x="598"/>
        <item x="259"/>
        <item x="35"/>
        <item x="38"/>
        <item x="668"/>
        <item x="589"/>
        <item x="293"/>
        <item x="604"/>
        <item x="236"/>
        <item x="12"/>
        <item x="103"/>
        <item x="295"/>
        <item x="284"/>
        <item x="385"/>
        <item x="336"/>
        <item x="403"/>
        <item x="223"/>
        <item x="170"/>
        <item x="11"/>
        <item x="624"/>
        <item x="171"/>
        <item x="325"/>
        <item x="65"/>
        <item x="121"/>
        <item x="619"/>
        <item x="273"/>
        <item x="140"/>
        <item x="28"/>
        <item x="231"/>
        <item x="664"/>
        <item x="0"/>
        <item x="262"/>
        <item x="588"/>
        <item x="639"/>
        <item x="548"/>
        <item x="265"/>
        <item x="209"/>
        <item x="512"/>
        <item x="104"/>
        <item x="185"/>
        <item x="570"/>
        <item x="15"/>
        <item x="283"/>
        <item x="95"/>
        <item x="382"/>
        <item x="31"/>
        <item x="130"/>
        <item x="551"/>
        <item x="184"/>
        <item x="323"/>
        <item x="116"/>
        <item x="590"/>
        <item x="26"/>
        <item x="299"/>
        <item x="532"/>
        <item x="158"/>
        <item x="96"/>
        <item x="352"/>
        <item x="154"/>
        <item x="530"/>
        <item x="136"/>
        <item x="520"/>
        <item x="307"/>
        <item x="391"/>
        <item x="433"/>
        <item x="405"/>
        <item x="568"/>
        <item x="25"/>
        <item x="222"/>
        <item x="142"/>
        <item x="5"/>
        <item x="280"/>
        <item x="257"/>
        <item x="389"/>
        <item x="396"/>
        <item x="404"/>
        <item x="27"/>
        <item x="653"/>
        <item x="43"/>
        <item x="132"/>
        <item x="138"/>
        <item x="552"/>
        <item x="109"/>
        <item x="217"/>
        <item x="444"/>
        <item x="228"/>
        <item x="256"/>
        <item x="561"/>
        <item x="460"/>
        <item x="74"/>
        <item x="410"/>
        <item x="539"/>
        <item x="181"/>
        <item x="108"/>
        <item x="489"/>
        <item x="275"/>
        <item x="345"/>
        <item x="536"/>
        <item x="527"/>
        <item x="165"/>
        <item x="531"/>
        <item x="498"/>
        <item x="346"/>
        <item x="319"/>
        <item x="488"/>
        <item x="208"/>
        <item x="111"/>
        <item x="157"/>
        <item x="432"/>
        <item x="615"/>
        <item x="558"/>
        <item x="207"/>
        <item x="71"/>
        <item x="466"/>
        <item x="156"/>
        <item x="623"/>
        <item x="161"/>
        <item x="84"/>
        <item x="388"/>
        <item x="122"/>
        <item x="377"/>
        <item x="368"/>
        <item x="371"/>
        <item x="182"/>
        <item x="349"/>
        <item x="194"/>
        <item x="559"/>
        <item x="359"/>
        <item x="521"/>
        <item x="569"/>
        <item x="239"/>
        <item x="162"/>
        <item x="461"/>
        <item x="196"/>
        <item x="507"/>
        <item x="302"/>
        <item x="87"/>
        <item x="244"/>
        <item x="313"/>
        <item x="241"/>
        <item x="567"/>
        <item x="477"/>
        <item x="652"/>
        <item x="651"/>
        <item x="169"/>
        <item x="218"/>
        <item x="427"/>
        <item x="468"/>
        <item x="611"/>
        <item x="395"/>
        <item x="449"/>
        <item x="486"/>
        <item x="72"/>
        <item x="465"/>
        <item x="93"/>
        <item x="36"/>
        <item x="173"/>
        <item x="317"/>
        <item x="438"/>
        <item x="484"/>
        <item x="370"/>
        <item x="481"/>
        <item x="503"/>
        <item x="335"/>
        <item x="211"/>
        <item x="288"/>
        <item x="316"/>
        <item x="418"/>
        <item x="628"/>
        <item x="437"/>
        <item x="543"/>
        <item x="412"/>
        <item x="92"/>
        <item x="47"/>
        <item x="603"/>
        <item x="677"/>
        <item x="206"/>
        <item x="393"/>
        <item x="499"/>
        <item x="673"/>
        <item x="626"/>
        <item x="576"/>
        <item x="656"/>
        <item x="491"/>
        <item x="172"/>
        <item x="320"/>
        <item x="632"/>
        <item x="397"/>
        <item x="658"/>
        <item x="83"/>
        <item x="480"/>
        <item x="386"/>
        <item x="63"/>
        <item x="478"/>
        <item x="622"/>
        <item x="459"/>
        <item x="253"/>
        <item x="354"/>
        <item x="329"/>
        <item x="614"/>
        <item x="470"/>
        <item x="102"/>
        <item x="636"/>
        <item x="183"/>
        <item x="675"/>
        <item x="612"/>
        <item x="670"/>
        <item x="85"/>
        <item x="120"/>
        <item x="600"/>
        <item x="654"/>
        <item x="339"/>
        <item x="332"/>
        <item x="472"/>
        <item x="86"/>
        <item x="544"/>
        <item x="390"/>
        <item x="235"/>
        <item x="602"/>
        <item x="141"/>
        <item x="546"/>
        <item x="144"/>
        <item x="541"/>
        <item x="608"/>
        <item x="663"/>
        <item x="378"/>
        <item x="176"/>
        <item x="420"/>
        <item x="644"/>
        <item x="617"/>
        <item x="565"/>
        <item x="593"/>
        <item x="188"/>
        <item x="282"/>
        <item x="637"/>
        <item x="680"/>
        <item x="471"/>
        <item x="3"/>
        <item x="376"/>
        <item x="443"/>
        <item x="660"/>
        <item x="594"/>
        <item x="646"/>
        <item x="42"/>
        <item x="627"/>
        <item x="66"/>
        <item x="587"/>
        <item x="267"/>
        <item x="301"/>
        <item x="533"/>
        <item x="674"/>
        <item x="629"/>
        <item x="148"/>
        <item x="133"/>
        <item x="607"/>
        <item x="609"/>
        <item x="159"/>
        <item x="115"/>
        <item x="327"/>
        <item x="447"/>
        <item x="134"/>
        <item x="353"/>
        <item x="634"/>
        <item x="112"/>
        <item x="583"/>
        <item x="216"/>
        <item x="152"/>
        <item x="643"/>
        <item x="146"/>
        <item x="68"/>
        <item x="145"/>
        <item x="22"/>
        <item x="10"/>
        <item x="586"/>
        <item x="53"/>
        <item x="177"/>
        <item x="326"/>
        <item x="151"/>
        <item x="78"/>
        <item x="175"/>
        <item x="7"/>
        <item x="367"/>
        <item x="125"/>
        <item x="143"/>
        <item x="661"/>
        <item x="366"/>
        <item x="190"/>
        <item x="70"/>
        <item x="375"/>
        <item x="394"/>
        <item x="258"/>
        <item x="230"/>
        <item x="631"/>
        <item x="584"/>
        <item x="77"/>
        <item x="100"/>
        <item x="204"/>
        <item x="60"/>
        <item x="268"/>
        <item x="310"/>
        <item x="4"/>
        <item x="455"/>
        <item x="679"/>
        <item x="203"/>
        <item x="129"/>
        <item x="372"/>
        <item x="681"/>
        <item x="525"/>
        <item x="457"/>
        <item x="514"/>
        <item x="426"/>
        <item x="118"/>
        <item x="662"/>
        <item x="164"/>
        <item x="113"/>
        <item x="98"/>
        <item x="128"/>
        <item x="683"/>
        <item x="684"/>
        <item x="191"/>
        <item x="625"/>
        <item x="261"/>
        <item x="57"/>
        <item x="306"/>
        <item x="676"/>
        <item x="318"/>
        <item x="571"/>
        <item x="363"/>
        <item x="101"/>
        <item x="24"/>
        <item x="633"/>
        <item x="166"/>
        <item x="540"/>
        <item x="473"/>
        <item x="610"/>
        <item x="342"/>
        <item x="37"/>
        <item x="81"/>
        <item x="682"/>
        <item x="220"/>
        <item x="198"/>
        <item x="523"/>
        <item x="606"/>
        <item x="193"/>
        <item x="189"/>
        <item x="400"/>
        <item x="110"/>
        <item x="210"/>
        <item x="105"/>
        <item x="21"/>
        <item x="364"/>
        <item x="678"/>
        <item x="221"/>
        <item x="666"/>
        <item x="126"/>
        <item x="119"/>
        <item x="212"/>
        <item x="225"/>
        <item x="640"/>
        <item x="467"/>
        <item x="384"/>
        <item x="127"/>
        <item x="97"/>
        <item x="8"/>
        <item x="425"/>
        <item x="441"/>
        <item x="147"/>
        <item x="381"/>
        <item x="14"/>
        <item x="355"/>
        <item x="168"/>
        <item x="417"/>
        <item x="163"/>
        <item x="195"/>
        <item x="562"/>
        <item x="243"/>
        <item x="408"/>
        <item x="303"/>
        <item x="436"/>
        <item x="248"/>
        <item x="356"/>
        <item x="45"/>
        <item x="226"/>
        <item x="281"/>
        <item x="452"/>
        <item x="187"/>
        <item x="58"/>
        <item x="655"/>
        <item x="51"/>
        <item x="279"/>
        <item x="322"/>
        <item x="648"/>
        <item x="131"/>
        <item x="398"/>
        <item x="340"/>
        <item x="453"/>
        <item x="343"/>
        <item x="483"/>
        <item x="99"/>
        <item x="238"/>
        <item x="229"/>
        <item x="50"/>
        <item x="135"/>
        <item x="537"/>
        <item x="251"/>
        <item x="41"/>
        <item x="328"/>
        <item x="174"/>
        <item x="596"/>
        <item x="167"/>
        <item x="91"/>
        <item x="139"/>
        <item x="650"/>
        <item x="659"/>
        <item x="635"/>
        <item x="308"/>
        <item x="90"/>
        <item x="324"/>
        <item x="67"/>
        <item x="269"/>
        <item x="192"/>
        <item x="94"/>
        <item x="250"/>
        <item x="291"/>
        <item x="242"/>
        <item x="547"/>
        <item x="642"/>
        <item x="524"/>
        <item x="23"/>
        <item x="304"/>
        <item x="423"/>
        <item x="657"/>
        <item x="215"/>
        <item x="292"/>
        <item x="254"/>
        <item x="160"/>
        <item x="337"/>
        <item x="494"/>
        <item x="44"/>
        <item x="9"/>
        <item x="440"/>
        <item x="387"/>
        <item x="249"/>
        <item x="419"/>
        <item x="333"/>
        <item x="233"/>
        <item x="428"/>
        <item x="563"/>
        <item x="348"/>
        <item x="506"/>
        <item x="88"/>
        <item x="649"/>
        <item x="305"/>
        <item x="448"/>
        <item x="202"/>
        <item x="73"/>
        <item x="351"/>
        <item x="312"/>
        <item x="6"/>
        <item x="476"/>
        <item x="347"/>
        <item x="54"/>
        <item x="260"/>
        <item x="124"/>
        <item x="311"/>
        <item x="557"/>
        <item x="247"/>
        <item x="107"/>
        <item x="277"/>
        <item x="270"/>
        <item x="331"/>
        <item x="383"/>
        <item x="493"/>
        <item x="271"/>
        <item x="556"/>
        <item x="597"/>
        <item x="414"/>
        <item x="338"/>
        <item x="392"/>
        <item x="64"/>
        <item x="618"/>
        <item x="290"/>
        <item x="401"/>
        <item x="496"/>
        <item x="357"/>
        <item x="296"/>
        <item x="314"/>
        <item x="266"/>
        <item x="114"/>
        <item t="default"/>
      </items>
    </pivotField>
    <pivotField axis="axisCol" showAll="0">
      <items count="16">
        <item x="12"/>
        <item x="7"/>
        <item x="6"/>
        <item x="10"/>
        <item x="14"/>
        <item x="3"/>
        <item x="11"/>
        <item x="4"/>
        <item x="8"/>
        <item x="13"/>
        <item x="2"/>
        <item x="5"/>
        <item x="1"/>
        <item x="9"/>
        <item x="0"/>
        <item t="default"/>
      </items>
    </pivotField>
    <pivotField axis="axisRow" showAll="0">
      <items count="26">
        <item x="24"/>
        <item x="7"/>
        <item x="19"/>
        <item x="23"/>
        <item x="0"/>
        <item x="6"/>
        <item x="22"/>
        <item x="5"/>
        <item x="16"/>
        <item x="1"/>
        <item x="11"/>
        <item x="18"/>
        <item x="15"/>
        <item x="8"/>
        <item x="13"/>
        <item x="21"/>
        <item x="12"/>
        <item x="20"/>
        <item x="3"/>
        <item x="10"/>
        <item x="2"/>
        <item x="4"/>
        <item x="17"/>
        <item x="9"/>
        <item x="14"/>
        <item t="default"/>
      </items>
    </pivotField>
    <pivotField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</pivotFields>
  <rowFields count="1">
    <field x="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6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Average of price_per_100g" fld="5" subtotal="average" baseField="7" baseItem="0"/>
  </dataFields>
  <formats count="1">
    <format dxfId="1">
      <pivotArea field="7" grandCol="1" collapsedLevelsAreSubtotals="1" axis="axisRow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D10C6-B7EA-4B89-9534-C675292A0F3B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17:O21" firstHeaderRow="1" firstDataRow="1" firstDataCol="1"/>
  <pivotFields count="2">
    <pivotField axis="axisRow" showAll="0" sortType="descending">
      <items count="5">
        <item x="0"/>
        <item x="2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Max of total_quality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AE056-99A8-4574-8B66-E515E25F269E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10:O14" firstHeaderRow="1" firstDataRow="1" firstDataCol="1"/>
  <pivotFields count="2"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total_qualit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A2507-9641-487D-9B8E-BBE89CF6BCAD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24:O28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in of total_quality" fld="1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17F14-EB62-4D03-9234-3A2902880728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N3:O7" firstHeaderRow="1" firstDataRow="1" firstDataCol="1"/>
  <pivotFields count="3">
    <pivotField showAll="0">
      <items count="2004">
        <item x="845"/>
        <item x="1768"/>
        <item x="1420"/>
        <item x="360"/>
        <item x="170"/>
        <item x="1214"/>
        <item x="1086"/>
        <item x="1434"/>
        <item x="1176"/>
        <item x="213"/>
        <item x="868"/>
        <item x="1423"/>
        <item x="1576"/>
        <item x="1581"/>
        <item x="402"/>
        <item x="762"/>
        <item x="999"/>
        <item x="1478"/>
        <item x="865"/>
        <item x="1212"/>
        <item x="1347"/>
        <item x="1158"/>
        <item x="1547"/>
        <item x="1031"/>
        <item x="1074"/>
        <item x="1548"/>
        <item x="1665"/>
        <item x="1972"/>
        <item x="1482"/>
        <item x="217"/>
        <item x="1588"/>
        <item x="1681"/>
        <item x="1279"/>
        <item x="108"/>
        <item x="935"/>
        <item x="491"/>
        <item x="131"/>
        <item x="1303"/>
        <item x="513"/>
        <item x="1265"/>
        <item x="766"/>
        <item x="1319"/>
        <item x="1774"/>
        <item x="1568"/>
        <item x="802"/>
        <item x="860"/>
        <item x="1807"/>
        <item x="1989"/>
        <item x="165"/>
        <item x="1118"/>
        <item x="1205"/>
        <item x="1034"/>
        <item x="1349"/>
        <item x="1494"/>
        <item x="1585"/>
        <item x="1240"/>
        <item x="363"/>
        <item x="1640"/>
        <item x="796"/>
        <item x="1121"/>
        <item x="1520"/>
        <item x="966"/>
        <item x="1405"/>
        <item x="509"/>
        <item x="840"/>
        <item x="1886"/>
        <item x="1936"/>
        <item x="1286"/>
        <item x="1830"/>
        <item x="1475"/>
        <item x="990"/>
        <item x="1477"/>
        <item x="1558"/>
        <item x="1955"/>
        <item x="1559"/>
        <item x="734"/>
        <item x="930"/>
        <item x="19"/>
        <item x="746"/>
        <item x="110"/>
        <item x="914"/>
        <item x="1022"/>
        <item x="1096"/>
        <item x="1388"/>
        <item x="1137"/>
        <item x="1642"/>
        <item x="700"/>
        <item x="1935"/>
        <item x="538"/>
        <item x="1714"/>
        <item x="1553"/>
        <item x="899"/>
        <item x="1285"/>
        <item x="1080"/>
        <item x="1550"/>
        <item x="888"/>
        <item x="272"/>
        <item x="1395"/>
        <item x="1455"/>
        <item x="1225"/>
        <item x="1733"/>
        <item x="1732"/>
        <item x="1211"/>
        <item x="816"/>
        <item x="787"/>
        <item x="387"/>
        <item x="719"/>
        <item x="863"/>
        <item x="450"/>
        <item x="690"/>
        <item x="1457"/>
        <item x="912"/>
        <item x="911"/>
        <item x="1090"/>
        <item x="368"/>
        <item x="361"/>
        <item x="1149"/>
        <item x="691"/>
        <item x="1026"/>
        <item x="118"/>
        <item x="1112"/>
        <item x="314"/>
        <item x="495"/>
        <item x="901"/>
        <item x="140"/>
        <item x="141"/>
        <item x="236"/>
        <item x="394"/>
        <item x="960"/>
        <item x="623"/>
        <item x="625"/>
        <item x="624"/>
        <item x="1165"/>
        <item x="289"/>
        <item x="1007"/>
        <item x="292"/>
        <item x="637"/>
        <item x="553"/>
        <item x="24"/>
        <item x="1979"/>
        <item x="645"/>
        <item x="598"/>
        <item x="328"/>
        <item x="449"/>
        <item x="324"/>
        <item x="1028"/>
        <item x="595"/>
        <item x="673"/>
        <item x="443"/>
        <item x="269"/>
        <item x="268"/>
        <item x="270"/>
        <item x="105"/>
        <item x="1980"/>
        <item x="444"/>
        <item x="285"/>
        <item x="317"/>
        <item x="244"/>
        <item x="1317"/>
        <item x="134"/>
        <item x="392"/>
        <item x="291"/>
        <item x="437"/>
        <item x="433"/>
        <item x="1851"/>
        <item x="208"/>
        <item x="177"/>
        <item x="726"/>
        <item x="22"/>
        <item x="39"/>
        <item x="0"/>
        <item x="1448"/>
        <item x="1883"/>
        <item x="425"/>
        <item x="1025"/>
        <item x="744"/>
        <item x="781"/>
        <item x="551"/>
        <item x="474"/>
        <item x="1142"/>
        <item x="717"/>
        <item x="543"/>
        <item x="521"/>
        <item x="708"/>
        <item x="1190"/>
        <item x="1242"/>
        <item x="767"/>
        <item x="181"/>
        <item x="468"/>
        <item x="275"/>
        <item x="1"/>
        <item x="1177"/>
        <item x="1172"/>
        <item x="343"/>
        <item x="1739"/>
        <item x="520"/>
        <item x="593"/>
        <item x="21"/>
        <item x="926"/>
        <item x="168"/>
        <item x="1847"/>
        <item x="196"/>
        <item x="482"/>
        <item x="674"/>
        <item x="563"/>
        <item x="672"/>
        <item x="578"/>
        <item x="349"/>
        <item x="694"/>
        <item x="798"/>
        <item x="891"/>
        <item x="1701"/>
        <item x="1660"/>
        <item x="1071"/>
        <item x="854"/>
        <item x="1580"/>
        <item x="1189"/>
        <item x="331"/>
        <item x="320"/>
        <item x="581"/>
        <item x="556"/>
        <item x="251"/>
        <item x="1092"/>
        <item x="94"/>
        <item x="1981"/>
        <item x="399"/>
        <item x="964"/>
        <item x="483"/>
        <item x="366"/>
        <item x="385"/>
        <item x="453"/>
        <item x="370"/>
        <item x="503"/>
        <item x="833"/>
        <item x="522"/>
        <item x="1850"/>
        <item x="1983"/>
        <item x="755"/>
        <item x="378"/>
        <item x="644"/>
        <item x="846"/>
        <item x="1029"/>
        <item x="259"/>
        <item x="1889"/>
        <item x="628"/>
        <item x="877"/>
        <item x="1828"/>
        <item x="884"/>
        <item x="307"/>
        <item x="1027"/>
        <item x="1479"/>
        <item x="1474"/>
        <item x="856"/>
        <item x="252"/>
        <item x="864"/>
        <item x="852"/>
        <item x="426"/>
        <item x="1246"/>
        <item x="401"/>
        <item x="40"/>
        <item x="286"/>
        <item x="266"/>
        <item x="245"/>
        <item x="180"/>
        <item x="288"/>
        <item x="517"/>
        <item x="276"/>
        <item x="56"/>
        <item x="995"/>
        <item x="129"/>
        <item x="552"/>
        <item x="7"/>
        <item x="434"/>
        <item x="555"/>
        <item x="249"/>
        <item x="310"/>
        <item x="333"/>
        <item x="470"/>
        <item x="558"/>
        <item x="671"/>
        <item x="1001"/>
        <item x="983"/>
        <item x="184"/>
        <item x="1990"/>
        <item x="715"/>
        <item x="545"/>
        <item x="318"/>
        <item x="322"/>
        <item x="88"/>
        <item x="284"/>
        <item x="1557"/>
        <item x="28"/>
        <item x="1125"/>
        <item x="71"/>
        <item x="1152"/>
        <item x="400"/>
        <item x="55"/>
        <item x="1308"/>
        <item x="780"/>
        <item x="311"/>
        <item x="1648"/>
        <item x="668"/>
        <item x="233"/>
        <item x="329"/>
        <item x="494"/>
        <item x="1146"/>
        <item x="414"/>
        <item x="1959"/>
        <item x="1280"/>
        <item x="1982"/>
        <item x="1863"/>
        <item x="619"/>
        <item x="716"/>
        <item x="851"/>
        <item x="362"/>
        <item x="1263"/>
        <item x="1783"/>
        <item x="113"/>
        <item x="297"/>
        <item x="484"/>
        <item x="222"/>
        <item x="287"/>
        <item x="220"/>
        <item x="223"/>
        <item x="152"/>
        <item x="415"/>
        <item x="413"/>
        <item x="174"/>
        <item x="221"/>
        <item x="929"/>
        <item x="729"/>
        <item x="435"/>
        <item x="326"/>
        <item x="1846"/>
        <item x="1567"/>
        <item x="943"/>
        <item x="1044"/>
        <item x="379"/>
        <item x="1556"/>
        <item x="1615"/>
        <item x="1575"/>
        <item x="116"/>
        <item x="1200"/>
        <item x="997"/>
        <item x="918"/>
        <item x="696"/>
        <item x="792"/>
        <item x="747"/>
        <item x="347"/>
        <item x="735"/>
        <item x="144"/>
        <item x="638"/>
        <item x="1716"/>
        <item x="1087"/>
        <item x="1362"/>
        <item x="1925"/>
        <item x="1525"/>
        <item x="17"/>
        <item x="125"/>
        <item x="1718"/>
        <item x="1327"/>
        <item x="692"/>
        <item x="115"/>
        <item x="1159"/>
        <item x="928"/>
        <item x="68"/>
        <item x="705"/>
        <item x="921"/>
        <item x="130"/>
        <item x="390"/>
        <item x="42"/>
        <item x="859"/>
        <item x="219"/>
        <item x="340"/>
        <item x="1584"/>
        <item x="479"/>
        <item x="80"/>
        <item x="707"/>
        <item x="1188"/>
        <item x="1878"/>
        <item x="731"/>
        <item x="1366"/>
        <item x="526"/>
        <item x="124"/>
        <item x="120"/>
        <item x="67"/>
        <item x="699"/>
        <item x="454"/>
        <item x="1228"/>
        <item x="1649"/>
        <item x="1601"/>
        <item x="477"/>
        <item x="238"/>
        <item x="374"/>
        <item x="502"/>
        <item x="825"/>
        <item x="560"/>
        <item x="386"/>
        <item x="568"/>
        <item x="980"/>
        <item x="1094"/>
        <item x="1358"/>
        <item x="681"/>
        <item x="128"/>
        <item x="1273"/>
        <item x="1194"/>
        <item x="1033"/>
        <item x="1406"/>
        <item x="1978"/>
        <item x="1549"/>
        <item x="1552"/>
        <item x="1788"/>
        <item x="1389"/>
        <item x="611"/>
        <item x="605"/>
        <item x="1371"/>
        <item x="1153"/>
        <item x="298"/>
        <item x="1570"/>
        <item x="1504"/>
        <item x="20"/>
        <item x="1293"/>
        <item x="630"/>
        <item x="436"/>
        <item x="1207"/>
        <item x="1178"/>
        <item x="761"/>
        <item x="525"/>
        <item x="785"/>
        <item x="204"/>
        <item x="1571"/>
        <item x="488"/>
        <item x="57"/>
        <item x="30"/>
        <item x="724"/>
        <item x="506"/>
        <item x="1184"/>
        <item x="937"/>
        <item x="757"/>
        <item x="1627"/>
        <item x="1488"/>
        <item x="1577"/>
        <item x="1607"/>
        <item x="1771"/>
        <item x="1431"/>
        <item x="1603"/>
        <item x="669"/>
        <item x="1154"/>
        <item x="1097"/>
        <item x="933"/>
        <item x="432"/>
        <item x="512"/>
        <item x="514"/>
        <item x="1373"/>
        <item x="1884"/>
        <item x="1407"/>
        <item x="1256"/>
        <item x="571"/>
        <item x="693"/>
        <item x="779"/>
        <item x="490"/>
        <item x="1720"/>
        <item x="1291"/>
        <item x="861"/>
        <item x="1202"/>
        <item x="582"/>
        <item x="1414"/>
        <item x="1472"/>
        <item x="1469"/>
        <item x="683"/>
        <item x="1645"/>
        <item x="316"/>
        <item x="389"/>
        <item x="1624"/>
        <item x="790"/>
        <item x="193"/>
        <item x="117"/>
        <item x="1944"/>
        <item x="1155"/>
        <item x="1892"/>
        <item x="542"/>
        <item x="176"/>
        <item x="791"/>
        <item x="79"/>
        <item x="1976"/>
        <item x="1985"/>
        <item x="1996"/>
        <item x="1995"/>
        <item x="1865"/>
        <item x="1902"/>
        <item x="1910"/>
        <item x="1986"/>
        <item x="1950"/>
        <item x="1748"/>
        <item x="1119"/>
        <item x="1804"/>
        <item x="1853"/>
        <item x="121"/>
        <item x="1563"/>
        <item x="819"/>
        <item x="1848"/>
        <item x="881"/>
        <item x="880"/>
        <item x="1231"/>
        <item x="1326"/>
        <item x="1725"/>
        <item x="1192"/>
        <item x="2001"/>
        <item x="1600"/>
        <item x="1101"/>
        <item x="496"/>
        <item x="1967"/>
        <item x="1968"/>
        <item x="1338"/>
        <item x="1676"/>
        <item x="1841"/>
        <item x="1502"/>
        <item x="1450"/>
        <item x="835"/>
        <item x="1367"/>
        <item x="910"/>
        <item x="1675"/>
        <item x="547"/>
        <item x="1269"/>
        <item x="621"/>
        <item x="148"/>
        <item x="1876"/>
        <item x="1140"/>
        <item x="546"/>
        <item x="574"/>
        <item x="69"/>
        <item x="721"/>
        <item x="135"/>
        <item x="1741"/>
        <item x="811"/>
        <item x="769"/>
        <item x="313"/>
        <item x="114"/>
        <item x="686"/>
        <item x="814"/>
        <item x="420"/>
        <item x="191"/>
        <item x="1647"/>
        <item x="1948"/>
        <item x="190"/>
        <item x="32"/>
        <item x="1311"/>
        <item x="383"/>
        <item x="1375"/>
        <item x="1412"/>
        <item x="1764"/>
        <item x="112"/>
        <item x="516"/>
        <item x="741"/>
        <item x="505"/>
        <item x="499"/>
        <item x="614"/>
        <item x="805"/>
        <item x="905"/>
        <item x="462"/>
        <item x="171"/>
        <item x="822"/>
        <item x="211"/>
        <item x="62"/>
        <item x="198"/>
        <item x="770"/>
        <item x="367"/>
        <item x="596"/>
        <item x="1394"/>
        <item x="1667"/>
        <item x="1974"/>
        <item x="338"/>
        <item x="1707"/>
        <item x="1722"/>
        <item x="1088"/>
        <item x="925"/>
        <item x="848"/>
        <item x="1501"/>
        <item x="246"/>
        <item x="606"/>
        <item x="1706"/>
        <item x="584"/>
        <item x="1068"/>
        <item x="1047"/>
        <item x="321"/>
        <item x="1734"/>
        <item x="727"/>
        <item x="826"/>
        <item x="1195"/>
        <item x="557"/>
        <item x="279"/>
        <item x="226"/>
        <item x="1800"/>
        <item x="1795"/>
        <item x="1399"/>
        <item x="1075"/>
        <item x="675"/>
        <item x="849"/>
        <item x="569"/>
        <item x="350"/>
        <item x="81"/>
        <item x="1745"/>
        <item x="554"/>
        <item x="1425"/>
        <item x="1530"/>
        <item x="1271"/>
        <item x="893"/>
        <item x="996"/>
        <item x="1742"/>
        <item x="636"/>
        <item x="1139"/>
        <item x="587"/>
        <item x="1345"/>
        <item x="1017"/>
        <item x="654"/>
        <item x="473"/>
        <item x="586"/>
        <item x="89"/>
        <item x="225"/>
        <item x="103"/>
        <item x="631"/>
        <item x="1359"/>
        <item x="878"/>
        <item x="524"/>
        <item x="1357"/>
        <item x="1051"/>
        <item x="312"/>
        <item x="537"/>
        <item x="380"/>
        <item x="961"/>
        <item x="1133"/>
        <item x="83"/>
        <item x="228"/>
        <item x="1057"/>
        <item x="429"/>
        <item x="956"/>
        <item x="1383"/>
        <item x="1045"/>
        <item x="43"/>
        <item x="15"/>
        <item x="991"/>
        <item x="919"/>
        <item x="428"/>
        <item x="900"/>
        <item x="1049"/>
        <item x="862"/>
        <item x="216"/>
        <item x="1138"/>
        <item x="1315"/>
        <item x="906"/>
        <item x="751"/>
        <item x="210"/>
        <item x="981"/>
        <item x="978"/>
        <item x="1484"/>
        <item x="732"/>
        <item x="1254"/>
        <item x="267"/>
        <item x="649"/>
        <item x="648"/>
        <item x="866"/>
        <item x="745"/>
        <item x="643"/>
        <item x="1013"/>
        <item x="970"/>
        <item x="969"/>
        <item x="1446"/>
        <item x="1837"/>
        <item x="1590"/>
        <item x="608"/>
        <item x="523"/>
        <item x="1006"/>
        <item x="602"/>
        <item x="1628"/>
        <item x="1344"/>
        <item x="1300"/>
        <item x="1536"/>
        <item x="917"/>
        <item x="1147"/>
        <item x="1302"/>
        <item x="1864"/>
        <item x="1187"/>
        <item x="617"/>
        <item x="583"/>
        <item x="1700"/>
        <item x="607"/>
        <item x="687"/>
        <item x="603"/>
        <item x="344"/>
        <item x="1625"/>
        <item x="489"/>
        <item x="87"/>
        <item x="1130"/>
        <item x="1131"/>
        <item x="1257"/>
        <item x="892"/>
        <item x="1759"/>
        <item x="957"/>
        <item x="1054"/>
        <item x="1785"/>
        <item x="580"/>
        <item x="1063"/>
        <item x="1356"/>
        <item x="1591"/>
        <item x="879"/>
        <item x="1297"/>
        <item x="1314"/>
        <item x="460"/>
        <item x="1693"/>
        <item x="1897"/>
        <item x="1440"/>
        <item x="364"/>
        <item x="1239"/>
        <item x="1543"/>
        <item x="235"/>
        <item x="1735"/>
        <item x="183"/>
        <item x="1206"/>
        <item x="224"/>
        <item x="33"/>
        <item x="1840"/>
        <item x="659"/>
        <item x="93"/>
        <item x="1221"/>
        <item x="979"/>
        <item x="952"/>
        <item x="458"/>
        <item x="371"/>
        <item x="1066"/>
        <item x="916"/>
        <item x="1085"/>
        <item x="530"/>
        <item x="768"/>
        <item x="803"/>
        <item x="1289"/>
        <item x="100"/>
        <item x="977"/>
        <item x="1093"/>
        <item x="1156"/>
        <item x="1185"/>
        <item x="661"/>
        <item x="1038"/>
        <item x="641"/>
        <item x="4"/>
        <item x="1497"/>
        <item x="1036"/>
        <item x="132"/>
        <item x="712"/>
        <item x="441"/>
        <item x="660"/>
        <item x="98"/>
        <item x="161"/>
        <item x="372"/>
        <item x="264"/>
        <item x="412"/>
        <item x="229"/>
        <item x="240"/>
        <item x="50"/>
        <item x="154"/>
        <item x="262"/>
        <item x="304"/>
        <item x="801"/>
        <item x="375"/>
        <item x="1579"/>
        <item x="871"/>
        <item x="1237"/>
        <item x="1578"/>
        <item x="1258"/>
        <item x="1220"/>
        <item x="616"/>
        <item x="1529"/>
        <item x="1052"/>
        <item x="416"/>
        <item x="1595"/>
        <item x="459"/>
        <item x="1227"/>
        <item x="1002"/>
        <item x="1826"/>
        <item x="1900"/>
        <item x="967"/>
        <item x="1621"/>
        <item x="1688"/>
        <item x="1803"/>
        <item x="1762"/>
        <item x="1750"/>
        <item x="737"/>
        <item x="837"/>
        <item x="212"/>
        <item x="1281"/>
        <item x="1492"/>
        <item x="695"/>
        <item x="411"/>
        <item x="365"/>
        <item x="1032"/>
        <item x="278"/>
        <item x="1723"/>
        <item x="847"/>
        <item x="422"/>
        <item x="1120"/>
        <item x="1426"/>
        <item x="86"/>
        <item x="1631"/>
        <item x="195"/>
        <item x="1196"/>
        <item x="492"/>
        <item x="890"/>
        <item x="209"/>
        <item x="78"/>
        <item x="839"/>
        <item x="123"/>
        <item x="84"/>
        <item x="145"/>
        <item x="299"/>
        <item x="942"/>
        <item x="1082"/>
        <item x="1776"/>
        <item x="290"/>
        <item x="323"/>
        <item x="1160"/>
        <item x="254"/>
        <item x="1283"/>
        <item x="1608"/>
        <item x="627"/>
        <item x="1048"/>
        <item x="234"/>
        <item x="253"/>
        <item x="920"/>
        <item x="1249"/>
        <item x="1868"/>
        <item x="335"/>
        <item x="752"/>
        <item x="1952"/>
        <item x="1113"/>
        <item x="533"/>
        <item x="1943"/>
        <item x="1012"/>
        <item x="1209"/>
        <item x="1674"/>
        <item x="1016"/>
        <item x="875"/>
        <item x="842"/>
        <item x="843"/>
        <item x="813"/>
        <item x="950"/>
        <item x="591"/>
        <item x="958"/>
        <item x="1198"/>
        <item x="182"/>
        <item x="241"/>
        <item x="409"/>
        <item x="301"/>
        <item x="160"/>
        <item x="610"/>
        <item x="153"/>
        <item x="3"/>
        <item x="302"/>
        <item x="303"/>
        <item x="1464"/>
        <item x="1646"/>
        <item x="1340"/>
        <item x="713"/>
        <item x="771"/>
        <item x="828"/>
        <item x="255"/>
        <item x="99"/>
        <item x="949"/>
        <item x="575"/>
        <item x="1751"/>
        <item x="97"/>
        <item x="1422"/>
        <item x="1669"/>
        <item x="1829"/>
        <item x="203"/>
        <item x="179"/>
        <item x="1758"/>
        <item x="1255"/>
        <item x="1752"/>
        <item x="1507"/>
        <item x="1923"/>
        <item x="838"/>
        <item x="1134"/>
        <item x="1682"/>
        <item x="941"/>
        <item x="178"/>
        <item x="1310"/>
        <item x="158"/>
        <item x="424"/>
        <item x="1186"/>
        <item x="1110"/>
        <item x="1919"/>
        <item x="1736"/>
        <item x="1506"/>
        <item x="703"/>
        <item x="561"/>
        <item x="265"/>
        <item x="1885"/>
        <item x="1956"/>
        <item x="1937"/>
        <item x="1343"/>
        <item x="922"/>
        <item x="1635"/>
        <item x="295"/>
        <item x="1541"/>
        <item x="1260"/>
        <item x="1041"/>
        <item x="1643"/>
        <item x="1042"/>
        <item x="23"/>
        <item x="1801"/>
        <item x="1749"/>
        <item x="471"/>
        <item x="1294"/>
        <item x="14"/>
        <item x="670"/>
        <item x="954"/>
        <item x="1089"/>
        <item x="451"/>
        <item x="1657"/>
        <item x="1855"/>
        <item x="1554"/>
        <item x="1023"/>
        <item x="1692"/>
        <item x="169"/>
        <item x="167"/>
        <item x="748"/>
        <item x="207"/>
        <item x="206"/>
        <item x="973"/>
        <item x="508"/>
        <item x="1562"/>
        <item x="1819"/>
        <item x="1763"/>
        <item x="1143"/>
        <item x="615"/>
        <item x="1792"/>
        <item x="1782"/>
        <item x="227"/>
        <item x="1926"/>
        <item x="1729"/>
        <item x="199"/>
        <item x="76"/>
        <item x="1352"/>
        <item x="1351"/>
        <item x="1123"/>
        <item x="1069"/>
        <item x="1555"/>
        <item x="870"/>
        <item x="818"/>
        <item x="1544"/>
        <item x="469"/>
        <item x="1046"/>
        <item x="1915"/>
        <item x="38"/>
        <item x="1659"/>
        <item x="1672"/>
        <item x="1164"/>
        <item x="1361"/>
        <item x="1891"/>
        <item x="1930"/>
        <item x="1999"/>
        <item x="665"/>
        <item x="16"/>
        <item x="1467"/>
        <item x="1827"/>
        <item x="1459"/>
        <item x="1355"/>
        <item x="119"/>
        <item x="1333"/>
        <item x="1030"/>
        <item x="1638"/>
        <item x="1612"/>
        <item x="189"/>
        <item x="1084"/>
        <item x="622"/>
        <item x="1070"/>
        <item x="339"/>
        <item x="992"/>
        <item x="1428"/>
        <item x="1318"/>
        <item x="632"/>
        <item x="172"/>
        <item x="1040"/>
        <item x="626"/>
        <item x="1596"/>
        <item x="1182"/>
        <item x="1226"/>
        <item x="666"/>
        <item x="549"/>
        <item x="1760"/>
        <item x="1350"/>
        <item x="1385"/>
        <item x="1398"/>
        <item x="1438"/>
        <item x="1061"/>
        <item x="357"/>
        <item x="1799"/>
        <item x="1419"/>
        <item x="1797"/>
        <item x="667"/>
        <item x="1259"/>
        <item x="1241"/>
        <item x="1842"/>
        <item x="810"/>
        <item x="1744"/>
        <item x="1284"/>
        <item x="243"/>
        <item x="1248"/>
        <item x="1451"/>
        <item x="1454"/>
        <item x="1476"/>
        <item x="406"/>
        <item x="1365"/>
        <item x="1236"/>
        <item x="1453"/>
        <item x="1247"/>
        <item x="1452"/>
        <item x="1179"/>
        <item x="1481"/>
        <item x="515"/>
        <item x="1519"/>
        <item x="753"/>
        <item x="932"/>
        <item x="1416"/>
        <item x="1204"/>
        <item x="1637"/>
        <item x="913"/>
        <item x="548"/>
        <item x="1838"/>
        <item x="381"/>
        <item x="1496"/>
        <item x="65"/>
        <item x="465"/>
        <item x="1512"/>
        <item x="1384"/>
        <item x="1685"/>
        <item x="1354"/>
        <item x="1264"/>
        <item x="61"/>
        <item x="535"/>
        <item x="1993"/>
        <item x="256"/>
        <item x="1005"/>
        <item x="897"/>
        <item x="457"/>
        <item x="1857"/>
        <item x="1957"/>
        <item x="445"/>
        <item x="186"/>
        <item x="185"/>
        <item x="873"/>
        <item x="618"/>
        <item x="438"/>
        <item x="567"/>
        <item x="77"/>
        <item x="308"/>
        <item x="1483"/>
        <item x="53"/>
        <item x="1445"/>
        <item x="1353"/>
        <item x="869"/>
        <item x="872"/>
        <item x="1432"/>
        <item x="858"/>
        <item x="405"/>
        <item x="263"/>
        <item x="1907"/>
        <item x="1888"/>
        <item x="345"/>
        <item x="898"/>
        <item x="101"/>
        <item x="573"/>
        <item x="544"/>
        <item x="421"/>
        <item x="1328"/>
        <item x="1859"/>
        <item x="562"/>
        <item x="37"/>
        <item x="1396"/>
        <item x="1589"/>
        <item x="1043"/>
        <item x="853"/>
        <item x="664"/>
        <item x="639"/>
        <item x="52"/>
        <item x="663"/>
        <item x="187"/>
        <item x="159"/>
        <item x="410"/>
        <item x="1880"/>
        <item x="994"/>
        <item x="886"/>
        <item x="1738"/>
        <item x="1077"/>
        <item x="388"/>
        <item x="809"/>
        <item x="1964"/>
        <item x="1081"/>
        <item x="1332"/>
        <item x="820"/>
        <item x="1931"/>
        <item x="1439"/>
        <item x="1203"/>
        <item x="18"/>
        <item x="1569"/>
        <item x="1991"/>
        <item x="985"/>
        <item x="778"/>
        <item x="1564"/>
        <item x="1587"/>
        <item x="1011"/>
        <item x="1899"/>
        <item x="689"/>
        <item x="1781"/>
        <item x="1500"/>
        <item x="455"/>
        <item x="532"/>
        <item x="1116"/>
        <item x="1091"/>
        <item x="1109"/>
        <item x="10"/>
        <item x="337"/>
        <item x="1697"/>
        <item x="1213"/>
        <item x="446"/>
        <item x="1316"/>
        <item x="1898"/>
        <item x="1903"/>
        <item x="1305"/>
        <item x="718"/>
        <item x="126"/>
        <item x="1858"/>
        <item x="1060"/>
        <item x="1780"/>
        <item x="1975"/>
        <item x="800"/>
        <item x="793"/>
        <item x="507"/>
        <item x="439"/>
        <item x="1882"/>
        <item x="430"/>
        <item x="1168"/>
        <item x="2"/>
        <item x="1180"/>
        <item x="1921"/>
        <item x="1014"/>
        <item x="1122"/>
        <item x="1238"/>
        <item x="763"/>
        <item x="772"/>
        <item x="408"/>
        <item x="1535"/>
        <item x="13"/>
        <item x="1403"/>
        <item x="519"/>
        <item x="282"/>
        <item x="1666"/>
        <item x="1824"/>
        <item x="1436"/>
        <item x="358"/>
        <item x="1767"/>
        <item x="319"/>
        <item x="564"/>
        <item x="342"/>
        <item x="651"/>
        <item x="149"/>
        <item x="1470"/>
        <item x="594"/>
        <item x="47"/>
        <item x="1463"/>
        <item x="711"/>
        <item x="1126"/>
        <item x="710"/>
        <item x="1832"/>
        <item x="395"/>
        <item x="294"/>
        <item x="789"/>
        <item x="1379"/>
        <item x="1360"/>
        <item x="1335"/>
        <item x="1150"/>
        <item x="1151"/>
        <item x="797"/>
        <item x="1337"/>
        <item x="1456"/>
        <item x="1458"/>
        <item x="579"/>
        <item x="565"/>
        <item x="359"/>
        <item x="356"/>
        <item x="550"/>
        <item x="743"/>
        <item x="518"/>
        <item x="739"/>
        <item x="427"/>
        <item x="1933"/>
        <item x="815"/>
        <item x="1277"/>
        <item x="764"/>
        <item x="1905"/>
        <item x="34"/>
        <item x="784"/>
        <item x="1019"/>
        <item x="35"/>
        <item x="1135"/>
        <item x="585"/>
        <item x="1035"/>
        <item x="26"/>
        <item x="27"/>
        <item x="1250"/>
        <item x="1789"/>
        <item x="1620"/>
        <item x="497"/>
        <item x="1673"/>
        <item x="1076"/>
        <item x="146"/>
        <item x="1073"/>
        <item x="1938"/>
        <item x="1632"/>
        <item x="1705"/>
        <item x="1485"/>
        <item x="143"/>
        <item x="1872"/>
        <item x="1634"/>
        <item x="404"/>
        <item x="1148"/>
        <item x="1598"/>
        <item x="1594"/>
        <item x="1965"/>
        <item x="1994"/>
        <item x="1583"/>
        <item x="1953"/>
        <item x="1924"/>
        <item x="1694"/>
        <item x="955"/>
        <item x="1108"/>
        <item x="417"/>
        <item x="341"/>
        <item x="1786"/>
        <item x="650"/>
        <item x="1460"/>
        <item x="1852"/>
        <item x="1971"/>
        <item x="1998"/>
        <item x="656"/>
        <item x="500"/>
        <item x="1418"/>
        <item x="1341"/>
        <item x="1796"/>
        <item x="147"/>
        <item x="1100"/>
        <item x="876"/>
        <item x="96"/>
        <item x="44"/>
        <item x="1099"/>
        <item x="1726"/>
        <item x="1336"/>
        <item x="334"/>
        <item x="1447"/>
        <item x="1449"/>
        <item x="1908"/>
        <item x="1408"/>
        <item x="59"/>
        <item x="1633"/>
        <item x="1171"/>
        <item x="1370"/>
        <item x="1210"/>
        <item x="1015"/>
        <item x="1641"/>
        <item x="197"/>
        <item x="874"/>
        <item x="336"/>
        <item x="1234"/>
        <item x="808"/>
        <item x="642"/>
        <item x="1531"/>
        <item x="1514"/>
        <item x="260"/>
        <item x="536"/>
        <item x="1433"/>
        <item x="1533"/>
        <item x="1397"/>
        <item x="1128"/>
        <item x="1881"/>
        <item x="1871"/>
        <item x="398"/>
        <item x="1129"/>
        <item x="448"/>
        <item x="1325"/>
        <item x="612"/>
        <item x="1928"/>
        <item x="588"/>
        <item x="1510"/>
        <item x="1381"/>
        <item x="1262"/>
        <item x="157"/>
        <item x="590"/>
        <item x="1480"/>
        <item x="1747"/>
        <item x="1346"/>
        <item x="1330"/>
        <item x="1894"/>
        <item x="1724"/>
        <item x="836"/>
        <item x="1822"/>
        <item x="904"/>
        <item x="1896"/>
        <item x="504"/>
        <item x="1690"/>
        <item x="894"/>
        <item x="1124"/>
        <item x="756"/>
        <item x="1870"/>
        <item x="959"/>
        <item x="1516"/>
        <item x="1295"/>
        <item x="1869"/>
        <item x="1970"/>
        <item x="1312"/>
        <item x="1339"/>
        <item x="577"/>
        <item x="1102"/>
        <item x="1219"/>
        <item x="1191"/>
        <item x="1274"/>
        <item x="559"/>
        <item x="1103"/>
        <item x="1218"/>
        <item x="1253"/>
        <item x="122"/>
        <item x="1873"/>
        <item x="1215"/>
        <item x="1670"/>
        <item x="194"/>
        <item x="1963"/>
        <item x="1617"/>
        <item x="1699"/>
        <item x="82"/>
        <item x="1728"/>
        <item x="1261"/>
        <item x="1614"/>
        <item x="1197"/>
        <item x="66"/>
        <item x="1444"/>
        <item x="1010"/>
        <item x="369"/>
        <item x="1105"/>
        <item x="25"/>
        <item x="1777"/>
        <item x="1106"/>
        <item x="1874"/>
        <item x="1421"/>
        <item x="1331"/>
        <item x="1508"/>
        <item x="407"/>
        <item x="1746"/>
        <item x="1833"/>
        <item x="1988"/>
        <item x="1702"/>
        <item x="173"/>
        <item x="1854"/>
        <item x="1813"/>
        <item x="501"/>
        <item x="1537"/>
        <item x="1282"/>
        <item x="1309"/>
        <item x="1687"/>
        <item x="447"/>
        <item x="1424"/>
        <item x="1468"/>
        <item x="1941"/>
        <item x="1887"/>
        <item x="1940"/>
        <item x="652"/>
        <item x="655"/>
        <item x="1009"/>
        <item x="1849"/>
        <item x="1835"/>
        <item x="1862"/>
        <item x="1132"/>
        <item x="634"/>
        <item x="953"/>
        <item x="1540"/>
        <item x="821"/>
        <item x="1560"/>
        <item x="1380"/>
        <item x="1809"/>
        <item x="476"/>
        <item x="1709"/>
        <item x="296"/>
        <item x="85"/>
        <item x="330"/>
        <item x="1435"/>
        <item x="706"/>
        <item x="774"/>
        <item x="1592"/>
        <item x="306"/>
        <item x="1039"/>
        <item x="1313"/>
        <item x="1629"/>
        <item x="1680"/>
        <item x="1737"/>
        <item x="1671"/>
        <item x="1593"/>
        <item x="1499"/>
        <item x="1199"/>
        <item x="728"/>
        <item x="1572"/>
        <item x="1973"/>
        <item x="1909"/>
        <item x="1895"/>
        <item x="1949"/>
        <item x="1954"/>
        <item x="1934"/>
        <item x="740"/>
        <item x="1409"/>
        <item x="1806"/>
        <item x="1342"/>
        <item x="1779"/>
        <item x="1107"/>
        <item x="1304"/>
        <item x="1538"/>
        <item x="1532"/>
        <item x="1411"/>
        <item x="1664"/>
        <item x="1890"/>
        <item x="1298"/>
        <item x="1104"/>
        <item x="1834"/>
        <item x="1175"/>
        <item x="1098"/>
        <item x="773"/>
        <item x="201"/>
        <item x="156"/>
        <item x="529"/>
        <item x="202"/>
        <item x="709"/>
        <item x="456"/>
        <item x="150"/>
        <item x="261"/>
        <item x="976"/>
        <item x="982"/>
        <item x="658"/>
        <item x="1067"/>
        <item x="376"/>
        <item x="1984"/>
        <item x="1966"/>
        <item x="1655"/>
        <item x="1170"/>
        <item x="889"/>
        <item x="1323"/>
        <item x="1721"/>
        <item x="1754"/>
        <item x="1144"/>
        <item x="1037"/>
        <item x="1393"/>
        <item x="1372"/>
        <item x="1322"/>
        <item x="1306"/>
        <item x="1708"/>
        <item x="164"/>
        <item x="36"/>
        <item x="758"/>
        <item x="531"/>
        <item x="1163"/>
        <item x="315"/>
        <item x="629"/>
        <item x="92"/>
        <item x="274"/>
        <item x="139"/>
        <item x="293"/>
        <item x="487"/>
        <item x="903"/>
        <item x="1193"/>
        <item x="1844"/>
        <item x="239"/>
        <item x="975"/>
        <item x="936"/>
        <item x="1020"/>
        <item x="423"/>
        <item x="382"/>
        <item x="722"/>
        <item x="353"/>
        <item x="151"/>
        <item x="987"/>
        <item x="1117"/>
        <item x="393"/>
        <item x="657"/>
        <item x="348"/>
        <item x="1058"/>
        <item x="887"/>
        <item x="138"/>
        <item x="325"/>
        <item x="702"/>
        <item x="984"/>
        <item x="64"/>
        <item x="1000"/>
        <item x="1704"/>
        <item x="1272"/>
        <item x="431"/>
        <item x="1927"/>
        <item x="788"/>
        <item x="1811"/>
        <item x="1946"/>
        <item x="1918"/>
        <item x="1078"/>
        <item x="48"/>
        <item x="968"/>
        <item x="1613"/>
        <item x="1962"/>
        <item x="1276"/>
        <item x="493"/>
        <item x="510"/>
        <item x="280"/>
        <item x="938"/>
        <item x="95"/>
        <item x="1329"/>
        <item x="895"/>
        <item x="963"/>
        <item x="939"/>
        <item x="1623"/>
        <item x="1526"/>
        <item x="73"/>
        <item x="248"/>
        <item x="11"/>
        <item x="250"/>
        <item x="1521"/>
        <item x="354"/>
        <item x="576"/>
        <item x="1761"/>
        <item x="1141"/>
        <item x="1790"/>
        <item x="1678"/>
        <item x="1511"/>
        <item x="1378"/>
        <item x="965"/>
        <item x="1574"/>
        <item x="775"/>
        <item x="1377"/>
        <item x="1831"/>
        <item x="777"/>
        <item x="1050"/>
        <item x="1466"/>
        <item x="1765"/>
        <item x="1320"/>
        <item x="841"/>
        <item x="1374"/>
        <item x="1551"/>
        <item x="1793"/>
        <item x="309"/>
        <item x="1820"/>
        <item x="1843"/>
        <item x="962"/>
        <item x="1787"/>
        <item x="1524"/>
        <item x="635"/>
        <item x="49"/>
        <item x="604"/>
        <item x="1772"/>
        <item x="597"/>
        <item x="419"/>
        <item x="1816"/>
        <item x="1503"/>
        <item x="1663"/>
        <item x="738"/>
        <item x="1402"/>
        <item x="1127"/>
        <item x="1173"/>
        <item x="1913"/>
        <item x="924"/>
        <item x="1513"/>
        <item x="1791"/>
        <item x="782"/>
        <item x="1278"/>
        <item x="1181"/>
        <item x="1495"/>
        <item x="485"/>
        <item x="1523"/>
        <item x="442"/>
        <item x="480"/>
        <item x="1167"/>
        <item x="677"/>
        <item x="1162"/>
        <item x="609"/>
        <item x="1977"/>
        <item x="824"/>
        <item x="1363"/>
        <item x="1961"/>
        <item x="1691"/>
        <item x="592"/>
        <item x="1610"/>
        <item x="127"/>
        <item x="1616"/>
        <item x="1987"/>
        <item x="902"/>
        <item x="1145"/>
        <item x="1997"/>
        <item x="1604"/>
        <item x="1686"/>
        <item x="1877"/>
        <item x="1437"/>
        <item x="940"/>
        <item x="2000"/>
        <item x="1275"/>
        <item x="1465"/>
        <item x="1794"/>
        <item x="834"/>
        <item x="1815"/>
        <item x="1527"/>
        <item x="1369"/>
        <item x="214"/>
        <item x="1784"/>
        <item x="232"/>
        <item x="754"/>
        <item x="384"/>
        <item x="205"/>
        <item x="1958"/>
        <item x="1619"/>
        <item x="1169"/>
        <item x="1573"/>
        <item x="1703"/>
        <item x="1668"/>
        <item x="1756"/>
        <item x="528"/>
        <item x="1174"/>
        <item x="1518"/>
        <item x="1528"/>
        <item x="1515"/>
        <item x="799"/>
        <item x="281"/>
        <item x="829"/>
        <item x="1062"/>
        <item x="572"/>
        <item x="41"/>
        <item x="1618"/>
        <item x="678"/>
        <item x="1400"/>
        <item x="1778"/>
        <item x="1413"/>
        <item x="1602"/>
        <item x="680"/>
        <item x="104"/>
        <item x="440"/>
        <item x="136"/>
        <item x="1292"/>
        <item x="1386"/>
        <item x="1387"/>
        <item x="993"/>
        <item x="1605"/>
        <item x="1114"/>
        <item x="1498"/>
        <item x="418"/>
        <item x="1715"/>
        <item x="273"/>
        <item x="1417"/>
        <item x="1821"/>
        <item x="1622"/>
        <item x="1636"/>
        <item x="1698"/>
        <item x="1932"/>
        <item x="831"/>
        <item x="1055"/>
        <item x="1866"/>
        <item x="972"/>
        <item x="175"/>
        <item x="1929"/>
        <item x="1867"/>
        <item x="974"/>
        <item x="1222"/>
        <item x="1415"/>
        <item x="986"/>
        <item x="1942"/>
        <item x="1224"/>
        <item x="1599"/>
        <item x="682"/>
        <item x="1945"/>
        <item x="1684"/>
        <item x="1661"/>
        <item x="1208"/>
        <item x="1217"/>
        <item x="1947"/>
        <item x="1911"/>
        <item x="1713"/>
        <item x="1606"/>
        <item x="725"/>
        <item x="1609"/>
        <item x="467"/>
        <item x="1651"/>
        <item x="1401"/>
        <item x="1243"/>
        <item x="1757"/>
        <item x="1517"/>
        <item x="566"/>
        <item x="988"/>
        <item x="1522"/>
        <item x="830"/>
        <item x="1064"/>
        <item x="1251"/>
        <item x="1773"/>
        <item x="1004"/>
        <item x="934"/>
        <item x="461"/>
        <item x="896"/>
        <item x="1245"/>
        <item x="1860"/>
        <item x="601"/>
        <item x="600"/>
        <item x="1683"/>
        <item x="137"/>
        <item x="90"/>
        <item x="1879"/>
        <item x="1836"/>
        <item x="1770"/>
        <item x="1755"/>
        <item x="885"/>
        <item x="351"/>
        <item x="463"/>
        <item x="1201"/>
        <item x="464"/>
        <item x="823"/>
        <item x="200"/>
        <item x="701"/>
        <item x="218"/>
        <item x="1244"/>
        <item x="1233"/>
        <item x="684"/>
        <item x="589"/>
        <item x="481"/>
        <item x="1712"/>
        <item x="91"/>
        <item x="1717"/>
        <item x="1561"/>
        <item x="1611"/>
        <item x="1823"/>
        <item x="1912"/>
        <item x="1586"/>
        <item x="1490"/>
        <item x="698"/>
        <item x="832"/>
        <item x="133"/>
        <item x="1845"/>
        <item x="1630"/>
        <item x="1753"/>
        <item x="1766"/>
        <item x="1901"/>
        <item x="817"/>
        <item x="1696"/>
        <item x="355"/>
        <item x="1307"/>
        <item x="1719"/>
        <item x="1018"/>
        <item x="1230"/>
        <item x="1582"/>
        <item x="70"/>
        <item x="697"/>
        <item x="142"/>
        <item x="75"/>
        <item x="1731"/>
        <item x="1489"/>
        <item x="633"/>
        <item x="1542"/>
        <item x="377"/>
        <item x="1916"/>
        <item x="1710"/>
        <item x="1775"/>
        <item x="1689"/>
        <item x="736"/>
        <item x="231"/>
        <item x="1003"/>
        <item x="31"/>
        <item x="759"/>
        <item x="723"/>
        <item x="397"/>
        <item x="646"/>
        <item x="373"/>
        <item x="8"/>
        <item x="230"/>
        <item x="749"/>
        <item x="1056"/>
        <item x="857"/>
        <item x="760"/>
        <item x="1223"/>
        <item x="1324"/>
        <item x="45"/>
        <item x="909"/>
        <item x="472"/>
        <item x="106"/>
        <item x="844"/>
        <item x="1473"/>
        <item x="258"/>
        <item x="332"/>
        <item x="685"/>
        <item x="527"/>
        <item x="188"/>
        <item x="812"/>
        <item x="305"/>
        <item x="1021"/>
        <item x="1161"/>
        <item x="776"/>
        <item x="647"/>
        <item x="277"/>
        <item x="1566"/>
        <item x="1904"/>
        <item x="1111"/>
        <item x="300"/>
        <item x="1839"/>
        <item x="1922"/>
        <item x="1267"/>
        <item x="1266"/>
        <item x="1235"/>
        <item x="1662"/>
        <item x="1856"/>
        <item x="1810"/>
        <item x="1951"/>
        <item x="1825"/>
        <item x="1491"/>
        <item x="620"/>
        <item x="730"/>
        <item x="271"/>
        <item x="1296"/>
        <item x="1969"/>
        <item x="1743"/>
        <item x="946"/>
        <item x="29"/>
        <item x="1299"/>
        <item x="1805"/>
        <item x="283"/>
        <item x="944"/>
        <item x="662"/>
        <item x="1626"/>
        <item x="391"/>
        <item x="931"/>
        <item x="1639"/>
        <item x="804"/>
        <item x="1095"/>
        <item x="794"/>
        <item x="1695"/>
        <item x="1679"/>
        <item x="786"/>
        <item x="1072"/>
        <item x="1677"/>
        <item x="1443"/>
        <item x="1083"/>
        <item x="1653"/>
        <item x="989"/>
        <item x="498"/>
        <item x="1730"/>
        <item x="1270"/>
        <item x="102"/>
        <item x="1565"/>
        <item x="1861"/>
        <item x="1893"/>
        <item x="1906"/>
        <item x="1441"/>
        <item x="1442"/>
        <item x="907"/>
        <item x="1920"/>
        <item x="1597"/>
        <item x="1914"/>
        <item x="1545"/>
        <item x="1769"/>
        <item x="765"/>
        <item x="1462"/>
        <item x="1166"/>
        <item x="1992"/>
        <item x="1875"/>
        <item x="1658"/>
        <item x="1288"/>
        <item x="466"/>
        <item x="1546"/>
        <item x="1798"/>
        <item x="1391"/>
        <item x="346"/>
        <item x="192"/>
        <item x="1216"/>
        <item x="806"/>
        <item x="676"/>
        <item x="1287"/>
        <item x="1652"/>
        <item x="1812"/>
        <item x="1390"/>
        <item x="720"/>
        <item x="1814"/>
        <item x="827"/>
        <item x="867"/>
        <item x="1654"/>
        <item x="403"/>
        <item x="850"/>
        <item x="653"/>
        <item x="1053"/>
        <item x="72"/>
        <item x="1079"/>
        <item x="155"/>
        <item x="162"/>
        <item x="688"/>
        <item x="951"/>
        <item x="1157"/>
        <item x="640"/>
        <item x="242"/>
        <item x="1008"/>
        <item x="750"/>
        <item x="714"/>
        <item x="1368"/>
        <item x="855"/>
        <item x="915"/>
        <item x="247"/>
        <item x="704"/>
        <item x="948"/>
        <item x="1301"/>
        <item x="475"/>
        <item x="947"/>
        <item x="945"/>
        <item x="1065"/>
        <item x="1290"/>
        <item x="1917"/>
        <item x="1348"/>
        <item x="1656"/>
        <item x="1802"/>
        <item x="541"/>
        <item x="540"/>
        <item x="908"/>
        <item x="1268"/>
        <item x="1505"/>
        <item x="1650"/>
        <item x="1427"/>
        <item x="1392"/>
        <item x="679"/>
        <item x="452"/>
        <item x="971"/>
        <item x="1960"/>
        <item x="54"/>
        <item x="51"/>
        <item x="1024"/>
        <item x="1334"/>
        <item x="1740"/>
        <item x="1471"/>
        <item x="998"/>
        <item x="1404"/>
        <item x="1493"/>
        <item x="783"/>
        <item x="2002"/>
        <item x="107"/>
        <item x="1461"/>
        <item x="1229"/>
        <item x="1232"/>
        <item x="1727"/>
        <item x="1539"/>
        <item x="1321"/>
        <item x="795"/>
        <item x="5"/>
        <item x="396"/>
        <item x="63"/>
        <item x="12"/>
        <item x="215"/>
        <item x="237"/>
        <item x="478"/>
        <item x="257"/>
        <item x="163"/>
        <item x="109"/>
        <item x="46"/>
        <item x="511"/>
        <item x="570"/>
        <item x="1534"/>
        <item x="539"/>
        <item x="1059"/>
        <item x="1136"/>
        <item x="74"/>
        <item x="327"/>
        <item x="1364"/>
        <item x="352"/>
        <item x="1115"/>
        <item x="486"/>
        <item x="742"/>
        <item x="58"/>
        <item x="1183"/>
        <item x="166"/>
        <item x="1644"/>
        <item x="733"/>
        <item x="60"/>
        <item x="807"/>
        <item x="1376"/>
        <item x="923"/>
        <item x="927"/>
        <item x="534"/>
        <item x="613"/>
        <item x="1382"/>
        <item x="883"/>
        <item x="1487"/>
        <item x="882"/>
        <item x="1711"/>
        <item x="1818"/>
        <item x="1817"/>
        <item x="1486"/>
        <item x="1252"/>
        <item x="599"/>
        <item x="1808"/>
        <item x="1410"/>
        <item x="9"/>
        <item x="6"/>
        <item x="111"/>
        <item x="1430"/>
        <item x="1939"/>
        <item x="1509"/>
        <item x="1429"/>
        <item t="default"/>
      </items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total_quality" fld="2" subtotal="average" baseField="0" baseItem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28F96-1CE6-490C-8615-6DC254723066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K52:L56" firstHeaderRow="1" firstDataRow="1" firstDataCol="1"/>
  <pivotFields count="9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of agtron_ground" fld="3" subtotal="average" baseField="8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018D0-C447-40F8-877E-AB78FD0231C4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K29:L33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1"/>
        <item x="0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price_per_100g" fld="5" subtotal="average" baseField="8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9"/>
  <sheetViews>
    <sheetView workbookViewId="0">
      <selection sqref="A1:H2189"/>
    </sheetView>
  </sheetViews>
  <sheetFormatPr defaultRowHeight="14.4" x14ac:dyDescent="0.3"/>
  <cols>
    <col min="1" max="1" width="11.5546875" customWidth="1"/>
  </cols>
  <sheetData>
    <row r="1" spans="1:8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3">
      <c r="A2" t="s">
        <v>40</v>
      </c>
      <c r="B2">
        <v>94</v>
      </c>
      <c r="C2" t="s">
        <v>41</v>
      </c>
      <c r="D2">
        <v>62</v>
      </c>
      <c r="E2">
        <v>82</v>
      </c>
      <c r="F2">
        <v>13.22</v>
      </c>
      <c r="G2" t="s">
        <v>18</v>
      </c>
      <c r="H2" t="s">
        <v>14</v>
      </c>
    </row>
    <row r="3" spans="1:8" x14ac:dyDescent="0.3">
      <c r="A3" t="s">
        <v>42</v>
      </c>
      <c r="B3">
        <v>94</v>
      </c>
      <c r="C3" t="s">
        <v>41</v>
      </c>
      <c r="D3">
        <v>63</v>
      </c>
      <c r="E3">
        <v>87</v>
      </c>
      <c r="F3">
        <v>10.14</v>
      </c>
      <c r="G3" t="s">
        <v>18</v>
      </c>
      <c r="H3" t="s">
        <v>14</v>
      </c>
    </row>
    <row r="4" spans="1:8" x14ac:dyDescent="0.3">
      <c r="A4" t="s">
        <v>43</v>
      </c>
      <c r="B4">
        <v>94</v>
      </c>
      <c r="C4" t="s">
        <v>41</v>
      </c>
      <c r="D4">
        <v>64</v>
      </c>
      <c r="E4">
        <v>88</v>
      </c>
      <c r="F4">
        <v>10</v>
      </c>
      <c r="G4" t="s">
        <v>18</v>
      </c>
      <c r="H4" t="s">
        <v>9</v>
      </c>
    </row>
    <row r="5" spans="1:8" x14ac:dyDescent="0.3">
      <c r="A5" t="s">
        <v>44</v>
      </c>
      <c r="B5">
        <v>96</v>
      </c>
      <c r="C5" t="s">
        <v>45</v>
      </c>
      <c r="D5">
        <v>55</v>
      </c>
      <c r="E5">
        <v>77</v>
      </c>
      <c r="F5">
        <v>110.23</v>
      </c>
      <c r="G5" t="s">
        <v>2</v>
      </c>
      <c r="H5" t="s">
        <v>9</v>
      </c>
    </row>
    <row r="6" spans="1:8" x14ac:dyDescent="0.3">
      <c r="A6" t="s">
        <v>46</v>
      </c>
      <c r="B6">
        <v>95</v>
      </c>
      <c r="C6" t="s">
        <v>45</v>
      </c>
      <c r="D6">
        <v>62</v>
      </c>
      <c r="E6">
        <v>78</v>
      </c>
      <c r="F6">
        <v>176.37</v>
      </c>
      <c r="G6" t="s">
        <v>2</v>
      </c>
      <c r="H6" t="s">
        <v>9</v>
      </c>
    </row>
    <row r="7" spans="1:8" x14ac:dyDescent="0.3">
      <c r="A7" t="s">
        <v>47</v>
      </c>
      <c r="B7">
        <v>95</v>
      </c>
      <c r="C7" t="s">
        <v>45</v>
      </c>
      <c r="D7">
        <v>60</v>
      </c>
      <c r="E7">
        <v>78</v>
      </c>
      <c r="F7">
        <v>17.2</v>
      </c>
      <c r="G7" t="s">
        <v>2</v>
      </c>
      <c r="H7" t="s">
        <v>9</v>
      </c>
    </row>
    <row r="8" spans="1:8" x14ac:dyDescent="0.3">
      <c r="A8" t="s">
        <v>48</v>
      </c>
      <c r="B8">
        <v>95</v>
      </c>
      <c r="C8" t="s">
        <v>45</v>
      </c>
      <c r="D8">
        <v>60</v>
      </c>
      <c r="E8">
        <v>78</v>
      </c>
      <c r="F8">
        <v>705.47</v>
      </c>
      <c r="G8" t="s">
        <v>2</v>
      </c>
      <c r="H8" t="s">
        <v>2</v>
      </c>
    </row>
    <row r="9" spans="1:8" x14ac:dyDescent="0.3">
      <c r="A9" t="s">
        <v>49</v>
      </c>
      <c r="B9">
        <v>94</v>
      </c>
      <c r="C9" t="s">
        <v>45</v>
      </c>
      <c r="D9">
        <v>60</v>
      </c>
      <c r="E9">
        <v>80</v>
      </c>
      <c r="F9">
        <v>154.32</v>
      </c>
      <c r="G9" t="s">
        <v>2</v>
      </c>
      <c r="H9" t="s">
        <v>14</v>
      </c>
    </row>
    <row r="10" spans="1:8" x14ac:dyDescent="0.3">
      <c r="A10" t="s">
        <v>50</v>
      </c>
      <c r="B10">
        <v>94</v>
      </c>
      <c r="C10" t="s">
        <v>45</v>
      </c>
      <c r="D10">
        <v>58</v>
      </c>
      <c r="E10">
        <v>77</v>
      </c>
      <c r="F10">
        <v>264.55</v>
      </c>
      <c r="G10" t="s">
        <v>2</v>
      </c>
      <c r="H10" t="s">
        <v>6</v>
      </c>
    </row>
    <row r="11" spans="1:8" x14ac:dyDescent="0.3">
      <c r="A11" t="s">
        <v>51</v>
      </c>
      <c r="B11">
        <v>94</v>
      </c>
      <c r="C11" t="s">
        <v>41</v>
      </c>
      <c r="D11">
        <v>60</v>
      </c>
      <c r="E11">
        <v>84</v>
      </c>
      <c r="F11">
        <v>529.1</v>
      </c>
      <c r="G11" t="s">
        <v>2</v>
      </c>
      <c r="H11" t="s">
        <v>2</v>
      </c>
    </row>
    <row r="12" spans="1:8" x14ac:dyDescent="0.3">
      <c r="A12" t="s">
        <v>52</v>
      </c>
      <c r="B12">
        <v>94</v>
      </c>
      <c r="C12" t="s">
        <v>41</v>
      </c>
      <c r="D12">
        <v>60</v>
      </c>
      <c r="E12">
        <v>86</v>
      </c>
      <c r="F12">
        <v>145.5</v>
      </c>
      <c r="G12" t="s">
        <v>2</v>
      </c>
      <c r="H12" t="s">
        <v>9</v>
      </c>
    </row>
    <row r="13" spans="1:8" x14ac:dyDescent="0.3">
      <c r="A13" t="s">
        <v>53</v>
      </c>
      <c r="B13">
        <v>95</v>
      </c>
      <c r="C13" t="s">
        <v>41</v>
      </c>
      <c r="D13">
        <v>60</v>
      </c>
      <c r="E13">
        <v>84</v>
      </c>
      <c r="F13">
        <v>11.9</v>
      </c>
      <c r="G13" t="s">
        <v>18</v>
      </c>
      <c r="H13" t="s">
        <v>14</v>
      </c>
    </row>
    <row r="14" spans="1:8" x14ac:dyDescent="0.3">
      <c r="A14" t="s">
        <v>54</v>
      </c>
      <c r="B14">
        <v>95</v>
      </c>
      <c r="C14" t="s">
        <v>41</v>
      </c>
      <c r="D14">
        <v>62</v>
      </c>
      <c r="E14">
        <v>84</v>
      </c>
      <c r="F14">
        <v>11.46</v>
      </c>
      <c r="G14" t="s">
        <v>18</v>
      </c>
      <c r="H14" t="s">
        <v>14</v>
      </c>
    </row>
    <row r="15" spans="1:8" x14ac:dyDescent="0.3">
      <c r="A15" t="s">
        <v>55</v>
      </c>
      <c r="B15">
        <v>94</v>
      </c>
      <c r="C15" t="s">
        <v>45</v>
      </c>
      <c r="D15">
        <v>59</v>
      </c>
      <c r="E15">
        <v>81</v>
      </c>
      <c r="F15">
        <v>6.47</v>
      </c>
      <c r="G15" t="s">
        <v>18</v>
      </c>
      <c r="H15" t="s">
        <v>20</v>
      </c>
    </row>
    <row r="16" spans="1:8" x14ac:dyDescent="0.3">
      <c r="A16" t="s">
        <v>56</v>
      </c>
      <c r="B16">
        <v>94</v>
      </c>
      <c r="C16" t="s">
        <v>41</v>
      </c>
      <c r="D16">
        <v>62</v>
      </c>
      <c r="E16">
        <v>82</v>
      </c>
      <c r="F16">
        <v>275</v>
      </c>
      <c r="G16" t="s">
        <v>2</v>
      </c>
      <c r="H16" t="s">
        <v>9</v>
      </c>
    </row>
    <row r="17" spans="1:8" x14ac:dyDescent="0.3">
      <c r="A17" t="s">
        <v>57</v>
      </c>
      <c r="B17">
        <v>94</v>
      </c>
      <c r="C17" t="s">
        <v>41</v>
      </c>
      <c r="D17">
        <v>63</v>
      </c>
      <c r="E17">
        <v>85</v>
      </c>
      <c r="F17">
        <v>275</v>
      </c>
      <c r="G17" t="s">
        <v>2</v>
      </c>
      <c r="H17" t="s">
        <v>9</v>
      </c>
    </row>
    <row r="18" spans="1:8" x14ac:dyDescent="0.3">
      <c r="A18" t="s">
        <v>58</v>
      </c>
      <c r="B18">
        <v>96</v>
      </c>
      <c r="C18" t="s">
        <v>45</v>
      </c>
      <c r="D18">
        <v>60</v>
      </c>
      <c r="E18">
        <v>77</v>
      </c>
      <c r="F18">
        <v>14.11</v>
      </c>
      <c r="G18" t="s">
        <v>18</v>
      </c>
      <c r="H18" t="s">
        <v>4</v>
      </c>
    </row>
    <row r="19" spans="1:8" x14ac:dyDescent="0.3">
      <c r="A19" t="s">
        <v>59</v>
      </c>
      <c r="B19">
        <v>95</v>
      </c>
      <c r="C19" t="s">
        <v>41</v>
      </c>
      <c r="D19">
        <v>60</v>
      </c>
      <c r="E19">
        <v>88</v>
      </c>
      <c r="F19">
        <v>8.82</v>
      </c>
      <c r="G19" t="s">
        <v>18</v>
      </c>
      <c r="H19" t="s">
        <v>15</v>
      </c>
    </row>
    <row r="20" spans="1:8" x14ac:dyDescent="0.3">
      <c r="A20" t="s">
        <v>60</v>
      </c>
      <c r="B20">
        <v>95</v>
      </c>
      <c r="C20" t="s">
        <v>41</v>
      </c>
      <c r="D20">
        <v>65</v>
      </c>
      <c r="E20">
        <v>87</v>
      </c>
      <c r="F20">
        <v>10.58</v>
      </c>
      <c r="G20" t="s">
        <v>18</v>
      </c>
      <c r="H20" t="s">
        <v>9</v>
      </c>
    </row>
    <row r="21" spans="1:8" x14ac:dyDescent="0.3">
      <c r="A21" t="s">
        <v>61</v>
      </c>
      <c r="B21">
        <v>94</v>
      </c>
      <c r="C21" t="s">
        <v>45</v>
      </c>
      <c r="D21">
        <v>59</v>
      </c>
      <c r="E21">
        <v>77</v>
      </c>
      <c r="F21">
        <v>6.17</v>
      </c>
      <c r="G21" t="s">
        <v>18</v>
      </c>
      <c r="H21" t="s">
        <v>3</v>
      </c>
    </row>
    <row r="22" spans="1:8" x14ac:dyDescent="0.3">
      <c r="A22" t="s">
        <v>62</v>
      </c>
      <c r="B22">
        <v>94</v>
      </c>
      <c r="C22" t="s">
        <v>41</v>
      </c>
      <c r="D22">
        <v>61</v>
      </c>
      <c r="E22">
        <v>82</v>
      </c>
      <c r="F22">
        <v>8.23</v>
      </c>
      <c r="G22" t="s">
        <v>18</v>
      </c>
      <c r="H22" t="s">
        <v>9</v>
      </c>
    </row>
    <row r="23" spans="1:8" x14ac:dyDescent="0.3">
      <c r="A23" t="s">
        <v>63</v>
      </c>
      <c r="B23">
        <v>95</v>
      </c>
      <c r="C23" t="s">
        <v>41</v>
      </c>
      <c r="D23">
        <v>63</v>
      </c>
      <c r="E23">
        <v>87</v>
      </c>
      <c r="F23">
        <v>9.41</v>
      </c>
      <c r="G23" t="s">
        <v>18</v>
      </c>
      <c r="H23" t="s">
        <v>14</v>
      </c>
    </row>
    <row r="24" spans="1:8" x14ac:dyDescent="0.3">
      <c r="A24" t="s">
        <v>64</v>
      </c>
      <c r="B24">
        <v>94</v>
      </c>
      <c r="C24" t="s">
        <v>41</v>
      </c>
      <c r="D24">
        <v>61</v>
      </c>
      <c r="E24">
        <v>81</v>
      </c>
      <c r="F24">
        <v>246.47</v>
      </c>
      <c r="G24" t="s">
        <v>2</v>
      </c>
      <c r="H24" t="s">
        <v>14</v>
      </c>
    </row>
    <row r="25" spans="1:8" x14ac:dyDescent="0.3">
      <c r="A25" t="s">
        <v>65</v>
      </c>
      <c r="B25">
        <v>94</v>
      </c>
      <c r="C25" t="s">
        <v>41</v>
      </c>
      <c r="D25">
        <v>65</v>
      </c>
      <c r="E25">
        <v>87</v>
      </c>
      <c r="F25">
        <v>145.06</v>
      </c>
      <c r="G25" t="s">
        <v>2</v>
      </c>
      <c r="H25" t="s">
        <v>9</v>
      </c>
    </row>
    <row r="26" spans="1:8" x14ac:dyDescent="0.3">
      <c r="A26" t="s">
        <v>66</v>
      </c>
      <c r="B26">
        <v>94</v>
      </c>
      <c r="C26" t="s">
        <v>41</v>
      </c>
      <c r="D26">
        <v>66</v>
      </c>
      <c r="E26">
        <v>88</v>
      </c>
      <c r="F26">
        <v>470</v>
      </c>
      <c r="G26" t="s">
        <v>2</v>
      </c>
      <c r="H26" t="s">
        <v>14</v>
      </c>
    </row>
    <row r="27" spans="1:8" x14ac:dyDescent="0.3">
      <c r="A27" t="s">
        <v>67</v>
      </c>
      <c r="B27">
        <v>95</v>
      </c>
      <c r="C27" t="s">
        <v>41</v>
      </c>
      <c r="D27">
        <v>66</v>
      </c>
      <c r="E27">
        <v>86</v>
      </c>
      <c r="F27">
        <v>211.64</v>
      </c>
      <c r="G27" t="s">
        <v>2</v>
      </c>
      <c r="H27" t="s">
        <v>12</v>
      </c>
    </row>
    <row r="28" spans="1:8" x14ac:dyDescent="0.3">
      <c r="A28" t="s">
        <v>68</v>
      </c>
      <c r="B28">
        <v>97</v>
      </c>
      <c r="C28" t="s">
        <v>41</v>
      </c>
      <c r="D28">
        <v>62</v>
      </c>
      <c r="E28">
        <v>84</v>
      </c>
      <c r="F28">
        <v>16.75</v>
      </c>
      <c r="G28" t="s">
        <v>18</v>
      </c>
      <c r="H28" t="s">
        <v>18</v>
      </c>
    </row>
    <row r="29" spans="1:8" x14ac:dyDescent="0.3">
      <c r="A29" t="s">
        <v>69</v>
      </c>
      <c r="B29">
        <v>95</v>
      </c>
      <c r="C29" t="s">
        <v>45</v>
      </c>
      <c r="D29">
        <v>60</v>
      </c>
      <c r="E29">
        <v>80</v>
      </c>
      <c r="F29">
        <v>15.52</v>
      </c>
      <c r="G29" t="s">
        <v>18</v>
      </c>
      <c r="H29" t="s">
        <v>18</v>
      </c>
    </row>
    <row r="30" spans="1:8" x14ac:dyDescent="0.3">
      <c r="A30" t="s">
        <v>70</v>
      </c>
      <c r="B30">
        <v>95</v>
      </c>
      <c r="C30" t="s">
        <v>41</v>
      </c>
      <c r="D30">
        <v>65</v>
      </c>
      <c r="E30">
        <v>87</v>
      </c>
      <c r="F30">
        <v>17.64</v>
      </c>
      <c r="G30" t="s">
        <v>18</v>
      </c>
      <c r="H30" t="s">
        <v>14</v>
      </c>
    </row>
    <row r="31" spans="1:8" x14ac:dyDescent="0.3">
      <c r="A31" t="s">
        <v>71</v>
      </c>
      <c r="B31">
        <v>95</v>
      </c>
      <c r="C31" t="s">
        <v>41</v>
      </c>
      <c r="D31">
        <v>64</v>
      </c>
      <c r="E31">
        <v>86</v>
      </c>
      <c r="F31">
        <v>8.23</v>
      </c>
      <c r="G31" t="s">
        <v>18</v>
      </c>
      <c r="H31" t="s">
        <v>17</v>
      </c>
    </row>
    <row r="32" spans="1:8" x14ac:dyDescent="0.3">
      <c r="A32" t="s">
        <v>72</v>
      </c>
      <c r="B32">
        <v>95</v>
      </c>
      <c r="C32" t="s">
        <v>41</v>
      </c>
      <c r="D32">
        <v>64</v>
      </c>
      <c r="E32">
        <v>86</v>
      </c>
      <c r="F32">
        <v>12.79</v>
      </c>
      <c r="G32" t="s">
        <v>18</v>
      </c>
      <c r="H32" t="s">
        <v>4</v>
      </c>
    </row>
    <row r="33" spans="1:8" x14ac:dyDescent="0.3">
      <c r="A33" t="s">
        <v>73</v>
      </c>
      <c r="B33">
        <v>94</v>
      </c>
      <c r="C33" t="s">
        <v>45</v>
      </c>
      <c r="D33">
        <v>59</v>
      </c>
      <c r="E33">
        <v>80</v>
      </c>
      <c r="F33">
        <v>6.47</v>
      </c>
      <c r="G33" t="s">
        <v>18</v>
      </c>
      <c r="H33" t="s">
        <v>6</v>
      </c>
    </row>
    <row r="34" spans="1:8" x14ac:dyDescent="0.3">
      <c r="A34" t="s">
        <v>74</v>
      </c>
      <c r="B34">
        <v>95</v>
      </c>
      <c r="C34" t="s">
        <v>41</v>
      </c>
      <c r="D34">
        <v>62</v>
      </c>
      <c r="E34">
        <v>84</v>
      </c>
      <c r="F34">
        <v>5.88</v>
      </c>
      <c r="G34" t="s">
        <v>18</v>
      </c>
      <c r="H34" t="s">
        <v>9</v>
      </c>
    </row>
    <row r="35" spans="1:8" x14ac:dyDescent="0.3">
      <c r="A35" t="s">
        <v>75</v>
      </c>
      <c r="B35">
        <v>94</v>
      </c>
      <c r="C35" t="s">
        <v>45</v>
      </c>
      <c r="D35">
        <v>61</v>
      </c>
      <c r="E35">
        <v>79</v>
      </c>
      <c r="F35">
        <v>6.76</v>
      </c>
      <c r="G35" t="s">
        <v>18</v>
      </c>
      <c r="H35" t="s">
        <v>9</v>
      </c>
    </row>
    <row r="36" spans="1:8" x14ac:dyDescent="0.3">
      <c r="A36" t="s">
        <v>76</v>
      </c>
      <c r="B36">
        <v>94</v>
      </c>
      <c r="C36" t="s">
        <v>45</v>
      </c>
      <c r="D36">
        <v>52</v>
      </c>
      <c r="E36">
        <v>73</v>
      </c>
      <c r="F36">
        <v>14.81</v>
      </c>
      <c r="G36" t="s">
        <v>18</v>
      </c>
      <c r="H36" t="s">
        <v>18</v>
      </c>
    </row>
    <row r="37" spans="1:8" x14ac:dyDescent="0.3">
      <c r="A37" t="s">
        <v>77</v>
      </c>
      <c r="B37">
        <v>95</v>
      </c>
      <c r="C37" t="s">
        <v>45</v>
      </c>
      <c r="D37">
        <v>60</v>
      </c>
      <c r="E37">
        <v>78</v>
      </c>
      <c r="F37">
        <v>15.52</v>
      </c>
      <c r="G37" t="s">
        <v>18</v>
      </c>
      <c r="H37" t="s">
        <v>18</v>
      </c>
    </row>
    <row r="38" spans="1:8" x14ac:dyDescent="0.3">
      <c r="A38" t="s">
        <v>78</v>
      </c>
      <c r="B38">
        <v>94</v>
      </c>
      <c r="C38" t="s">
        <v>45</v>
      </c>
      <c r="D38">
        <v>57</v>
      </c>
      <c r="E38">
        <v>78</v>
      </c>
      <c r="F38">
        <v>15.52</v>
      </c>
      <c r="G38" t="s">
        <v>18</v>
      </c>
      <c r="H38" t="s">
        <v>18</v>
      </c>
    </row>
    <row r="39" spans="1:8" x14ac:dyDescent="0.3">
      <c r="A39" t="s">
        <v>79</v>
      </c>
      <c r="B39">
        <v>94</v>
      </c>
      <c r="C39" t="s">
        <v>45</v>
      </c>
      <c r="D39">
        <v>57</v>
      </c>
      <c r="E39">
        <v>79</v>
      </c>
      <c r="F39">
        <v>5.86</v>
      </c>
      <c r="G39" t="s">
        <v>18</v>
      </c>
      <c r="H39" t="s">
        <v>7</v>
      </c>
    </row>
    <row r="40" spans="1:8" x14ac:dyDescent="0.3">
      <c r="A40" t="s">
        <v>80</v>
      </c>
      <c r="B40">
        <v>94</v>
      </c>
      <c r="C40" t="s">
        <v>45</v>
      </c>
      <c r="D40">
        <v>52</v>
      </c>
      <c r="E40">
        <v>74</v>
      </c>
      <c r="F40">
        <v>4.99</v>
      </c>
      <c r="G40" t="s">
        <v>18</v>
      </c>
      <c r="H40" t="s">
        <v>9</v>
      </c>
    </row>
    <row r="41" spans="1:8" x14ac:dyDescent="0.3">
      <c r="A41" t="s">
        <v>81</v>
      </c>
      <c r="B41">
        <v>95</v>
      </c>
      <c r="C41" t="s">
        <v>82</v>
      </c>
      <c r="D41">
        <v>52</v>
      </c>
      <c r="E41">
        <v>64</v>
      </c>
      <c r="F41">
        <v>8.9700000000000006</v>
      </c>
      <c r="G41" t="s">
        <v>18</v>
      </c>
      <c r="H41" t="s">
        <v>14</v>
      </c>
    </row>
    <row r="42" spans="1:8" x14ac:dyDescent="0.3">
      <c r="A42" t="s">
        <v>83</v>
      </c>
      <c r="B42">
        <v>94</v>
      </c>
      <c r="C42" t="s">
        <v>45</v>
      </c>
      <c r="D42">
        <v>59</v>
      </c>
      <c r="E42">
        <v>81</v>
      </c>
      <c r="F42">
        <v>11.01</v>
      </c>
      <c r="G42" t="s">
        <v>18</v>
      </c>
      <c r="H42" t="s">
        <v>14</v>
      </c>
    </row>
    <row r="43" spans="1:8" x14ac:dyDescent="0.3">
      <c r="A43" t="s">
        <v>84</v>
      </c>
      <c r="B43">
        <v>94</v>
      </c>
      <c r="C43" t="s">
        <v>45</v>
      </c>
      <c r="D43">
        <v>58</v>
      </c>
      <c r="E43">
        <v>81</v>
      </c>
      <c r="F43">
        <v>35.26</v>
      </c>
      <c r="G43" t="s">
        <v>18</v>
      </c>
      <c r="H43" t="s">
        <v>5</v>
      </c>
    </row>
    <row r="44" spans="1:8" x14ac:dyDescent="0.3">
      <c r="A44" t="s">
        <v>85</v>
      </c>
      <c r="B44">
        <v>94</v>
      </c>
      <c r="C44" t="s">
        <v>45</v>
      </c>
      <c r="D44">
        <v>56</v>
      </c>
      <c r="E44">
        <v>82</v>
      </c>
      <c r="F44">
        <v>6.47</v>
      </c>
      <c r="G44" t="s">
        <v>18</v>
      </c>
      <c r="H44" t="s">
        <v>15</v>
      </c>
    </row>
    <row r="45" spans="1:8" x14ac:dyDescent="0.3">
      <c r="A45" t="s">
        <v>86</v>
      </c>
      <c r="B45">
        <v>94</v>
      </c>
      <c r="C45" t="s">
        <v>41</v>
      </c>
      <c r="D45">
        <v>67</v>
      </c>
      <c r="E45">
        <v>88</v>
      </c>
      <c r="F45">
        <v>220.26</v>
      </c>
      <c r="G45" t="s">
        <v>2</v>
      </c>
      <c r="H45" t="s">
        <v>9</v>
      </c>
    </row>
    <row r="46" spans="1:8" x14ac:dyDescent="0.3">
      <c r="A46" t="s">
        <v>87</v>
      </c>
      <c r="B46">
        <v>95</v>
      </c>
      <c r="C46" t="s">
        <v>41</v>
      </c>
      <c r="D46">
        <v>61</v>
      </c>
      <c r="E46">
        <v>83</v>
      </c>
      <c r="F46">
        <v>6.17</v>
      </c>
      <c r="G46" t="s">
        <v>18</v>
      </c>
      <c r="H46" t="s">
        <v>12</v>
      </c>
    </row>
    <row r="47" spans="1:8" x14ac:dyDescent="0.3">
      <c r="A47" t="s">
        <v>88</v>
      </c>
      <c r="B47">
        <v>96</v>
      </c>
      <c r="C47" t="s">
        <v>41</v>
      </c>
      <c r="D47">
        <v>64</v>
      </c>
      <c r="E47">
        <v>86</v>
      </c>
      <c r="F47">
        <v>12.79</v>
      </c>
      <c r="G47" t="s">
        <v>18</v>
      </c>
      <c r="H47" t="s">
        <v>14</v>
      </c>
    </row>
    <row r="48" spans="1:8" x14ac:dyDescent="0.3">
      <c r="A48" t="s">
        <v>89</v>
      </c>
      <c r="B48">
        <v>95</v>
      </c>
      <c r="C48" t="s">
        <v>41</v>
      </c>
      <c r="D48">
        <v>62</v>
      </c>
      <c r="E48">
        <v>82</v>
      </c>
      <c r="F48">
        <v>11.02</v>
      </c>
      <c r="G48" t="s">
        <v>18</v>
      </c>
      <c r="H48" t="s">
        <v>14</v>
      </c>
    </row>
    <row r="49" spans="1:8" x14ac:dyDescent="0.3">
      <c r="A49" t="s">
        <v>90</v>
      </c>
      <c r="B49">
        <v>95</v>
      </c>
      <c r="C49" t="s">
        <v>45</v>
      </c>
      <c r="D49">
        <v>59</v>
      </c>
      <c r="E49">
        <v>81</v>
      </c>
      <c r="F49">
        <v>7.35</v>
      </c>
      <c r="G49" t="s">
        <v>18</v>
      </c>
      <c r="H49" t="s">
        <v>12</v>
      </c>
    </row>
    <row r="50" spans="1:8" x14ac:dyDescent="0.3">
      <c r="A50" t="s">
        <v>91</v>
      </c>
      <c r="B50">
        <v>95</v>
      </c>
      <c r="C50" t="s">
        <v>41</v>
      </c>
      <c r="D50">
        <v>62</v>
      </c>
      <c r="E50">
        <v>80</v>
      </c>
      <c r="F50">
        <v>11.9</v>
      </c>
      <c r="G50" t="s">
        <v>18</v>
      </c>
      <c r="H50" t="s">
        <v>14</v>
      </c>
    </row>
    <row r="51" spans="1:8" x14ac:dyDescent="0.3">
      <c r="A51" t="s">
        <v>92</v>
      </c>
      <c r="B51">
        <v>94</v>
      </c>
      <c r="C51" t="s">
        <v>45</v>
      </c>
      <c r="D51">
        <v>54</v>
      </c>
      <c r="E51">
        <v>72</v>
      </c>
      <c r="F51">
        <v>5.29</v>
      </c>
      <c r="G51" t="s">
        <v>18</v>
      </c>
      <c r="H51" t="s">
        <v>10</v>
      </c>
    </row>
    <row r="52" spans="1:8" x14ac:dyDescent="0.3">
      <c r="A52" t="s">
        <v>93</v>
      </c>
      <c r="B52">
        <v>96</v>
      </c>
      <c r="C52" t="s">
        <v>41</v>
      </c>
      <c r="D52">
        <v>62</v>
      </c>
      <c r="E52">
        <v>84</v>
      </c>
      <c r="F52">
        <v>154.32</v>
      </c>
      <c r="G52" t="s">
        <v>2</v>
      </c>
      <c r="H52" t="s">
        <v>9</v>
      </c>
    </row>
    <row r="53" spans="1:8" x14ac:dyDescent="0.3">
      <c r="A53" t="s">
        <v>94</v>
      </c>
      <c r="B53">
        <v>95</v>
      </c>
      <c r="C53" t="s">
        <v>41</v>
      </c>
      <c r="D53">
        <v>62</v>
      </c>
      <c r="E53">
        <v>84</v>
      </c>
      <c r="F53">
        <v>10.58</v>
      </c>
      <c r="G53" t="s">
        <v>18</v>
      </c>
      <c r="H53" t="s">
        <v>15</v>
      </c>
    </row>
    <row r="54" spans="1:8" x14ac:dyDescent="0.3">
      <c r="A54" t="s">
        <v>95</v>
      </c>
      <c r="B54">
        <v>94</v>
      </c>
      <c r="C54" t="s">
        <v>45</v>
      </c>
      <c r="D54">
        <v>58</v>
      </c>
      <c r="E54">
        <v>77</v>
      </c>
      <c r="F54">
        <v>370.37</v>
      </c>
      <c r="G54" t="s">
        <v>2</v>
      </c>
      <c r="H54" t="s">
        <v>7</v>
      </c>
    </row>
    <row r="55" spans="1:8" x14ac:dyDescent="0.3">
      <c r="A55" t="s">
        <v>96</v>
      </c>
      <c r="B55">
        <v>94</v>
      </c>
      <c r="C55" t="s">
        <v>45</v>
      </c>
      <c r="D55">
        <v>56</v>
      </c>
      <c r="E55">
        <v>76</v>
      </c>
      <c r="F55">
        <v>370.37</v>
      </c>
      <c r="G55" t="s">
        <v>2</v>
      </c>
      <c r="H55" t="s">
        <v>7</v>
      </c>
    </row>
    <row r="56" spans="1:8" x14ac:dyDescent="0.3">
      <c r="A56" t="s">
        <v>97</v>
      </c>
      <c r="B56">
        <v>94</v>
      </c>
      <c r="C56" t="s">
        <v>45</v>
      </c>
      <c r="D56">
        <v>57</v>
      </c>
      <c r="E56">
        <v>77</v>
      </c>
      <c r="F56">
        <v>114.64</v>
      </c>
      <c r="G56" t="s">
        <v>2</v>
      </c>
      <c r="H56" t="s">
        <v>7</v>
      </c>
    </row>
    <row r="57" spans="1:8" x14ac:dyDescent="0.3">
      <c r="A57" t="s">
        <v>98</v>
      </c>
      <c r="B57">
        <v>97</v>
      </c>
      <c r="C57" t="s">
        <v>41</v>
      </c>
      <c r="D57">
        <v>62</v>
      </c>
      <c r="E57">
        <v>84</v>
      </c>
      <c r="F57">
        <v>8.82</v>
      </c>
      <c r="G57" t="s">
        <v>18</v>
      </c>
      <c r="H57" t="s">
        <v>14</v>
      </c>
    </row>
    <row r="58" spans="1:8" x14ac:dyDescent="0.3">
      <c r="A58" t="s">
        <v>99</v>
      </c>
      <c r="B58">
        <v>94</v>
      </c>
      <c r="C58" t="s">
        <v>41</v>
      </c>
      <c r="D58">
        <v>63</v>
      </c>
      <c r="E58">
        <v>85</v>
      </c>
      <c r="F58">
        <v>5.29</v>
      </c>
      <c r="G58" t="s">
        <v>18</v>
      </c>
      <c r="H58" t="s">
        <v>14</v>
      </c>
    </row>
    <row r="59" spans="1:8" x14ac:dyDescent="0.3">
      <c r="A59" t="s">
        <v>100</v>
      </c>
      <c r="B59">
        <v>96</v>
      </c>
      <c r="C59" t="s">
        <v>45</v>
      </c>
      <c r="D59">
        <v>61</v>
      </c>
      <c r="E59">
        <v>79</v>
      </c>
      <c r="F59">
        <v>16.75</v>
      </c>
      <c r="G59" t="s">
        <v>18</v>
      </c>
      <c r="H59" t="s">
        <v>4</v>
      </c>
    </row>
    <row r="60" spans="1:8" x14ac:dyDescent="0.3">
      <c r="A60" t="s">
        <v>101</v>
      </c>
      <c r="B60">
        <v>95</v>
      </c>
      <c r="C60" t="s">
        <v>41</v>
      </c>
      <c r="D60">
        <v>62</v>
      </c>
      <c r="E60">
        <v>86</v>
      </c>
      <c r="F60">
        <v>18.52</v>
      </c>
      <c r="G60" t="s">
        <v>18</v>
      </c>
      <c r="H60" t="s">
        <v>8</v>
      </c>
    </row>
    <row r="61" spans="1:8" x14ac:dyDescent="0.3">
      <c r="A61" t="s">
        <v>102</v>
      </c>
      <c r="B61">
        <v>95</v>
      </c>
      <c r="C61" t="s">
        <v>41</v>
      </c>
      <c r="D61">
        <v>62</v>
      </c>
      <c r="E61">
        <v>80</v>
      </c>
      <c r="F61">
        <v>528.63</v>
      </c>
      <c r="G61" t="s">
        <v>2</v>
      </c>
      <c r="H61" t="s">
        <v>12</v>
      </c>
    </row>
    <row r="62" spans="1:8" x14ac:dyDescent="0.3">
      <c r="A62" t="s">
        <v>103</v>
      </c>
      <c r="B62">
        <v>94</v>
      </c>
      <c r="C62" t="s">
        <v>45</v>
      </c>
      <c r="D62">
        <v>57</v>
      </c>
      <c r="E62">
        <v>81</v>
      </c>
      <c r="F62">
        <v>528.63</v>
      </c>
      <c r="G62" t="s">
        <v>2</v>
      </c>
      <c r="H62" t="s">
        <v>8</v>
      </c>
    </row>
    <row r="63" spans="1:8" x14ac:dyDescent="0.3">
      <c r="A63" t="s">
        <v>104</v>
      </c>
      <c r="B63">
        <v>94</v>
      </c>
      <c r="C63" t="s">
        <v>45</v>
      </c>
      <c r="D63">
        <v>59</v>
      </c>
      <c r="E63">
        <v>79</v>
      </c>
      <c r="F63">
        <v>528.63</v>
      </c>
      <c r="G63" t="s">
        <v>2</v>
      </c>
      <c r="H63" t="s">
        <v>7</v>
      </c>
    </row>
    <row r="64" spans="1:8" x14ac:dyDescent="0.3">
      <c r="A64" t="s">
        <v>105</v>
      </c>
      <c r="B64">
        <v>94</v>
      </c>
      <c r="C64" t="s">
        <v>41</v>
      </c>
      <c r="D64">
        <v>64</v>
      </c>
      <c r="E64">
        <v>88</v>
      </c>
      <c r="F64">
        <v>300</v>
      </c>
      <c r="G64" t="s">
        <v>2</v>
      </c>
      <c r="H64" t="s">
        <v>9</v>
      </c>
    </row>
    <row r="65" spans="1:8" x14ac:dyDescent="0.3">
      <c r="A65" t="s">
        <v>106</v>
      </c>
      <c r="B65">
        <v>96</v>
      </c>
      <c r="C65" t="s">
        <v>41</v>
      </c>
      <c r="D65">
        <v>63</v>
      </c>
      <c r="E65">
        <v>88</v>
      </c>
      <c r="F65">
        <v>9.6999999999999993</v>
      </c>
      <c r="G65" t="s">
        <v>18</v>
      </c>
      <c r="H65" t="s">
        <v>14</v>
      </c>
    </row>
    <row r="66" spans="1:8" x14ac:dyDescent="0.3">
      <c r="A66" t="s">
        <v>107</v>
      </c>
      <c r="B66">
        <v>95</v>
      </c>
      <c r="C66" t="s">
        <v>41</v>
      </c>
      <c r="D66">
        <v>68</v>
      </c>
      <c r="E66">
        <v>84</v>
      </c>
      <c r="F66">
        <v>44.09</v>
      </c>
      <c r="G66" t="s">
        <v>18</v>
      </c>
      <c r="H66" t="s">
        <v>18</v>
      </c>
    </row>
    <row r="67" spans="1:8" x14ac:dyDescent="0.3">
      <c r="A67" t="s">
        <v>108</v>
      </c>
      <c r="B67">
        <v>94</v>
      </c>
      <c r="C67" t="s">
        <v>45</v>
      </c>
      <c r="D67">
        <v>57</v>
      </c>
      <c r="E67">
        <v>79</v>
      </c>
      <c r="F67">
        <v>5.4</v>
      </c>
      <c r="G67" t="s">
        <v>6</v>
      </c>
      <c r="H67" t="s">
        <v>6</v>
      </c>
    </row>
    <row r="68" spans="1:8" x14ac:dyDescent="0.3">
      <c r="A68" t="s">
        <v>109</v>
      </c>
      <c r="B68">
        <v>95</v>
      </c>
      <c r="C68" t="s">
        <v>41</v>
      </c>
      <c r="D68">
        <v>60</v>
      </c>
      <c r="E68">
        <v>82</v>
      </c>
      <c r="F68">
        <v>7.35</v>
      </c>
      <c r="G68" t="s">
        <v>18</v>
      </c>
      <c r="H68" t="s">
        <v>12</v>
      </c>
    </row>
    <row r="69" spans="1:8" x14ac:dyDescent="0.3">
      <c r="A69" t="s">
        <v>110</v>
      </c>
      <c r="B69">
        <v>94</v>
      </c>
      <c r="C69" t="s">
        <v>45</v>
      </c>
      <c r="D69">
        <v>57</v>
      </c>
      <c r="E69">
        <v>77</v>
      </c>
      <c r="F69">
        <v>6.47</v>
      </c>
      <c r="G69" t="s">
        <v>18</v>
      </c>
      <c r="H69" t="s">
        <v>15</v>
      </c>
    </row>
    <row r="70" spans="1:8" x14ac:dyDescent="0.3">
      <c r="A70" t="s">
        <v>111</v>
      </c>
      <c r="B70">
        <v>94</v>
      </c>
      <c r="C70" t="s">
        <v>41</v>
      </c>
      <c r="D70">
        <v>62</v>
      </c>
      <c r="E70">
        <v>84</v>
      </c>
      <c r="F70">
        <v>10.29</v>
      </c>
      <c r="G70" t="s">
        <v>18</v>
      </c>
      <c r="H70" t="s">
        <v>15</v>
      </c>
    </row>
    <row r="71" spans="1:8" x14ac:dyDescent="0.3">
      <c r="A71" t="s">
        <v>112</v>
      </c>
      <c r="B71">
        <v>94</v>
      </c>
      <c r="C71" t="s">
        <v>45</v>
      </c>
      <c r="D71">
        <v>59</v>
      </c>
      <c r="E71">
        <v>79</v>
      </c>
      <c r="F71">
        <v>6.47</v>
      </c>
      <c r="G71" t="s">
        <v>18</v>
      </c>
      <c r="H71" t="s">
        <v>9</v>
      </c>
    </row>
    <row r="72" spans="1:8" x14ac:dyDescent="0.3">
      <c r="A72" t="s">
        <v>113</v>
      </c>
      <c r="B72">
        <v>94</v>
      </c>
      <c r="C72" t="s">
        <v>41</v>
      </c>
      <c r="D72">
        <v>68</v>
      </c>
      <c r="E72">
        <v>94</v>
      </c>
      <c r="F72">
        <v>352.42</v>
      </c>
      <c r="G72" t="s">
        <v>2</v>
      </c>
      <c r="H72" t="s">
        <v>5</v>
      </c>
    </row>
    <row r="73" spans="1:8" x14ac:dyDescent="0.3">
      <c r="A73" t="s">
        <v>114</v>
      </c>
      <c r="B73">
        <v>95</v>
      </c>
      <c r="C73" t="s">
        <v>41</v>
      </c>
      <c r="D73">
        <v>64</v>
      </c>
      <c r="E73">
        <v>88</v>
      </c>
      <c r="F73">
        <v>325</v>
      </c>
      <c r="G73" t="s">
        <v>2</v>
      </c>
      <c r="H73" t="s">
        <v>14</v>
      </c>
    </row>
    <row r="74" spans="1:8" x14ac:dyDescent="0.3">
      <c r="A74" t="s">
        <v>115</v>
      </c>
      <c r="B74">
        <v>94</v>
      </c>
      <c r="C74" t="s">
        <v>41</v>
      </c>
      <c r="D74">
        <v>62</v>
      </c>
      <c r="E74">
        <v>80</v>
      </c>
      <c r="F74">
        <v>2</v>
      </c>
      <c r="G74" t="s">
        <v>2</v>
      </c>
      <c r="H74" t="s">
        <v>2</v>
      </c>
    </row>
    <row r="75" spans="1:8" x14ac:dyDescent="0.3">
      <c r="A75" t="s">
        <v>116</v>
      </c>
      <c r="B75">
        <v>95</v>
      </c>
      <c r="C75" t="s">
        <v>41</v>
      </c>
      <c r="D75">
        <v>62</v>
      </c>
      <c r="E75">
        <v>86</v>
      </c>
      <c r="F75">
        <v>11.02</v>
      </c>
      <c r="G75" t="s">
        <v>18</v>
      </c>
      <c r="H75" t="s">
        <v>14</v>
      </c>
    </row>
    <row r="76" spans="1:8" x14ac:dyDescent="0.3">
      <c r="A76" t="s">
        <v>117</v>
      </c>
      <c r="B76">
        <v>95</v>
      </c>
      <c r="C76" t="s">
        <v>45</v>
      </c>
      <c r="D76">
        <v>58</v>
      </c>
      <c r="E76">
        <v>78</v>
      </c>
      <c r="F76">
        <v>6.76</v>
      </c>
      <c r="G76" t="s">
        <v>18</v>
      </c>
      <c r="H76" t="s">
        <v>9</v>
      </c>
    </row>
    <row r="77" spans="1:8" x14ac:dyDescent="0.3">
      <c r="A77" t="s">
        <v>118</v>
      </c>
      <c r="B77">
        <v>94</v>
      </c>
      <c r="C77" t="s">
        <v>45</v>
      </c>
      <c r="D77">
        <v>57</v>
      </c>
      <c r="E77">
        <v>80</v>
      </c>
      <c r="F77">
        <v>6.76</v>
      </c>
      <c r="G77" t="s">
        <v>18</v>
      </c>
      <c r="H77" t="s">
        <v>16</v>
      </c>
    </row>
    <row r="78" spans="1:8" x14ac:dyDescent="0.3">
      <c r="A78" t="s">
        <v>119</v>
      </c>
      <c r="B78">
        <v>94</v>
      </c>
      <c r="C78" t="s">
        <v>41</v>
      </c>
      <c r="D78">
        <v>65</v>
      </c>
      <c r="E78">
        <v>93</v>
      </c>
      <c r="F78">
        <v>149.47</v>
      </c>
      <c r="G78" t="s">
        <v>2</v>
      </c>
      <c r="H78" t="s">
        <v>9</v>
      </c>
    </row>
    <row r="79" spans="1:8" x14ac:dyDescent="0.3">
      <c r="A79" t="s">
        <v>120</v>
      </c>
      <c r="B79">
        <v>94</v>
      </c>
      <c r="C79" t="s">
        <v>45</v>
      </c>
      <c r="D79">
        <v>60</v>
      </c>
      <c r="E79">
        <v>78</v>
      </c>
      <c r="F79">
        <v>5.88</v>
      </c>
      <c r="G79" t="s">
        <v>18</v>
      </c>
      <c r="H79" t="s">
        <v>7</v>
      </c>
    </row>
    <row r="80" spans="1:8" x14ac:dyDescent="0.3">
      <c r="A80" t="s">
        <v>121</v>
      </c>
      <c r="B80">
        <v>94</v>
      </c>
      <c r="C80" t="s">
        <v>41</v>
      </c>
      <c r="D80">
        <v>66</v>
      </c>
      <c r="E80">
        <v>88</v>
      </c>
      <c r="F80">
        <v>743.36</v>
      </c>
      <c r="G80" t="s">
        <v>2</v>
      </c>
      <c r="H80" t="s">
        <v>9</v>
      </c>
    </row>
    <row r="81" spans="1:8" x14ac:dyDescent="0.3">
      <c r="A81" t="s">
        <v>122</v>
      </c>
      <c r="B81">
        <v>95</v>
      </c>
      <c r="C81" t="s">
        <v>41</v>
      </c>
      <c r="D81">
        <v>64</v>
      </c>
      <c r="E81">
        <v>88</v>
      </c>
      <c r="F81">
        <v>10.23</v>
      </c>
      <c r="G81" t="s">
        <v>18</v>
      </c>
      <c r="H81" t="s">
        <v>21</v>
      </c>
    </row>
    <row r="82" spans="1:8" x14ac:dyDescent="0.3">
      <c r="A82" t="s">
        <v>123</v>
      </c>
      <c r="B82">
        <v>94</v>
      </c>
      <c r="C82" t="s">
        <v>41</v>
      </c>
      <c r="D82">
        <v>58</v>
      </c>
      <c r="E82">
        <v>84</v>
      </c>
      <c r="F82">
        <v>8.82</v>
      </c>
      <c r="G82" t="s">
        <v>18</v>
      </c>
      <c r="H82" t="s">
        <v>15</v>
      </c>
    </row>
    <row r="83" spans="1:8" x14ac:dyDescent="0.3">
      <c r="A83" t="s">
        <v>124</v>
      </c>
      <c r="B83">
        <v>94</v>
      </c>
      <c r="C83" t="s">
        <v>41</v>
      </c>
      <c r="D83">
        <v>64</v>
      </c>
      <c r="E83">
        <v>88</v>
      </c>
      <c r="F83">
        <v>5.88</v>
      </c>
      <c r="G83" t="s">
        <v>18</v>
      </c>
      <c r="H83" t="s">
        <v>9</v>
      </c>
    </row>
    <row r="84" spans="1:8" x14ac:dyDescent="0.3">
      <c r="A84" t="s">
        <v>125</v>
      </c>
      <c r="B84">
        <v>94</v>
      </c>
      <c r="C84" t="s">
        <v>45</v>
      </c>
      <c r="D84">
        <v>58</v>
      </c>
      <c r="E84">
        <v>82</v>
      </c>
      <c r="F84">
        <v>10.4</v>
      </c>
      <c r="G84" t="s">
        <v>18</v>
      </c>
      <c r="H84" t="s">
        <v>12</v>
      </c>
    </row>
    <row r="85" spans="1:8" x14ac:dyDescent="0.3">
      <c r="A85" t="s">
        <v>126</v>
      </c>
      <c r="B85">
        <v>94</v>
      </c>
      <c r="C85" t="s">
        <v>45</v>
      </c>
      <c r="D85">
        <v>58</v>
      </c>
      <c r="E85">
        <v>80</v>
      </c>
      <c r="F85">
        <v>202.82</v>
      </c>
      <c r="G85" t="s">
        <v>2</v>
      </c>
      <c r="H85" t="s">
        <v>9</v>
      </c>
    </row>
    <row r="86" spans="1:8" x14ac:dyDescent="0.3">
      <c r="A86" t="s">
        <v>127</v>
      </c>
      <c r="B86">
        <v>94</v>
      </c>
      <c r="C86" t="s">
        <v>41</v>
      </c>
      <c r="D86">
        <v>66</v>
      </c>
      <c r="E86">
        <v>89</v>
      </c>
      <c r="F86">
        <v>317.45999999999998</v>
      </c>
      <c r="G86" t="s">
        <v>2</v>
      </c>
      <c r="H86" t="s">
        <v>9</v>
      </c>
    </row>
    <row r="87" spans="1:8" x14ac:dyDescent="0.3">
      <c r="A87" t="s">
        <v>128</v>
      </c>
      <c r="B87">
        <v>96</v>
      </c>
      <c r="C87" t="s">
        <v>45</v>
      </c>
      <c r="D87">
        <v>58</v>
      </c>
      <c r="E87">
        <v>82</v>
      </c>
      <c r="F87">
        <v>6.91</v>
      </c>
      <c r="G87" t="s">
        <v>18</v>
      </c>
      <c r="H87" t="s">
        <v>12</v>
      </c>
    </row>
    <row r="88" spans="1:8" x14ac:dyDescent="0.3">
      <c r="A88" t="s">
        <v>129</v>
      </c>
      <c r="B88">
        <v>94</v>
      </c>
      <c r="C88" t="s">
        <v>41</v>
      </c>
      <c r="D88">
        <v>61</v>
      </c>
      <c r="E88">
        <v>85</v>
      </c>
      <c r="F88">
        <v>175</v>
      </c>
      <c r="G88" t="s">
        <v>2</v>
      </c>
      <c r="H88" t="s">
        <v>9</v>
      </c>
    </row>
    <row r="89" spans="1:8" x14ac:dyDescent="0.3">
      <c r="A89" t="s">
        <v>130</v>
      </c>
      <c r="B89">
        <v>95</v>
      </c>
      <c r="C89" t="s">
        <v>41</v>
      </c>
      <c r="D89">
        <v>64</v>
      </c>
      <c r="E89">
        <v>88</v>
      </c>
      <c r="F89">
        <v>7.05</v>
      </c>
      <c r="G89" t="s">
        <v>18</v>
      </c>
      <c r="H89" t="s">
        <v>9</v>
      </c>
    </row>
    <row r="90" spans="1:8" x14ac:dyDescent="0.3">
      <c r="A90" t="s">
        <v>131</v>
      </c>
      <c r="B90">
        <v>94</v>
      </c>
      <c r="C90" t="s">
        <v>41</v>
      </c>
      <c r="D90">
        <v>60</v>
      </c>
      <c r="E90">
        <v>84</v>
      </c>
      <c r="F90">
        <v>7.94</v>
      </c>
      <c r="G90" t="s">
        <v>18</v>
      </c>
      <c r="H90" t="s">
        <v>14</v>
      </c>
    </row>
    <row r="91" spans="1:8" x14ac:dyDescent="0.3">
      <c r="A91" t="s">
        <v>132</v>
      </c>
      <c r="B91">
        <v>94</v>
      </c>
      <c r="C91" t="s">
        <v>41</v>
      </c>
      <c r="D91">
        <v>66</v>
      </c>
      <c r="E91">
        <v>89</v>
      </c>
      <c r="F91">
        <v>60</v>
      </c>
      <c r="G91" t="s">
        <v>18</v>
      </c>
      <c r="H91" t="s">
        <v>9</v>
      </c>
    </row>
    <row r="92" spans="1:8" x14ac:dyDescent="0.3">
      <c r="A92" t="s">
        <v>133</v>
      </c>
      <c r="B92">
        <v>97</v>
      </c>
      <c r="C92" t="s">
        <v>41</v>
      </c>
      <c r="D92">
        <v>64</v>
      </c>
      <c r="E92">
        <v>88</v>
      </c>
      <c r="F92">
        <v>2000</v>
      </c>
      <c r="G92" t="s">
        <v>18</v>
      </c>
      <c r="H92" t="s">
        <v>5</v>
      </c>
    </row>
    <row r="93" spans="1:8" x14ac:dyDescent="0.3">
      <c r="A93" t="s">
        <v>134</v>
      </c>
      <c r="B93">
        <v>96</v>
      </c>
      <c r="C93" t="s">
        <v>41</v>
      </c>
      <c r="D93">
        <v>65</v>
      </c>
      <c r="E93">
        <v>90</v>
      </c>
      <c r="F93">
        <v>2000</v>
      </c>
      <c r="G93" t="s">
        <v>18</v>
      </c>
      <c r="H93" t="s">
        <v>5</v>
      </c>
    </row>
    <row r="94" spans="1:8" x14ac:dyDescent="0.3">
      <c r="A94" t="s">
        <v>135</v>
      </c>
      <c r="B94">
        <v>95</v>
      </c>
      <c r="C94" t="s">
        <v>41</v>
      </c>
      <c r="D94">
        <v>64</v>
      </c>
      <c r="E94">
        <v>88</v>
      </c>
      <c r="F94">
        <v>176.37</v>
      </c>
      <c r="G94" t="s">
        <v>18</v>
      </c>
      <c r="H94" t="s">
        <v>18</v>
      </c>
    </row>
    <row r="95" spans="1:8" x14ac:dyDescent="0.3">
      <c r="A95" t="s">
        <v>136</v>
      </c>
      <c r="B95">
        <v>94</v>
      </c>
      <c r="C95" t="s">
        <v>41</v>
      </c>
      <c r="D95">
        <v>64</v>
      </c>
      <c r="E95">
        <v>84</v>
      </c>
      <c r="F95">
        <v>6.47</v>
      </c>
      <c r="G95" t="s">
        <v>18</v>
      </c>
      <c r="H95" t="s">
        <v>9</v>
      </c>
    </row>
    <row r="96" spans="1:8" x14ac:dyDescent="0.3">
      <c r="A96" t="s">
        <v>137</v>
      </c>
      <c r="B96">
        <v>94</v>
      </c>
      <c r="C96" t="s">
        <v>41</v>
      </c>
      <c r="D96">
        <v>64</v>
      </c>
      <c r="E96">
        <v>88</v>
      </c>
      <c r="F96">
        <v>12.35</v>
      </c>
      <c r="G96" t="s">
        <v>18</v>
      </c>
      <c r="H96" t="s">
        <v>14</v>
      </c>
    </row>
    <row r="97" spans="1:8" x14ac:dyDescent="0.3">
      <c r="A97" t="s">
        <v>138</v>
      </c>
      <c r="B97">
        <v>94</v>
      </c>
      <c r="C97" t="s">
        <v>41</v>
      </c>
      <c r="D97">
        <v>62</v>
      </c>
      <c r="E97">
        <v>84</v>
      </c>
      <c r="F97">
        <v>6.47</v>
      </c>
      <c r="G97" t="s">
        <v>18</v>
      </c>
      <c r="H97" t="s">
        <v>14</v>
      </c>
    </row>
    <row r="98" spans="1:8" x14ac:dyDescent="0.3">
      <c r="A98" t="s">
        <v>139</v>
      </c>
      <c r="B98">
        <v>94</v>
      </c>
      <c r="C98" t="s">
        <v>45</v>
      </c>
      <c r="D98">
        <v>60</v>
      </c>
      <c r="E98">
        <v>78</v>
      </c>
      <c r="F98">
        <v>6.47</v>
      </c>
      <c r="G98" t="s">
        <v>18</v>
      </c>
      <c r="H98" t="s">
        <v>12</v>
      </c>
    </row>
    <row r="99" spans="1:8" x14ac:dyDescent="0.3">
      <c r="A99" t="s">
        <v>140</v>
      </c>
      <c r="B99">
        <v>95</v>
      </c>
      <c r="C99" t="s">
        <v>45</v>
      </c>
      <c r="D99">
        <v>58</v>
      </c>
      <c r="E99">
        <v>79</v>
      </c>
      <c r="F99">
        <v>119.05</v>
      </c>
      <c r="G99" t="s">
        <v>2</v>
      </c>
      <c r="H99" t="s">
        <v>9</v>
      </c>
    </row>
    <row r="100" spans="1:8" x14ac:dyDescent="0.3">
      <c r="A100" t="s">
        <v>141</v>
      </c>
      <c r="B100">
        <v>95</v>
      </c>
      <c r="C100" t="s">
        <v>41</v>
      </c>
      <c r="D100">
        <v>62</v>
      </c>
      <c r="E100">
        <v>84</v>
      </c>
      <c r="F100">
        <v>423.28</v>
      </c>
      <c r="G100" t="s">
        <v>2</v>
      </c>
      <c r="H100" t="s">
        <v>9</v>
      </c>
    </row>
    <row r="101" spans="1:8" x14ac:dyDescent="0.3">
      <c r="A101" t="s">
        <v>142</v>
      </c>
      <c r="B101">
        <v>95</v>
      </c>
      <c r="C101" t="s">
        <v>41</v>
      </c>
      <c r="D101">
        <v>64</v>
      </c>
      <c r="E101">
        <v>84</v>
      </c>
      <c r="F101">
        <v>141.09</v>
      </c>
      <c r="G101" t="s">
        <v>2</v>
      </c>
      <c r="H101" t="s">
        <v>9</v>
      </c>
    </row>
    <row r="102" spans="1:8" x14ac:dyDescent="0.3">
      <c r="A102" t="s">
        <v>143</v>
      </c>
      <c r="B102">
        <v>94</v>
      </c>
      <c r="C102" t="s">
        <v>41</v>
      </c>
      <c r="D102">
        <v>64</v>
      </c>
      <c r="E102">
        <v>88</v>
      </c>
      <c r="F102">
        <v>141.09</v>
      </c>
      <c r="G102" t="s">
        <v>2</v>
      </c>
      <c r="H102" t="s">
        <v>9</v>
      </c>
    </row>
    <row r="103" spans="1:8" x14ac:dyDescent="0.3">
      <c r="A103" t="s">
        <v>144</v>
      </c>
      <c r="B103">
        <v>95</v>
      </c>
      <c r="C103" t="s">
        <v>41</v>
      </c>
      <c r="D103">
        <v>62</v>
      </c>
      <c r="E103">
        <v>84</v>
      </c>
      <c r="F103">
        <v>7.76</v>
      </c>
      <c r="G103" t="s">
        <v>18</v>
      </c>
      <c r="H103" t="s">
        <v>7</v>
      </c>
    </row>
    <row r="104" spans="1:8" x14ac:dyDescent="0.3">
      <c r="A104" t="s">
        <v>145</v>
      </c>
      <c r="B104">
        <v>95</v>
      </c>
      <c r="C104" t="s">
        <v>41</v>
      </c>
      <c r="D104">
        <v>64</v>
      </c>
      <c r="E104">
        <v>86</v>
      </c>
      <c r="F104">
        <v>163.13999999999999</v>
      </c>
      <c r="G104" t="s">
        <v>2</v>
      </c>
      <c r="H104" t="s">
        <v>9</v>
      </c>
    </row>
    <row r="105" spans="1:8" x14ac:dyDescent="0.3">
      <c r="A105" t="s">
        <v>146</v>
      </c>
      <c r="B105">
        <v>95</v>
      </c>
      <c r="C105" t="s">
        <v>41</v>
      </c>
      <c r="D105">
        <v>62</v>
      </c>
      <c r="E105">
        <v>84</v>
      </c>
      <c r="F105">
        <v>23.52</v>
      </c>
      <c r="G105" t="s">
        <v>18</v>
      </c>
      <c r="H105" t="s">
        <v>9</v>
      </c>
    </row>
    <row r="106" spans="1:8" x14ac:dyDescent="0.3">
      <c r="A106" t="s">
        <v>147</v>
      </c>
      <c r="B106">
        <v>95</v>
      </c>
      <c r="C106" t="s">
        <v>41</v>
      </c>
      <c r="D106">
        <v>64</v>
      </c>
      <c r="E106">
        <v>88</v>
      </c>
      <c r="F106">
        <v>34.17</v>
      </c>
      <c r="G106" t="s">
        <v>18</v>
      </c>
      <c r="H106" t="s">
        <v>5</v>
      </c>
    </row>
    <row r="107" spans="1:8" x14ac:dyDescent="0.3">
      <c r="A107" t="s">
        <v>148</v>
      </c>
      <c r="B107">
        <v>94</v>
      </c>
      <c r="C107" t="s">
        <v>41</v>
      </c>
      <c r="D107">
        <v>62</v>
      </c>
      <c r="E107">
        <v>84</v>
      </c>
      <c r="F107">
        <v>7.35</v>
      </c>
      <c r="G107" t="s">
        <v>18</v>
      </c>
      <c r="H107" t="s">
        <v>14</v>
      </c>
    </row>
    <row r="108" spans="1:8" x14ac:dyDescent="0.3">
      <c r="A108" t="s">
        <v>149</v>
      </c>
      <c r="B108">
        <v>94</v>
      </c>
      <c r="C108" t="s">
        <v>45</v>
      </c>
      <c r="D108">
        <v>50</v>
      </c>
      <c r="E108">
        <v>77</v>
      </c>
      <c r="F108">
        <v>7.05</v>
      </c>
      <c r="G108" t="s">
        <v>18</v>
      </c>
      <c r="H108" t="s">
        <v>150</v>
      </c>
    </row>
    <row r="109" spans="1:8" x14ac:dyDescent="0.3">
      <c r="A109" t="s">
        <v>151</v>
      </c>
      <c r="B109">
        <v>94</v>
      </c>
      <c r="C109" t="s">
        <v>45</v>
      </c>
      <c r="D109">
        <v>54</v>
      </c>
      <c r="E109">
        <v>72</v>
      </c>
      <c r="F109">
        <v>10.58</v>
      </c>
      <c r="G109" t="s">
        <v>18</v>
      </c>
      <c r="H109" t="s">
        <v>150</v>
      </c>
    </row>
    <row r="110" spans="1:8" x14ac:dyDescent="0.3">
      <c r="A110" t="s">
        <v>152</v>
      </c>
      <c r="B110">
        <v>94</v>
      </c>
      <c r="C110" t="s">
        <v>41</v>
      </c>
      <c r="D110">
        <v>63</v>
      </c>
      <c r="E110">
        <v>87</v>
      </c>
      <c r="F110">
        <v>6.47</v>
      </c>
      <c r="G110" t="s">
        <v>18</v>
      </c>
      <c r="H110" t="s">
        <v>9</v>
      </c>
    </row>
    <row r="111" spans="1:8" x14ac:dyDescent="0.3">
      <c r="A111" t="s">
        <v>153</v>
      </c>
      <c r="B111">
        <v>94</v>
      </c>
      <c r="C111" t="s">
        <v>41</v>
      </c>
      <c r="D111">
        <v>62</v>
      </c>
      <c r="E111">
        <v>84</v>
      </c>
      <c r="F111">
        <v>11.02</v>
      </c>
      <c r="G111" t="s">
        <v>18</v>
      </c>
      <c r="H111" t="s">
        <v>14</v>
      </c>
    </row>
    <row r="112" spans="1:8" x14ac:dyDescent="0.3">
      <c r="A112" t="s">
        <v>154</v>
      </c>
      <c r="B112">
        <v>94</v>
      </c>
      <c r="C112" t="s">
        <v>45</v>
      </c>
      <c r="D112">
        <v>59</v>
      </c>
      <c r="E112">
        <v>77</v>
      </c>
      <c r="F112">
        <v>9.6999999999999993</v>
      </c>
      <c r="G112" t="s">
        <v>18</v>
      </c>
      <c r="H112" t="s">
        <v>14</v>
      </c>
    </row>
    <row r="113" spans="1:8" x14ac:dyDescent="0.3">
      <c r="A113" t="s">
        <v>155</v>
      </c>
      <c r="B113">
        <v>96</v>
      </c>
      <c r="C113" t="s">
        <v>41</v>
      </c>
      <c r="D113">
        <v>64</v>
      </c>
      <c r="E113">
        <v>90</v>
      </c>
      <c r="F113">
        <v>666.67</v>
      </c>
      <c r="G113" t="s">
        <v>2</v>
      </c>
      <c r="H113" t="s">
        <v>2</v>
      </c>
    </row>
    <row r="114" spans="1:8" x14ac:dyDescent="0.3">
      <c r="A114" t="s">
        <v>156</v>
      </c>
      <c r="B114">
        <v>96</v>
      </c>
      <c r="C114" t="s">
        <v>41</v>
      </c>
      <c r="D114">
        <v>62</v>
      </c>
      <c r="E114">
        <v>84</v>
      </c>
      <c r="F114">
        <v>7.05</v>
      </c>
      <c r="G114" t="s">
        <v>18</v>
      </c>
      <c r="H114" t="s">
        <v>9</v>
      </c>
    </row>
    <row r="115" spans="1:8" x14ac:dyDescent="0.3">
      <c r="A115" t="s">
        <v>157</v>
      </c>
      <c r="B115">
        <v>96</v>
      </c>
      <c r="C115" t="s">
        <v>41</v>
      </c>
      <c r="D115">
        <v>60</v>
      </c>
      <c r="E115">
        <v>84</v>
      </c>
      <c r="F115">
        <v>20.28</v>
      </c>
      <c r="G115" t="s">
        <v>18</v>
      </c>
      <c r="H115" t="s">
        <v>14</v>
      </c>
    </row>
    <row r="116" spans="1:8" x14ac:dyDescent="0.3">
      <c r="A116" t="s">
        <v>158</v>
      </c>
      <c r="B116">
        <v>95</v>
      </c>
      <c r="C116" t="s">
        <v>41</v>
      </c>
      <c r="D116">
        <v>66</v>
      </c>
      <c r="E116">
        <v>92</v>
      </c>
      <c r="F116">
        <v>7.05</v>
      </c>
      <c r="G116" t="s">
        <v>18</v>
      </c>
      <c r="H116" t="s">
        <v>9</v>
      </c>
    </row>
    <row r="117" spans="1:8" x14ac:dyDescent="0.3">
      <c r="A117" t="s">
        <v>159</v>
      </c>
      <c r="B117">
        <v>94</v>
      </c>
      <c r="C117" t="s">
        <v>41</v>
      </c>
      <c r="D117">
        <v>62</v>
      </c>
      <c r="E117">
        <v>84</v>
      </c>
      <c r="F117">
        <v>8.3800000000000008</v>
      </c>
      <c r="G117" t="s">
        <v>18</v>
      </c>
      <c r="H117" t="s">
        <v>15</v>
      </c>
    </row>
    <row r="118" spans="1:8" x14ac:dyDescent="0.3">
      <c r="A118" t="s">
        <v>160</v>
      </c>
      <c r="B118">
        <v>94</v>
      </c>
      <c r="C118" t="s">
        <v>41</v>
      </c>
      <c r="D118">
        <v>58</v>
      </c>
      <c r="E118">
        <v>88</v>
      </c>
      <c r="F118">
        <v>7.35</v>
      </c>
      <c r="G118" t="s">
        <v>18</v>
      </c>
      <c r="H118" t="s">
        <v>15</v>
      </c>
    </row>
    <row r="119" spans="1:8" x14ac:dyDescent="0.3">
      <c r="A119" t="s">
        <v>161</v>
      </c>
      <c r="B119">
        <v>94</v>
      </c>
      <c r="C119" t="s">
        <v>41</v>
      </c>
      <c r="D119">
        <v>68</v>
      </c>
      <c r="E119">
        <v>94</v>
      </c>
      <c r="F119">
        <v>9.6999999999999993</v>
      </c>
      <c r="G119" t="s">
        <v>18</v>
      </c>
      <c r="H119" t="s">
        <v>21</v>
      </c>
    </row>
    <row r="120" spans="1:8" x14ac:dyDescent="0.3">
      <c r="A120" t="s">
        <v>162</v>
      </c>
      <c r="B120">
        <v>94</v>
      </c>
      <c r="C120" t="s">
        <v>41</v>
      </c>
      <c r="D120">
        <v>64</v>
      </c>
      <c r="E120">
        <v>88</v>
      </c>
      <c r="F120">
        <v>6.76</v>
      </c>
      <c r="G120" t="s">
        <v>18</v>
      </c>
      <c r="H120" t="s">
        <v>14</v>
      </c>
    </row>
    <row r="121" spans="1:8" x14ac:dyDescent="0.3">
      <c r="A121" t="s">
        <v>163</v>
      </c>
      <c r="B121">
        <v>94</v>
      </c>
      <c r="C121" t="s">
        <v>41</v>
      </c>
      <c r="D121">
        <v>60</v>
      </c>
      <c r="E121">
        <v>82</v>
      </c>
      <c r="F121">
        <v>7.05</v>
      </c>
      <c r="G121" t="s">
        <v>7</v>
      </c>
      <c r="H121" t="s">
        <v>7</v>
      </c>
    </row>
    <row r="122" spans="1:8" x14ac:dyDescent="0.3">
      <c r="A122" t="s">
        <v>164</v>
      </c>
      <c r="B122">
        <v>94</v>
      </c>
      <c r="C122" t="s">
        <v>41</v>
      </c>
      <c r="D122">
        <v>62</v>
      </c>
      <c r="E122">
        <v>84</v>
      </c>
      <c r="F122">
        <v>4.7</v>
      </c>
      <c r="G122" t="s">
        <v>18</v>
      </c>
      <c r="H122" t="s">
        <v>15</v>
      </c>
    </row>
    <row r="123" spans="1:8" x14ac:dyDescent="0.3">
      <c r="A123" t="s">
        <v>165</v>
      </c>
      <c r="B123">
        <v>94</v>
      </c>
      <c r="C123" t="s">
        <v>45</v>
      </c>
      <c r="D123">
        <v>58</v>
      </c>
      <c r="E123">
        <v>80</v>
      </c>
      <c r="F123">
        <v>10.58</v>
      </c>
      <c r="G123" t="s">
        <v>18</v>
      </c>
      <c r="H123" t="s">
        <v>21</v>
      </c>
    </row>
    <row r="124" spans="1:8" x14ac:dyDescent="0.3">
      <c r="A124" t="s">
        <v>166</v>
      </c>
      <c r="B124">
        <v>94</v>
      </c>
      <c r="C124" t="s">
        <v>45</v>
      </c>
      <c r="D124">
        <v>60</v>
      </c>
      <c r="E124">
        <v>80</v>
      </c>
      <c r="F124">
        <v>171.52</v>
      </c>
      <c r="G124" t="s">
        <v>2</v>
      </c>
      <c r="H124" t="s">
        <v>12</v>
      </c>
    </row>
    <row r="125" spans="1:8" x14ac:dyDescent="0.3">
      <c r="A125" t="s">
        <v>167</v>
      </c>
      <c r="B125">
        <v>94</v>
      </c>
      <c r="C125" t="s">
        <v>41</v>
      </c>
      <c r="D125">
        <v>64</v>
      </c>
      <c r="E125">
        <v>86</v>
      </c>
      <c r="F125">
        <v>153.88</v>
      </c>
      <c r="G125" t="s">
        <v>2</v>
      </c>
      <c r="H125" t="s">
        <v>9</v>
      </c>
    </row>
    <row r="126" spans="1:8" x14ac:dyDescent="0.3">
      <c r="A126" t="s">
        <v>168</v>
      </c>
      <c r="B126">
        <v>95</v>
      </c>
      <c r="C126" t="s">
        <v>41</v>
      </c>
      <c r="D126">
        <v>60</v>
      </c>
      <c r="E126">
        <v>88</v>
      </c>
      <c r="F126">
        <v>8.52</v>
      </c>
      <c r="G126" t="s">
        <v>18</v>
      </c>
      <c r="H126" t="s">
        <v>15</v>
      </c>
    </row>
    <row r="127" spans="1:8" x14ac:dyDescent="0.3">
      <c r="A127" t="s">
        <v>169</v>
      </c>
      <c r="B127">
        <v>94</v>
      </c>
      <c r="C127" t="s">
        <v>41</v>
      </c>
      <c r="D127">
        <v>62</v>
      </c>
      <c r="E127">
        <v>86</v>
      </c>
      <c r="F127">
        <v>8.23</v>
      </c>
      <c r="G127" t="s">
        <v>18</v>
      </c>
      <c r="H127" t="s">
        <v>15</v>
      </c>
    </row>
    <row r="128" spans="1:8" x14ac:dyDescent="0.3">
      <c r="A128" t="s">
        <v>170</v>
      </c>
      <c r="B128">
        <v>94</v>
      </c>
      <c r="C128" t="s">
        <v>41</v>
      </c>
      <c r="D128">
        <v>66</v>
      </c>
      <c r="E128">
        <v>88</v>
      </c>
      <c r="F128">
        <v>8.82</v>
      </c>
      <c r="G128" t="s">
        <v>18</v>
      </c>
      <c r="H128" t="s">
        <v>13</v>
      </c>
    </row>
    <row r="129" spans="1:8" x14ac:dyDescent="0.3">
      <c r="A129" t="s">
        <v>171</v>
      </c>
      <c r="B129">
        <v>94</v>
      </c>
      <c r="C129" t="s">
        <v>41</v>
      </c>
      <c r="D129">
        <v>62</v>
      </c>
      <c r="E129">
        <v>80</v>
      </c>
      <c r="F129">
        <v>6.47</v>
      </c>
      <c r="G129" t="s">
        <v>18</v>
      </c>
      <c r="H129" t="s">
        <v>12</v>
      </c>
    </row>
    <row r="130" spans="1:8" x14ac:dyDescent="0.3">
      <c r="A130" t="s">
        <v>172</v>
      </c>
      <c r="B130">
        <v>94</v>
      </c>
      <c r="C130" t="s">
        <v>41</v>
      </c>
      <c r="D130">
        <v>60</v>
      </c>
      <c r="E130">
        <v>82</v>
      </c>
      <c r="F130">
        <v>9.6999999999999993</v>
      </c>
      <c r="G130" t="s">
        <v>18</v>
      </c>
      <c r="H130" t="s">
        <v>4</v>
      </c>
    </row>
    <row r="131" spans="1:8" x14ac:dyDescent="0.3">
      <c r="A131" t="s">
        <v>173</v>
      </c>
      <c r="B131">
        <v>94</v>
      </c>
      <c r="C131" t="s">
        <v>45</v>
      </c>
      <c r="D131">
        <v>58</v>
      </c>
      <c r="E131">
        <v>82</v>
      </c>
      <c r="F131">
        <v>8.82</v>
      </c>
      <c r="G131" t="s">
        <v>18</v>
      </c>
      <c r="H131" t="s">
        <v>14</v>
      </c>
    </row>
    <row r="132" spans="1:8" x14ac:dyDescent="0.3">
      <c r="A132" t="s">
        <v>174</v>
      </c>
      <c r="B132">
        <v>94</v>
      </c>
      <c r="C132" t="s">
        <v>41</v>
      </c>
      <c r="D132">
        <v>64</v>
      </c>
      <c r="E132">
        <v>86</v>
      </c>
      <c r="F132">
        <v>8.82</v>
      </c>
      <c r="G132" t="s">
        <v>18</v>
      </c>
      <c r="H132" t="s">
        <v>15</v>
      </c>
    </row>
    <row r="133" spans="1:8" x14ac:dyDescent="0.3">
      <c r="A133" t="s">
        <v>175</v>
      </c>
      <c r="B133">
        <v>94</v>
      </c>
      <c r="C133" t="s">
        <v>45</v>
      </c>
      <c r="D133">
        <v>56</v>
      </c>
      <c r="E133">
        <v>74</v>
      </c>
      <c r="F133">
        <v>5.42</v>
      </c>
      <c r="G133" t="s">
        <v>18</v>
      </c>
      <c r="H133" t="s">
        <v>3</v>
      </c>
    </row>
    <row r="134" spans="1:8" x14ac:dyDescent="0.3">
      <c r="A134" t="s">
        <v>176</v>
      </c>
      <c r="B134">
        <v>94</v>
      </c>
      <c r="C134" t="s">
        <v>41</v>
      </c>
      <c r="D134">
        <v>66</v>
      </c>
      <c r="E134">
        <v>90</v>
      </c>
      <c r="F134">
        <v>220.46</v>
      </c>
      <c r="G134" t="s">
        <v>2</v>
      </c>
      <c r="H134" t="s">
        <v>9</v>
      </c>
    </row>
    <row r="135" spans="1:8" x14ac:dyDescent="0.3">
      <c r="A135" t="s">
        <v>177</v>
      </c>
      <c r="B135">
        <v>97</v>
      </c>
      <c r="C135" t="s">
        <v>41</v>
      </c>
      <c r="D135">
        <v>64</v>
      </c>
      <c r="E135">
        <v>88</v>
      </c>
      <c r="F135">
        <v>0.88</v>
      </c>
      <c r="G135" t="s">
        <v>2</v>
      </c>
      <c r="H135" t="s">
        <v>5</v>
      </c>
    </row>
    <row r="136" spans="1:8" x14ac:dyDescent="0.3">
      <c r="A136" t="s">
        <v>178</v>
      </c>
      <c r="B136">
        <v>95</v>
      </c>
      <c r="C136" t="s">
        <v>41</v>
      </c>
      <c r="D136">
        <v>70</v>
      </c>
      <c r="E136">
        <v>94</v>
      </c>
      <c r="F136">
        <v>58</v>
      </c>
      <c r="G136" t="s">
        <v>27</v>
      </c>
      <c r="H136" t="s">
        <v>14</v>
      </c>
    </row>
    <row r="137" spans="1:8" x14ac:dyDescent="0.3">
      <c r="A137" t="s">
        <v>179</v>
      </c>
      <c r="B137">
        <v>94</v>
      </c>
      <c r="C137" t="s">
        <v>41</v>
      </c>
      <c r="D137">
        <v>66</v>
      </c>
      <c r="E137">
        <v>88</v>
      </c>
      <c r="F137">
        <v>6.47</v>
      </c>
      <c r="G137" t="s">
        <v>18</v>
      </c>
      <c r="H137" t="s">
        <v>9</v>
      </c>
    </row>
    <row r="138" spans="1:8" x14ac:dyDescent="0.3">
      <c r="A138" t="s">
        <v>180</v>
      </c>
      <c r="B138">
        <v>94</v>
      </c>
      <c r="C138" t="s">
        <v>41</v>
      </c>
      <c r="D138">
        <v>62</v>
      </c>
      <c r="E138">
        <v>84</v>
      </c>
      <c r="F138">
        <v>24.25</v>
      </c>
      <c r="G138" t="s">
        <v>18</v>
      </c>
      <c r="H138" t="s">
        <v>5</v>
      </c>
    </row>
    <row r="139" spans="1:8" x14ac:dyDescent="0.3">
      <c r="A139" t="s">
        <v>181</v>
      </c>
      <c r="B139">
        <v>97</v>
      </c>
      <c r="C139" t="s">
        <v>41</v>
      </c>
      <c r="D139">
        <v>66</v>
      </c>
      <c r="E139">
        <v>88</v>
      </c>
      <c r="F139">
        <v>77.599999999999994</v>
      </c>
      <c r="G139" t="s">
        <v>18</v>
      </c>
      <c r="H139" t="s">
        <v>5</v>
      </c>
    </row>
    <row r="140" spans="1:8" x14ac:dyDescent="0.3">
      <c r="A140" t="s">
        <v>182</v>
      </c>
      <c r="B140">
        <v>96</v>
      </c>
      <c r="C140" t="s">
        <v>41</v>
      </c>
      <c r="D140">
        <v>67</v>
      </c>
      <c r="E140">
        <v>94</v>
      </c>
      <c r="F140">
        <v>88.18</v>
      </c>
      <c r="G140" t="s">
        <v>18</v>
      </c>
      <c r="H140" t="s">
        <v>18</v>
      </c>
    </row>
    <row r="141" spans="1:8" x14ac:dyDescent="0.3">
      <c r="A141" t="s">
        <v>183</v>
      </c>
      <c r="B141">
        <v>96</v>
      </c>
      <c r="C141" t="s">
        <v>41</v>
      </c>
      <c r="D141">
        <v>64</v>
      </c>
      <c r="E141">
        <v>88</v>
      </c>
      <c r="F141">
        <v>88.18</v>
      </c>
      <c r="G141" t="s">
        <v>18</v>
      </c>
      <c r="H141" t="s">
        <v>18</v>
      </c>
    </row>
    <row r="142" spans="1:8" x14ac:dyDescent="0.3">
      <c r="A142" t="s">
        <v>184</v>
      </c>
      <c r="B142">
        <v>96</v>
      </c>
      <c r="C142" t="s">
        <v>41</v>
      </c>
      <c r="D142">
        <v>62</v>
      </c>
      <c r="E142">
        <v>88</v>
      </c>
      <c r="F142">
        <v>28</v>
      </c>
      <c r="G142" t="s">
        <v>18</v>
      </c>
      <c r="H142" t="s">
        <v>14</v>
      </c>
    </row>
    <row r="143" spans="1:8" x14ac:dyDescent="0.3">
      <c r="A143" t="s">
        <v>185</v>
      </c>
      <c r="B143">
        <v>95</v>
      </c>
      <c r="C143" t="s">
        <v>41</v>
      </c>
      <c r="D143">
        <v>66</v>
      </c>
      <c r="E143">
        <v>92</v>
      </c>
      <c r="F143">
        <v>28</v>
      </c>
      <c r="G143" t="s">
        <v>18</v>
      </c>
      <c r="H143" t="s">
        <v>14</v>
      </c>
    </row>
    <row r="144" spans="1:8" x14ac:dyDescent="0.3">
      <c r="A144" t="s">
        <v>186</v>
      </c>
      <c r="B144">
        <v>97</v>
      </c>
      <c r="C144" t="s">
        <v>41</v>
      </c>
      <c r="D144">
        <v>64</v>
      </c>
      <c r="E144">
        <v>88</v>
      </c>
      <c r="F144">
        <v>617.28</v>
      </c>
      <c r="G144" t="s">
        <v>2</v>
      </c>
      <c r="H144" t="s">
        <v>5</v>
      </c>
    </row>
    <row r="145" spans="1:8" x14ac:dyDescent="0.3">
      <c r="A145" t="s">
        <v>187</v>
      </c>
      <c r="B145">
        <v>95</v>
      </c>
      <c r="C145" t="s">
        <v>41</v>
      </c>
      <c r="D145">
        <v>66</v>
      </c>
      <c r="E145">
        <v>84</v>
      </c>
      <c r="F145">
        <v>5.59</v>
      </c>
      <c r="G145" t="s">
        <v>18</v>
      </c>
      <c r="H145" t="s">
        <v>12</v>
      </c>
    </row>
    <row r="146" spans="1:8" x14ac:dyDescent="0.3">
      <c r="A146" t="s">
        <v>188</v>
      </c>
      <c r="B146">
        <v>94</v>
      </c>
      <c r="C146" t="s">
        <v>41</v>
      </c>
      <c r="D146">
        <v>62</v>
      </c>
      <c r="E146">
        <v>80</v>
      </c>
      <c r="F146">
        <v>9.41</v>
      </c>
      <c r="G146" t="s">
        <v>18</v>
      </c>
      <c r="H146" t="s">
        <v>15</v>
      </c>
    </row>
    <row r="147" spans="1:8" x14ac:dyDescent="0.3">
      <c r="A147" t="s">
        <v>189</v>
      </c>
      <c r="B147">
        <v>94</v>
      </c>
      <c r="C147" t="s">
        <v>41</v>
      </c>
      <c r="D147">
        <v>64</v>
      </c>
      <c r="E147">
        <v>84</v>
      </c>
      <c r="F147">
        <v>5.59</v>
      </c>
      <c r="G147" t="s">
        <v>18</v>
      </c>
      <c r="H147" t="s">
        <v>9</v>
      </c>
    </row>
    <row r="148" spans="1:8" x14ac:dyDescent="0.3">
      <c r="A148" t="s">
        <v>190</v>
      </c>
      <c r="B148">
        <v>96</v>
      </c>
      <c r="C148" t="s">
        <v>82</v>
      </c>
      <c r="D148">
        <v>44</v>
      </c>
      <c r="E148">
        <v>60</v>
      </c>
      <c r="F148">
        <v>418.87</v>
      </c>
      <c r="G148" t="s">
        <v>2</v>
      </c>
      <c r="H148" t="s">
        <v>12</v>
      </c>
    </row>
    <row r="149" spans="1:8" x14ac:dyDescent="0.3">
      <c r="A149" t="s">
        <v>191</v>
      </c>
      <c r="B149">
        <v>96</v>
      </c>
      <c r="C149" t="s">
        <v>82</v>
      </c>
      <c r="D149">
        <v>46</v>
      </c>
      <c r="E149">
        <v>72</v>
      </c>
      <c r="F149">
        <v>396.83</v>
      </c>
      <c r="G149" t="s">
        <v>2</v>
      </c>
      <c r="H149" t="s">
        <v>12</v>
      </c>
    </row>
    <row r="150" spans="1:8" x14ac:dyDescent="0.3">
      <c r="A150" t="s">
        <v>192</v>
      </c>
      <c r="B150">
        <v>96</v>
      </c>
      <c r="C150" t="s">
        <v>82</v>
      </c>
      <c r="D150">
        <v>50</v>
      </c>
      <c r="E150">
        <v>64</v>
      </c>
      <c r="F150">
        <v>7.35</v>
      </c>
      <c r="G150" t="s">
        <v>7</v>
      </c>
      <c r="H150" t="s">
        <v>7</v>
      </c>
    </row>
    <row r="151" spans="1:8" x14ac:dyDescent="0.3">
      <c r="A151" t="s">
        <v>193</v>
      </c>
      <c r="B151">
        <v>98</v>
      </c>
      <c r="C151" t="s">
        <v>45</v>
      </c>
      <c r="D151">
        <v>54</v>
      </c>
      <c r="E151">
        <v>84</v>
      </c>
      <c r="F151">
        <v>44.07</v>
      </c>
      <c r="G151" t="s">
        <v>18</v>
      </c>
      <c r="H151" t="s">
        <v>150</v>
      </c>
    </row>
    <row r="152" spans="1:8" x14ac:dyDescent="0.3">
      <c r="A152" t="s">
        <v>194</v>
      </c>
      <c r="B152">
        <v>97</v>
      </c>
      <c r="C152" t="s">
        <v>45</v>
      </c>
      <c r="D152">
        <v>58</v>
      </c>
      <c r="E152">
        <v>80</v>
      </c>
      <c r="F152">
        <v>264.55</v>
      </c>
      <c r="G152" t="s">
        <v>2</v>
      </c>
      <c r="H152" t="s">
        <v>12</v>
      </c>
    </row>
    <row r="153" spans="1:8" x14ac:dyDescent="0.3">
      <c r="A153" t="s">
        <v>195</v>
      </c>
      <c r="B153">
        <v>96</v>
      </c>
      <c r="C153" t="s">
        <v>41</v>
      </c>
      <c r="D153">
        <v>58</v>
      </c>
      <c r="E153">
        <v>84</v>
      </c>
      <c r="F153">
        <v>35.25</v>
      </c>
      <c r="G153" t="s">
        <v>18</v>
      </c>
      <c r="H153" t="s">
        <v>18</v>
      </c>
    </row>
    <row r="154" spans="1:8" x14ac:dyDescent="0.3">
      <c r="A154" t="s">
        <v>196</v>
      </c>
      <c r="B154">
        <v>96</v>
      </c>
      <c r="C154" t="s">
        <v>41</v>
      </c>
      <c r="D154">
        <v>64</v>
      </c>
      <c r="E154">
        <v>84</v>
      </c>
      <c r="F154">
        <v>12.79</v>
      </c>
      <c r="G154" t="s">
        <v>18</v>
      </c>
      <c r="H154" t="s">
        <v>14</v>
      </c>
    </row>
    <row r="155" spans="1:8" x14ac:dyDescent="0.3">
      <c r="A155" t="s">
        <v>197</v>
      </c>
      <c r="B155">
        <v>95</v>
      </c>
      <c r="C155" t="s">
        <v>41</v>
      </c>
      <c r="D155">
        <v>60</v>
      </c>
      <c r="E155">
        <v>82</v>
      </c>
      <c r="F155">
        <v>211.64</v>
      </c>
      <c r="G155" t="s">
        <v>2</v>
      </c>
      <c r="H155" t="s">
        <v>9</v>
      </c>
    </row>
    <row r="156" spans="1:8" x14ac:dyDescent="0.3">
      <c r="A156" t="s">
        <v>198</v>
      </c>
      <c r="B156">
        <v>95</v>
      </c>
      <c r="C156" t="s">
        <v>41</v>
      </c>
      <c r="D156">
        <v>57</v>
      </c>
      <c r="E156">
        <v>88</v>
      </c>
      <c r="F156">
        <v>211.64</v>
      </c>
      <c r="G156" t="s">
        <v>2</v>
      </c>
      <c r="H156" t="s">
        <v>9</v>
      </c>
    </row>
    <row r="157" spans="1:8" x14ac:dyDescent="0.3">
      <c r="A157" t="s">
        <v>199</v>
      </c>
      <c r="B157">
        <v>95</v>
      </c>
      <c r="C157" t="s">
        <v>41</v>
      </c>
      <c r="D157">
        <v>62</v>
      </c>
      <c r="E157">
        <v>84</v>
      </c>
      <c r="F157">
        <v>0.88</v>
      </c>
      <c r="G157" t="s">
        <v>2</v>
      </c>
      <c r="H157" t="s">
        <v>2</v>
      </c>
    </row>
    <row r="158" spans="1:8" x14ac:dyDescent="0.3">
      <c r="A158" t="s">
        <v>200</v>
      </c>
      <c r="B158">
        <v>94</v>
      </c>
      <c r="C158" t="s">
        <v>45</v>
      </c>
      <c r="D158">
        <v>58</v>
      </c>
      <c r="E158">
        <v>78</v>
      </c>
      <c r="F158">
        <v>154.32</v>
      </c>
      <c r="G158" t="s">
        <v>2</v>
      </c>
      <c r="H158" t="s">
        <v>12</v>
      </c>
    </row>
    <row r="159" spans="1:8" x14ac:dyDescent="0.3">
      <c r="A159" t="s">
        <v>201</v>
      </c>
      <c r="B159">
        <v>95</v>
      </c>
      <c r="C159" t="s">
        <v>45</v>
      </c>
      <c r="D159">
        <v>58</v>
      </c>
      <c r="E159">
        <v>80</v>
      </c>
      <c r="F159">
        <v>7.05</v>
      </c>
      <c r="G159" t="s">
        <v>18</v>
      </c>
      <c r="H159" t="s">
        <v>12</v>
      </c>
    </row>
    <row r="160" spans="1:8" x14ac:dyDescent="0.3">
      <c r="A160" t="s">
        <v>202</v>
      </c>
      <c r="B160">
        <v>94</v>
      </c>
      <c r="C160" t="s">
        <v>41</v>
      </c>
      <c r="D160">
        <v>62</v>
      </c>
      <c r="E160">
        <v>86</v>
      </c>
      <c r="F160">
        <v>7.94</v>
      </c>
      <c r="G160" t="s">
        <v>18</v>
      </c>
      <c r="H160" t="s">
        <v>9</v>
      </c>
    </row>
    <row r="161" spans="1:8" x14ac:dyDescent="0.3">
      <c r="A161" t="s">
        <v>203</v>
      </c>
      <c r="B161">
        <v>94</v>
      </c>
      <c r="C161" t="s">
        <v>45</v>
      </c>
      <c r="D161">
        <v>56</v>
      </c>
      <c r="E161">
        <v>74</v>
      </c>
      <c r="F161">
        <v>114.64</v>
      </c>
      <c r="G161" t="s">
        <v>2</v>
      </c>
      <c r="H161" t="s">
        <v>7</v>
      </c>
    </row>
    <row r="162" spans="1:8" x14ac:dyDescent="0.3">
      <c r="A162" t="s">
        <v>204</v>
      </c>
      <c r="B162">
        <v>94</v>
      </c>
      <c r="C162" t="s">
        <v>45</v>
      </c>
      <c r="D162">
        <v>58</v>
      </c>
      <c r="E162">
        <v>80</v>
      </c>
      <c r="F162">
        <v>145.5</v>
      </c>
      <c r="G162" t="s">
        <v>2</v>
      </c>
      <c r="H162" t="s">
        <v>9</v>
      </c>
    </row>
    <row r="163" spans="1:8" x14ac:dyDescent="0.3">
      <c r="A163" t="s">
        <v>205</v>
      </c>
      <c r="B163">
        <v>94</v>
      </c>
      <c r="C163" t="s">
        <v>45</v>
      </c>
      <c r="D163">
        <v>60</v>
      </c>
      <c r="E163">
        <v>77</v>
      </c>
      <c r="F163">
        <v>432.1</v>
      </c>
      <c r="G163" t="s">
        <v>2</v>
      </c>
      <c r="H163" t="s">
        <v>9</v>
      </c>
    </row>
    <row r="164" spans="1:8" x14ac:dyDescent="0.3">
      <c r="A164" t="s">
        <v>206</v>
      </c>
      <c r="B164">
        <v>94</v>
      </c>
      <c r="C164" t="s">
        <v>45</v>
      </c>
      <c r="D164">
        <v>60</v>
      </c>
      <c r="E164">
        <v>77</v>
      </c>
      <c r="F164">
        <v>0.88</v>
      </c>
      <c r="G164" t="s">
        <v>2</v>
      </c>
      <c r="H164" t="s">
        <v>2</v>
      </c>
    </row>
    <row r="165" spans="1:8" x14ac:dyDescent="0.3">
      <c r="A165" t="s">
        <v>207</v>
      </c>
      <c r="B165">
        <v>96</v>
      </c>
      <c r="C165" t="s">
        <v>45</v>
      </c>
      <c r="D165">
        <v>58</v>
      </c>
      <c r="E165">
        <v>82</v>
      </c>
      <c r="F165">
        <v>14.55</v>
      </c>
      <c r="G165" t="s">
        <v>18</v>
      </c>
      <c r="H165" t="s">
        <v>14</v>
      </c>
    </row>
    <row r="166" spans="1:8" x14ac:dyDescent="0.3">
      <c r="A166" t="s">
        <v>208</v>
      </c>
      <c r="B166">
        <v>94</v>
      </c>
      <c r="C166" t="s">
        <v>45</v>
      </c>
      <c r="D166">
        <v>60</v>
      </c>
      <c r="E166">
        <v>79</v>
      </c>
      <c r="F166">
        <v>5.88</v>
      </c>
      <c r="G166" t="s">
        <v>18</v>
      </c>
      <c r="H166" t="s">
        <v>9</v>
      </c>
    </row>
    <row r="167" spans="1:8" x14ac:dyDescent="0.3">
      <c r="A167" t="s">
        <v>209</v>
      </c>
      <c r="B167">
        <v>94</v>
      </c>
      <c r="C167" t="s">
        <v>45</v>
      </c>
      <c r="D167">
        <v>59</v>
      </c>
      <c r="E167">
        <v>77</v>
      </c>
      <c r="F167">
        <v>5.88</v>
      </c>
      <c r="G167" t="s">
        <v>18</v>
      </c>
      <c r="H167" t="s">
        <v>16</v>
      </c>
    </row>
    <row r="168" spans="1:8" x14ac:dyDescent="0.3">
      <c r="A168" t="s">
        <v>210</v>
      </c>
      <c r="B168">
        <v>96</v>
      </c>
      <c r="C168" t="s">
        <v>41</v>
      </c>
      <c r="D168">
        <v>60</v>
      </c>
      <c r="E168">
        <v>82</v>
      </c>
      <c r="F168">
        <v>16</v>
      </c>
      <c r="G168" t="s">
        <v>18</v>
      </c>
      <c r="H168" t="s">
        <v>8</v>
      </c>
    </row>
    <row r="169" spans="1:8" x14ac:dyDescent="0.3">
      <c r="A169" t="s">
        <v>211</v>
      </c>
      <c r="B169">
        <v>95</v>
      </c>
      <c r="C169" t="s">
        <v>45</v>
      </c>
      <c r="D169">
        <v>59</v>
      </c>
      <c r="E169">
        <v>81</v>
      </c>
      <c r="F169">
        <v>264.32</v>
      </c>
      <c r="G169" t="s">
        <v>2</v>
      </c>
      <c r="H169" t="s">
        <v>9</v>
      </c>
    </row>
    <row r="170" spans="1:8" x14ac:dyDescent="0.3">
      <c r="A170" t="s">
        <v>212</v>
      </c>
      <c r="B170">
        <v>95</v>
      </c>
      <c r="C170" t="s">
        <v>41</v>
      </c>
      <c r="D170">
        <v>62</v>
      </c>
      <c r="E170">
        <v>94</v>
      </c>
      <c r="F170">
        <v>264.32</v>
      </c>
      <c r="G170" t="s">
        <v>2</v>
      </c>
      <c r="H170" t="s">
        <v>14</v>
      </c>
    </row>
    <row r="171" spans="1:8" x14ac:dyDescent="0.3">
      <c r="A171" t="s">
        <v>213</v>
      </c>
      <c r="B171">
        <v>94</v>
      </c>
      <c r="C171" t="s">
        <v>45</v>
      </c>
      <c r="D171">
        <v>60</v>
      </c>
      <c r="E171">
        <v>77</v>
      </c>
      <c r="F171">
        <v>198.24</v>
      </c>
      <c r="G171" t="s">
        <v>2</v>
      </c>
      <c r="H171" t="s">
        <v>9</v>
      </c>
    </row>
    <row r="172" spans="1:8" x14ac:dyDescent="0.3">
      <c r="A172" t="s">
        <v>214</v>
      </c>
      <c r="B172">
        <v>94</v>
      </c>
      <c r="C172" t="s">
        <v>45</v>
      </c>
      <c r="D172">
        <v>55</v>
      </c>
      <c r="E172">
        <v>79</v>
      </c>
      <c r="F172">
        <v>5.59</v>
      </c>
      <c r="G172" t="s">
        <v>18</v>
      </c>
      <c r="H172" t="s">
        <v>9</v>
      </c>
    </row>
    <row r="173" spans="1:8" x14ac:dyDescent="0.3">
      <c r="A173" t="s">
        <v>215</v>
      </c>
      <c r="B173">
        <v>94</v>
      </c>
      <c r="C173" t="s">
        <v>45</v>
      </c>
      <c r="D173">
        <v>55</v>
      </c>
      <c r="E173">
        <v>79</v>
      </c>
      <c r="F173">
        <v>343.61</v>
      </c>
      <c r="G173" t="s">
        <v>2</v>
      </c>
      <c r="H173" t="s">
        <v>9</v>
      </c>
    </row>
    <row r="174" spans="1:8" x14ac:dyDescent="0.3">
      <c r="A174" t="s">
        <v>216</v>
      </c>
      <c r="B174">
        <v>94</v>
      </c>
      <c r="C174" t="s">
        <v>41</v>
      </c>
      <c r="D174">
        <v>65</v>
      </c>
      <c r="E174">
        <v>81</v>
      </c>
      <c r="F174">
        <v>171.81</v>
      </c>
      <c r="G174" t="s">
        <v>2</v>
      </c>
      <c r="H174" t="s">
        <v>9</v>
      </c>
    </row>
    <row r="175" spans="1:8" x14ac:dyDescent="0.3">
      <c r="A175" t="s">
        <v>217</v>
      </c>
      <c r="B175">
        <v>94</v>
      </c>
      <c r="C175" t="s">
        <v>41</v>
      </c>
      <c r="D175">
        <v>64</v>
      </c>
      <c r="E175">
        <v>88</v>
      </c>
      <c r="F175">
        <v>211.45</v>
      </c>
      <c r="G175" t="s">
        <v>2</v>
      </c>
      <c r="H175" t="s">
        <v>12</v>
      </c>
    </row>
    <row r="176" spans="1:8" x14ac:dyDescent="0.3">
      <c r="A176" t="s">
        <v>218</v>
      </c>
      <c r="B176">
        <v>94</v>
      </c>
      <c r="C176" t="s">
        <v>41</v>
      </c>
      <c r="D176">
        <v>60</v>
      </c>
      <c r="E176">
        <v>83</v>
      </c>
      <c r="F176">
        <v>16.75</v>
      </c>
      <c r="G176" t="s">
        <v>18</v>
      </c>
      <c r="H176" t="s">
        <v>14</v>
      </c>
    </row>
    <row r="177" spans="1:8" x14ac:dyDescent="0.3">
      <c r="A177" t="s">
        <v>219</v>
      </c>
      <c r="B177">
        <v>97</v>
      </c>
      <c r="C177" t="s">
        <v>41</v>
      </c>
      <c r="D177">
        <v>66</v>
      </c>
      <c r="E177">
        <v>84</v>
      </c>
      <c r="F177">
        <v>70.55</v>
      </c>
      <c r="G177" t="s">
        <v>2</v>
      </c>
      <c r="H177" t="s">
        <v>5</v>
      </c>
    </row>
    <row r="178" spans="1:8" x14ac:dyDescent="0.3">
      <c r="A178" t="s">
        <v>220</v>
      </c>
      <c r="B178">
        <v>95</v>
      </c>
      <c r="C178" t="s">
        <v>41</v>
      </c>
      <c r="D178">
        <v>62</v>
      </c>
      <c r="E178">
        <v>84</v>
      </c>
      <c r="F178">
        <v>11.54</v>
      </c>
      <c r="G178" t="s">
        <v>18</v>
      </c>
      <c r="H178" t="s">
        <v>21</v>
      </c>
    </row>
    <row r="179" spans="1:8" x14ac:dyDescent="0.3">
      <c r="A179" t="s">
        <v>221</v>
      </c>
      <c r="B179">
        <v>95</v>
      </c>
      <c r="C179" t="s">
        <v>41</v>
      </c>
      <c r="D179">
        <v>66</v>
      </c>
      <c r="E179">
        <v>90</v>
      </c>
      <c r="F179">
        <v>13.89</v>
      </c>
      <c r="G179" t="s">
        <v>18</v>
      </c>
      <c r="H179" t="s">
        <v>14</v>
      </c>
    </row>
    <row r="180" spans="1:8" x14ac:dyDescent="0.3">
      <c r="A180" t="s">
        <v>222</v>
      </c>
      <c r="B180">
        <v>95</v>
      </c>
      <c r="C180" t="s">
        <v>41</v>
      </c>
      <c r="D180">
        <v>64</v>
      </c>
      <c r="E180">
        <v>88</v>
      </c>
      <c r="F180">
        <v>244.44</v>
      </c>
      <c r="G180" t="s">
        <v>2</v>
      </c>
      <c r="H180" t="s">
        <v>9</v>
      </c>
    </row>
    <row r="181" spans="1:8" x14ac:dyDescent="0.3">
      <c r="A181" t="s">
        <v>223</v>
      </c>
      <c r="B181">
        <v>94</v>
      </c>
      <c r="C181" t="s">
        <v>41</v>
      </c>
      <c r="D181">
        <v>64</v>
      </c>
      <c r="E181">
        <v>84</v>
      </c>
      <c r="F181">
        <v>211.64</v>
      </c>
      <c r="G181" t="s">
        <v>2</v>
      </c>
      <c r="H181" t="s">
        <v>9</v>
      </c>
    </row>
    <row r="182" spans="1:8" x14ac:dyDescent="0.3">
      <c r="A182" t="s">
        <v>224</v>
      </c>
      <c r="B182">
        <v>96</v>
      </c>
      <c r="C182" t="s">
        <v>41</v>
      </c>
      <c r="D182">
        <v>64</v>
      </c>
      <c r="E182">
        <v>86</v>
      </c>
      <c r="F182">
        <v>8.81</v>
      </c>
      <c r="G182" t="s">
        <v>18</v>
      </c>
      <c r="H182" t="s">
        <v>14</v>
      </c>
    </row>
    <row r="183" spans="1:8" x14ac:dyDescent="0.3">
      <c r="A183" t="s">
        <v>225</v>
      </c>
      <c r="B183">
        <v>94</v>
      </c>
      <c r="C183" t="s">
        <v>41</v>
      </c>
      <c r="D183">
        <v>64</v>
      </c>
      <c r="E183">
        <v>84</v>
      </c>
      <c r="F183">
        <v>8.81</v>
      </c>
      <c r="G183" t="s">
        <v>18</v>
      </c>
      <c r="H183" t="s">
        <v>14</v>
      </c>
    </row>
    <row r="184" spans="1:8" x14ac:dyDescent="0.3">
      <c r="A184" t="s">
        <v>226</v>
      </c>
      <c r="B184">
        <v>94</v>
      </c>
      <c r="C184" t="s">
        <v>45</v>
      </c>
      <c r="D184">
        <v>59</v>
      </c>
      <c r="E184">
        <v>79</v>
      </c>
      <c r="F184">
        <v>5.59</v>
      </c>
      <c r="G184" t="s">
        <v>18</v>
      </c>
      <c r="H184" t="s">
        <v>9</v>
      </c>
    </row>
    <row r="185" spans="1:8" x14ac:dyDescent="0.3">
      <c r="A185" t="s">
        <v>227</v>
      </c>
      <c r="B185">
        <v>95</v>
      </c>
      <c r="C185" t="s">
        <v>41</v>
      </c>
      <c r="D185">
        <v>58</v>
      </c>
      <c r="E185">
        <v>84</v>
      </c>
      <c r="F185">
        <v>6.47</v>
      </c>
      <c r="G185" t="s">
        <v>18</v>
      </c>
      <c r="H185" t="s">
        <v>9</v>
      </c>
    </row>
    <row r="186" spans="1:8" x14ac:dyDescent="0.3">
      <c r="A186" t="s">
        <v>228</v>
      </c>
      <c r="B186">
        <v>94</v>
      </c>
      <c r="C186" t="s">
        <v>41</v>
      </c>
      <c r="D186">
        <v>66</v>
      </c>
      <c r="E186">
        <v>93</v>
      </c>
      <c r="F186">
        <v>10.23</v>
      </c>
      <c r="G186" t="s">
        <v>18</v>
      </c>
      <c r="H186" t="s">
        <v>14</v>
      </c>
    </row>
    <row r="187" spans="1:8" x14ac:dyDescent="0.3">
      <c r="A187" t="s">
        <v>229</v>
      </c>
      <c r="B187">
        <v>95</v>
      </c>
      <c r="C187" t="s">
        <v>41</v>
      </c>
      <c r="D187">
        <v>69</v>
      </c>
      <c r="E187">
        <v>88</v>
      </c>
      <c r="F187">
        <v>950</v>
      </c>
      <c r="G187" t="s">
        <v>2</v>
      </c>
      <c r="H187" t="s">
        <v>7</v>
      </c>
    </row>
    <row r="188" spans="1:8" x14ac:dyDescent="0.3">
      <c r="A188" t="s">
        <v>230</v>
      </c>
      <c r="B188">
        <v>94</v>
      </c>
      <c r="C188" t="s">
        <v>41</v>
      </c>
      <c r="D188">
        <v>60</v>
      </c>
      <c r="E188">
        <v>88</v>
      </c>
      <c r="F188">
        <v>20.87</v>
      </c>
      <c r="G188" t="s">
        <v>2</v>
      </c>
      <c r="H188" t="s">
        <v>7</v>
      </c>
    </row>
    <row r="189" spans="1:8" x14ac:dyDescent="0.3">
      <c r="A189" t="s">
        <v>231</v>
      </c>
      <c r="B189">
        <v>94</v>
      </c>
      <c r="C189" t="s">
        <v>45</v>
      </c>
      <c r="D189">
        <v>56</v>
      </c>
      <c r="E189">
        <v>84</v>
      </c>
      <c r="F189">
        <v>19.36</v>
      </c>
      <c r="G189" t="s">
        <v>2</v>
      </c>
      <c r="H189" t="s">
        <v>7</v>
      </c>
    </row>
    <row r="190" spans="1:8" x14ac:dyDescent="0.3">
      <c r="A190" t="s">
        <v>232</v>
      </c>
      <c r="B190">
        <v>95</v>
      </c>
      <c r="C190" t="s">
        <v>41</v>
      </c>
      <c r="D190">
        <v>63</v>
      </c>
      <c r="E190">
        <v>81</v>
      </c>
      <c r="F190">
        <v>6.76</v>
      </c>
      <c r="G190" t="s">
        <v>18</v>
      </c>
      <c r="H190" t="s">
        <v>9</v>
      </c>
    </row>
    <row r="191" spans="1:8" x14ac:dyDescent="0.3">
      <c r="A191" t="s">
        <v>233</v>
      </c>
      <c r="B191">
        <v>95</v>
      </c>
      <c r="C191" t="s">
        <v>45</v>
      </c>
      <c r="D191">
        <v>59</v>
      </c>
      <c r="E191">
        <v>77</v>
      </c>
      <c r="F191">
        <v>9.6999999999999993</v>
      </c>
      <c r="G191" t="s">
        <v>18</v>
      </c>
      <c r="H191" t="s">
        <v>14</v>
      </c>
    </row>
    <row r="192" spans="1:8" x14ac:dyDescent="0.3">
      <c r="A192" t="s">
        <v>234</v>
      </c>
      <c r="B192">
        <v>96</v>
      </c>
      <c r="C192" t="s">
        <v>45</v>
      </c>
      <c r="D192">
        <v>61</v>
      </c>
      <c r="E192">
        <v>78</v>
      </c>
      <c r="F192">
        <v>5.88</v>
      </c>
      <c r="G192" t="s">
        <v>18</v>
      </c>
      <c r="H192" t="s">
        <v>9</v>
      </c>
    </row>
    <row r="193" spans="1:8" x14ac:dyDescent="0.3">
      <c r="A193" t="s">
        <v>235</v>
      </c>
      <c r="B193">
        <v>95</v>
      </c>
      <c r="C193" t="s">
        <v>41</v>
      </c>
      <c r="D193">
        <v>62</v>
      </c>
      <c r="E193">
        <v>80</v>
      </c>
      <c r="F193">
        <v>7.05</v>
      </c>
      <c r="G193" t="s">
        <v>18</v>
      </c>
      <c r="H193" t="s">
        <v>9</v>
      </c>
    </row>
    <row r="194" spans="1:8" x14ac:dyDescent="0.3">
      <c r="A194" t="s">
        <v>236</v>
      </c>
      <c r="B194">
        <v>94</v>
      </c>
      <c r="C194" t="s">
        <v>45</v>
      </c>
      <c r="D194">
        <v>60</v>
      </c>
      <c r="E194">
        <v>79</v>
      </c>
      <c r="F194">
        <v>6.76</v>
      </c>
      <c r="G194" t="s">
        <v>18</v>
      </c>
      <c r="H194" t="s">
        <v>16</v>
      </c>
    </row>
    <row r="195" spans="1:8" x14ac:dyDescent="0.3">
      <c r="A195" t="s">
        <v>237</v>
      </c>
      <c r="B195">
        <v>94</v>
      </c>
      <c r="C195" t="s">
        <v>45</v>
      </c>
      <c r="D195">
        <v>60</v>
      </c>
      <c r="E195">
        <v>77</v>
      </c>
      <c r="F195">
        <v>4.7</v>
      </c>
      <c r="G195" t="s">
        <v>18</v>
      </c>
      <c r="H195" t="s">
        <v>21</v>
      </c>
    </row>
    <row r="196" spans="1:8" x14ac:dyDescent="0.3">
      <c r="A196" t="s">
        <v>238</v>
      </c>
      <c r="B196">
        <v>94</v>
      </c>
      <c r="C196" t="s">
        <v>45</v>
      </c>
      <c r="D196">
        <v>59</v>
      </c>
      <c r="E196">
        <v>81</v>
      </c>
      <c r="F196">
        <v>8.23</v>
      </c>
      <c r="G196" t="s">
        <v>18</v>
      </c>
      <c r="H196" t="s">
        <v>12</v>
      </c>
    </row>
    <row r="197" spans="1:8" x14ac:dyDescent="0.3">
      <c r="A197" t="s">
        <v>239</v>
      </c>
      <c r="B197">
        <v>95</v>
      </c>
      <c r="C197" t="s">
        <v>41</v>
      </c>
      <c r="D197">
        <v>64</v>
      </c>
      <c r="E197">
        <v>86</v>
      </c>
      <c r="F197">
        <v>242.29</v>
      </c>
      <c r="G197" t="s">
        <v>2</v>
      </c>
      <c r="H197" t="s">
        <v>9</v>
      </c>
    </row>
    <row r="198" spans="1:8" x14ac:dyDescent="0.3">
      <c r="A198" t="s">
        <v>240</v>
      </c>
      <c r="B198">
        <v>94</v>
      </c>
      <c r="C198" t="s">
        <v>41</v>
      </c>
      <c r="D198">
        <v>65</v>
      </c>
      <c r="E198">
        <v>89</v>
      </c>
      <c r="F198">
        <v>22.33</v>
      </c>
      <c r="G198" t="s">
        <v>18</v>
      </c>
      <c r="H198" t="s">
        <v>14</v>
      </c>
    </row>
    <row r="199" spans="1:8" x14ac:dyDescent="0.3">
      <c r="A199" t="s">
        <v>241</v>
      </c>
      <c r="B199">
        <v>94</v>
      </c>
      <c r="C199" t="s">
        <v>41</v>
      </c>
      <c r="D199">
        <v>62</v>
      </c>
      <c r="E199">
        <v>80</v>
      </c>
      <c r="F199">
        <v>136.24</v>
      </c>
      <c r="G199" t="s">
        <v>2</v>
      </c>
      <c r="H199" t="s">
        <v>12</v>
      </c>
    </row>
    <row r="200" spans="1:8" x14ac:dyDescent="0.3">
      <c r="A200" t="s">
        <v>242</v>
      </c>
      <c r="B200">
        <v>94</v>
      </c>
      <c r="C200" t="s">
        <v>41</v>
      </c>
      <c r="D200">
        <v>64</v>
      </c>
      <c r="E200">
        <v>84</v>
      </c>
      <c r="F200">
        <v>149.47</v>
      </c>
      <c r="G200" t="s">
        <v>2</v>
      </c>
      <c r="H200" t="s">
        <v>9</v>
      </c>
    </row>
    <row r="201" spans="1:8" x14ac:dyDescent="0.3">
      <c r="A201" t="s">
        <v>243</v>
      </c>
      <c r="B201">
        <v>94</v>
      </c>
      <c r="C201" t="s">
        <v>41</v>
      </c>
      <c r="D201">
        <v>66</v>
      </c>
      <c r="E201">
        <v>90</v>
      </c>
      <c r="F201">
        <v>197.97</v>
      </c>
      <c r="G201" t="s">
        <v>2</v>
      </c>
      <c r="H201" t="s">
        <v>9</v>
      </c>
    </row>
    <row r="202" spans="1:8" x14ac:dyDescent="0.3">
      <c r="A202" t="s">
        <v>244</v>
      </c>
      <c r="B202">
        <v>97</v>
      </c>
      <c r="C202" t="s">
        <v>41</v>
      </c>
      <c r="D202">
        <v>62</v>
      </c>
      <c r="E202">
        <v>84</v>
      </c>
      <c r="F202">
        <v>6000</v>
      </c>
      <c r="G202" t="s">
        <v>2</v>
      </c>
      <c r="H202" t="s">
        <v>5</v>
      </c>
    </row>
    <row r="203" spans="1:8" x14ac:dyDescent="0.3">
      <c r="A203" t="s">
        <v>245</v>
      </c>
      <c r="B203">
        <v>96</v>
      </c>
      <c r="C203" t="s">
        <v>82</v>
      </c>
      <c r="D203">
        <v>47</v>
      </c>
      <c r="E203">
        <v>69</v>
      </c>
      <c r="F203">
        <v>127.87</v>
      </c>
      <c r="G203" t="s">
        <v>2</v>
      </c>
      <c r="H203" t="s">
        <v>12</v>
      </c>
    </row>
    <row r="204" spans="1:8" x14ac:dyDescent="0.3">
      <c r="A204" t="s">
        <v>246</v>
      </c>
      <c r="B204">
        <v>95</v>
      </c>
      <c r="C204" t="s">
        <v>45</v>
      </c>
      <c r="D204">
        <v>58</v>
      </c>
      <c r="E204">
        <v>82</v>
      </c>
      <c r="F204">
        <v>154.32</v>
      </c>
      <c r="G204" t="s">
        <v>2</v>
      </c>
      <c r="H204" t="s">
        <v>12</v>
      </c>
    </row>
    <row r="205" spans="1:8" x14ac:dyDescent="0.3">
      <c r="A205" t="s">
        <v>247</v>
      </c>
      <c r="B205">
        <v>95</v>
      </c>
      <c r="C205" t="s">
        <v>41</v>
      </c>
      <c r="D205">
        <v>62</v>
      </c>
      <c r="E205">
        <v>84</v>
      </c>
      <c r="F205">
        <v>145.5</v>
      </c>
      <c r="G205" t="s">
        <v>2</v>
      </c>
      <c r="H205" t="s">
        <v>9</v>
      </c>
    </row>
    <row r="206" spans="1:8" x14ac:dyDescent="0.3">
      <c r="A206" t="s">
        <v>248</v>
      </c>
      <c r="B206">
        <v>94</v>
      </c>
      <c r="C206" t="s">
        <v>41</v>
      </c>
      <c r="D206">
        <v>64</v>
      </c>
      <c r="E206">
        <v>86</v>
      </c>
      <c r="F206">
        <v>8.82</v>
      </c>
      <c r="G206" t="s">
        <v>18</v>
      </c>
      <c r="H206" t="s">
        <v>4</v>
      </c>
    </row>
    <row r="207" spans="1:8" x14ac:dyDescent="0.3">
      <c r="A207" t="s">
        <v>249</v>
      </c>
      <c r="B207">
        <v>95</v>
      </c>
      <c r="C207" t="s">
        <v>41</v>
      </c>
      <c r="D207">
        <v>64</v>
      </c>
      <c r="E207">
        <v>88</v>
      </c>
      <c r="F207">
        <v>15.43</v>
      </c>
      <c r="G207" t="s">
        <v>18</v>
      </c>
      <c r="H207" t="s">
        <v>150</v>
      </c>
    </row>
    <row r="208" spans="1:8" x14ac:dyDescent="0.3">
      <c r="A208" t="s">
        <v>250</v>
      </c>
      <c r="B208">
        <v>95</v>
      </c>
      <c r="C208" t="s">
        <v>41</v>
      </c>
      <c r="D208">
        <v>64</v>
      </c>
      <c r="E208">
        <v>82</v>
      </c>
      <c r="F208">
        <v>6.17</v>
      </c>
      <c r="G208" t="s">
        <v>18</v>
      </c>
      <c r="H208" t="s">
        <v>9</v>
      </c>
    </row>
    <row r="209" spans="1:8" x14ac:dyDescent="0.3">
      <c r="A209" t="s">
        <v>251</v>
      </c>
      <c r="B209">
        <v>94</v>
      </c>
      <c r="C209" t="s">
        <v>41</v>
      </c>
      <c r="D209">
        <v>62</v>
      </c>
      <c r="E209">
        <v>80</v>
      </c>
      <c r="F209">
        <v>6.17</v>
      </c>
      <c r="G209" t="s">
        <v>18</v>
      </c>
      <c r="H209" t="s">
        <v>9</v>
      </c>
    </row>
    <row r="210" spans="1:8" x14ac:dyDescent="0.3">
      <c r="A210" t="s">
        <v>252</v>
      </c>
      <c r="B210">
        <v>94</v>
      </c>
      <c r="C210" t="s">
        <v>41</v>
      </c>
      <c r="D210">
        <v>64</v>
      </c>
      <c r="E210">
        <v>86</v>
      </c>
      <c r="F210">
        <v>4.41</v>
      </c>
      <c r="G210" t="s">
        <v>18</v>
      </c>
      <c r="H210" t="s">
        <v>14</v>
      </c>
    </row>
    <row r="211" spans="1:8" x14ac:dyDescent="0.3">
      <c r="A211" t="s">
        <v>253</v>
      </c>
      <c r="B211">
        <v>94</v>
      </c>
      <c r="C211" t="s">
        <v>41</v>
      </c>
      <c r="D211">
        <v>65</v>
      </c>
      <c r="E211">
        <v>87</v>
      </c>
      <c r="F211">
        <v>175</v>
      </c>
      <c r="G211" t="s">
        <v>2</v>
      </c>
      <c r="H211" t="s">
        <v>9</v>
      </c>
    </row>
    <row r="212" spans="1:8" x14ac:dyDescent="0.3">
      <c r="A212" t="s">
        <v>254</v>
      </c>
      <c r="B212">
        <v>94</v>
      </c>
      <c r="C212" t="s">
        <v>41</v>
      </c>
      <c r="D212">
        <v>66</v>
      </c>
      <c r="E212">
        <v>88</v>
      </c>
      <c r="F212">
        <v>264.32</v>
      </c>
      <c r="G212" t="s">
        <v>2</v>
      </c>
      <c r="H212" t="s">
        <v>9</v>
      </c>
    </row>
    <row r="213" spans="1:8" x14ac:dyDescent="0.3">
      <c r="A213" t="s">
        <v>255</v>
      </c>
      <c r="B213">
        <v>94</v>
      </c>
      <c r="C213" t="s">
        <v>41</v>
      </c>
      <c r="D213">
        <v>66</v>
      </c>
      <c r="E213">
        <v>84</v>
      </c>
      <c r="F213">
        <v>190</v>
      </c>
      <c r="G213" t="s">
        <v>2</v>
      </c>
      <c r="H213" t="s">
        <v>9</v>
      </c>
    </row>
    <row r="214" spans="1:8" x14ac:dyDescent="0.3">
      <c r="A214" t="s">
        <v>256</v>
      </c>
      <c r="B214">
        <v>95</v>
      </c>
      <c r="C214" t="s">
        <v>41</v>
      </c>
      <c r="D214">
        <v>66</v>
      </c>
      <c r="E214">
        <v>88</v>
      </c>
      <c r="F214">
        <v>211.64</v>
      </c>
      <c r="G214" t="s">
        <v>2</v>
      </c>
      <c r="H214" t="s">
        <v>9</v>
      </c>
    </row>
    <row r="215" spans="1:8" x14ac:dyDescent="0.3">
      <c r="A215" t="s">
        <v>257</v>
      </c>
      <c r="B215">
        <v>96</v>
      </c>
      <c r="C215" t="s">
        <v>45</v>
      </c>
      <c r="D215">
        <v>58</v>
      </c>
      <c r="E215">
        <v>80</v>
      </c>
      <c r="F215">
        <v>10.58</v>
      </c>
      <c r="G215" t="s">
        <v>18</v>
      </c>
      <c r="H215" t="s">
        <v>20</v>
      </c>
    </row>
    <row r="216" spans="1:8" x14ac:dyDescent="0.3">
      <c r="A216" t="s">
        <v>258</v>
      </c>
      <c r="B216">
        <v>95</v>
      </c>
      <c r="C216" t="s">
        <v>45</v>
      </c>
      <c r="D216">
        <v>57</v>
      </c>
      <c r="E216">
        <v>77</v>
      </c>
      <c r="F216">
        <v>10.58</v>
      </c>
      <c r="G216" t="s">
        <v>18</v>
      </c>
      <c r="H216" t="s">
        <v>20</v>
      </c>
    </row>
    <row r="217" spans="1:8" x14ac:dyDescent="0.3">
      <c r="A217" t="s">
        <v>259</v>
      </c>
      <c r="B217">
        <v>96</v>
      </c>
      <c r="C217" t="s">
        <v>41</v>
      </c>
      <c r="D217">
        <v>59</v>
      </c>
      <c r="E217">
        <v>93</v>
      </c>
      <c r="F217">
        <v>8.82</v>
      </c>
      <c r="G217" t="s">
        <v>18</v>
      </c>
      <c r="H217" t="s">
        <v>14</v>
      </c>
    </row>
    <row r="218" spans="1:8" x14ac:dyDescent="0.3">
      <c r="A218" t="s">
        <v>260</v>
      </c>
      <c r="B218">
        <v>94</v>
      </c>
      <c r="C218" t="s">
        <v>41</v>
      </c>
      <c r="D218">
        <v>63</v>
      </c>
      <c r="E218">
        <v>82</v>
      </c>
      <c r="F218">
        <v>255.51</v>
      </c>
      <c r="G218" t="s">
        <v>2</v>
      </c>
      <c r="H218" t="s">
        <v>9</v>
      </c>
    </row>
    <row r="219" spans="1:8" x14ac:dyDescent="0.3">
      <c r="A219" t="s">
        <v>261</v>
      </c>
      <c r="B219">
        <v>94</v>
      </c>
      <c r="C219" t="s">
        <v>41</v>
      </c>
      <c r="D219">
        <v>63</v>
      </c>
      <c r="E219">
        <v>85</v>
      </c>
      <c r="F219">
        <v>5.88</v>
      </c>
      <c r="G219" t="s">
        <v>18</v>
      </c>
      <c r="H219" t="s">
        <v>14</v>
      </c>
    </row>
    <row r="220" spans="1:8" x14ac:dyDescent="0.3">
      <c r="A220" t="s">
        <v>262</v>
      </c>
      <c r="B220">
        <v>96</v>
      </c>
      <c r="C220" t="s">
        <v>41</v>
      </c>
      <c r="D220">
        <v>66</v>
      </c>
      <c r="E220">
        <v>88</v>
      </c>
      <c r="F220">
        <v>79.37</v>
      </c>
      <c r="G220" t="s">
        <v>2</v>
      </c>
      <c r="H220" t="s">
        <v>5</v>
      </c>
    </row>
    <row r="221" spans="1:8" x14ac:dyDescent="0.3">
      <c r="A221" t="s">
        <v>263</v>
      </c>
      <c r="B221">
        <v>95</v>
      </c>
      <c r="C221" t="s">
        <v>41</v>
      </c>
      <c r="D221">
        <v>72</v>
      </c>
      <c r="E221">
        <v>102</v>
      </c>
      <c r="F221">
        <v>8.23</v>
      </c>
      <c r="G221" t="s">
        <v>18</v>
      </c>
      <c r="H221" t="s">
        <v>15</v>
      </c>
    </row>
    <row r="222" spans="1:8" x14ac:dyDescent="0.3">
      <c r="A222" t="s">
        <v>264</v>
      </c>
      <c r="B222">
        <v>94</v>
      </c>
      <c r="C222" t="s">
        <v>41</v>
      </c>
      <c r="D222">
        <v>66</v>
      </c>
      <c r="E222">
        <v>88</v>
      </c>
      <c r="F222">
        <v>12.4</v>
      </c>
      <c r="G222" t="s">
        <v>18</v>
      </c>
      <c r="H222" t="s">
        <v>14</v>
      </c>
    </row>
    <row r="223" spans="1:8" x14ac:dyDescent="0.3">
      <c r="A223" t="s">
        <v>265</v>
      </c>
      <c r="B223">
        <v>94</v>
      </c>
      <c r="C223" t="s">
        <v>41</v>
      </c>
      <c r="D223">
        <v>65</v>
      </c>
      <c r="E223">
        <v>90</v>
      </c>
      <c r="F223">
        <v>12.4</v>
      </c>
      <c r="G223" t="s">
        <v>18</v>
      </c>
      <c r="H223" t="s">
        <v>14</v>
      </c>
    </row>
    <row r="224" spans="1:8" x14ac:dyDescent="0.3">
      <c r="A224" t="s">
        <v>266</v>
      </c>
      <c r="B224">
        <v>96</v>
      </c>
      <c r="C224" t="s">
        <v>41</v>
      </c>
      <c r="D224">
        <v>68</v>
      </c>
      <c r="E224">
        <v>92</v>
      </c>
      <c r="F224">
        <v>24.8</v>
      </c>
      <c r="G224" t="s">
        <v>18</v>
      </c>
      <c r="H224" t="s">
        <v>14</v>
      </c>
    </row>
    <row r="225" spans="1:8" x14ac:dyDescent="0.3">
      <c r="A225" t="s">
        <v>267</v>
      </c>
      <c r="B225">
        <v>95</v>
      </c>
      <c r="C225" t="s">
        <v>41</v>
      </c>
      <c r="D225">
        <v>65</v>
      </c>
      <c r="E225">
        <v>92</v>
      </c>
      <c r="F225">
        <v>24.8</v>
      </c>
      <c r="G225" t="s">
        <v>18</v>
      </c>
      <c r="H225" t="s">
        <v>14</v>
      </c>
    </row>
    <row r="226" spans="1:8" x14ac:dyDescent="0.3">
      <c r="A226" t="s">
        <v>268</v>
      </c>
      <c r="B226">
        <v>94</v>
      </c>
      <c r="C226" t="s">
        <v>45</v>
      </c>
      <c r="D226">
        <v>58</v>
      </c>
      <c r="E226">
        <v>78</v>
      </c>
      <c r="F226">
        <v>7.5</v>
      </c>
      <c r="G226" t="s">
        <v>18</v>
      </c>
      <c r="H226" t="s">
        <v>9</v>
      </c>
    </row>
    <row r="227" spans="1:8" x14ac:dyDescent="0.3">
      <c r="A227" t="s">
        <v>269</v>
      </c>
      <c r="B227">
        <v>96</v>
      </c>
      <c r="C227" t="s">
        <v>41</v>
      </c>
      <c r="D227">
        <v>59</v>
      </c>
      <c r="E227">
        <v>83</v>
      </c>
      <c r="F227">
        <v>799</v>
      </c>
      <c r="G227" t="s">
        <v>2</v>
      </c>
      <c r="H227" t="s">
        <v>9</v>
      </c>
    </row>
    <row r="228" spans="1:8" x14ac:dyDescent="0.3">
      <c r="A228" t="s">
        <v>270</v>
      </c>
      <c r="B228">
        <v>95</v>
      </c>
      <c r="C228" t="s">
        <v>41</v>
      </c>
      <c r="D228">
        <v>64</v>
      </c>
      <c r="E228">
        <v>88</v>
      </c>
      <c r="F228">
        <v>158.29</v>
      </c>
      <c r="G228" t="s">
        <v>2</v>
      </c>
      <c r="H228" t="s">
        <v>9</v>
      </c>
    </row>
    <row r="229" spans="1:8" x14ac:dyDescent="0.3">
      <c r="A229" t="s">
        <v>271</v>
      </c>
      <c r="B229">
        <v>94</v>
      </c>
      <c r="C229" t="s">
        <v>41</v>
      </c>
      <c r="D229">
        <v>64</v>
      </c>
      <c r="E229">
        <v>86</v>
      </c>
      <c r="F229">
        <v>254.55</v>
      </c>
      <c r="G229" t="s">
        <v>2</v>
      </c>
      <c r="H229" t="s">
        <v>9</v>
      </c>
    </row>
    <row r="230" spans="1:8" x14ac:dyDescent="0.3">
      <c r="A230" t="s">
        <v>272</v>
      </c>
      <c r="B230">
        <v>94</v>
      </c>
      <c r="C230" t="s">
        <v>45</v>
      </c>
      <c r="D230">
        <v>57</v>
      </c>
      <c r="E230">
        <v>76</v>
      </c>
      <c r="F230">
        <v>264.11</v>
      </c>
      <c r="G230" t="s">
        <v>2</v>
      </c>
      <c r="H230" t="s">
        <v>9</v>
      </c>
    </row>
    <row r="231" spans="1:8" x14ac:dyDescent="0.3">
      <c r="A231" t="s">
        <v>273</v>
      </c>
      <c r="B231">
        <v>96</v>
      </c>
      <c r="C231" t="s">
        <v>45</v>
      </c>
      <c r="D231">
        <v>60</v>
      </c>
      <c r="E231">
        <v>77</v>
      </c>
      <c r="F231">
        <v>154.32</v>
      </c>
      <c r="G231" t="s">
        <v>2</v>
      </c>
      <c r="H231" t="s">
        <v>9</v>
      </c>
    </row>
    <row r="232" spans="1:8" x14ac:dyDescent="0.3">
      <c r="A232" t="s">
        <v>274</v>
      </c>
      <c r="B232">
        <v>95</v>
      </c>
      <c r="C232" t="s">
        <v>41</v>
      </c>
      <c r="D232">
        <v>64</v>
      </c>
      <c r="E232">
        <v>84</v>
      </c>
      <c r="F232">
        <v>198.41</v>
      </c>
      <c r="G232" t="s">
        <v>2</v>
      </c>
      <c r="H232" t="s">
        <v>6</v>
      </c>
    </row>
    <row r="233" spans="1:8" x14ac:dyDescent="0.3">
      <c r="A233" t="s">
        <v>275</v>
      </c>
      <c r="B233">
        <v>94</v>
      </c>
      <c r="C233" t="s">
        <v>41</v>
      </c>
      <c r="D233">
        <v>64</v>
      </c>
      <c r="E233">
        <v>88</v>
      </c>
      <c r="F233">
        <v>180.78</v>
      </c>
      <c r="G233" t="s">
        <v>2</v>
      </c>
      <c r="H233" t="s">
        <v>6</v>
      </c>
    </row>
    <row r="234" spans="1:8" x14ac:dyDescent="0.3">
      <c r="A234" t="s">
        <v>276</v>
      </c>
      <c r="B234">
        <v>94</v>
      </c>
      <c r="C234" t="s">
        <v>45</v>
      </c>
      <c r="D234">
        <v>58</v>
      </c>
      <c r="E234">
        <v>76</v>
      </c>
      <c r="F234">
        <v>6.76</v>
      </c>
      <c r="G234" t="s">
        <v>18</v>
      </c>
      <c r="H234" t="s">
        <v>12</v>
      </c>
    </row>
    <row r="235" spans="1:8" x14ac:dyDescent="0.3">
      <c r="A235" t="s">
        <v>277</v>
      </c>
      <c r="B235">
        <v>94</v>
      </c>
      <c r="C235" t="s">
        <v>41</v>
      </c>
      <c r="D235">
        <v>57</v>
      </c>
      <c r="E235">
        <v>87</v>
      </c>
      <c r="F235">
        <v>14.99</v>
      </c>
      <c r="G235" t="s">
        <v>18</v>
      </c>
      <c r="H235" t="s">
        <v>14</v>
      </c>
    </row>
    <row r="236" spans="1:8" x14ac:dyDescent="0.3">
      <c r="A236" t="s">
        <v>278</v>
      </c>
      <c r="B236">
        <v>95</v>
      </c>
      <c r="C236" t="s">
        <v>41</v>
      </c>
      <c r="D236">
        <v>58</v>
      </c>
      <c r="E236">
        <v>86</v>
      </c>
      <c r="F236">
        <v>211.45</v>
      </c>
      <c r="G236" t="s">
        <v>2</v>
      </c>
      <c r="H236" t="s">
        <v>9</v>
      </c>
    </row>
    <row r="237" spans="1:8" x14ac:dyDescent="0.3">
      <c r="A237" t="s">
        <v>279</v>
      </c>
      <c r="B237">
        <v>94</v>
      </c>
      <c r="C237" t="s">
        <v>41</v>
      </c>
      <c r="D237">
        <v>66</v>
      </c>
      <c r="E237">
        <v>88</v>
      </c>
      <c r="F237">
        <v>330.4</v>
      </c>
      <c r="G237" t="s">
        <v>2</v>
      </c>
      <c r="H237" t="s">
        <v>9</v>
      </c>
    </row>
    <row r="238" spans="1:8" x14ac:dyDescent="0.3">
      <c r="A238" t="s">
        <v>280</v>
      </c>
      <c r="B238">
        <v>94</v>
      </c>
      <c r="C238" t="s">
        <v>41</v>
      </c>
      <c r="D238">
        <v>58</v>
      </c>
      <c r="E238">
        <v>86</v>
      </c>
      <c r="F238">
        <v>330.4</v>
      </c>
      <c r="G238" t="s">
        <v>2</v>
      </c>
      <c r="H238" t="s">
        <v>14</v>
      </c>
    </row>
    <row r="239" spans="1:8" x14ac:dyDescent="0.3">
      <c r="A239" t="s">
        <v>281</v>
      </c>
      <c r="B239">
        <v>95</v>
      </c>
      <c r="C239" t="s">
        <v>41</v>
      </c>
      <c r="D239">
        <v>63</v>
      </c>
      <c r="E239">
        <v>81</v>
      </c>
      <c r="F239">
        <v>11.02</v>
      </c>
      <c r="G239" t="s">
        <v>18</v>
      </c>
      <c r="H239" t="s">
        <v>14</v>
      </c>
    </row>
    <row r="240" spans="1:8" x14ac:dyDescent="0.3">
      <c r="A240" t="s">
        <v>282</v>
      </c>
      <c r="B240">
        <v>94</v>
      </c>
      <c r="C240" t="s">
        <v>45</v>
      </c>
      <c r="D240">
        <v>58</v>
      </c>
      <c r="E240">
        <v>82</v>
      </c>
      <c r="F240">
        <v>7.05</v>
      </c>
      <c r="G240" t="s">
        <v>18</v>
      </c>
      <c r="H240" t="s">
        <v>15</v>
      </c>
    </row>
    <row r="241" spans="1:8" x14ac:dyDescent="0.3">
      <c r="A241" t="s">
        <v>283</v>
      </c>
      <c r="B241">
        <v>94</v>
      </c>
      <c r="C241" t="s">
        <v>45</v>
      </c>
      <c r="D241">
        <v>56</v>
      </c>
      <c r="E241">
        <v>76</v>
      </c>
      <c r="F241">
        <v>18.64</v>
      </c>
      <c r="G241" t="s">
        <v>18</v>
      </c>
      <c r="H241" t="s">
        <v>18</v>
      </c>
    </row>
    <row r="242" spans="1:8" x14ac:dyDescent="0.3">
      <c r="A242" t="s">
        <v>284</v>
      </c>
      <c r="B242">
        <v>95</v>
      </c>
      <c r="C242" t="s">
        <v>45</v>
      </c>
      <c r="D242">
        <v>58</v>
      </c>
      <c r="E242">
        <v>77</v>
      </c>
      <c r="F242">
        <v>123.46</v>
      </c>
      <c r="G242" t="s">
        <v>2</v>
      </c>
      <c r="H242" t="s">
        <v>9</v>
      </c>
    </row>
    <row r="243" spans="1:8" x14ac:dyDescent="0.3">
      <c r="A243" t="s">
        <v>285</v>
      </c>
      <c r="B243">
        <v>94</v>
      </c>
      <c r="C243" t="s">
        <v>41</v>
      </c>
      <c r="D243">
        <v>64</v>
      </c>
      <c r="E243">
        <v>86</v>
      </c>
      <c r="F243">
        <v>132.28</v>
      </c>
      <c r="G243" t="s">
        <v>2</v>
      </c>
      <c r="H243" t="s">
        <v>9</v>
      </c>
    </row>
    <row r="244" spans="1:8" x14ac:dyDescent="0.3">
      <c r="A244" t="s">
        <v>286</v>
      </c>
      <c r="B244">
        <v>94</v>
      </c>
      <c r="C244" t="s">
        <v>41</v>
      </c>
      <c r="D244">
        <v>62</v>
      </c>
      <c r="E244">
        <v>80</v>
      </c>
      <c r="F244">
        <v>352.73</v>
      </c>
      <c r="G244" t="s">
        <v>2</v>
      </c>
      <c r="H244" t="s">
        <v>2</v>
      </c>
    </row>
    <row r="245" spans="1:8" x14ac:dyDescent="0.3">
      <c r="A245" t="s">
        <v>287</v>
      </c>
      <c r="B245">
        <v>96</v>
      </c>
      <c r="C245" t="s">
        <v>41</v>
      </c>
      <c r="D245">
        <v>64</v>
      </c>
      <c r="E245">
        <v>88</v>
      </c>
      <c r="F245">
        <v>16.309999999999999</v>
      </c>
      <c r="G245" t="s">
        <v>18</v>
      </c>
      <c r="H245" t="s">
        <v>14</v>
      </c>
    </row>
    <row r="246" spans="1:8" x14ac:dyDescent="0.3">
      <c r="A246" t="s">
        <v>288</v>
      </c>
      <c r="B246">
        <v>94</v>
      </c>
      <c r="C246" t="s">
        <v>45</v>
      </c>
      <c r="D246">
        <v>59</v>
      </c>
      <c r="E246">
        <v>81</v>
      </c>
      <c r="F246">
        <v>6.16</v>
      </c>
      <c r="G246" t="s">
        <v>18</v>
      </c>
      <c r="H246" t="s">
        <v>14</v>
      </c>
    </row>
    <row r="247" spans="1:8" x14ac:dyDescent="0.3">
      <c r="A247" t="s">
        <v>289</v>
      </c>
      <c r="B247">
        <v>94</v>
      </c>
      <c r="C247" t="s">
        <v>41</v>
      </c>
      <c r="D247">
        <v>63</v>
      </c>
      <c r="E247">
        <v>86</v>
      </c>
      <c r="F247">
        <v>18.670000000000002</v>
      </c>
      <c r="G247" t="s">
        <v>27</v>
      </c>
      <c r="H247" t="s">
        <v>14</v>
      </c>
    </row>
    <row r="248" spans="1:8" x14ac:dyDescent="0.3">
      <c r="A248" t="s">
        <v>290</v>
      </c>
      <c r="B248">
        <v>94</v>
      </c>
      <c r="C248" t="s">
        <v>45</v>
      </c>
      <c r="D248">
        <v>51</v>
      </c>
      <c r="E248">
        <v>80</v>
      </c>
      <c r="F248">
        <v>175</v>
      </c>
      <c r="G248" t="s">
        <v>2</v>
      </c>
      <c r="H248" t="s">
        <v>9</v>
      </c>
    </row>
    <row r="249" spans="1:8" x14ac:dyDescent="0.3">
      <c r="A249" t="s">
        <v>291</v>
      </c>
      <c r="B249">
        <v>94</v>
      </c>
      <c r="C249" t="s">
        <v>45</v>
      </c>
      <c r="D249">
        <v>58</v>
      </c>
      <c r="E249">
        <v>80</v>
      </c>
      <c r="F249">
        <v>399</v>
      </c>
      <c r="G249" t="s">
        <v>2</v>
      </c>
      <c r="H249" t="s">
        <v>20</v>
      </c>
    </row>
    <row r="250" spans="1:8" x14ac:dyDescent="0.3">
      <c r="A250" t="s">
        <v>292</v>
      </c>
      <c r="B250">
        <v>95</v>
      </c>
      <c r="C250" t="s">
        <v>41</v>
      </c>
      <c r="D250">
        <v>62</v>
      </c>
      <c r="E250">
        <v>84</v>
      </c>
      <c r="F250">
        <v>11.02</v>
      </c>
      <c r="G250" t="s">
        <v>18</v>
      </c>
      <c r="H250" t="s">
        <v>14</v>
      </c>
    </row>
    <row r="251" spans="1:8" x14ac:dyDescent="0.3">
      <c r="A251" t="s">
        <v>293</v>
      </c>
      <c r="B251">
        <v>94</v>
      </c>
      <c r="C251" t="s">
        <v>41</v>
      </c>
      <c r="D251">
        <v>62</v>
      </c>
      <c r="E251">
        <v>86</v>
      </c>
      <c r="F251">
        <v>8.82</v>
      </c>
      <c r="G251" t="s">
        <v>18</v>
      </c>
      <c r="H251" t="s">
        <v>14</v>
      </c>
    </row>
    <row r="252" spans="1:8" x14ac:dyDescent="0.3">
      <c r="A252" t="s">
        <v>294</v>
      </c>
      <c r="B252">
        <v>94</v>
      </c>
      <c r="C252" t="s">
        <v>45</v>
      </c>
      <c r="D252">
        <v>59</v>
      </c>
      <c r="E252">
        <v>82</v>
      </c>
      <c r="F252">
        <v>17.64</v>
      </c>
      <c r="G252" t="s">
        <v>18</v>
      </c>
      <c r="H252" t="s">
        <v>14</v>
      </c>
    </row>
    <row r="253" spans="1:8" x14ac:dyDescent="0.3">
      <c r="A253" t="s">
        <v>295</v>
      </c>
      <c r="B253">
        <v>94</v>
      </c>
      <c r="C253" t="s">
        <v>41</v>
      </c>
      <c r="D253">
        <v>63</v>
      </c>
      <c r="E253">
        <v>86</v>
      </c>
      <c r="F253">
        <v>18.52</v>
      </c>
      <c r="G253" t="s">
        <v>18</v>
      </c>
      <c r="H253" t="s">
        <v>14</v>
      </c>
    </row>
    <row r="254" spans="1:8" x14ac:dyDescent="0.3">
      <c r="A254" t="s">
        <v>296</v>
      </c>
      <c r="B254">
        <v>94</v>
      </c>
      <c r="C254" t="s">
        <v>41</v>
      </c>
      <c r="D254">
        <v>64</v>
      </c>
      <c r="E254">
        <v>97</v>
      </c>
      <c r="F254">
        <v>12.78</v>
      </c>
      <c r="G254" t="s">
        <v>18</v>
      </c>
      <c r="H254" t="s">
        <v>14</v>
      </c>
    </row>
    <row r="255" spans="1:8" x14ac:dyDescent="0.3">
      <c r="A255" t="s">
        <v>297</v>
      </c>
      <c r="B255">
        <v>94</v>
      </c>
      <c r="C255" t="s">
        <v>41</v>
      </c>
      <c r="D255">
        <v>59</v>
      </c>
      <c r="E255">
        <v>94</v>
      </c>
      <c r="F255">
        <v>93.77</v>
      </c>
      <c r="G255" t="s">
        <v>2</v>
      </c>
      <c r="H255" t="s">
        <v>9</v>
      </c>
    </row>
    <row r="256" spans="1:8" x14ac:dyDescent="0.3">
      <c r="A256" t="s">
        <v>298</v>
      </c>
      <c r="B256">
        <v>94</v>
      </c>
      <c r="C256" t="s">
        <v>41</v>
      </c>
      <c r="D256">
        <v>64</v>
      </c>
      <c r="E256">
        <v>82</v>
      </c>
      <c r="F256">
        <v>220.26</v>
      </c>
      <c r="G256" t="s">
        <v>2</v>
      </c>
      <c r="H256" t="s">
        <v>9</v>
      </c>
    </row>
    <row r="257" spans="1:8" x14ac:dyDescent="0.3">
      <c r="A257" t="s">
        <v>299</v>
      </c>
      <c r="B257">
        <v>94</v>
      </c>
      <c r="C257" t="s">
        <v>41</v>
      </c>
      <c r="D257">
        <v>62</v>
      </c>
      <c r="E257">
        <v>82</v>
      </c>
      <c r="F257">
        <v>264.32</v>
      </c>
      <c r="G257" t="s">
        <v>2</v>
      </c>
      <c r="H257" t="s">
        <v>9</v>
      </c>
    </row>
    <row r="258" spans="1:8" x14ac:dyDescent="0.3">
      <c r="A258" t="s">
        <v>300</v>
      </c>
      <c r="B258">
        <v>94</v>
      </c>
      <c r="C258" t="s">
        <v>45</v>
      </c>
      <c r="D258">
        <v>57</v>
      </c>
      <c r="E258">
        <v>79</v>
      </c>
      <c r="F258">
        <v>5.88</v>
      </c>
      <c r="G258" t="s">
        <v>18</v>
      </c>
      <c r="H258" t="s">
        <v>7</v>
      </c>
    </row>
    <row r="259" spans="1:8" x14ac:dyDescent="0.3">
      <c r="A259" t="s">
        <v>301</v>
      </c>
      <c r="B259">
        <v>95</v>
      </c>
      <c r="C259" t="s">
        <v>41</v>
      </c>
      <c r="D259">
        <v>57</v>
      </c>
      <c r="E259">
        <v>89</v>
      </c>
      <c r="F259">
        <v>11.46</v>
      </c>
      <c r="G259" t="s">
        <v>18</v>
      </c>
      <c r="H259" t="s">
        <v>14</v>
      </c>
    </row>
    <row r="260" spans="1:8" x14ac:dyDescent="0.3">
      <c r="A260" t="s">
        <v>302</v>
      </c>
      <c r="B260">
        <v>94</v>
      </c>
      <c r="C260" t="s">
        <v>41</v>
      </c>
      <c r="D260">
        <v>60</v>
      </c>
      <c r="E260">
        <v>88</v>
      </c>
      <c r="F260">
        <v>6.76</v>
      </c>
      <c r="G260" t="s">
        <v>18</v>
      </c>
      <c r="H260" t="s">
        <v>16</v>
      </c>
    </row>
    <row r="261" spans="1:8" x14ac:dyDescent="0.3">
      <c r="A261" t="s">
        <v>303</v>
      </c>
      <c r="B261">
        <v>95</v>
      </c>
      <c r="C261" t="s">
        <v>41</v>
      </c>
      <c r="D261">
        <v>65</v>
      </c>
      <c r="E261">
        <v>89</v>
      </c>
      <c r="F261">
        <v>17</v>
      </c>
      <c r="G261" t="s">
        <v>18</v>
      </c>
      <c r="H261" t="s">
        <v>14</v>
      </c>
    </row>
    <row r="262" spans="1:8" x14ac:dyDescent="0.3">
      <c r="A262" t="s">
        <v>304</v>
      </c>
      <c r="B262">
        <v>94</v>
      </c>
      <c r="C262" t="s">
        <v>41</v>
      </c>
      <c r="D262">
        <v>66</v>
      </c>
      <c r="E262">
        <v>88</v>
      </c>
      <c r="F262">
        <v>6.76</v>
      </c>
      <c r="G262" t="s">
        <v>18</v>
      </c>
      <c r="H262" t="s">
        <v>12</v>
      </c>
    </row>
    <row r="263" spans="1:8" x14ac:dyDescent="0.3">
      <c r="A263" t="s">
        <v>305</v>
      </c>
      <c r="B263">
        <v>96</v>
      </c>
      <c r="C263" t="s">
        <v>41</v>
      </c>
      <c r="D263">
        <v>62</v>
      </c>
      <c r="E263">
        <v>80</v>
      </c>
      <c r="F263">
        <v>158.72999999999999</v>
      </c>
      <c r="G263" t="s">
        <v>2</v>
      </c>
      <c r="H263" t="s">
        <v>12</v>
      </c>
    </row>
    <row r="264" spans="1:8" x14ac:dyDescent="0.3">
      <c r="A264" t="s">
        <v>306</v>
      </c>
      <c r="B264">
        <v>95</v>
      </c>
      <c r="C264" t="s">
        <v>41</v>
      </c>
      <c r="D264">
        <v>66</v>
      </c>
      <c r="E264">
        <v>86</v>
      </c>
      <c r="F264">
        <v>97</v>
      </c>
      <c r="G264" t="s">
        <v>2</v>
      </c>
      <c r="H264" t="s">
        <v>9</v>
      </c>
    </row>
    <row r="265" spans="1:8" x14ac:dyDescent="0.3">
      <c r="A265" t="s">
        <v>97</v>
      </c>
      <c r="B265">
        <v>94</v>
      </c>
      <c r="C265" t="s">
        <v>45</v>
      </c>
      <c r="D265">
        <v>57</v>
      </c>
      <c r="E265">
        <v>77</v>
      </c>
      <c r="F265">
        <v>114.64</v>
      </c>
      <c r="G265" t="s">
        <v>2</v>
      </c>
      <c r="H265" t="s">
        <v>7</v>
      </c>
    </row>
    <row r="266" spans="1:8" x14ac:dyDescent="0.3">
      <c r="A266" t="s">
        <v>307</v>
      </c>
      <c r="B266">
        <v>94</v>
      </c>
      <c r="C266" t="s">
        <v>41</v>
      </c>
      <c r="D266">
        <v>62</v>
      </c>
      <c r="E266">
        <v>80</v>
      </c>
      <c r="F266">
        <v>264.55</v>
      </c>
      <c r="G266" t="s">
        <v>2</v>
      </c>
      <c r="H266" t="s">
        <v>7</v>
      </c>
    </row>
    <row r="267" spans="1:8" x14ac:dyDescent="0.3">
      <c r="A267" t="s">
        <v>308</v>
      </c>
      <c r="B267">
        <v>95</v>
      </c>
      <c r="C267" t="s">
        <v>41</v>
      </c>
      <c r="D267">
        <v>66</v>
      </c>
      <c r="E267">
        <v>88</v>
      </c>
      <c r="F267">
        <v>143.30000000000001</v>
      </c>
      <c r="G267" t="s">
        <v>2</v>
      </c>
      <c r="H267" t="s">
        <v>9</v>
      </c>
    </row>
    <row r="268" spans="1:8" x14ac:dyDescent="0.3">
      <c r="A268" t="s">
        <v>309</v>
      </c>
      <c r="B268">
        <v>95</v>
      </c>
      <c r="C268" t="s">
        <v>41</v>
      </c>
      <c r="D268">
        <v>67</v>
      </c>
      <c r="E268">
        <v>92</v>
      </c>
      <c r="F268">
        <v>140.65</v>
      </c>
      <c r="G268" t="s">
        <v>2</v>
      </c>
      <c r="H268" t="s">
        <v>9</v>
      </c>
    </row>
    <row r="269" spans="1:8" x14ac:dyDescent="0.3">
      <c r="A269" t="s">
        <v>310</v>
      </c>
      <c r="B269">
        <v>94</v>
      </c>
      <c r="C269" t="s">
        <v>41</v>
      </c>
      <c r="D269">
        <v>62</v>
      </c>
      <c r="E269">
        <v>81</v>
      </c>
      <c r="F269">
        <v>268.52</v>
      </c>
      <c r="G269" t="s">
        <v>2</v>
      </c>
      <c r="H269" t="s">
        <v>14</v>
      </c>
    </row>
    <row r="270" spans="1:8" x14ac:dyDescent="0.3">
      <c r="A270" t="s">
        <v>311</v>
      </c>
      <c r="B270">
        <v>94</v>
      </c>
      <c r="C270" t="s">
        <v>41</v>
      </c>
      <c r="D270">
        <v>67</v>
      </c>
      <c r="E270">
        <v>90</v>
      </c>
      <c r="F270">
        <v>123.02</v>
      </c>
      <c r="G270" t="s">
        <v>2</v>
      </c>
      <c r="H270" t="s">
        <v>9</v>
      </c>
    </row>
    <row r="271" spans="1:8" x14ac:dyDescent="0.3">
      <c r="A271" t="s">
        <v>312</v>
      </c>
      <c r="B271">
        <v>94</v>
      </c>
      <c r="C271" t="s">
        <v>41</v>
      </c>
      <c r="D271">
        <v>64</v>
      </c>
      <c r="E271">
        <v>88</v>
      </c>
      <c r="F271">
        <v>1.18</v>
      </c>
      <c r="G271" t="s">
        <v>18</v>
      </c>
      <c r="H271" t="s">
        <v>14</v>
      </c>
    </row>
    <row r="272" spans="1:8" x14ac:dyDescent="0.3">
      <c r="A272" t="s">
        <v>313</v>
      </c>
      <c r="B272">
        <v>94</v>
      </c>
      <c r="C272" t="s">
        <v>41</v>
      </c>
      <c r="D272">
        <v>65</v>
      </c>
      <c r="E272">
        <v>86</v>
      </c>
      <c r="F272">
        <v>1.18</v>
      </c>
      <c r="G272" t="s">
        <v>18</v>
      </c>
      <c r="H272" t="s">
        <v>14</v>
      </c>
    </row>
    <row r="273" spans="1:8" x14ac:dyDescent="0.3">
      <c r="A273" t="s">
        <v>314</v>
      </c>
      <c r="B273">
        <v>95</v>
      </c>
      <c r="C273" t="s">
        <v>41</v>
      </c>
      <c r="D273">
        <v>62</v>
      </c>
      <c r="E273">
        <v>80</v>
      </c>
      <c r="F273">
        <v>14.81</v>
      </c>
      <c r="G273" t="s">
        <v>18</v>
      </c>
      <c r="H273" t="s">
        <v>14</v>
      </c>
    </row>
    <row r="274" spans="1:8" x14ac:dyDescent="0.3">
      <c r="A274" t="s">
        <v>315</v>
      </c>
      <c r="B274">
        <v>94</v>
      </c>
      <c r="C274" t="s">
        <v>41</v>
      </c>
      <c r="D274">
        <v>62</v>
      </c>
      <c r="E274">
        <v>84</v>
      </c>
      <c r="F274">
        <v>8.16</v>
      </c>
      <c r="G274" t="s">
        <v>18</v>
      </c>
      <c r="H274" t="s">
        <v>17</v>
      </c>
    </row>
    <row r="275" spans="1:8" x14ac:dyDescent="0.3">
      <c r="A275" t="s">
        <v>316</v>
      </c>
      <c r="B275">
        <v>94</v>
      </c>
      <c r="C275" t="s">
        <v>41</v>
      </c>
      <c r="D275">
        <v>64</v>
      </c>
      <c r="E275">
        <v>86</v>
      </c>
      <c r="F275">
        <v>153.85</v>
      </c>
      <c r="G275" t="s">
        <v>2</v>
      </c>
      <c r="H275" t="s">
        <v>9</v>
      </c>
    </row>
    <row r="276" spans="1:8" x14ac:dyDescent="0.3">
      <c r="A276" t="s">
        <v>317</v>
      </c>
      <c r="B276">
        <v>94</v>
      </c>
      <c r="C276" t="s">
        <v>45</v>
      </c>
      <c r="D276">
        <v>60</v>
      </c>
      <c r="E276">
        <v>79</v>
      </c>
      <c r="F276">
        <v>136.68</v>
      </c>
      <c r="G276" t="s">
        <v>2</v>
      </c>
      <c r="H276" t="s">
        <v>5</v>
      </c>
    </row>
    <row r="277" spans="1:8" x14ac:dyDescent="0.3">
      <c r="A277" t="s">
        <v>318</v>
      </c>
      <c r="B277">
        <v>95</v>
      </c>
      <c r="C277" t="s">
        <v>41</v>
      </c>
      <c r="D277">
        <v>59</v>
      </c>
      <c r="E277">
        <v>84</v>
      </c>
      <c r="F277">
        <v>70.55</v>
      </c>
      <c r="G277" t="s">
        <v>18</v>
      </c>
      <c r="H277" t="s">
        <v>18</v>
      </c>
    </row>
    <row r="278" spans="1:8" x14ac:dyDescent="0.3">
      <c r="A278" t="s">
        <v>319</v>
      </c>
      <c r="B278">
        <v>94</v>
      </c>
      <c r="C278" t="s">
        <v>41</v>
      </c>
      <c r="D278">
        <v>62</v>
      </c>
      <c r="E278">
        <v>84</v>
      </c>
      <c r="F278">
        <v>8.82</v>
      </c>
      <c r="G278" t="s">
        <v>18</v>
      </c>
      <c r="H278" t="s">
        <v>14</v>
      </c>
    </row>
    <row r="279" spans="1:8" x14ac:dyDescent="0.3">
      <c r="A279" t="s">
        <v>320</v>
      </c>
      <c r="B279">
        <v>94</v>
      </c>
      <c r="C279" t="s">
        <v>45</v>
      </c>
      <c r="D279">
        <v>59</v>
      </c>
      <c r="E279">
        <v>81</v>
      </c>
      <c r="F279">
        <v>9.92</v>
      </c>
      <c r="G279" t="s">
        <v>18</v>
      </c>
      <c r="H279" t="s">
        <v>14</v>
      </c>
    </row>
    <row r="280" spans="1:8" x14ac:dyDescent="0.3">
      <c r="A280" t="s">
        <v>321</v>
      </c>
      <c r="B280">
        <v>94</v>
      </c>
      <c r="C280" t="s">
        <v>41</v>
      </c>
      <c r="D280">
        <v>60</v>
      </c>
      <c r="E280">
        <v>82</v>
      </c>
      <c r="F280">
        <v>8.23</v>
      </c>
      <c r="G280" t="s">
        <v>18</v>
      </c>
      <c r="H280" t="s">
        <v>15</v>
      </c>
    </row>
    <row r="281" spans="1:8" x14ac:dyDescent="0.3">
      <c r="A281" t="s">
        <v>322</v>
      </c>
      <c r="B281">
        <v>96</v>
      </c>
      <c r="C281" t="s">
        <v>41</v>
      </c>
      <c r="D281">
        <v>66</v>
      </c>
      <c r="E281">
        <v>91</v>
      </c>
      <c r="F281">
        <v>16.170000000000002</v>
      </c>
      <c r="G281" t="s">
        <v>18</v>
      </c>
      <c r="H281" t="s">
        <v>9</v>
      </c>
    </row>
    <row r="282" spans="1:8" x14ac:dyDescent="0.3">
      <c r="A282" t="s">
        <v>323</v>
      </c>
      <c r="B282">
        <v>96</v>
      </c>
      <c r="C282" t="s">
        <v>41</v>
      </c>
      <c r="D282">
        <v>67</v>
      </c>
      <c r="E282">
        <v>90</v>
      </c>
      <c r="F282">
        <v>300</v>
      </c>
      <c r="G282" t="s">
        <v>2</v>
      </c>
      <c r="H282" t="s">
        <v>9</v>
      </c>
    </row>
    <row r="283" spans="1:8" x14ac:dyDescent="0.3">
      <c r="A283" t="s">
        <v>324</v>
      </c>
      <c r="B283">
        <v>94</v>
      </c>
      <c r="C283" t="s">
        <v>41</v>
      </c>
      <c r="D283">
        <v>60</v>
      </c>
      <c r="E283">
        <v>84</v>
      </c>
      <c r="F283">
        <v>9.6999999999999993</v>
      </c>
      <c r="G283" t="s">
        <v>18</v>
      </c>
      <c r="H283" t="s">
        <v>4</v>
      </c>
    </row>
    <row r="284" spans="1:8" x14ac:dyDescent="0.3">
      <c r="A284" t="s">
        <v>325</v>
      </c>
      <c r="B284">
        <v>94</v>
      </c>
      <c r="C284" t="s">
        <v>45</v>
      </c>
      <c r="D284">
        <v>61</v>
      </c>
      <c r="E284">
        <v>79</v>
      </c>
      <c r="F284">
        <v>9.6999999999999993</v>
      </c>
      <c r="G284" t="s">
        <v>18</v>
      </c>
      <c r="H284" t="s">
        <v>14</v>
      </c>
    </row>
    <row r="285" spans="1:8" x14ac:dyDescent="0.3">
      <c r="A285" t="s">
        <v>326</v>
      </c>
      <c r="B285">
        <v>94</v>
      </c>
      <c r="C285" t="s">
        <v>45</v>
      </c>
      <c r="D285">
        <v>56</v>
      </c>
      <c r="E285">
        <v>79</v>
      </c>
      <c r="F285">
        <v>7.94</v>
      </c>
      <c r="G285" t="s">
        <v>18</v>
      </c>
      <c r="H285" t="s">
        <v>16</v>
      </c>
    </row>
    <row r="286" spans="1:8" x14ac:dyDescent="0.3">
      <c r="A286" t="s">
        <v>327</v>
      </c>
      <c r="B286">
        <v>94</v>
      </c>
      <c r="C286" t="s">
        <v>45</v>
      </c>
      <c r="D286">
        <v>59</v>
      </c>
      <c r="E286">
        <v>77</v>
      </c>
      <c r="F286">
        <v>7.64</v>
      </c>
      <c r="G286" t="s">
        <v>18</v>
      </c>
      <c r="H286" t="s">
        <v>17</v>
      </c>
    </row>
    <row r="287" spans="1:8" x14ac:dyDescent="0.3">
      <c r="A287" t="s">
        <v>328</v>
      </c>
      <c r="B287">
        <v>95</v>
      </c>
      <c r="C287" t="s">
        <v>41</v>
      </c>
      <c r="D287">
        <v>66</v>
      </c>
      <c r="E287">
        <v>90</v>
      </c>
      <c r="F287">
        <v>24</v>
      </c>
      <c r="G287" t="s">
        <v>18</v>
      </c>
      <c r="H287" t="s">
        <v>14</v>
      </c>
    </row>
    <row r="288" spans="1:8" x14ac:dyDescent="0.3">
      <c r="A288" t="s">
        <v>329</v>
      </c>
      <c r="B288">
        <v>94</v>
      </c>
      <c r="C288" t="s">
        <v>41</v>
      </c>
      <c r="D288">
        <v>75</v>
      </c>
      <c r="E288">
        <v>90</v>
      </c>
      <c r="F288">
        <v>396.83</v>
      </c>
      <c r="G288" t="s">
        <v>2</v>
      </c>
      <c r="H288" t="s">
        <v>14</v>
      </c>
    </row>
    <row r="289" spans="1:8" x14ac:dyDescent="0.3">
      <c r="A289" t="s">
        <v>330</v>
      </c>
      <c r="B289">
        <v>94</v>
      </c>
      <c r="C289" t="s">
        <v>41</v>
      </c>
      <c r="D289">
        <v>66</v>
      </c>
      <c r="E289">
        <v>83</v>
      </c>
      <c r="F289">
        <v>10.58</v>
      </c>
      <c r="G289" t="s">
        <v>18</v>
      </c>
      <c r="H289" t="s">
        <v>14</v>
      </c>
    </row>
    <row r="290" spans="1:8" x14ac:dyDescent="0.3">
      <c r="A290" t="s">
        <v>331</v>
      </c>
      <c r="B290">
        <v>94</v>
      </c>
      <c r="C290" t="s">
        <v>41</v>
      </c>
      <c r="D290">
        <v>62</v>
      </c>
      <c r="E290">
        <v>84</v>
      </c>
      <c r="F290">
        <v>22.49</v>
      </c>
      <c r="G290" t="s">
        <v>18</v>
      </c>
      <c r="H290" t="s">
        <v>14</v>
      </c>
    </row>
    <row r="291" spans="1:8" x14ac:dyDescent="0.3">
      <c r="A291" t="s">
        <v>252</v>
      </c>
      <c r="B291">
        <v>95</v>
      </c>
      <c r="C291" t="s">
        <v>41</v>
      </c>
      <c r="D291">
        <v>62</v>
      </c>
      <c r="E291">
        <v>80</v>
      </c>
      <c r="F291">
        <v>4.41</v>
      </c>
      <c r="G291" t="s">
        <v>18</v>
      </c>
      <c r="H291" t="s">
        <v>14</v>
      </c>
    </row>
    <row r="292" spans="1:8" x14ac:dyDescent="0.3">
      <c r="A292" t="s">
        <v>332</v>
      </c>
      <c r="B292">
        <v>94</v>
      </c>
      <c r="C292" t="s">
        <v>41</v>
      </c>
      <c r="D292">
        <v>66</v>
      </c>
      <c r="E292">
        <v>88</v>
      </c>
      <c r="F292">
        <v>7.35</v>
      </c>
      <c r="G292" t="s">
        <v>18</v>
      </c>
      <c r="H292" t="s">
        <v>14</v>
      </c>
    </row>
    <row r="293" spans="1:8" x14ac:dyDescent="0.3">
      <c r="A293" t="s">
        <v>333</v>
      </c>
      <c r="B293">
        <v>94</v>
      </c>
      <c r="C293" t="s">
        <v>45</v>
      </c>
      <c r="D293">
        <v>59</v>
      </c>
      <c r="E293">
        <v>82</v>
      </c>
      <c r="F293">
        <v>15.87</v>
      </c>
      <c r="G293" t="s">
        <v>18</v>
      </c>
      <c r="H293" t="s">
        <v>14</v>
      </c>
    </row>
    <row r="294" spans="1:8" x14ac:dyDescent="0.3">
      <c r="A294" t="s">
        <v>334</v>
      </c>
      <c r="B294">
        <v>94</v>
      </c>
      <c r="C294" t="s">
        <v>45</v>
      </c>
      <c r="D294">
        <v>59</v>
      </c>
      <c r="E294">
        <v>81</v>
      </c>
      <c r="F294">
        <v>127.75</v>
      </c>
      <c r="G294" t="s">
        <v>2</v>
      </c>
      <c r="H294" t="s">
        <v>9</v>
      </c>
    </row>
    <row r="295" spans="1:8" x14ac:dyDescent="0.3">
      <c r="A295" t="s">
        <v>335</v>
      </c>
      <c r="B295">
        <v>94</v>
      </c>
      <c r="C295" t="s">
        <v>41</v>
      </c>
      <c r="D295">
        <v>65</v>
      </c>
      <c r="E295">
        <v>87</v>
      </c>
      <c r="F295">
        <v>500</v>
      </c>
      <c r="G295" t="s">
        <v>2</v>
      </c>
      <c r="H295" t="s">
        <v>14</v>
      </c>
    </row>
    <row r="296" spans="1:8" x14ac:dyDescent="0.3">
      <c r="A296" t="s">
        <v>336</v>
      </c>
      <c r="B296">
        <v>95</v>
      </c>
      <c r="C296" t="s">
        <v>41</v>
      </c>
      <c r="D296">
        <v>66</v>
      </c>
      <c r="E296">
        <v>92</v>
      </c>
      <c r="F296">
        <v>300</v>
      </c>
      <c r="G296" t="s">
        <v>2</v>
      </c>
      <c r="H296" t="s">
        <v>14</v>
      </c>
    </row>
    <row r="297" spans="1:8" x14ac:dyDescent="0.3">
      <c r="A297" t="s">
        <v>337</v>
      </c>
      <c r="B297">
        <v>96</v>
      </c>
      <c r="C297" t="s">
        <v>41</v>
      </c>
      <c r="D297">
        <v>64</v>
      </c>
      <c r="E297">
        <v>86</v>
      </c>
      <c r="F297">
        <v>88.18</v>
      </c>
      <c r="G297" t="s">
        <v>18</v>
      </c>
      <c r="H297" t="s">
        <v>18</v>
      </c>
    </row>
    <row r="298" spans="1:8" x14ac:dyDescent="0.3">
      <c r="A298" t="s">
        <v>338</v>
      </c>
      <c r="B298">
        <v>95</v>
      </c>
      <c r="C298" t="s">
        <v>45</v>
      </c>
      <c r="D298">
        <v>58</v>
      </c>
      <c r="E298">
        <v>82</v>
      </c>
      <c r="F298">
        <v>24.23</v>
      </c>
      <c r="G298" t="s">
        <v>18</v>
      </c>
      <c r="H298" t="s">
        <v>18</v>
      </c>
    </row>
    <row r="299" spans="1:8" x14ac:dyDescent="0.3">
      <c r="A299" t="s">
        <v>130</v>
      </c>
      <c r="B299">
        <v>95</v>
      </c>
      <c r="C299" t="s">
        <v>41</v>
      </c>
      <c r="D299">
        <v>65</v>
      </c>
      <c r="E299">
        <v>86</v>
      </c>
      <c r="F299">
        <v>7.05</v>
      </c>
      <c r="G299" t="s">
        <v>18</v>
      </c>
      <c r="H299" t="s">
        <v>9</v>
      </c>
    </row>
    <row r="300" spans="1:8" x14ac:dyDescent="0.3">
      <c r="A300" t="s">
        <v>339</v>
      </c>
      <c r="B300">
        <v>94</v>
      </c>
      <c r="C300" t="s">
        <v>41</v>
      </c>
      <c r="D300">
        <v>62</v>
      </c>
      <c r="E300">
        <v>86</v>
      </c>
      <c r="F300">
        <v>145.06</v>
      </c>
      <c r="G300" t="s">
        <v>2</v>
      </c>
      <c r="H300" t="s">
        <v>9</v>
      </c>
    </row>
    <row r="301" spans="1:8" x14ac:dyDescent="0.3">
      <c r="A301" t="s">
        <v>340</v>
      </c>
      <c r="B301">
        <v>94</v>
      </c>
      <c r="C301" t="s">
        <v>41</v>
      </c>
      <c r="D301">
        <v>62</v>
      </c>
      <c r="E301">
        <v>80</v>
      </c>
      <c r="F301">
        <v>6.47</v>
      </c>
      <c r="G301" t="s">
        <v>18</v>
      </c>
      <c r="H301" t="s">
        <v>12</v>
      </c>
    </row>
    <row r="302" spans="1:8" x14ac:dyDescent="0.3">
      <c r="A302" t="s">
        <v>341</v>
      </c>
      <c r="B302">
        <v>95</v>
      </c>
      <c r="C302" t="s">
        <v>41</v>
      </c>
      <c r="D302">
        <v>66</v>
      </c>
      <c r="E302">
        <v>103</v>
      </c>
      <c r="F302">
        <v>26.67</v>
      </c>
      <c r="G302" t="s">
        <v>18</v>
      </c>
      <c r="H302" t="s">
        <v>14</v>
      </c>
    </row>
    <row r="303" spans="1:8" x14ac:dyDescent="0.3">
      <c r="A303" t="s">
        <v>342</v>
      </c>
      <c r="B303">
        <v>94</v>
      </c>
      <c r="C303" t="s">
        <v>82</v>
      </c>
      <c r="D303">
        <v>45</v>
      </c>
      <c r="E303">
        <v>62</v>
      </c>
      <c r="F303">
        <v>286.33999999999997</v>
      </c>
      <c r="G303" t="s">
        <v>2</v>
      </c>
      <c r="H303" t="s">
        <v>15</v>
      </c>
    </row>
    <row r="304" spans="1:8" x14ac:dyDescent="0.3">
      <c r="A304" t="s">
        <v>343</v>
      </c>
      <c r="B304">
        <v>94</v>
      </c>
      <c r="C304" t="s">
        <v>41</v>
      </c>
      <c r="D304">
        <v>68</v>
      </c>
      <c r="E304">
        <v>90</v>
      </c>
      <c r="F304">
        <v>195</v>
      </c>
      <c r="G304" t="s">
        <v>2</v>
      </c>
      <c r="H304" t="s">
        <v>9</v>
      </c>
    </row>
    <row r="305" spans="1:8" x14ac:dyDescent="0.3">
      <c r="A305" t="s">
        <v>344</v>
      </c>
      <c r="B305">
        <v>95</v>
      </c>
      <c r="C305" t="s">
        <v>41</v>
      </c>
      <c r="D305">
        <v>60</v>
      </c>
      <c r="E305">
        <v>84</v>
      </c>
      <c r="F305">
        <v>5.88</v>
      </c>
      <c r="G305" t="s">
        <v>18</v>
      </c>
      <c r="H305" t="s">
        <v>9</v>
      </c>
    </row>
    <row r="306" spans="1:8" x14ac:dyDescent="0.3">
      <c r="A306" t="s">
        <v>345</v>
      </c>
      <c r="B306">
        <v>95</v>
      </c>
      <c r="C306" t="s">
        <v>41</v>
      </c>
      <c r="D306">
        <v>64</v>
      </c>
      <c r="E306">
        <v>86</v>
      </c>
      <c r="F306">
        <v>123.46</v>
      </c>
      <c r="G306" t="s">
        <v>2</v>
      </c>
      <c r="H306" t="s">
        <v>9</v>
      </c>
    </row>
    <row r="307" spans="1:8" x14ac:dyDescent="0.3">
      <c r="A307" t="s">
        <v>346</v>
      </c>
      <c r="B307">
        <v>94</v>
      </c>
      <c r="C307" t="s">
        <v>45</v>
      </c>
      <c r="D307">
        <v>58</v>
      </c>
      <c r="E307">
        <v>78</v>
      </c>
      <c r="F307">
        <v>88.18</v>
      </c>
      <c r="G307" t="s">
        <v>2</v>
      </c>
      <c r="H307" t="s">
        <v>9</v>
      </c>
    </row>
    <row r="308" spans="1:8" x14ac:dyDescent="0.3">
      <c r="A308" t="s">
        <v>347</v>
      </c>
      <c r="B308">
        <v>94</v>
      </c>
      <c r="C308" t="s">
        <v>41</v>
      </c>
      <c r="D308">
        <v>64</v>
      </c>
      <c r="E308">
        <v>82</v>
      </c>
      <c r="F308">
        <v>110.23</v>
      </c>
      <c r="G308" t="s">
        <v>2</v>
      </c>
      <c r="H308" t="s">
        <v>9</v>
      </c>
    </row>
    <row r="309" spans="1:8" x14ac:dyDescent="0.3">
      <c r="A309" t="s">
        <v>348</v>
      </c>
      <c r="B309">
        <v>94</v>
      </c>
      <c r="C309" t="s">
        <v>41</v>
      </c>
      <c r="D309">
        <v>62</v>
      </c>
      <c r="E309">
        <v>84</v>
      </c>
      <c r="F309">
        <v>136.68</v>
      </c>
      <c r="G309" t="s">
        <v>2</v>
      </c>
      <c r="H309" t="s">
        <v>9</v>
      </c>
    </row>
    <row r="310" spans="1:8" x14ac:dyDescent="0.3">
      <c r="A310" t="s">
        <v>349</v>
      </c>
      <c r="B310">
        <v>94</v>
      </c>
      <c r="C310" t="s">
        <v>45</v>
      </c>
      <c r="D310">
        <v>56</v>
      </c>
      <c r="E310">
        <v>74</v>
      </c>
      <c r="F310">
        <v>141.09</v>
      </c>
      <c r="G310" t="s">
        <v>2</v>
      </c>
      <c r="H310" t="s">
        <v>7</v>
      </c>
    </row>
    <row r="311" spans="1:8" x14ac:dyDescent="0.3">
      <c r="A311" t="s">
        <v>350</v>
      </c>
      <c r="B311">
        <v>94</v>
      </c>
      <c r="C311" t="s">
        <v>41</v>
      </c>
      <c r="D311">
        <v>62</v>
      </c>
      <c r="E311">
        <v>82</v>
      </c>
      <c r="F311">
        <v>176.37</v>
      </c>
      <c r="G311" t="s">
        <v>2</v>
      </c>
      <c r="H311" t="s">
        <v>12</v>
      </c>
    </row>
    <row r="312" spans="1:8" x14ac:dyDescent="0.3">
      <c r="A312" t="s">
        <v>351</v>
      </c>
      <c r="B312">
        <v>94</v>
      </c>
      <c r="C312" t="s">
        <v>41</v>
      </c>
      <c r="D312">
        <v>64</v>
      </c>
      <c r="E312">
        <v>82</v>
      </c>
      <c r="F312">
        <v>5.59</v>
      </c>
      <c r="G312" t="s">
        <v>18</v>
      </c>
      <c r="H312" t="s">
        <v>14</v>
      </c>
    </row>
    <row r="313" spans="1:8" x14ac:dyDescent="0.3">
      <c r="A313" t="s">
        <v>352</v>
      </c>
      <c r="B313">
        <v>94</v>
      </c>
      <c r="C313" t="s">
        <v>45</v>
      </c>
      <c r="D313">
        <v>60</v>
      </c>
      <c r="E313">
        <v>78</v>
      </c>
      <c r="F313">
        <v>5.59</v>
      </c>
      <c r="G313" t="s">
        <v>18</v>
      </c>
      <c r="H313" t="s">
        <v>7</v>
      </c>
    </row>
    <row r="314" spans="1:8" x14ac:dyDescent="0.3">
      <c r="A314" t="s">
        <v>353</v>
      </c>
      <c r="B314">
        <v>95</v>
      </c>
      <c r="C314" t="s">
        <v>41</v>
      </c>
      <c r="D314">
        <v>67</v>
      </c>
      <c r="E314">
        <v>88</v>
      </c>
      <c r="F314">
        <v>21.6</v>
      </c>
      <c r="G314" t="s">
        <v>18</v>
      </c>
      <c r="H314" t="s">
        <v>14</v>
      </c>
    </row>
    <row r="315" spans="1:8" x14ac:dyDescent="0.3">
      <c r="A315" t="s">
        <v>354</v>
      </c>
      <c r="B315">
        <v>95</v>
      </c>
      <c r="C315" t="s">
        <v>45</v>
      </c>
      <c r="D315">
        <v>52</v>
      </c>
      <c r="E315">
        <v>74</v>
      </c>
      <c r="F315">
        <v>215</v>
      </c>
      <c r="G315" t="s">
        <v>2</v>
      </c>
      <c r="H315" t="s">
        <v>14</v>
      </c>
    </row>
    <row r="316" spans="1:8" x14ac:dyDescent="0.3">
      <c r="A316" t="s">
        <v>355</v>
      </c>
      <c r="B316">
        <v>95</v>
      </c>
      <c r="C316" t="s">
        <v>41</v>
      </c>
      <c r="D316">
        <v>60</v>
      </c>
      <c r="E316">
        <v>84</v>
      </c>
      <c r="F316">
        <v>7.35</v>
      </c>
      <c r="G316" t="s">
        <v>18</v>
      </c>
      <c r="H316" t="s">
        <v>14</v>
      </c>
    </row>
    <row r="317" spans="1:8" x14ac:dyDescent="0.3">
      <c r="A317" t="s">
        <v>356</v>
      </c>
      <c r="B317">
        <v>94</v>
      </c>
      <c r="C317" t="s">
        <v>41</v>
      </c>
      <c r="D317">
        <v>65</v>
      </c>
      <c r="E317">
        <v>85</v>
      </c>
      <c r="F317">
        <v>396.48</v>
      </c>
      <c r="G317" t="s">
        <v>2</v>
      </c>
      <c r="H317" t="s">
        <v>9</v>
      </c>
    </row>
    <row r="318" spans="1:8" x14ac:dyDescent="0.3">
      <c r="A318" t="s">
        <v>357</v>
      </c>
      <c r="B318">
        <v>94</v>
      </c>
      <c r="C318" t="s">
        <v>41</v>
      </c>
      <c r="D318">
        <v>62</v>
      </c>
      <c r="E318">
        <v>83</v>
      </c>
      <c r="F318">
        <v>282.61</v>
      </c>
      <c r="G318" t="s">
        <v>2</v>
      </c>
      <c r="H318" t="s">
        <v>9</v>
      </c>
    </row>
    <row r="319" spans="1:8" x14ac:dyDescent="0.3">
      <c r="A319" t="s">
        <v>358</v>
      </c>
      <c r="B319">
        <v>94</v>
      </c>
      <c r="C319" t="s">
        <v>82</v>
      </c>
      <c r="D319">
        <v>50</v>
      </c>
      <c r="E319">
        <v>65</v>
      </c>
      <c r="F319">
        <v>8.82</v>
      </c>
      <c r="G319" t="s">
        <v>2</v>
      </c>
      <c r="H319" t="s">
        <v>14</v>
      </c>
    </row>
    <row r="320" spans="1:8" x14ac:dyDescent="0.3">
      <c r="A320" t="s">
        <v>359</v>
      </c>
      <c r="B320">
        <v>94</v>
      </c>
      <c r="C320" t="s">
        <v>45</v>
      </c>
      <c r="D320">
        <v>58</v>
      </c>
      <c r="E320">
        <v>74</v>
      </c>
      <c r="F320">
        <v>30.84</v>
      </c>
      <c r="G320" t="s">
        <v>18</v>
      </c>
      <c r="H320" t="s">
        <v>18</v>
      </c>
    </row>
    <row r="321" spans="1:8" x14ac:dyDescent="0.3">
      <c r="A321" t="s">
        <v>360</v>
      </c>
      <c r="B321">
        <v>94</v>
      </c>
      <c r="C321" t="s">
        <v>41</v>
      </c>
      <c r="D321">
        <v>66</v>
      </c>
      <c r="E321">
        <v>97</v>
      </c>
      <c r="F321">
        <v>5.88</v>
      </c>
      <c r="G321" t="s">
        <v>18</v>
      </c>
      <c r="H321" t="s">
        <v>21</v>
      </c>
    </row>
    <row r="322" spans="1:8" x14ac:dyDescent="0.3">
      <c r="A322" t="s">
        <v>361</v>
      </c>
      <c r="B322">
        <v>94</v>
      </c>
      <c r="C322" t="s">
        <v>45</v>
      </c>
      <c r="D322">
        <v>57</v>
      </c>
      <c r="E322">
        <v>74</v>
      </c>
      <c r="F322">
        <v>352.42</v>
      </c>
      <c r="G322" t="s">
        <v>2</v>
      </c>
      <c r="H322" t="s">
        <v>14</v>
      </c>
    </row>
    <row r="323" spans="1:8" x14ac:dyDescent="0.3">
      <c r="A323" t="s">
        <v>362</v>
      </c>
      <c r="B323">
        <v>94</v>
      </c>
      <c r="C323" t="s">
        <v>41</v>
      </c>
      <c r="D323">
        <v>62</v>
      </c>
      <c r="E323">
        <v>81</v>
      </c>
      <c r="F323">
        <v>11.76</v>
      </c>
      <c r="G323" t="s">
        <v>18</v>
      </c>
      <c r="H323" t="s">
        <v>14</v>
      </c>
    </row>
    <row r="324" spans="1:8" x14ac:dyDescent="0.3">
      <c r="A324" t="s">
        <v>363</v>
      </c>
      <c r="B324">
        <v>94</v>
      </c>
      <c r="C324" t="s">
        <v>82</v>
      </c>
      <c r="D324">
        <v>40</v>
      </c>
      <c r="E324">
        <v>67</v>
      </c>
      <c r="F324">
        <v>244.44</v>
      </c>
      <c r="G324" t="s">
        <v>2</v>
      </c>
      <c r="H324" t="s">
        <v>17</v>
      </c>
    </row>
    <row r="325" spans="1:8" x14ac:dyDescent="0.3">
      <c r="A325" t="s">
        <v>364</v>
      </c>
      <c r="B325">
        <v>94</v>
      </c>
      <c r="C325" t="s">
        <v>41</v>
      </c>
      <c r="D325">
        <v>62</v>
      </c>
      <c r="E325">
        <v>84</v>
      </c>
      <c r="F325">
        <v>8.82</v>
      </c>
      <c r="G325" t="s">
        <v>18</v>
      </c>
      <c r="H325" t="s">
        <v>14</v>
      </c>
    </row>
    <row r="326" spans="1:8" x14ac:dyDescent="0.3">
      <c r="A326" t="s">
        <v>365</v>
      </c>
      <c r="B326">
        <v>94</v>
      </c>
      <c r="C326" t="s">
        <v>82</v>
      </c>
      <c r="D326">
        <v>41</v>
      </c>
      <c r="E326">
        <v>76</v>
      </c>
      <c r="F326">
        <v>6.47</v>
      </c>
      <c r="G326" t="s">
        <v>18</v>
      </c>
      <c r="H326" t="s">
        <v>9</v>
      </c>
    </row>
    <row r="327" spans="1:8" x14ac:dyDescent="0.3">
      <c r="A327" t="s">
        <v>366</v>
      </c>
      <c r="B327">
        <v>95</v>
      </c>
      <c r="C327" t="s">
        <v>41</v>
      </c>
      <c r="D327">
        <v>59</v>
      </c>
      <c r="E327">
        <v>86</v>
      </c>
      <c r="F327">
        <v>9.41</v>
      </c>
      <c r="G327" t="s">
        <v>18</v>
      </c>
      <c r="H327" t="s">
        <v>14</v>
      </c>
    </row>
    <row r="328" spans="1:8" x14ac:dyDescent="0.3">
      <c r="A328" t="s">
        <v>367</v>
      </c>
      <c r="B328">
        <v>94</v>
      </c>
      <c r="C328" t="s">
        <v>45</v>
      </c>
      <c r="D328">
        <v>54</v>
      </c>
      <c r="E328">
        <v>78</v>
      </c>
      <c r="F328">
        <v>8.52</v>
      </c>
      <c r="G328" t="s">
        <v>18</v>
      </c>
      <c r="H328" t="s">
        <v>9</v>
      </c>
    </row>
    <row r="329" spans="1:8" x14ac:dyDescent="0.3">
      <c r="A329" t="s">
        <v>368</v>
      </c>
      <c r="B329">
        <v>95</v>
      </c>
      <c r="C329" t="s">
        <v>41</v>
      </c>
      <c r="D329">
        <v>65</v>
      </c>
      <c r="E329">
        <v>81</v>
      </c>
      <c r="F329">
        <v>12</v>
      </c>
      <c r="G329" t="s">
        <v>18</v>
      </c>
      <c r="H329" t="s">
        <v>14</v>
      </c>
    </row>
    <row r="330" spans="1:8" x14ac:dyDescent="0.3">
      <c r="A330" t="s">
        <v>369</v>
      </c>
      <c r="B330">
        <v>95</v>
      </c>
      <c r="C330" t="s">
        <v>41</v>
      </c>
      <c r="D330">
        <v>65</v>
      </c>
      <c r="E330">
        <v>81</v>
      </c>
      <c r="F330">
        <v>52.91</v>
      </c>
      <c r="G330" t="s">
        <v>18</v>
      </c>
      <c r="H330" t="s">
        <v>18</v>
      </c>
    </row>
    <row r="331" spans="1:8" x14ac:dyDescent="0.3">
      <c r="A331" t="s">
        <v>370</v>
      </c>
      <c r="B331">
        <v>94</v>
      </c>
      <c r="C331" t="s">
        <v>41</v>
      </c>
      <c r="D331">
        <v>64</v>
      </c>
      <c r="E331">
        <v>84</v>
      </c>
      <c r="F331">
        <v>35.270000000000003</v>
      </c>
      <c r="G331" t="s">
        <v>18</v>
      </c>
      <c r="H331" t="s">
        <v>14</v>
      </c>
    </row>
    <row r="332" spans="1:8" x14ac:dyDescent="0.3">
      <c r="A332" t="s">
        <v>371</v>
      </c>
      <c r="B332">
        <v>95</v>
      </c>
      <c r="C332" t="s">
        <v>45</v>
      </c>
      <c r="D332">
        <v>60</v>
      </c>
      <c r="E332">
        <v>78</v>
      </c>
      <c r="F332">
        <v>9.6999999999999993</v>
      </c>
      <c r="G332" t="s">
        <v>18</v>
      </c>
      <c r="H332" t="s">
        <v>9</v>
      </c>
    </row>
    <row r="333" spans="1:8" x14ac:dyDescent="0.3">
      <c r="A333" t="s">
        <v>372</v>
      </c>
      <c r="B333">
        <v>94</v>
      </c>
      <c r="C333" t="s">
        <v>41</v>
      </c>
      <c r="D333">
        <v>64</v>
      </c>
      <c r="E333">
        <v>86</v>
      </c>
      <c r="F333">
        <v>6.17</v>
      </c>
      <c r="G333" t="s">
        <v>18</v>
      </c>
      <c r="H333" t="s">
        <v>14</v>
      </c>
    </row>
    <row r="334" spans="1:8" x14ac:dyDescent="0.3">
      <c r="A334" t="s">
        <v>373</v>
      </c>
      <c r="B334">
        <v>95</v>
      </c>
      <c r="C334" t="s">
        <v>41</v>
      </c>
      <c r="D334">
        <v>64</v>
      </c>
      <c r="E334">
        <v>80</v>
      </c>
      <c r="F334">
        <v>396.83</v>
      </c>
      <c r="G334" t="s">
        <v>2</v>
      </c>
      <c r="H334" t="s">
        <v>14</v>
      </c>
    </row>
    <row r="335" spans="1:8" x14ac:dyDescent="0.3">
      <c r="A335" t="s">
        <v>374</v>
      </c>
      <c r="B335">
        <v>94</v>
      </c>
      <c r="C335" t="s">
        <v>45</v>
      </c>
      <c r="D335">
        <v>60</v>
      </c>
      <c r="E335">
        <v>80</v>
      </c>
      <c r="F335">
        <v>127.87</v>
      </c>
      <c r="G335" t="s">
        <v>2</v>
      </c>
      <c r="H335" t="s">
        <v>12</v>
      </c>
    </row>
    <row r="336" spans="1:8" x14ac:dyDescent="0.3">
      <c r="A336" t="s">
        <v>375</v>
      </c>
      <c r="B336">
        <v>94</v>
      </c>
      <c r="C336" t="s">
        <v>41</v>
      </c>
      <c r="D336">
        <v>62</v>
      </c>
      <c r="E336">
        <v>84</v>
      </c>
      <c r="F336">
        <v>396.83</v>
      </c>
      <c r="G336" t="s">
        <v>2</v>
      </c>
      <c r="H336" t="s">
        <v>14</v>
      </c>
    </row>
    <row r="337" spans="1:8" x14ac:dyDescent="0.3">
      <c r="A337" t="s">
        <v>376</v>
      </c>
      <c r="B337">
        <v>95</v>
      </c>
      <c r="C337" t="s">
        <v>45</v>
      </c>
      <c r="D337">
        <v>59</v>
      </c>
      <c r="E337">
        <v>77</v>
      </c>
      <c r="F337">
        <v>6.76</v>
      </c>
      <c r="G337" t="s">
        <v>18</v>
      </c>
      <c r="H337" t="s">
        <v>16</v>
      </c>
    </row>
    <row r="338" spans="1:8" x14ac:dyDescent="0.3">
      <c r="A338" t="s">
        <v>377</v>
      </c>
      <c r="B338">
        <v>95</v>
      </c>
      <c r="C338" t="s">
        <v>41</v>
      </c>
      <c r="D338">
        <v>62</v>
      </c>
      <c r="E338">
        <v>82</v>
      </c>
      <c r="F338">
        <v>375</v>
      </c>
      <c r="G338" t="s">
        <v>2</v>
      </c>
      <c r="H338" t="s">
        <v>14</v>
      </c>
    </row>
    <row r="339" spans="1:8" x14ac:dyDescent="0.3">
      <c r="A339" t="s">
        <v>378</v>
      </c>
      <c r="B339">
        <v>94</v>
      </c>
      <c r="C339" t="s">
        <v>41</v>
      </c>
      <c r="D339">
        <v>62</v>
      </c>
      <c r="E339">
        <v>80</v>
      </c>
      <c r="F339">
        <v>175</v>
      </c>
      <c r="G339" t="s">
        <v>2</v>
      </c>
      <c r="H339" t="s">
        <v>12</v>
      </c>
    </row>
    <row r="340" spans="1:8" x14ac:dyDescent="0.3">
      <c r="A340" t="s">
        <v>302</v>
      </c>
      <c r="B340">
        <v>94</v>
      </c>
      <c r="C340" t="s">
        <v>45</v>
      </c>
      <c r="D340">
        <v>59</v>
      </c>
      <c r="E340">
        <v>77</v>
      </c>
      <c r="F340">
        <v>6.76</v>
      </c>
      <c r="G340" t="s">
        <v>18</v>
      </c>
      <c r="H340" t="s">
        <v>16</v>
      </c>
    </row>
    <row r="341" spans="1:8" x14ac:dyDescent="0.3">
      <c r="A341" t="s">
        <v>379</v>
      </c>
      <c r="B341">
        <v>94</v>
      </c>
      <c r="C341" t="s">
        <v>41</v>
      </c>
      <c r="D341">
        <v>67</v>
      </c>
      <c r="E341">
        <v>86</v>
      </c>
      <c r="F341">
        <v>154.19</v>
      </c>
      <c r="G341" t="s">
        <v>2</v>
      </c>
      <c r="H341" t="s">
        <v>9</v>
      </c>
    </row>
    <row r="342" spans="1:8" x14ac:dyDescent="0.3">
      <c r="A342" t="s">
        <v>380</v>
      </c>
      <c r="B342">
        <v>94</v>
      </c>
      <c r="C342" t="s">
        <v>41</v>
      </c>
      <c r="D342">
        <v>62</v>
      </c>
      <c r="E342">
        <v>80</v>
      </c>
      <c r="F342">
        <v>6.17</v>
      </c>
      <c r="G342" t="s">
        <v>18</v>
      </c>
      <c r="H342" t="s">
        <v>12</v>
      </c>
    </row>
    <row r="343" spans="1:8" x14ac:dyDescent="0.3">
      <c r="A343" t="s">
        <v>112</v>
      </c>
      <c r="B343">
        <v>94</v>
      </c>
      <c r="C343" t="s">
        <v>45</v>
      </c>
      <c r="D343">
        <v>58</v>
      </c>
      <c r="E343">
        <v>77</v>
      </c>
      <c r="F343">
        <v>7.64</v>
      </c>
      <c r="G343" t="s">
        <v>18</v>
      </c>
      <c r="H343" t="s">
        <v>9</v>
      </c>
    </row>
    <row r="344" spans="1:8" x14ac:dyDescent="0.3">
      <c r="A344" t="s">
        <v>381</v>
      </c>
      <c r="B344">
        <v>94</v>
      </c>
      <c r="C344" t="s">
        <v>45</v>
      </c>
      <c r="D344">
        <v>56</v>
      </c>
      <c r="E344">
        <v>80</v>
      </c>
      <c r="F344">
        <v>99.21</v>
      </c>
      <c r="G344" t="s">
        <v>2</v>
      </c>
      <c r="H344" t="s">
        <v>14</v>
      </c>
    </row>
    <row r="345" spans="1:8" x14ac:dyDescent="0.3">
      <c r="A345" t="s">
        <v>382</v>
      </c>
      <c r="B345">
        <v>94</v>
      </c>
      <c r="C345" t="s">
        <v>41</v>
      </c>
      <c r="D345">
        <v>63</v>
      </c>
      <c r="E345">
        <v>81</v>
      </c>
      <c r="F345">
        <v>149.91</v>
      </c>
      <c r="G345" t="s">
        <v>2</v>
      </c>
      <c r="H345" t="s">
        <v>9</v>
      </c>
    </row>
    <row r="346" spans="1:8" x14ac:dyDescent="0.3">
      <c r="A346" t="s">
        <v>383</v>
      </c>
      <c r="B346">
        <v>94</v>
      </c>
      <c r="C346" t="s">
        <v>41</v>
      </c>
      <c r="D346">
        <v>63</v>
      </c>
      <c r="E346">
        <v>81</v>
      </c>
      <c r="F346">
        <v>6.27</v>
      </c>
      <c r="G346" t="s">
        <v>18</v>
      </c>
      <c r="H346" t="s">
        <v>7</v>
      </c>
    </row>
    <row r="347" spans="1:8" x14ac:dyDescent="0.3">
      <c r="A347" t="s">
        <v>384</v>
      </c>
      <c r="B347">
        <v>95</v>
      </c>
      <c r="C347" t="s">
        <v>45</v>
      </c>
      <c r="D347">
        <v>58</v>
      </c>
      <c r="E347">
        <v>80</v>
      </c>
      <c r="F347">
        <v>5.57</v>
      </c>
      <c r="G347" t="s">
        <v>18</v>
      </c>
      <c r="H347" t="s">
        <v>15</v>
      </c>
    </row>
    <row r="348" spans="1:8" x14ac:dyDescent="0.3">
      <c r="A348" t="s">
        <v>385</v>
      </c>
      <c r="B348">
        <v>95</v>
      </c>
      <c r="C348" t="s">
        <v>82</v>
      </c>
      <c r="D348">
        <v>44</v>
      </c>
      <c r="E348">
        <v>62</v>
      </c>
      <c r="F348">
        <v>275</v>
      </c>
      <c r="G348" t="s">
        <v>2</v>
      </c>
      <c r="H348" t="s">
        <v>12</v>
      </c>
    </row>
    <row r="349" spans="1:8" x14ac:dyDescent="0.3">
      <c r="A349" t="s">
        <v>386</v>
      </c>
      <c r="B349">
        <v>94</v>
      </c>
      <c r="C349" t="s">
        <v>45</v>
      </c>
      <c r="D349">
        <v>60</v>
      </c>
      <c r="E349">
        <v>78</v>
      </c>
      <c r="F349">
        <v>6.47</v>
      </c>
      <c r="G349" t="s">
        <v>18</v>
      </c>
      <c r="H349" t="s">
        <v>12</v>
      </c>
    </row>
    <row r="350" spans="1:8" x14ac:dyDescent="0.3">
      <c r="A350" t="s">
        <v>387</v>
      </c>
      <c r="B350">
        <v>95</v>
      </c>
      <c r="C350" t="s">
        <v>41</v>
      </c>
      <c r="D350">
        <v>64</v>
      </c>
      <c r="E350">
        <v>84</v>
      </c>
      <c r="F350">
        <v>9.41</v>
      </c>
      <c r="G350" t="s">
        <v>18</v>
      </c>
      <c r="H350" t="s">
        <v>14</v>
      </c>
    </row>
    <row r="351" spans="1:8" x14ac:dyDescent="0.3">
      <c r="A351" t="s">
        <v>388</v>
      </c>
      <c r="B351">
        <v>94</v>
      </c>
      <c r="C351" t="s">
        <v>41</v>
      </c>
      <c r="D351">
        <v>62</v>
      </c>
      <c r="E351">
        <v>80</v>
      </c>
      <c r="F351">
        <v>7.05</v>
      </c>
      <c r="G351" t="s">
        <v>18</v>
      </c>
      <c r="H351" t="s">
        <v>9</v>
      </c>
    </row>
    <row r="352" spans="1:8" x14ac:dyDescent="0.3">
      <c r="A352" t="s">
        <v>389</v>
      </c>
      <c r="B352">
        <v>94</v>
      </c>
      <c r="C352" t="s">
        <v>41</v>
      </c>
      <c r="D352">
        <v>64</v>
      </c>
      <c r="E352">
        <v>86</v>
      </c>
      <c r="F352">
        <v>7.05</v>
      </c>
      <c r="G352" t="s">
        <v>18</v>
      </c>
      <c r="H352" t="s">
        <v>7</v>
      </c>
    </row>
    <row r="353" spans="1:8" x14ac:dyDescent="0.3">
      <c r="A353" t="s">
        <v>390</v>
      </c>
      <c r="B353">
        <v>94</v>
      </c>
      <c r="C353" t="s">
        <v>45</v>
      </c>
      <c r="D353">
        <v>60</v>
      </c>
      <c r="E353">
        <v>78</v>
      </c>
      <c r="F353">
        <v>6.47</v>
      </c>
      <c r="G353" t="s">
        <v>18</v>
      </c>
      <c r="H353" t="s">
        <v>16</v>
      </c>
    </row>
    <row r="354" spans="1:8" x14ac:dyDescent="0.3">
      <c r="A354" t="s">
        <v>391</v>
      </c>
      <c r="B354">
        <v>94</v>
      </c>
      <c r="C354" t="s">
        <v>41</v>
      </c>
      <c r="D354">
        <v>64</v>
      </c>
      <c r="E354">
        <v>84</v>
      </c>
      <c r="F354">
        <v>10.29</v>
      </c>
      <c r="G354" t="s">
        <v>18</v>
      </c>
      <c r="H354" t="s">
        <v>15</v>
      </c>
    </row>
    <row r="355" spans="1:8" x14ac:dyDescent="0.3">
      <c r="A355" t="s">
        <v>392</v>
      </c>
      <c r="B355">
        <v>95</v>
      </c>
      <c r="C355" t="s">
        <v>41</v>
      </c>
      <c r="D355">
        <v>60</v>
      </c>
      <c r="E355">
        <v>82</v>
      </c>
      <c r="F355">
        <v>52.91</v>
      </c>
      <c r="G355" t="s">
        <v>18</v>
      </c>
      <c r="H355" t="s">
        <v>18</v>
      </c>
    </row>
    <row r="356" spans="1:8" x14ac:dyDescent="0.3">
      <c r="A356" t="s">
        <v>393</v>
      </c>
      <c r="B356">
        <v>95</v>
      </c>
      <c r="C356" t="s">
        <v>45</v>
      </c>
      <c r="D356">
        <v>61</v>
      </c>
      <c r="E356">
        <v>80</v>
      </c>
      <c r="F356">
        <v>8.82</v>
      </c>
      <c r="G356" t="s">
        <v>18</v>
      </c>
      <c r="H356" t="s">
        <v>14</v>
      </c>
    </row>
    <row r="357" spans="1:8" x14ac:dyDescent="0.3">
      <c r="A357" t="s">
        <v>394</v>
      </c>
      <c r="B357">
        <v>94</v>
      </c>
      <c r="C357" t="s">
        <v>45</v>
      </c>
      <c r="D357">
        <v>56</v>
      </c>
      <c r="E357">
        <v>84</v>
      </c>
      <c r="F357">
        <v>190</v>
      </c>
      <c r="G357" t="s">
        <v>2</v>
      </c>
      <c r="H357" t="s">
        <v>9</v>
      </c>
    </row>
    <row r="358" spans="1:8" x14ac:dyDescent="0.3">
      <c r="A358" t="s">
        <v>395</v>
      </c>
      <c r="B358">
        <v>94</v>
      </c>
      <c r="C358" t="s">
        <v>41</v>
      </c>
      <c r="D358">
        <v>65</v>
      </c>
      <c r="E358">
        <v>84</v>
      </c>
      <c r="F358">
        <v>35.270000000000003</v>
      </c>
      <c r="G358" t="s">
        <v>18</v>
      </c>
      <c r="H358" t="s">
        <v>5</v>
      </c>
    </row>
    <row r="359" spans="1:8" x14ac:dyDescent="0.3">
      <c r="A359" t="s">
        <v>396</v>
      </c>
      <c r="B359">
        <v>94</v>
      </c>
      <c r="C359" t="s">
        <v>41</v>
      </c>
      <c r="D359">
        <v>74</v>
      </c>
      <c r="E359">
        <v>100</v>
      </c>
      <c r="F359">
        <v>6.32</v>
      </c>
      <c r="G359" t="s">
        <v>18</v>
      </c>
      <c r="H359" t="s">
        <v>9</v>
      </c>
    </row>
    <row r="360" spans="1:8" x14ac:dyDescent="0.3">
      <c r="A360" t="s">
        <v>397</v>
      </c>
      <c r="B360">
        <v>95</v>
      </c>
      <c r="C360" t="s">
        <v>41</v>
      </c>
      <c r="D360">
        <v>62</v>
      </c>
      <c r="E360">
        <v>84</v>
      </c>
      <c r="F360">
        <v>20.81</v>
      </c>
      <c r="G360" t="s">
        <v>18</v>
      </c>
      <c r="H360" t="s">
        <v>18</v>
      </c>
    </row>
    <row r="361" spans="1:8" x14ac:dyDescent="0.3">
      <c r="A361" t="s">
        <v>398</v>
      </c>
      <c r="B361">
        <v>97</v>
      </c>
      <c r="C361" t="s">
        <v>41</v>
      </c>
      <c r="D361">
        <v>62</v>
      </c>
      <c r="E361">
        <v>80</v>
      </c>
      <c r="F361">
        <v>30.84</v>
      </c>
      <c r="G361" t="s">
        <v>18</v>
      </c>
      <c r="H361" t="s">
        <v>150</v>
      </c>
    </row>
    <row r="362" spans="1:8" x14ac:dyDescent="0.3">
      <c r="A362" t="s">
        <v>399</v>
      </c>
      <c r="B362">
        <v>96</v>
      </c>
      <c r="C362" t="s">
        <v>41</v>
      </c>
      <c r="D362">
        <v>64</v>
      </c>
      <c r="E362">
        <v>82</v>
      </c>
      <c r="F362">
        <v>220.46</v>
      </c>
      <c r="G362" t="s">
        <v>18</v>
      </c>
      <c r="H362" t="s">
        <v>5</v>
      </c>
    </row>
    <row r="363" spans="1:8" x14ac:dyDescent="0.3">
      <c r="A363" t="s">
        <v>400</v>
      </c>
      <c r="B363">
        <v>95</v>
      </c>
      <c r="C363" t="s">
        <v>45</v>
      </c>
      <c r="D363">
        <v>58</v>
      </c>
      <c r="E363">
        <v>76</v>
      </c>
      <c r="F363">
        <v>25.57</v>
      </c>
      <c r="G363" t="s">
        <v>18</v>
      </c>
      <c r="H363" t="s">
        <v>18</v>
      </c>
    </row>
    <row r="364" spans="1:8" x14ac:dyDescent="0.3">
      <c r="A364" t="s">
        <v>401</v>
      </c>
      <c r="B364">
        <v>94</v>
      </c>
      <c r="C364" t="s">
        <v>45</v>
      </c>
      <c r="D364">
        <v>58</v>
      </c>
      <c r="E364">
        <v>77</v>
      </c>
      <c r="F364">
        <v>72.31</v>
      </c>
      <c r="G364" t="s">
        <v>18</v>
      </c>
      <c r="H364" t="s">
        <v>150</v>
      </c>
    </row>
    <row r="365" spans="1:8" x14ac:dyDescent="0.3">
      <c r="A365" t="s">
        <v>402</v>
      </c>
      <c r="B365">
        <v>94</v>
      </c>
      <c r="C365" t="s">
        <v>41</v>
      </c>
      <c r="D365">
        <v>64</v>
      </c>
      <c r="E365">
        <v>82</v>
      </c>
      <c r="F365">
        <v>14.11</v>
      </c>
      <c r="G365" t="s">
        <v>18</v>
      </c>
      <c r="H365" t="s">
        <v>150</v>
      </c>
    </row>
    <row r="366" spans="1:8" x14ac:dyDescent="0.3">
      <c r="A366" t="s">
        <v>403</v>
      </c>
      <c r="B366">
        <v>94</v>
      </c>
      <c r="C366" t="s">
        <v>45</v>
      </c>
      <c r="D366">
        <v>58</v>
      </c>
      <c r="E366">
        <v>74</v>
      </c>
      <c r="F366">
        <v>15.12</v>
      </c>
      <c r="G366" t="s">
        <v>18</v>
      </c>
      <c r="H366" t="s">
        <v>18</v>
      </c>
    </row>
    <row r="367" spans="1:8" x14ac:dyDescent="0.3">
      <c r="A367" t="s">
        <v>404</v>
      </c>
      <c r="B367">
        <v>94</v>
      </c>
      <c r="C367" t="s">
        <v>45</v>
      </c>
      <c r="D367">
        <v>58</v>
      </c>
      <c r="E367">
        <v>80</v>
      </c>
      <c r="F367">
        <v>14.08</v>
      </c>
      <c r="G367" t="s">
        <v>18</v>
      </c>
      <c r="H367" t="s">
        <v>18</v>
      </c>
    </row>
    <row r="368" spans="1:8" x14ac:dyDescent="0.3">
      <c r="A368" t="s">
        <v>405</v>
      </c>
      <c r="B368">
        <v>95</v>
      </c>
      <c r="C368" t="s">
        <v>41</v>
      </c>
      <c r="D368">
        <v>62</v>
      </c>
      <c r="E368">
        <v>82</v>
      </c>
      <c r="F368">
        <v>8.82</v>
      </c>
      <c r="G368" t="s">
        <v>18</v>
      </c>
      <c r="H368" t="s">
        <v>14</v>
      </c>
    </row>
    <row r="369" spans="1:8" x14ac:dyDescent="0.3">
      <c r="A369" t="s">
        <v>406</v>
      </c>
      <c r="B369">
        <v>94</v>
      </c>
      <c r="C369" t="s">
        <v>45</v>
      </c>
      <c r="D369">
        <v>58</v>
      </c>
      <c r="E369">
        <v>78</v>
      </c>
      <c r="F369">
        <v>8.82</v>
      </c>
      <c r="G369" t="s">
        <v>18</v>
      </c>
      <c r="H369" t="s">
        <v>14</v>
      </c>
    </row>
    <row r="370" spans="1:8" x14ac:dyDescent="0.3">
      <c r="A370" t="s">
        <v>407</v>
      </c>
      <c r="B370">
        <v>94</v>
      </c>
      <c r="C370" t="s">
        <v>82</v>
      </c>
      <c r="D370">
        <v>43</v>
      </c>
      <c r="E370">
        <v>61</v>
      </c>
      <c r="F370">
        <v>17.64</v>
      </c>
      <c r="G370" t="s">
        <v>2</v>
      </c>
      <c r="H370" t="s">
        <v>9</v>
      </c>
    </row>
    <row r="371" spans="1:8" x14ac:dyDescent="0.3">
      <c r="A371" t="s">
        <v>408</v>
      </c>
      <c r="B371">
        <v>95</v>
      </c>
      <c r="C371" t="s">
        <v>41</v>
      </c>
      <c r="D371">
        <v>62</v>
      </c>
      <c r="E371">
        <v>80</v>
      </c>
      <c r="F371">
        <v>6.76</v>
      </c>
      <c r="G371" t="s">
        <v>18</v>
      </c>
      <c r="H371" t="s">
        <v>9</v>
      </c>
    </row>
    <row r="372" spans="1:8" x14ac:dyDescent="0.3">
      <c r="A372" t="s">
        <v>409</v>
      </c>
      <c r="B372">
        <v>94</v>
      </c>
      <c r="C372" t="s">
        <v>45</v>
      </c>
      <c r="D372">
        <v>58</v>
      </c>
      <c r="E372">
        <v>76</v>
      </c>
      <c r="F372">
        <v>7.2</v>
      </c>
      <c r="G372" t="s">
        <v>18</v>
      </c>
      <c r="H372" t="s">
        <v>9</v>
      </c>
    </row>
    <row r="373" spans="1:8" x14ac:dyDescent="0.3">
      <c r="A373" t="s">
        <v>410</v>
      </c>
      <c r="B373">
        <v>95</v>
      </c>
      <c r="C373" t="s">
        <v>41</v>
      </c>
      <c r="D373">
        <v>66</v>
      </c>
      <c r="E373">
        <v>84</v>
      </c>
      <c r="F373">
        <v>343.61</v>
      </c>
      <c r="G373" t="s">
        <v>2</v>
      </c>
      <c r="H373" t="s">
        <v>14</v>
      </c>
    </row>
    <row r="374" spans="1:8" x14ac:dyDescent="0.3">
      <c r="A374" t="s">
        <v>411</v>
      </c>
      <c r="B374">
        <v>94</v>
      </c>
      <c r="C374" t="s">
        <v>41</v>
      </c>
      <c r="D374">
        <v>64</v>
      </c>
      <c r="E374">
        <v>86</v>
      </c>
      <c r="F374">
        <v>88.18</v>
      </c>
      <c r="G374" t="s">
        <v>2</v>
      </c>
      <c r="H374" t="s">
        <v>9</v>
      </c>
    </row>
    <row r="375" spans="1:8" x14ac:dyDescent="0.3">
      <c r="A375" t="s">
        <v>412</v>
      </c>
      <c r="B375">
        <v>94</v>
      </c>
      <c r="C375" t="s">
        <v>45</v>
      </c>
      <c r="D375">
        <v>60</v>
      </c>
      <c r="E375">
        <v>76</v>
      </c>
      <c r="F375">
        <v>312.77999999999997</v>
      </c>
      <c r="G375" t="s">
        <v>2</v>
      </c>
      <c r="H375" t="s">
        <v>14</v>
      </c>
    </row>
    <row r="376" spans="1:8" x14ac:dyDescent="0.3">
      <c r="A376" t="s">
        <v>413</v>
      </c>
      <c r="B376">
        <v>94</v>
      </c>
      <c r="C376" t="s">
        <v>45</v>
      </c>
      <c r="D376">
        <v>60</v>
      </c>
      <c r="E376">
        <v>78</v>
      </c>
      <c r="F376">
        <v>105.73</v>
      </c>
      <c r="G376" t="s">
        <v>2</v>
      </c>
      <c r="H376" t="s">
        <v>12</v>
      </c>
    </row>
    <row r="377" spans="1:8" x14ac:dyDescent="0.3">
      <c r="A377" t="s">
        <v>414</v>
      </c>
      <c r="B377">
        <v>94</v>
      </c>
      <c r="C377" t="s">
        <v>45</v>
      </c>
      <c r="D377">
        <v>60</v>
      </c>
      <c r="E377">
        <v>80</v>
      </c>
      <c r="F377">
        <v>286.33999999999997</v>
      </c>
      <c r="G377" t="s">
        <v>2</v>
      </c>
      <c r="H377" t="s">
        <v>14</v>
      </c>
    </row>
    <row r="378" spans="1:8" x14ac:dyDescent="0.3">
      <c r="A378" t="s">
        <v>54</v>
      </c>
      <c r="B378">
        <v>96</v>
      </c>
      <c r="C378" t="s">
        <v>41</v>
      </c>
      <c r="D378">
        <v>62</v>
      </c>
      <c r="E378">
        <v>80</v>
      </c>
      <c r="F378">
        <v>11.9</v>
      </c>
      <c r="G378" t="s">
        <v>18</v>
      </c>
      <c r="H378" t="s">
        <v>14</v>
      </c>
    </row>
    <row r="379" spans="1:8" x14ac:dyDescent="0.3">
      <c r="A379" t="s">
        <v>415</v>
      </c>
      <c r="B379">
        <v>95</v>
      </c>
      <c r="C379" t="s">
        <v>45</v>
      </c>
      <c r="D379">
        <v>62</v>
      </c>
      <c r="E379">
        <v>78</v>
      </c>
      <c r="F379">
        <v>143.30000000000001</v>
      </c>
      <c r="G379" t="s">
        <v>2</v>
      </c>
      <c r="H379" t="s">
        <v>9</v>
      </c>
    </row>
    <row r="380" spans="1:8" x14ac:dyDescent="0.3">
      <c r="A380" t="s">
        <v>416</v>
      </c>
      <c r="B380">
        <v>95</v>
      </c>
      <c r="C380" t="s">
        <v>41</v>
      </c>
      <c r="D380">
        <v>64</v>
      </c>
      <c r="E380">
        <v>86</v>
      </c>
      <c r="F380">
        <v>143.30000000000001</v>
      </c>
      <c r="G380" t="s">
        <v>2</v>
      </c>
      <c r="H380" t="s">
        <v>9</v>
      </c>
    </row>
    <row r="381" spans="1:8" x14ac:dyDescent="0.3">
      <c r="A381" t="s">
        <v>417</v>
      </c>
      <c r="B381">
        <v>94</v>
      </c>
      <c r="C381" t="s">
        <v>45</v>
      </c>
      <c r="D381">
        <v>58</v>
      </c>
      <c r="E381">
        <v>78</v>
      </c>
      <c r="F381">
        <v>110.23</v>
      </c>
      <c r="G381" t="s">
        <v>2</v>
      </c>
      <c r="H381" t="s">
        <v>6</v>
      </c>
    </row>
    <row r="382" spans="1:8" x14ac:dyDescent="0.3">
      <c r="A382" t="s">
        <v>418</v>
      </c>
      <c r="B382">
        <v>94</v>
      </c>
      <c r="C382" t="s">
        <v>45</v>
      </c>
      <c r="D382">
        <v>58</v>
      </c>
      <c r="E382">
        <v>74</v>
      </c>
      <c r="F382">
        <v>238.1</v>
      </c>
      <c r="G382" t="s">
        <v>2</v>
      </c>
      <c r="H382" t="s">
        <v>15</v>
      </c>
    </row>
    <row r="383" spans="1:8" x14ac:dyDescent="0.3">
      <c r="A383" t="s">
        <v>419</v>
      </c>
      <c r="B383">
        <v>94</v>
      </c>
      <c r="C383" t="s">
        <v>41</v>
      </c>
      <c r="D383">
        <v>62</v>
      </c>
      <c r="E383">
        <v>80</v>
      </c>
      <c r="F383">
        <v>132.28</v>
      </c>
      <c r="G383" t="s">
        <v>2</v>
      </c>
      <c r="H383" t="s">
        <v>9</v>
      </c>
    </row>
    <row r="384" spans="1:8" x14ac:dyDescent="0.3">
      <c r="A384" t="s">
        <v>420</v>
      </c>
      <c r="B384">
        <v>94</v>
      </c>
      <c r="C384" t="s">
        <v>41</v>
      </c>
      <c r="D384">
        <v>64</v>
      </c>
      <c r="E384">
        <v>86</v>
      </c>
      <c r="F384">
        <v>143.30000000000001</v>
      </c>
      <c r="G384" t="s">
        <v>2</v>
      </c>
      <c r="H384" t="s">
        <v>12</v>
      </c>
    </row>
    <row r="385" spans="1:8" x14ac:dyDescent="0.3">
      <c r="A385" t="s">
        <v>421</v>
      </c>
      <c r="B385">
        <v>94</v>
      </c>
      <c r="C385" t="s">
        <v>41</v>
      </c>
      <c r="D385">
        <v>62</v>
      </c>
      <c r="E385">
        <v>84</v>
      </c>
      <c r="F385">
        <v>161.38</v>
      </c>
      <c r="G385" t="s">
        <v>2</v>
      </c>
      <c r="H385" t="s">
        <v>14</v>
      </c>
    </row>
    <row r="386" spans="1:8" x14ac:dyDescent="0.3">
      <c r="A386" t="s">
        <v>422</v>
      </c>
      <c r="B386">
        <v>94</v>
      </c>
      <c r="C386" t="s">
        <v>41</v>
      </c>
      <c r="D386">
        <v>62</v>
      </c>
      <c r="E386">
        <v>82</v>
      </c>
      <c r="F386">
        <v>11.76</v>
      </c>
      <c r="G386" t="s">
        <v>18</v>
      </c>
      <c r="H386" t="s">
        <v>14</v>
      </c>
    </row>
    <row r="387" spans="1:8" x14ac:dyDescent="0.3">
      <c r="A387" t="s">
        <v>423</v>
      </c>
      <c r="B387">
        <v>94</v>
      </c>
      <c r="C387" t="s">
        <v>45</v>
      </c>
      <c r="D387">
        <v>59</v>
      </c>
      <c r="E387">
        <v>77</v>
      </c>
      <c r="F387">
        <v>7.94</v>
      </c>
      <c r="G387" t="s">
        <v>18</v>
      </c>
      <c r="H387" t="s">
        <v>15</v>
      </c>
    </row>
    <row r="388" spans="1:8" x14ac:dyDescent="0.3">
      <c r="A388" t="s">
        <v>276</v>
      </c>
      <c r="B388">
        <v>94</v>
      </c>
      <c r="C388" t="s">
        <v>45</v>
      </c>
      <c r="D388">
        <v>56</v>
      </c>
      <c r="E388">
        <v>74</v>
      </c>
      <c r="F388">
        <v>6.47</v>
      </c>
      <c r="G388" t="s">
        <v>18</v>
      </c>
      <c r="H388" t="s">
        <v>12</v>
      </c>
    </row>
    <row r="389" spans="1:8" x14ac:dyDescent="0.3">
      <c r="A389" t="s">
        <v>424</v>
      </c>
      <c r="B389">
        <v>94</v>
      </c>
      <c r="C389" t="s">
        <v>41</v>
      </c>
      <c r="D389">
        <v>64</v>
      </c>
      <c r="E389">
        <v>86</v>
      </c>
      <c r="F389">
        <v>242.29</v>
      </c>
      <c r="G389" t="s">
        <v>2</v>
      </c>
      <c r="H389" t="s">
        <v>9</v>
      </c>
    </row>
    <row r="390" spans="1:8" x14ac:dyDescent="0.3">
      <c r="A390" t="s">
        <v>425</v>
      </c>
      <c r="B390">
        <v>94</v>
      </c>
      <c r="C390" t="s">
        <v>45</v>
      </c>
      <c r="D390">
        <v>60</v>
      </c>
      <c r="E390">
        <v>78</v>
      </c>
      <c r="F390">
        <v>6.47</v>
      </c>
      <c r="G390" t="s">
        <v>18</v>
      </c>
      <c r="H390" t="s">
        <v>9</v>
      </c>
    </row>
    <row r="391" spans="1:8" x14ac:dyDescent="0.3">
      <c r="A391" t="s">
        <v>426</v>
      </c>
      <c r="B391">
        <v>95</v>
      </c>
      <c r="C391" t="s">
        <v>41</v>
      </c>
      <c r="D391">
        <v>64</v>
      </c>
      <c r="E391">
        <v>86</v>
      </c>
      <c r="F391">
        <v>88.18</v>
      </c>
      <c r="G391" t="s">
        <v>18</v>
      </c>
      <c r="H391" t="s">
        <v>18</v>
      </c>
    </row>
    <row r="392" spans="1:8" x14ac:dyDescent="0.3">
      <c r="A392" t="s">
        <v>427</v>
      </c>
      <c r="B392">
        <v>94</v>
      </c>
      <c r="C392" t="s">
        <v>41</v>
      </c>
      <c r="D392">
        <v>64</v>
      </c>
      <c r="E392">
        <v>82</v>
      </c>
      <c r="F392">
        <v>200</v>
      </c>
      <c r="G392" t="s">
        <v>2</v>
      </c>
      <c r="H392" t="s">
        <v>9</v>
      </c>
    </row>
    <row r="393" spans="1:8" x14ac:dyDescent="0.3">
      <c r="A393" t="s">
        <v>428</v>
      </c>
      <c r="B393">
        <v>94</v>
      </c>
      <c r="C393" t="s">
        <v>41</v>
      </c>
      <c r="D393">
        <v>64</v>
      </c>
      <c r="E393">
        <v>86</v>
      </c>
      <c r="F393">
        <v>427.31</v>
      </c>
      <c r="G393" t="s">
        <v>2</v>
      </c>
      <c r="H393" t="s">
        <v>9</v>
      </c>
    </row>
    <row r="394" spans="1:8" x14ac:dyDescent="0.3">
      <c r="A394" t="s">
        <v>429</v>
      </c>
      <c r="B394">
        <v>94</v>
      </c>
      <c r="C394" t="s">
        <v>45</v>
      </c>
      <c r="D394">
        <v>52</v>
      </c>
      <c r="E394">
        <v>78</v>
      </c>
      <c r="F394">
        <v>237.65</v>
      </c>
      <c r="G394" t="s">
        <v>2</v>
      </c>
      <c r="H394" t="s">
        <v>14</v>
      </c>
    </row>
    <row r="395" spans="1:8" x14ac:dyDescent="0.3">
      <c r="A395" t="s">
        <v>430</v>
      </c>
      <c r="B395">
        <v>94</v>
      </c>
      <c r="C395" t="s">
        <v>41</v>
      </c>
      <c r="D395">
        <v>64</v>
      </c>
      <c r="E395">
        <v>80</v>
      </c>
      <c r="F395">
        <v>26.01</v>
      </c>
      <c r="G395" t="s">
        <v>18</v>
      </c>
      <c r="H395" t="s">
        <v>15</v>
      </c>
    </row>
    <row r="396" spans="1:8" x14ac:dyDescent="0.3">
      <c r="A396" t="s">
        <v>431</v>
      </c>
      <c r="B396">
        <v>94</v>
      </c>
      <c r="C396" t="s">
        <v>82</v>
      </c>
      <c r="D396">
        <v>46</v>
      </c>
      <c r="E396">
        <v>70</v>
      </c>
      <c r="F396">
        <v>286.60000000000002</v>
      </c>
      <c r="G396" t="s">
        <v>2</v>
      </c>
      <c r="H396" t="s">
        <v>9</v>
      </c>
    </row>
    <row r="397" spans="1:8" x14ac:dyDescent="0.3">
      <c r="A397" t="s">
        <v>432</v>
      </c>
      <c r="B397">
        <v>98</v>
      </c>
      <c r="C397" t="s">
        <v>45</v>
      </c>
      <c r="D397">
        <v>58</v>
      </c>
      <c r="E397">
        <v>74</v>
      </c>
      <c r="F397">
        <v>10</v>
      </c>
      <c r="G397" t="s">
        <v>2</v>
      </c>
      <c r="H397" t="s">
        <v>5</v>
      </c>
    </row>
    <row r="398" spans="1:8" x14ac:dyDescent="0.3">
      <c r="A398" t="s">
        <v>433</v>
      </c>
      <c r="B398">
        <v>94</v>
      </c>
      <c r="C398" t="s">
        <v>45</v>
      </c>
      <c r="D398">
        <v>58</v>
      </c>
      <c r="E398">
        <v>78</v>
      </c>
      <c r="F398">
        <v>5.88</v>
      </c>
      <c r="G398" t="s">
        <v>18</v>
      </c>
      <c r="H398" t="s">
        <v>21</v>
      </c>
    </row>
    <row r="399" spans="1:8" x14ac:dyDescent="0.3">
      <c r="A399" t="s">
        <v>434</v>
      </c>
      <c r="B399">
        <v>94</v>
      </c>
      <c r="C399" t="s">
        <v>45</v>
      </c>
      <c r="D399">
        <v>60</v>
      </c>
      <c r="E399">
        <v>78</v>
      </c>
      <c r="F399">
        <v>6.76</v>
      </c>
      <c r="G399" t="s">
        <v>18</v>
      </c>
      <c r="H399" t="s">
        <v>15</v>
      </c>
    </row>
    <row r="400" spans="1:8" x14ac:dyDescent="0.3">
      <c r="A400" t="s">
        <v>435</v>
      </c>
      <c r="B400">
        <v>95</v>
      </c>
      <c r="C400" t="s">
        <v>41</v>
      </c>
      <c r="D400">
        <v>48</v>
      </c>
      <c r="E400">
        <v>689</v>
      </c>
      <c r="F400">
        <v>352.73</v>
      </c>
      <c r="G400" t="s">
        <v>2</v>
      </c>
      <c r="H400" t="s">
        <v>17</v>
      </c>
    </row>
    <row r="401" spans="1:8" x14ac:dyDescent="0.3">
      <c r="A401" t="s">
        <v>436</v>
      </c>
      <c r="B401">
        <v>95</v>
      </c>
      <c r="C401" t="s">
        <v>41</v>
      </c>
      <c r="D401">
        <v>70</v>
      </c>
      <c r="E401">
        <v>85</v>
      </c>
      <c r="F401">
        <v>27</v>
      </c>
      <c r="G401" t="s">
        <v>27</v>
      </c>
      <c r="H401" t="s">
        <v>14</v>
      </c>
    </row>
    <row r="402" spans="1:8" x14ac:dyDescent="0.3">
      <c r="A402" t="s">
        <v>430</v>
      </c>
      <c r="B402">
        <v>95</v>
      </c>
      <c r="C402" t="s">
        <v>41</v>
      </c>
      <c r="D402">
        <v>66</v>
      </c>
      <c r="E402">
        <v>82</v>
      </c>
      <c r="F402">
        <v>11.46</v>
      </c>
      <c r="G402" t="s">
        <v>18</v>
      </c>
      <c r="H402" t="s">
        <v>15</v>
      </c>
    </row>
    <row r="403" spans="1:8" x14ac:dyDescent="0.3">
      <c r="A403" t="s">
        <v>437</v>
      </c>
      <c r="B403">
        <v>97</v>
      </c>
      <c r="C403" t="s">
        <v>45</v>
      </c>
      <c r="D403">
        <v>52</v>
      </c>
      <c r="E403">
        <v>72</v>
      </c>
      <c r="F403">
        <v>30.84</v>
      </c>
      <c r="G403" t="s">
        <v>18</v>
      </c>
      <c r="H403" t="s">
        <v>18</v>
      </c>
    </row>
    <row r="404" spans="1:8" x14ac:dyDescent="0.3">
      <c r="A404" t="s">
        <v>438</v>
      </c>
      <c r="B404">
        <v>96</v>
      </c>
      <c r="C404" t="s">
        <v>45</v>
      </c>
      <c r="D404">
        <v>60</v>
      </c>
      <c r="E404">
        <v>78</v>
      </c>
      <c r="F404">
        <v>9.48</v>
      </c>
      <c r="G404" t="s">
        <v>18</v>
      </c>
      <c r="H404" t="s">
        <v>14</v>
      </c>
    </row>
    <row r="405" spans="1:8" x14ac:dyDescent="0.3">
      <c r="A405" t="s">
        <v>439</v>
      </c>
      <c r="B405">
        <v>95</v>
      </c>
      <c r="C405" t="s">
        <v>45</v>
      </c>
      <c r="D405">
        <v>58</v>
      </c>
      <c r="E405">
        <v>78</v>
      </c>
      <c r="F405">
        <v>24.23</v>
      </c>
      <c r="G405" t="s">
        <v>18</v>
      </c>
      <c r="H405" t="s">
        <v>18</v>
      </c>
    </row>
    <row r="406" spans="1:8" x14ac:dyDescent="0.3">
      <c r="A406" t="s">
        <v>440</v>
      </c>
      <c r="B406">
        <v>96</v>
      </c>
      <c r="C406" t="s">
        <v>41</v>
      </c>
      <c r="D406">
        <v>65</v>
      </c>
      <c r="E406">
        <v>83</v>
      </c>
      <c r="F406">
        <v>24</v>
      </c>
      <c r="G406" t="s">
        <v>18</v>
      </c>
      <c r="H406" t="s">
        <v>14</v>
      </c>
    </row>
    <row r="407" spans="1:8" x14ac:dyDescent="0.3">
      <c r="A407" t="s">
        <v>441</v>
      </c>
      <c r="B407">
        <v>95</v>
      </c>
      <c r="C407" t="s">
        <v>41</v>
      </c>
      <c r="D407">
        <v>64</v>
      </c>
      <c r="E407">
        <v>88</v>
      </c>
      <c r="F407">
        <v>8.52</v>
      </c>
      <c r="G407" t="s">
        <v>18</v>
      </c>
      <c r="H407" t="s">
        <v>6</v>
      </c>
    </row>
    <row r="408" spans="1:8" x14ac:dyDescent="0.3">
      <c r="A408" t="s">
        <v>130</v>
      </c>
      <c r="B408">
        <v>95</v>
      </c>
      <c r="C408" t="s">
        <v>41</v>
      </c>
      <c r="D408">
        <v>64</v>
      </c>
      <c r="E408">
        <v>84</v>
      </c>
      <c r="F408">
        <v>7.05</v>
      </c>
      <c r="G408" t="s">
        <v>18</v>
      </c>
      <c r="H408" t="s">
        <v>9</v>
      </c>
    </row>
    <row r="409" spans="1:8" x14ac:dyDescent="0.3">
      <c r="A409" t="s">
        <v>442</v>
      </c>
      <c r="B409">
        <v>95</v>
      </c>
      <c r="C409" t="s">
        <v>41</v>
      </c>
      <c r="D409">
        <v>62</v>
      </c>
      <c r="E409">
        <v>80</v>
      </c>
      <c r="F409">
        <v>7.64</v>
      </c>
      <c r="G409" t="s">
        <v>18</v>
      </c>
      <c r="H409" t="s">
        <v>12</v>
      </c>
    </row>
    <row r="410" spans="1:8" x14ac:dyDescent="0.3">
      <c r="A410" t="s">
        <v>443</v>
      </c>
      <c r="B410">
        <v>95</v>
      </c>
      <c r="C410" t="s">
        <v>41</v>
      </c>
      <c r="D410">
        <v>62</v>
      </c>
      <c r="E410">
        <v>80</v>
      </c>
      <c r="F410">
        <v>229.28</v>
      </c>
      <c r="G410" t="s">
        <v>2</v>
      </c>
      <c r="H410" t="s">
        <v>14</v>
      </c>
    </row>
    <row r="411" spans="1:8" x14ac:dyDescent="0.3">
      <c r="A411" t="s">
        <v>444</v>
      </c>
      <c r="B411">
        <v>94</v>
      </c>
      <c r="C411" t="s">
        <v>41</v>
      </c>
      <c r="D411">
        <v>74</v>
      </c>
      <c r="E411">
        <v>90</v>
      </c>
      <c r="F411">
        <v>14.55</v>
      </c>
      <c r="G411" t="s">
        <v>18</v>
      </c>
      <c r="H411" t="s">
        <v>14</v>
      </c>
    </row>
    <row r="412" spans="1:8" x14ac:dyDescent="0.3">
      <c r="A412" t="s">
        <v>445</v>
      </c>
      <c r="B412">
        <v>94</v>
      </c>
      <c r="C412" t="s">
        <v>45</v>
      </c>
      <c r="D412">
        <v>60</v>
      </c>
      <c r="E412">
        <v>78</v>
      </c>
      <c r="F412">
        <v>8.8000000000000007</v>
      </c>
      <c r="G412" t="s">
        <v>18</v>
      </c>
      <c r="H412" t="s">
        <v>14</v>
      </c>
    </row>
    <row r="413" spans="1:8" x14ac:dyDescent="0.3">
      <c r="A413" t="s">
        <v>446</v>
      </c>
      <c r="B413">
        <v>94</v>
      </c>
      <c r="C413" t="s">
        <v>45</v>
      </c>
      <c r="D413">
        <v>60</v>
      </c>
      <c r="E413">
        <v>78</v>
      </c>
      <c r="F413">
        <v>9.99</v>
      </c>
      <c r="G413" t="s">
        <v>2</v>
      </c>
      <c r="H413" t="s">
        <v>7</v>
      </c>
    </row>
    <row r="414" spans="1:8" x14ac:dyDescent="0.3">
      <c r="A414" t="s">
        <v>447</v>
      </c>
      <c r="B414">
        <v>94</v>
      </c>
      <c r="C414" t="s">
        <v>45</v>
      </c>
      <c r="D414">
        <v>58</v>
      </c>
      <c r="E414">
        <v>78</v>
      </c>
      <c r="F414">
        <v>6.61</v>
      </c>
      <c r="G414" t="s">
        <v>2</v>
      </c>
      <c r="H414" t="s">
        <v>7</v>
      </c>
    </row>
    <row r="415" spans="1:8" x14ac:dyDescent="0.3">
      <c r="A415" t="s">
        <v>448</v>
      </c>
      <c r="B415">
        <v>95</v>
      </c>
      <c r="C415" t="s">
        <v>41</v>
      </c>
      <c r="D415">
        <v>64</v>
      </c>
      <c r="E415">
        <v>80</v>
      </c>
      <c r="F415">
        <v>7.64</v>
      </c>
      <c r="G415" t="s">
        <v>18</v>
      </c>
      <c r="H415" t="s">
        <v>12</v>
      </c>
    </row>
    <row r="416" spans="1:8" x14ac:dyDescent="0.3">
      <c r="A416" t="s">
        <v>449</v>
      </c>
      <c r="B416">
        <v>95</v>
      </c>
      <c r="C416" t="s">
        <v>45</v>
      </c>
      <c r="D416">
        <v>60</v>
      </c>
      <c r="E416">
        <v>77</v>
      </c>
      <c r="F416">
        <v>661.38</v>
      </c>
      <c r="G416" t="s">
        <v>2</v>
      </c>
      <c r="H416" t="s">
        <v>7</v>
      </c>
    </row>
    <row r="417" spans="1:8" x14ac:dyDescent="0.3">
      <c r="A417" t="s">
        <v>450</v>
      </c>
      <c r="B417">
        <v>94</v>
      </c>
      <c r="C417" t="s">
        <v>41</v>
      </c>
      <c r="D417">
        <v>62</v>
      </c>
      <c r="E417">
        <v>80</v>
      </c>
      <c r="F417">
        <v>198.41</v>
      </c>
      <c r="G417" t="s">
        <v>2</v>
      </c>
      <c r="H417" t="s">
        <v>9</v>
      </c>
    </row>
    <row r="418" spans="1:8" x14ac:dyDescent="0.3">
      <c r="A418" t="s">
        <v>451</v>
      </c>
      <c r="B418">
        <v>96</v>
      </c>
      <c r="C418" t="s">
        <v>41</v>
      </c>
      <c r="D418">
        <v>62</v>
      </c>
      <c r="E418">
        <v>82</v>
      </c>
      <c r="F418">
        <v>180.34</v>
      </c>
      <c r="G418" t="s">
        <v>2</v>
      </c>
      <c r="H418" t="s">
        <v>12</v>
      </c>
    </row>
    <row r="419" spans="1:8" x14ac:dyDescent="0.3">
      <c r="A419" t="s">
        <v>452</v>
      </c>
      <c r="B419">
        <v>95</v>
      </c>
      <c r="C419" t="s">
        <v>45</v>
      </c>
      <c r="D419">
        <v>58</v>
      </c>
      <c r="E419">
        <v>77</v>
      </c>
      <c r="F419">
        <v>114.64</v>
      </c>
      <c r="G419" t="s">
        <v>2</v>
      </c>
      <c r="H419" t="s">
        <v>16</v>
      </c>
    </row>
    <row r="420" spans="1:8" x14ac:dyDescent="0.3">
      <c r="A420" t="s">
        <v>453</v>
      </c>
      <c r="B420">
        <v>95</v>
      </c>
      <c r="C420" t="s">
        <v>45</v>
      </c>
      <c r="D420">
        <v>60</v>
      </c>
      <c r="E420">
        <v>80</v>
      </c>
      <c r="F420">
        <v>154.32</v>
      </c>
      <c r="G420" t="s">
        <v>2</v>
      </c>
      <c r="H420" t="s">
        <v>9</v>
      </c>
    </row>
    <row r="421" spans="1:8" x14ac:dyDescent="0.3">
      <c r="A421" t="s">
        <v>454</v>
      </c>
      <c r="B421">
        <v>94</v>
      </c>
      <c r="C421" t="s">
        <v>45</v>
      </c>
      <c r="D421">
        <v>58</v>
      </c>
      <c r="E421">
        <v>79</v>
      </c>
      <c r="F421">
        <v>97</v>
      </c>
      <c r="G421" t="s">
        <v>2</v>
      </c>
      <c r="H421" t="s">
        <v>7</v>
      </c>
    </row>
    <row r="422" spans="1:8" x14ac:dyDescent="0.3">
      <c r="A422" t="s">
        <v>455</v>
      </c>
      <c r="B422">
        <v>94</v>
      </c>
      <c r="C422" t="s">
        <v>45</v>
      </c>
      <c r="D422">
        <v>58</v>
      </c>
      <c r="E422">
        <v>78</v>
      </c>
      <c r="F422">
        <v>149.91</v>
      </c>
      <c r="G422" t="s">
        <v>2</v>
      </c>
      <c r="H422" t="s">
        <v>9</v>
      </c>
    </row>
    <row r="423" spans="1:8" x14ac:dyDescent="0.3">
      <c r="A423" t="s">
        <v>456</v>
      </c>
      <c r="B423">
        <v>94</v>
      </c>
      <c r="C423" t="s">
        <v>41</v>
      </c>
      <c r="D423">
        <v>64</v>
      </c>
      <c r="E423">
        <v>78</v>
      </c>
      <c r="F423">
        <v>171.96</v>
      </c>
      <c r="G423" t="s">
        <v>2</v>
      </c>
      <c r="H423" t="s">
        <v>9</v>
      </c>
    </row>
    <row r="424" spans="1:8" x14ac:dyDescent="0.3">
      <c r="A424" t="s">
        <v>457</v>
      </c>
      <c r="B424">
        <v>96</v>
      </c>
      <c r="C424" t="s">
        <v>45</v>
      </c>
      <c r="D424">
        <v>60</v>
      </c>
      <c r="E424">
        <v>78</v>
      </c>
      <c r="F424">
        <v>25.57</v>
      </c>
      <c r="G424" t="s">
        <v>18</v>
      </c>
      <c r="H424" t="s">
        <v>14</v>
      </c>
    </row>
    <row r="425" spans="1:8" x14ac:dyDescent="0.3">
      <c r="A425" t="s">
        <v>218</v>
      </c>
      <c r="B425">
        <v>95</v>
      </c>
      <c r="C425" t="s">
        <v>45</v>
      </c>
      <c r="D425">
        <v>60</v>
      </c>
      <c r="E425">
        <v>78</v>
      </c>
      <c r="F425">
        <v>16.75</v>
      </c>
      <c r="G425" t="s">
        <v>18</v>
      </c>
      <c r="H425" t="s">
        <v>14</v>
      </c>
    </row>
    <row r="426" spans="1:8" x14ac:dyDescent="0.3">
      <c r="A426" t="s">
        <v>458</v>
      </c>
      <c r="B426">
        <v>94</v>
      </c>
      <c r="C426" t="s">
        <v>41</v>
      </c>
      <c r="D426">
        <v>61</v>
      </c>
      <c r="E426">
        <v>83</v>
      </c>
      <c r="F426">
        <v>15.43</v>
      </c>
      <c r="G426" t="s">
        <v>18</v>
      </c>
      <c r="H426" t="s">
        <v>14</v>
      </c>
    </row>
    <row r="427" spans="1:8" x14ac:dyDescent="0.3">
      <c r="A427" t="s">
        <v>459</v>
      </c>
      <c r="B427">
        <v>94</v>
      </c>
      <c r="C427" t="s">
        <v>45</v>
      </c>
      <c r="D427">
        <v>60</v>
      </c>
      <c r="E427">
        <v>77</v>
      </c>
      <c r="F427">
        <v>15.43</v>
      </c>
      <c r="G427" t="s">
        <v>18</v>
      </c>
      <c r="H427" t="s">
        <v>14</v>
      </c>
    </row>
    <row r="428" spans="1:8" x14ac:dyDescent="0.3">
      <c r="A428" t="s">
        <v>460</v>
      </c>
      <c r="B428">
        <v>94</v>
      </c>
      <c r="C428" t="s">
        <v>45</v>
      </c>
      <c r="D428">
        <v>60</v>
      </c>
      <c r="E428">
        <v>76</v>
      </c>
      <c r="F428">
        <v>176.37</v>
      </c>
      <c r="G428" t="s">
        <v>2</v>
      </c>
      <c r="H428" t="s">
        <v>9</v>
      </c>
    </row>
    <row r="429" spans="1:8" x14ac:dyDescent="0.3">
      <c r="A429" t="s">
        <v>461</v>
      </c>
      <c r="B429">
        <v>97</v>
      </c>
      <c r="C429" t="s">
        <v>45</v>
      </c>
      <c r="D429">
        <v>60</v>
      </c>
      <c r="E429">
        <v>78</v>
      </c>
      <c r="F429">
        <v>275</v>
      </c>
      <c r="G429" t="s">
        <v>2</v>
      </c>
      <c r="H429" t="s">
        <v>12</v>
      </c>
    </row>
    <row r="430" spans="1:8" x14ac:dyDescent="0.3">
      <c r="A430" t="s">
        <v>462</v>
      </c>
      <c r="B430">
        <v>95</v>
      </c>
      <c r="C430" t="s">
        <v>41</v>
      </c>
      <c r="D430">
        <v>62</v>
      </c>
      <c r="E430">
        <v>82</v>
      </c>
      <c r="F430">
        <v>12</v>
      </c>
      <c r="G430" t="s">
        <v>2</v>
      </c>
      <c r="H430" t="s">
        <v>5</v>
      </c>
    </row>
    <row r="431" spans="1:8" x14ac:dyDescent="0.3">
      <c r="A431" t="s">
        <v>332</v>
      </c>
      <c r="B431">
        <v>94</v>
      </c>
      <c r="C431" t="s">
        <v>45</v>
      </c>
      <c r="D431">
        <v>60</v>
      </c>
      <c r="E431">
        <v>76</v>
      </c>
      <c r="F431">
        <v>8.23</v>
      </c>
      <c r="G431" t="s">
        <v>18</v>
      </c>
      <c r="H431" t="s">
        <v>14</v>
      </c>
    </row>
    <row r="432" spans="1:8" x14ac:dyDescent="0.3">
      <c r="A432" t="s">
        <v>463</v>
      </c>
      <c r="B432">
        <v>95</v>
      </c>
      <c r="C432" t="s">
        <v>41</v>
      </c>
      <c r="D432">
        <v>65</v>
      </c>
      <c r="E432">
        <v>82</v>
      </c>
      <c r="F432">
        <v>12.35</v>
      </c>
      <c r="G432" t="s">
        <v>18</v>
      </c>
      <c r="H432" t="s">
        <v>10</v>
      </c>
    </row>
    <row r="433" spans="1:8" x14ac:dyDescent="0.3">
      <c r="A433" t="s">
        <v>464</v>
      </c>
      <c r="B433">
        <v>95</v>
      </c>
      <c r="C433" t="s">
        <v>41</v>
      </c>
      <c r="D433">
        <v>64</v>
      </c>
      <c r="E433">
        <v>80</v>
      </c>
      <c r="F433">
        <v>220.46</v>
      </c>
      <c r="G433" t="s">
        <v>2</v>
      </c>
      <c r="H433" t="s">
        <v>9</v>
      </c>
    </row>
    <row r="434" spans="1:8" x14ac:dyDescent="0.3">
      <c r="A434" t="s">
        <v>465</v>
      </c>
      <c r="B434">
        <v>94</v>
      </c>
      <c r="C434" t="s">
        <v>41</v>
      </c>
      <c r="D434">
        <v>64</v>
      </c>
      <c r="E434">
        <v>80</v>
      </c>
      <c r="F434">
        <v>0.44</v>
      </c>
      <c r="G434" t="s">
        <v>2</v>
      </c>
      <c r="H434" t="s">
        <v>7</v>
      </c>
    </row>
    <row r="435" spans="1:8" x14ac:dyDescent="0.3">
      <c r="A435" t="s">
        <v>466</v>
      </c>
      <c r="B435">
        <v>96</v>
      </c>
      <c r="C435" t="s">
        <v>41</v>
      </c>
      <c r="D435">
        <v>64</v>
      </c>
      <c r="E435">
        <v>82</v>
      </c>
      <c r="F435">
        <v>6.47</v>
      </c>
      <c r="G435" t="s">
        <v>18</v>
      </c>
      <c r="H435" t="s">
        <v>9</v>
      </c>
    </row>
    <row r="436" spans="1:8" x14ac:dyDescent="0.3">
      <c r="A436" t="s">
        <v>467</v>
      </c>
      <c r="B436">
        <v>95</v>
      </c>
      <c r="C436" t="s">
        <v>45</v>
      </c>
      <c r="D436">
        <v>58</v>
      </c>
      <c r="E436">
        <v>74</v>
      </c>
      <c r="F436">
        <v>49.8</v>
      </c>
      <c r="G436" t="s">
        <v>18</v>
      </c>
      <c r="H436" t="s">
        <v>18</v>
      </c>
    </row>
    <row r="437" spans="1:8" x14ac:dyDescent="0.3">
      <c r="A437" t="s">
        <v>468</v>
      </c>
      <c r="B437">
        <v>96</v>
      </c>
      <c r="C437" t="s">
        <v>45</v>
      </c>
      <c r="D437">
        <v>60</v>
      </c>
      <c r="E437">
        <v>78</v>
      </c>
      <c r="F437">
        <v>6.76</v>
      </c>
      <c r="G437" t="s">
        <v>18</v>
      </c>
      <c r="H437" t="s">
        <v>9</v>
      </c>
    </row>
    <row r="438" spans="1:8" x14ac:dyDescent="0.3">
      <c r="A438" t="s">
        <v>469</v>
      </c>
      <c r="B438">
        <v>94</v>
      </c>
      <c r="C438" t="s">
        <v>41</v>
      </c>
      <c r="D438">
        <v>62</v>
      </c>
      <c r="E438">
        <v>80</v>
      </c>
      <c r="F438">
        <v>7.05</v>
      </c>
      <c r="G438" t="s">
        <v>18</v>
      </c>
      <c r="H438" t="s">
        <v>14</v>
      </c>
    </row>
    <row r="439" spans="1:8" x14ac:dyDescent="0.3">
      <c r="A439" t="s">
        <v>470</v>
      </c>
      <c r="B439">
        <v>95</v>
      </c>
      <c r="C439" t="s">
        <v>45</v>
      </c>
      <c r="D439">
        <v>60</v>
      </c>
      <c r="E439">
        <v>80</v>
      </c>
      <c r="F439">
        <v>23.37</v>
      </c>
      <c r="G439" t="s">
        <v>18</v>
      </c>
      <c r="H439" t="s">
        <v>14</v>
      </c>
    </row>
    <row r="440" spans="1:8" x14ac:dyDescent="0.3">
      <c r="A440" t="s">
        <v>471</v>
      </c>
      <c r="B440">
        <v>94</v>
      </c>
      <c r="C440" t="s">
        <v>45</v>
      </c>
      <c r="D440">
        <v>60</v>
      </c>
      <c r="E440">
        <v>77</v>
      </c>
      <c r="F440">
        <v>22.05</v>
      </c>
      <c r="G440" t="s">
        <v>18</v>
      </c>
      <c r="H440" t="s">
        <v>18</v>
      </c>
    </row>
    <row r="441" spans="1:8" x14ac:dyDescent="0.3">
      <c r="A441" t="s">
        <v>472</v>
      </c>
      <c r="B441">
        <v>94</v>
      </c>
      <c r="C441" t="s">
        <v>41</v>
      </c>
      <c r="D441">
        <v>68</v>
      </c>
      <c r="E441">
        <v>84</v>
      </c>
      <c r="F441">
        <v>110.23</v>
      </c>
      <c r="G441" t="s">
        <v>2</v>
      </c>
      <c r="H441" t="s">
        <v>9</v>
      </c>
    </row>
    <row r="442" spans="1:8" x14ac:dyDescent="0.3">
      <c r="A442" t="s">
        <v>165</v>
      </c>
      <c r="B442">
        <v>94</v>
      </c>
      <c r="C442" t="s">
        <v>45</v>
      </c>
      <c r="D442">
        <v>56</v>
      </c>
      <c r="E442">
        <v>78</v>
      </c>
      <c r="F442">
        <v>7.05</v>
      </c>
      <c r="G442" t="s">
        <v>18</v>
      </c>
      <c r="H442" t="s">
        <v>21</v>
      </c>
    </row>
    <row r="443" spans="1:8" x14ac:dyDescent="0.3">
      <c r="A443" t="s">
        <v>473</v>
      </c>
      <c r="B443">
        <v>94</v>
      </c>
      <c r="C443" t="s">
        <v>45</v>
      </c>
      <c r="D443">
        <v>58</v>
      </c>
      <c r="E443">
        <v>72</v>
      </c>
      <c r="F443">
        <v>5.29</v>
      </c>
      <c r="G443" t="s">
        <v>2</v>
      </c>
      <c r="H443" t="s">
        <v>9</v>
      </c>
    </row>
    <row r="444" spans="1:8" x14ac:dyDescent="0.3">
      <c r="A444" t="s">
        <v>474</v>
      </c>
      <c r="B444">
        <v>95</v>
      </c>
      <c r="C444" t="s">
        <v>45</v>
      </c>
      <c r="D444">
        <v>59</v>
      </c>
      <c r="E444">
        <v>75</v>
      </c>
      <c r="F444">
        <v>6.47</v>
      </c>
      <c r="G444" t="s">
        <v>18</v>
      </c>
      <c r="H444" t="s">
        <v>12</v>
      </c>
    </row>
    <row r="445" spans="1:8" x14ac:dyDescent="0.3">
      <c r="A445" t="s">
        <v>475</v>
      </c>
      <c r="B445">
        <v>95</v>
      </c>
      <c r="C445" t="s">
        <v>45</v>
      </c>
      <c r="D445">
        <v>59</v>
      </c>
      <c r="E445">
        <v>77</v>
      </c>
      <c r="F445">
        <v>8.3800000000000008</v>
      </c>
      <c r="G445" t="s">
        <v>18</v>
      </c>
      <c r="H445" t="s">
        <v>15</v>
      </c>
    </row>
    <row r="446" spans="1:8" x14ac:dyDescent="0.3">
      <c r="A446" t="s">
        <v>476</v>
      </c>
      <c r="B446">
        <v>94</v>
      </c>
      <c r="C446" t="s">
        <v>45</v>
      </c>
      <c r="D446">
        <v>59</v>
      </c>
      <c r="E446">
        <v>77</v>
      </c>
      <c r="F446">
        <v>5.59</v>
      </c>
      <c r="G446" t="s">
        <v>18</v>
      </c>
      <c r="H446" t="s">
        <v>6</v>
      </c>
    </row>
    <row r="447" spans="1:8" x14ac:dyDescent="0.3">
      <c r="A447" t="s">
        <v>477</v>
      </c>
      <c r="B447">
        <v>95</v>
      </c>
      <c r="C447" t="s">
        <v>41</v>
      </c>
      <c r="D447">
        <v>63</v>
      </c>
      <c r="E447">
        <v>81</v>
      </c>
      <c r="F447">
        <v>13.67</v>
      </c>
      <c r="G447" t="s">
        <v>18</v>
      </c>
      <c r="H447" t="s">
        <v>14</v>
      </c>
    </row>
    <row r="448" spans="1:8" x14ac:dyDescent="0.3">
      <c r="A448" t="s">
        <v>478</v>
      </c>
      <c r="B448">
        <v>95</v>
      </c>
      <c r="C448" t="s">
        <v>41</v>
      </c>
      <c r="D448">
        <v>62</v>
      </c>
      <c r="E448">
        <v>83</v>
      </c>
      <c r="F448">
        <v>14.55</v>
      </c>
      <c r="G448" t="s">
        <v>18</v>
      </c>
      <c r="H448" t="s">
        <v>14</v>
      </c>
    </row>
    <row r="449" spans="1:8" x14ac:dyDescent="0.3">
      <c r="A449" t="s">
        <v>479</v>
      </c>
      <c r="B449">
        <v>95</v>
      </c>
      <c r="C449" t="s">
        <v>41</v>
      </c>
      <c r="D449">
        <v>62</v>
      </c>
      <c r="E449">
        <v>81</v>
      </c>
      <c r="F449">
        <v>242.5</v>
      </c>
      <c r="G449" t="s">
        <v>2</v>
      </c>
      <c r="H449" t="s">
        <v>14</v>
      </c>
    </row>
    <row r="450" spans="1:8" x14ac:dyDescent="0.3">
      <c r="A450" t="s">
        <v>480</v>
      </c>
      <c r="B450">
        <v>95</v>
      </c>
      <c r="C450" t="s">
        <v>41</v>
      </c>
      <c r="D450">
        <v>64</v>
      </c>
      <c r="E450">
        <v>80</v>
      </c>
      <c r="F450">
        <v>14.11</v>
      </c>
      <c r="G450" t="s">
        <v>2</v>
      </c>
      <c r="H450" t="s">
        <v>4</v>
      </c>
    </row>
    <row r="451" spans="1:8" x14ac:dyDescent="0.3">
      <c r="A451" t="s">
        <v>481</v>
      </c>
      <c r="B451">
        <v>94</v>
      </c>
      <c r="C451" t="s">
        <v>45</v>
      </c>
      <c r="D451">
        <v>58</v>
      </c>
      <c r="E451">
        <v>78</v>
      </c>
      <c r="F451">
        <v>325</v>
      </c>
      <c r="G451" t="s">
        <v>2</v>
      </c>
      <c r="H451" t="s">
        <v>14</v>
      </c>
    </row>
    <row r="452" spans="1:8" x14ac:dyDescent="0.3">
      <c r="A452" t="s">
        <v>482</v>
      </c>
      <c r="B452">
        <v>94</v>
      </c>
      <c r="C452" t="s">
        <v>45</v>
      </c>
      <c r="D452">
        <v>62</v>
      </c>
      <c r="E452">
        <v>79</v>
      </c>
      <c r="F452">
        <v>10.58</v>
      </c>
      <c r="G452" t="s">
        <v>18</v>
      </c>
      <c r="H452" t="s">
        <v>7</v>
      </c>
    </row>
    <row r="453" spans="1:8" x14ac:dyDescent="0.3">
      <c r="A453" t="s">
        <v>259</v>
      </c>
      <c r="B453">
        <v>96</v>
      </c>
      <c r="C453" t="s">
        <v>45</v>
      </c>
      <c r="D453">
        <v>60</v>
      </c>
      <c r="E453">
        <v>74</v>
      </c>
      <c r="F453">
        <v>11.02</v>
      </c>
      <c r="G453" t="s">
        <v>18</v>
      </c>
      <c r="H453" t="s">
        <v>14</v>
      </c>
    </row>
    <row r="454" spans="1:8" x14ac:dyDescent="0.3">
      <c r="A454" t="s">
        <v>483</v>
      </c>
      <c r="B454">
        <v>94</v>
      </c>
      <c r="C454" t="s">
        <v>45</v>
      </c>
      <c r="D454">
        <v>57</v>
      </c>
      <c r="E454">
        <v>77</v>
      </c>
      <c r="F454">
        <v>17.64</v>
      </c>
      <c r="G454" t="s">
        <v>2</v>
      </c>
      <c r="H454" t="s">
        <v>9</v>
      </c>
    </row>
    <row r="455" spans="1:8" x14ac:dyDescent="0.3">
      <c r="A455" t="s">
        <v>484</v>
      </c>
      <c r="B455">
        <v>96</v>
      </c>
      <c r="C455" t="s">
        <v>41</v>
      </c>
      <c r="D455">
        <v>65</v>
      </c>
      <c r="E455">
        <v>90</v>
      </c>
      <c r="F455">
        <v>39.68</v>
      </c>
      <c r="G455" t="s">
        <v>18</v>
      </c>
      <c r="H455" t="s">
        <v>5</v>
      </c>
    </row>
    <row r="456" spans="1:8" x14ac:dyDescent="0.3">
      <c r="A456" t="s">
        <v>485</v>
      </c>
      <c r="B456">
        <v>96</v>
      </c>
      <c r="C456" t="s">
        <v>41</v>
      </c>
      <c r="D456">
        <v>62</v>
      </c>
      <c r="E456">
        <v>80</v>
      </c>
      <c r="F456">
        <v>396.83</v>
      </c>
      <c r="G456" t="s">
        <v>2</v>
      </c>
      <c r="H456" t="s">
        <v>9</v>
      </c>
    </row>
    <row r="457" spans="1:8" x14ac:dyDescent="0.3">
      <c r="A457" t="s">
        <v>486</v>
      </c>
      <c r="B457">
        <v>95</v>
      </c>
      <c r="C457" t="s">
        <v>45</v>
      </c>
      <c r="D457">
        <v>56</v>
      </c>
      <c r="E457">
        <v>72</v>
      </c>
      <c r="F457">
        <v>143.30000000000001</v>
      </c>
      <c r="G457" t="s">
        <v>2</v>
      </c>
      <c r="H457" t="s">
        <v>7</v>
      </c>
    </row>
    <row r="458" spans="1:8" x14ac:dyDescent="0.3">
      <c r="A458" t="s">
        <v>487</v>
      </c>
      <c r="B458">
        <v>95</v>
      </c>
      <c r="C458" t="s">
        <v>41</v>
      </c>
      <c r="D458">
        <v>64</v>
      </c>
      <c r="E458">
        <v>80</v>
      </c>
      <c r="F458">
        <v>255.73</v>
      </c>
      <c r="G458" t="s">
        <v>2</v>
      </c>
      <c r="H458" t="s">
        <v>14</v>
      </c>
    </row>
    <row r="459" spans="1:8" x14ac:dyDescent="0.3">
      <c r="A459" t="s">
        <v>488</v>
      </c>
      <c r="B459">
        <v>95</v>
      </c>
      <c r="C459" t="s">
        <v>45</v>
      </c>
      <c r="D459">
        <v>63</v>
      </c>
      <c r="E459">
        <v>77</v>
      </c>
      <c r="F459">
        <v>9.8800000000000008</v>
      </c>
      <c r="G459" t="s">
        <v>18</v>
      </c>
      <c r="H459" t="s">
        <v>14</v>
      </c>
    </row>
    <row r="460" spans="1:8" x14ac:dyDescent="0.3">
      <c r="A460" t="s">
        <v>489</v>
      </c>
      <c r="B460">
        <v>94</v>
      </c>
      <c r="C460" t="s">
        <v>45</v>
      </c>
      <c r="D460">
        <v>57</v>
      </c>
      <c r="E460">
        <v>74</v>
      </c>
      <c r="F460">
        <v>11.76</v>
      </c>
      <c r="G460" t="s">
        <v>18</v>
      </c>
      <c r="H460" t="s">
        <v>7</v>
      </c>
    </row>
    <row r="461" spans="1:8" x14ac:dyDescent="0.3">
      <c r="A461" t="s">
        <v>490</v>
      </c>
      <c r="B461">
        <v>95</v>
      </c>
      <c r="C461" t="s">
        <v>45</v>
      </c>
      <c r="D461">
        <v>58</v>
      </c>
      <c r="E461">
        <v>66</v>
      </c>
      <c r="F461">
        <v>30.84</v>
      </c>
      <c r="G461" t="s">
        <v>18</v>
      </c>
      <c r="H461" t="s">
        <v>150</v>
      </c>
    </row>
    <row r="462" spans="1:8" x14ac:dyDescent="0.3">
      <c r="A462" t="s">
        <v>491</v>
      </c>
      <c r="B462">
        <v>95</v>
      </c>
      <c r="C462" t="s">
        <v>45</v>
      </c>
      <c r="D462">
        <v>58</v>
      </c>
      <c r="E462">
        <v>77</v>
      </c>
      <c r="F462">
        <v>6.47</v>
      </c>
      <c r="G462" t="s">
        <v>18</v>
      </c>
      <c r="H462" t="s">
        <v>12</v>
      </c>
    </row>
    <row r="463" spans="1:8" x14ac:dyDescent="0.3">
      <c r="A463" t="s">
        <v>492</v>
      </c>
      <c r="B463">
        <v>95</v>
      </c>
      <c r="C463" t="s">
        <v>45</v>
      </c>
      <c r="D463">
        <v>60</v>
      </c>
      <c r="E463">
        <v>78</v>
      </c>
      <c r="F463">
        <v>6.16</v>
      </c>
      <c r="G463" t="s">
        <v>18</v>
      </c>
      <c r="H463" t="s">
        <v>12</v>
      </c>
    </row>
    <row r="464" spans="1:8" x14ac:dyDescent="0.3">
      <c r="A464" t="s">
        <v>493</v>
      </c>
      <c r="B464">
        <v>94</v>
      </c>
      <c r="C464" t="s">
        <v>41</v>
      </c>
      <c r="D464">
        <v>62</v>
      </c>
      <c r="E464">
        <v>80</v>
      </c>
      <c r="F464">
        <v>9.83</v>
      </c>
      <c r="G464" t="s">
        <v>18</v>
      </c>
      <c r="H464" t="s">
        <v>14</v>
      </c>
    </row>
    <row r="465" spans="1:8" x14ac:dyDescent="0.3">
      <c r="A465" t="s">
        <v>494</v>
      </c>
      <c r="B465">
        <v>95</v>
      </c>
      <c r="C465" t="s">
        <v>45</v>
      </c>
      <c r="D465">
        <v>60</v>
      </c>
      <c r="E465">
        <v>76</v>
      </c>
      <c r="F465">
        <v>6.17</v>
      </c>
      <c r="G465" t="s">
        <v>18</v>
      </c>
      <c r="H465" t="s">
        <v>9</v>
      </c>
    </row>
    <row r="466" spans="1:8" x14ac:dyDescent="0.3">
      <c r="A466" t="s">
        <v>495</v>
      </c>
      <c r="B466">
        <v>95</v>
      </c>
      <c r="C466" t="s">
        <v>45</v>
      </c>
      <c r="D466">
        <v>59</v>
      </c>
      <c r="E466">
        <v>76</v>
      </c>
      <c r="F466">
        <v>211.64</v>
      </c>
      <c r="G466" t="s">
        <v>2</v>
      </c>
      <c r="H466" t="s">
        <v>9</v>
      </c>
    </row>
    <row r="467" spans="1:8" x14ac:dyDescent="0.3">
      <c r="A467" t="s">
        <v>496</v>
      </c>
      <c r="B467">
        <v>94</v>
      </c>
      <c r="C467" t="s">
        <v>45</v>
      </c>
      <c r="D467">
        <v>59</v>
      </c>
      <c r="E467">
        <v>77</v>
      </c>
      <c r="F467">
        <v>6.47</v>
      </c>
      <c r="G467" t="s">
        <v>18</v>
      </c>
      <c r="H467" t="s">
        <v>15</v>
      </c>
    </row>
    <row r="468" spans="1:8" x14ac:dyDescent="0.3">
      <c r="A468" t="s">
        <v>497</v>
      </c>
      <c r="B468">
        <v>94</v>
      </c>
      <c r="C468" t="s">
        <v>45</v>
      </c>
      <c r="D468">
        <v>63</v>
      </c>
      <c r="E468">
        <v>71</v>
      </c>
      <c r="F468">
        <v>480</v>
      </c>
      <c r="G468" t="s">
        <v>2</v>
      </c>
      <c r="H468" t="s">
        <v>14</v>
      </c>
    </row>
    <row r="469" spans="1:8" x14ac:dyDescent="0.3">
      <c r="A469" t="s">
        <v>498</v>
      </c>
      <c r="B469">
        <v>94</v>
      </c>
      <c r="C469" t="s">
        <v>41</v>
      </c>
      <c r="D469">
        <v>63</v>
      </c>
      <c r="E469">
        <v>79</v>
      </c>
      <c r="F469">
        <v>145.5</v>
      </c>
      <c r="G469" t="s">
        <v>2</v>
      </c>
      <c r="H469" t="s">
        <v>15</v>
      </c>
    </row>
    <row r="470" spans="1:8" x14ac:dyDescent="0.3">
      <c r="A470" t="s">
        <v>499</v>
      </c>
      <c r="B470">
        <v>94</v>
      </c>
      <c r="C470" t="s">
        <v>45</v>
      </c>
      <c r="D470">
        <v>52</v>
      </c>
      <c r="E470">
        <v>70</v>
      </c>
      <c r="F470">
        <v>17.64</v>
      </c>
      <c r="G470" t="s">
        <v>18</v>
      </c>
      <c r="H470" t="s">
        <v>18</v>
      </c>
    </row>
    <row r="471" spans="1:8" x14ac:dyDescent="0.3">
      <c r="A471" t="s">
        <v>500</v>
      </c>
      <c r="B471">
        <v>96</v>
      </c>
      <c r="C471" t="s">
        <v>45</v>
      </c>
      <c r="D471">
        <v>57</v>
      </c>
      <c r="E471">
        <v>77</v>
      </c>
      <c r="F471">
        <v>149.91</v>
      </c>
      <c r="G471" t="s">
        <v>2</v>
      </c>
      <c r="H471" t="s">
        <v>12</v>
      </c>
    </row>
    <row r="472" spans="1:8" x14ac:dyDescent="0.3">
      <c r="A472" t="s">
        <v>501</v>
      </c>
      <c r="B472">
        <v>94</v>
      </c>
      <c r="C472" t="s">
        <v>45</v>
      </c>
      <c r="D472">
        <v>60</v>
      </c>
      <c r="E472">
        <v>76</v>
      </c>
      <c r="F472">
        <v>7.94</v>
      </c>
      <c r="G472" t="s">
        <v>18</v>
      </c>
      <c r="H472" t="s">
        <v>7</v>
      </c>
    </row>
    <row r="473" spans="1:8" x14ac:dyDescent="0.3">
      <c r="A473" t="s">
        <v>502</v>
      </c>
      <c r="B473">
        <v>94</v>
      </c>
      <c r="C473" t="s">
        <v>45</v>
      </c>
      <c r="D473">
        <v>58</v>
      </c>
      <c r="E473">
        <v>76</v>
      </c>
      <c r="F473">
        <v>143.30000000000001</v>
      </c>
      <c r="G473" t="s">
        <v>2</v>
      </c>
      <c r="H473" t="s">
        <v>9</v>
      </c>
    </row>
    <row r="474" spans="1:8" x14ac:dyDescent="0.3">
      <c r="A474" t="s">
        <v>503</v>
      </c>
      <c r="B474">
        <v>94</v>
      </c>
      <c r="C474" t="s">
        <v>45</v>
      </c>
      <c r="D474">
        <v>60</v>
      </c>
      <c r="E474">
        <v>78</v>
      </c>
      <c r="F474">
        <v>127.87</v>
      </c>
      <c r="G474" t="s">
        <v>2</v>
      </c>
      <c r="H474" t="s">
        <v>9</v>
      </c>
    </row>
    <row r="475" spans="1:8" x14ac:dyDescent="0.3">
      <c r="A475" t="s">
        <v>504</v>
      </c>
      <c r="B475">
        <v>95</v>
      </c>
      <c r="C475" t="s">
        <v>41</v>
      </c>
      <c r="D475">
        <v>62</v>
      </c>
      <c r="E475">
        <v>80</v>
      </c>
      <c r="F475">
        <v>6.76</v>
      </c>
      <c r="G475" t="s">
        <v>18</v>
      </c>
      <c r="H475" t="s">
        <v>9</v>
      </c>
    </row>
    <row r="476" spans="1:8" x14ac:dyDescent="0.3">
      <c r="A476" t="s">
        <v>505</v>
      </c>
      <c r="B476">
        <v>95</v>
      </c>
      <c r="C476" t="s">
        <v>41</v>
      </c>
      <c r="D476">
        <v>65</v>
      </c>
      <c r="E476">
        <v>81</v>
      </c>
      <c r="F476">
        <v>198.24</v>
      </c>
      <c r="G476" t="s">
        <v>2</v>
      </c>
      <c r="H476" t="s">
        <v>5</v>
      </c>
    </row>
    <row r="477" spans="1:8" x14ac:dyDescent="0.3">
      <c r="A477" t="s">
        <v>506</v>
      </c>
      <c r="B477">
        <v>94</v>
      </c>
      <c r="C477" t="s">
        <v>45</v>
      </c>
      <c r="D477">
        <v>60</v>
      </c>
      <c r="E477">
        <v>77</v>
      </c>
      <c r="F477">
        <v>136.56</v>
      </c>
      <c r="G477" t="s">
        <v>2</v>
      </c>
      <c r="H477" t="s">
        <v>9</v>
      </c>
    </row>
    <row r="478" spans="1:8" x14ac:dyDescent="0.3">
      <c r="A478" t="s">
        <v>301</v>
      </c>
      <c r="B478">
        <v>94</v>
      </c>
      <c r="C478" t="s">
        <v>45</v>
      </c>
      <c r="D478">
        <v>58</v>
      </c>
      <c r="E478">
        <v>74</v>
      </c>
      <c r="F478">
        <v>9.6999999999999993</v>
      </c>
      <c r="G478" t="s">
        <v>18</v>
      </c>
      <c r="H478" t="s">
        <v>14</v>
      </c>
    </row>
    <row r="479" spans="1:8" x14ac:dyDescent="0.3">
      <c r="A479" t="s">
        <v>507</v>
      </c>
      <c r="B479">
        <v>95</v>
      </c>
      <c r="C479" t="s">
        <v>45</v>
      </c>
      <c r="D479">
        <v>60</v>
      </c>
      <c r="E479">
        <v>77</v>
      </c>
      <c r="F479">
        <v>19.399999999999999</v>
      </c>
      <c r="G479" t="s">
        <v>2</v>
      </c>
      <c r="H479" t="s">
        <v>5</v>
      </c>
    </row>
    <row r="480" spans="1:8" x14ac:dyDescent="0.3">
      <c r="A480" t="s">
        <v>508</v>
      </c>
      <c r="B480">
        <v>95</v>
      </c>
      <c r="C480" t="s">
        <v>41</v>
      </c>
      <c r="D480">
        <v>64</v>
      </c>
      <c r="E480">
        <v>78</v>
      </c>
      <c r="F480">
        <v>17.64</v>
      </c>
      <c r="G480" t="s">
        <v>2</v>
      </c>
      <c r="H480" t="s">
        <v>5</v>
      </c>
    </row>
    <row r="481" spans="1:8" x14ac:dyDescent="0.3">
      <c r="A481" t="s">
        <v>509</v>
      </c>
      <c r="B481">
        <v>96</v>
      </c>
      <c r="C481" t="s">
        <v>45</v>
      </c>
      <c r="D481">
        <v>52</v>
      </c>
      <c r="E481">
        <v>72</v>
      </c>
      <c r="F481">
        <v>30.86</v>
      </c>
      <c r="G481" t="s">
        <v>18</v>
      </c>
      <c r="H481" t="s">
        <v>150</v>
      </c>
    </row>
    <row r="482" spans="1:8" x14ac:dyDescent="0.3">
      <c r="A482" t="s">
        <v>510</v>
      </c>
      <c r="B482">
        <v>95</v>
      </c>
      <c r="C482" t="s">
        <v>45</v>
      </c>
      <c r="D482">
        <v>56</v>
      </c>
      <c r="E482">
        <v>74</v>
      </c>
      <c r="F482">
        <v>6.17</v>
      </c>
      <c r="G482" t="s">
        <v>18</v>
      </c>
      <c r="H482" t="s">
        <v>16</v>
      </c>
    </row>
    <row r="483" spans="1:8" x14ac:dyDescent="0.3">
      <c r="A483" t="s">
        <v>511</v>
      </c>
      <c r="B483">
        <v>94</v>
      </c>
      <c r="C483" t="s">
        <v>41</v>
      </c>
      <c r="D483">
        <v>65</v>
      </c>
      <c r="E483">
        <v>81</v>
      </c>
      <c r="F483">
        <v>1</v>
      </c>
      <c r="G483" t="s">
        <v>2</v>
      </c>
      <c r="H483" t="s">
        <v>5</v>
      </c>
    </row>
    <row r="484" spans="1:8" x14ac:dyDescent="0.3">
      <c r="A484" t="s">
        <v>512</v>
      </c>
      <c r="B484">
        <v>94</v>
      </c>
      <c r="C484" t="s">
        <v>45</v>
      </c>
      <c r="D484">
        <v>60</v>
      </c>
      <c r="E484">
        <v>77</v>
      </c>
      <c r="F484">
        <v>7.64</v>
      </c>
      <c r="G484" t="s">
        <v>18</v>
      </c>
      <c r="H484" t="s">
        <v>14</v>
      </c>
    </row>
    <row r="485" spans="1:8" x14ac:dyDescent="0.3">
      <c r="A485" t="s">
        <v>513</v>
      </c>
      <c r="B485">
        <v>95</v>
      </c>
      <c r="C485" t="s">
        <v>45</v>
      </c>
      <c r="D485">
        <v>62</v>
      </c>
      <c r="E485">
        <v>78</v>
      </c>
      <c r="F485">
        <v>7.94</v>
      </c>
      <c r="G485" t="s">
        <v>18</v>
      </c>
      <c r="H485" t="s">
        <v>9</v>
      </c>
    </row>
    <row r="486" spans="1:8" x14ac:dyDescent="0.3">
      <c r="A486" t="s">
        <v>514</v>
      </c>
      <c r="B486">
        <v>94</v>
      </c>
      <c r="C486" t="s">
        <v>41</v>
      </c>
      <c r="D486">
        <v>64</v>
      </c>
      <c r="E486">
        <v>80</v>
      </c>
      <c r="F486">
        <v>7.94</v>
      </c>
      <c r="G486" t="s">
        <v>18</v>
      </c>
      <c r="H486" t="s">
        <v>14</v>
      </c>
    </row>
    <row r="487" spans="1:8" x14ac:dyDescent="0.3">
      <c r="A487" t="s">
        <v>515</v>
      </c>
      <c r="B487">
        <v>94</v>
      </c>
      <c r="C487" t="s">
        <v>45</v>
      </c>
      <c r="D487">
        <v>59</v>
      </c>
      <c r="E487">
        <v>75</v>
      </c>
      <c r="F487">
        <v>7.94</v>
      </c>
      <c r="G487" t="s">
        <v>18</v>
      </c>
      <c r="H487" t="s">
        <v>9</v>
      </c>
    </row>
    <row r="488" spans="1:8" x14ac:dyDescent="0.3">
      <c r="A488" t="s">
        <v>516</v>
      </c>
      <c r="B488">
        <v>94</v>
      </c>
      <c r="C488" t="s">
        <v>45</v>
      </c>
      <c r="D488">
        <v>59</v>
      </c>
      <c r="E488">
        <v>76</v>
      </c>
      <c r="F488">
        <v>225</v>
      </c>
      <c r="G488" t="s">
        <v>2</v>
      </c>
      <c r="H488" t="s">
        <v>9</v>
      </c>
    </row>
    <row r="489" spans="1:8" x14ac:dyDescent="0.3">
      <c r="A489" t="s">
        <v>517</v>
      </c>
      <c r="B489">
        <v>94</v>
      </c>
      <c r="C489" t="s">
        <v>45</v>
      </c>
      <c r="D489">
        <v>61</v>
      </c>
      <c r="E489">
        <v>74</v>
      </c>
      <c r="F489">
        <v>250</v>
      </c>
      <c r="G489" t="s">
        <v>2</v>
      </c>
      <c r="H489" t="s">
        <v>9</v>
      </c>
    </row>
    <row r="490" spans="1:8" x14ac:dyDescent="0.3">
      <c r="A490" t="s">
        <v>518</v>
      </c>
      <c r="B490">
        <v>96</v>
      </c>
      <c r="C490" t="s">
        <v>41</v>
      </c>
      <c r="D490">
        <v>65</v>
      </c>
      <c r="E490">
        <v>82</v>
      </c>
      <c r="F490">
        <v>52.91</v>
      </c>
      <c r="G490" t="s">
        <v>18</v>
      </c>
      <c r="H490" t="s">
        <v>14</v>
      </c>
    </row>
    <row r="491" spans="1:8" x14ac:dyDescent="0.3">
      <c r="A491" t="s">
        <v>519</v>
      </c>
      <c r="B491">
        <v>94</v>
      </c>
      <c r="C491" t="s">
        <v>45</v>
      </c>
      <c r="D491">
        <v>62</v>
      </c>
      <c r="E491">
        <v>74</v>
      </c>
      <c r="F491">
        <v>5.59</v>
      </c>
      <c r="G491" t="s">
        <v>18</v>
      </c>
      <c r="H491" t="s">
        <v>20</v>
      </c>
    </row>
    <row r="492" spans="1:8" x14ac:dyDescent="0.3">
      <c r="A492" t="s">
        <v>241</v>
      </c>
      <c r="B492">
        <v>95</v>
      </c>
      <c r="C492" t="s">
        <v>45</v>
      </c>
      <c r="D492">
        <v>58</v>
      </c>
      <c r="E492">
        <v>74</v>
      </c>
      <c r="F492">
        <v>145.5</v>
      </c>
      <c r="G492" t="s">
        <v>2</v>
      </c>
      <c r="H492" t="s">
        <v>12</v>
      </c>
    </row>
    <row r="493" spans="1:8" x14ac:dyDescent="0.3">
      <c r="A493" t="s">
        <v>520</v>
      </c>
      <c r="B493">
        <v>94</v>
      </c>
      <c r="C493" t="s">
        <v>45</v>
      </c>
      <c r="D493">
        <v>57</v>
      </c>
      <c r="E493">
        <v>76</v>
      </c>
      <c r="F493">
        <v>143.30000000000001</v>
      </c>
      <c r="G493" t="s">
        <v>2</v>
      </c>
      <c r="H493" t="s">
        <v>12</v>
      </c>
    </row>
    <row r="494" spans="1:8" x14ac:dyDescent="0.3">
      <c r="A494" t="s">
        <v>521</v>
      </c>
      <c r="B494">
        <v>94</v>
      </c>
      <c r="C494" t="s">
        <v>45</v>
      </c>
      <c r="D494">
        <v>60</v>
      </c>
      <c r="E494">
        <v>77</v>
      </c>
      <c r="F494">
        <v>198.41</v>
      </c>
      <c r="G494" t="s">
        <v>2</v>
      </c>
      <c r="H494" t="s">
        <v>15</v>
      </c>
    </row>
    <row r="495" spans="1:8" x14ac:dyDescent="0.3">
      <c r="A495" t="s">
        <v>522</v>
      </c>
      <c r="B495">
        <v>98</v>
      </c>
      <c r="C495" t="s">
        <v>45</v>
      </c>
      <c r="D495">
        <v>62</v>
      </c>
      <c r="E495">
        <v>78</v>
      </c>
      <c r="F495">
        <v>8.82</v>
      </c>
      <c r="G495" t="s">
        <v>18</v>
      </c>
      <c r="H495" t="s">
        <v>14</v>
      </c>
    </row>
    <row r="496" spans="1:8" x14ac:dyDescent="0.3">
      <c r="A496" t="s">
        <v>523</v>
      </c>
      <c r="B496">
        <v>95</v>
      </c>
      <c r="C496" t="s">
        <v>41</v>
      </c>
      <c r="D496">
        <v>62</v>
      </c>
      <c r="E496">
        <v>80</v>
      </c>
      <c r="F496">
        <v>8.82</v>
      </c>
      <c r="G496" t="s">
        <v>18</v>
      </c>
      <c r="H496" t="s">
        <v>15</v>
      </c>
    </row>
    <row r="497" spans="1:8" x14ac:dyDescent="0.3">
      <c r="A497" t="s">
        <v>524</v>
      </c>
      <c r="B497">
        <v>95</v>
      </c>
      <c r="C497" t="s">
        <v>45</v>
      </c>
      <c r="D497">
        <v>58</v>
      </c>
      <c r="E497">
        <v>74</v>
      </c>
      <c r="F497">
        <v>6.76</v>
      </c>
      <c r="G497" t="s">
        <v>18</v>
      </c>
      <c r="H497" t="s">
        <v>9</v>
      </c>
    </row>
    <row r="498" spans="1:8" x14ac:dyDescent="0.3">
      <c r="A498" t="s">
        <v>287</v>
      </c>
      <c r="B498">
        <v>95</v>
      </c>
      <c r="C498" t="s">
        <v>41</v>
      </c>
      <c r="D498">
        <v>62</v>
      </c>
      <c r="E498">
        <v>80</v>
      </c>
      <c r="F498">
        <v>16.93</v>
      </c>
      <c r="G498" t="s">
        <v>18</v>
      </c>
      <c r="H498" t="s">
        <v>14</v>
      </c>
    </row>
    <row r="499" spans="1:8" x14ac:dyDescent="0.3">
      <c r="A499" t="s">
        <v>525</v>
      </c>
      <c r="B499">
        <v>94</v>
      </c>
      <c r="C499" t="s">
        <v>45</v>
      </c>
      <c r="D499">
        <v>59</v>
      </c>
      <c r="E499">
        <v>73</v>
      </c>
      <c r="F499">
        <v>35.270000000000003</v>
      </c>
      <c r="G499" t="s">
        <v>2</v>
      </c>
      <c r="H499" t="s">
        <v>5</v>
      </c>
    </row>
    <row r="500" spans="1:8" x14ac:dyDescent="0.3">
      <c r="A500" t="s">
        <v>526</v>
      </c>
      <c r="B500">
        <v>94</v>
      </c>
      <c r="C500" t="s">
        <v>41</v>
      </c>
      <c r="D500">
        <v>64</v>
      </c>
      <c r="E500">
        <v>80</v>
      </c>
      <c r="F500">
        <v>12</v>
      </c>
      <c r="G500" t="s">
        <v>18</v>
      </c>
      <c r="H500" t="s">
        <v>14</v>
      </c>
    </row>
    <row r="501" spans="1:8" x14ac:dyDescent="0.3">
      <c r="A501" t="s">
        <v>527</v>
      </c>
      <c r="B501">
        <v>94</v>
      </c>
      <c r="C501" t="s">
        <v>41</v>
      </c>
      <c r="D501">
        <v>65</v>
      </c>
      <c r="E501">
        <v>79</v>
      </c>
      <c r="F501">
        <v>198.41</v>
      </c>
      <c r="G501" t="s">
        <v>2</v>
      </c>
      <c r="H501" t="s">
        <v>14</v>
      </c>
    </row>
    <row r="502" spans="1:8" x14ac:dyDescent="0.3">
      <c r="A502" t="s">
        <v>528</v>
      </c>
      <c r="B502">
        <v>94</v>
      </c>
      <c r="C502" t="s">
        <v>41</v>
      </c>
      <c r="D502">
        <v>62</v>
      </c>
      <c r="E502">
        <v>80</v>
      </c>
      <c r="F502">
        <v>24</v>
      </c>
      <c r="G502" t="s">
        <v>18</v>
      </c>
      <c r="H502" t="s">
        <v>14</v>
      </c>
    </row>
    <row r="503" spans="1:8" x14ac:dyDescent="0.3">
      <c r="A503" t="s">
        <v>529</v>
      </c>
      <c r="B503">
        <v>94</v>
      </c>
      <c r="C503" t="s">
        <v>41</v>
      </c>
      <c r="D503">
        <v>66</v>
      </c>
      <c r="E503">
        <v>80</v>
      </c>
      <c r="F503">
        <v>132.28</v>
      </c>
      <c r="G503" t="s">
        <v>2</v>
      </c>
      <c r="H503" t="s">
        <v>9</v>
      </c>
    </row>
    <row r="504" spans="1:8" x14ac:dyDescent="0.3">
      <c r="A504" t="s">
        <v>530</v>
      </c>
      <c r="B504">
        <v>95</v>
      </c>
      <c r="C504" t="s">
        <v>45</v>
      </c>
      <c r="D504">
        <v>60</v>
      </c>
      <c r="E504">
        <v>77</v>
      </c>
      <c r="F504">
        <v>11.74</v>
      </c>
      <c r="G504" t="s">
        <v>18</v>
      </c>
      <c r="H504" t="s">
        <v>8</v>
      </c>
    </row>
    <row r="505" spans="1:8" x14ac:dyDescent="0.3">
      <c r="A505" t="s">
        <v>531</v>
      </c>
      <c r="B505">
        <v>95</v>
      </c>
      <c r="C505" t="s">
        <v>41</v>
      </c>
      <c r="D505">
        <v>63</v>
      </c>
      <c r="E505">
        <v>79</v>
      </c>
      <c r="F505">
        <v>30.86</v>
      </c>
      <c r="G505" t="s">
        <v>18</v>
      </c>
      <c r="H505" t="s">
        <v>18</v>
      </c>
    </row>
    <row r="506" spans="1:8" x14ac:dyDescent="0.3">
      <c r="A506" t="s">
        <v>532</v>
      </c>
      <c r="B506">
        <v>94</v>
      </c>
      <c r="C506" t="s">
        <v>41</v>
      </c>
      <c r="D506">
        <v>62</v>
      </c>
      <c r="E506">
        <v>84</v>
      </c>
      <c r="F506">
        <v>7.35</v>
      </c>
      <c r="G506" t="s">
        <v>18</v>
      </c>
      <c r="H506" t="s">
        <v>4</v>
      </c>
    </row>
    <row r="507" spans="1:8" x14ac:dyDescent="0.3">
      <c r="A507" t="s">
        <v>533</v>
      </c>
      <c r="B507">
        <v>94</v>
      </c>
      <c r="C507" t="s">
        <v>41</v>
      </c>
      <c r="D507">
        <v>65</v>
      </c>
      <c r="E507">
        <v>79</v>
      </c>
      <c r="F507">
        <v>6.76</v>
      </c>
      <c r="G507" t="s">
        <v>18</v>
      </c>
      <c r="H507" t="s">
        <v>9</v>
      </c>
    </row>
    <row r="508" spans="1:8" x14ac:dyDescent="0.3">
      <c r="A508" t="s">
        <v>534</v>
      </c>
      <c r="B508">
        <v>94</v>
      </c>
      <c r="C508" t="s">
        <v>45</v>
      </c>
      <c r="D508">
        <v>58</v>
      </c>
      <c r="E508">
        <v>72</v>
      </c>
      <c r="F508">
        <v>5.14</v>
      </c>
      <c r="G508" t="s">
        <v>18</v>
      </c>
      <c r="H508" t="s">
        <v>21</v>
      </c>
    </row>
    <row r="509" spans="1:8" x14ac:dyDescent="0.3">
      <c r="A509" t="s">
        <v>468</v>
      </c>
      <c r="B509">
        <v>94</v>
      </c>
      <c r="C509" t="s">
        <v>45</v>
      </c>
      <c r="D509">
        <v>62</v>
      </c>
      <c r="E509">
        <v>78</v>
      </c>
      <c r="F509">
        <v>6.47</v>
      </c>
      <c r="G509" t="s">
        <v>18</v>
      </c>
      <c r="H509" t="s">
        <v>9</v>
      </c>
    </row>
    <row r="510" spans="1:8" x14ac:dyDescent="0.3">
      <c r="A510" t="s">
        <v>535</v>
      </c>
      <c r="B510">
        <v>94</v>
      </c>
      <c r="C510" t="s">
        <v>41</v>
      </c>
      <c r="D510">
        <v>64</v>
      </c>
      <c r="E510">
        <v>80</v>
      </c>
      <c r="F510">
        <v>6.76</v>
      </c>
      <c r="G510" t="s">
        <v>18</v>
      </c>
      <c r="H510" t="s">
        <v>9</v>
      </c>
    </row>
    <row r="511" spans="1:8" x14ac:dyDescent="0.3">
      <c r="A511" t="s">
        <v>536</v>
      </c>
      <c r="B511">
        <v>94</v>
      </c>
      <c r="C511" t="s">
        <v>41</v>
      </c>
      <c r="D511">
        <v>66</v>
      </c>
      <c r="E511">
        <v>80</v>
      </c>
      <c r="F511">
        <v>105.73</v>
      </c>
      <c r="G511" t="s">
        <v>2</v>
      </c>
      <c r="H511" t="s">
        <v>9</v>
      </c>
    </row>
    <row r="512" spans="1:8" x14ac:dyDescent="0.3">
      <c r="A512" t="s">
        <v>537</v>
      </c>
      <c r="B512">
        <v>96</v>
      </c>
      <c r="C512" t="s">
        <v>45</v>
      </c>
      <c r="D512">
        <v>59</v>
      </c>
      <c r="E512">
        <v>75</v>
      </c>
      <c r="F512">
        <v>8.52</v>
      </c>
      <c r="G512" t="s">
        <v>18</v>
      </c>
      <c r="H512" t="s">
        <v>4</v>
      </c>
    </row>
    <row r="513" spans="1:8" x14ac:dyDescent="0.3">
      <c r="A513" t="s">
        <v>538</v>
      </c>
      <c r="B513">
        <v>95</v>
      </c>
      <c r="C513" t="s">
        <v>41</v>
      </c>
      <c r="D513">
        <v>63</v>
      </c>
      <c r="E513">
        <v>81</v>
      </c>
      <c r="F513">
        <v>275</v>
      </c>
      <c r="G513" t="s">
        <v>2</v>
      </c>
      <c r="H513" t="s">
        <v>14</v>
      </c>
    </row>
    <row r="514" spans="1:8" x14ac:dyDescent="0.3">
      <c r="A514" t="s">
        <v>539</v>
      </c>
      <c r="B514">
        <v>95</v>
      </c>
      <c r="C514" t="s">
        <v>45</v>
      </c>
      <c r="D514">
        <v>60</v>
      </c>
      <c r="E514">
        <v>77</v>
      </c>
      <c r="F514">
        <v>260</v>
      </c>
      <c r="G514" t="s">
        <v>2</v>
      </c>
      <c r="H514" t="s">
        <v>14</v>
      </c>
    </row>
    <row r="515" spans="1:8" x14ac:dyDescent="0.3">
      <c r="A515" t="s">
        <v>540</v>
      </c>
      <c r="B515">
        <v>94</v>
      </c>
      <c r="C515" t="s">
        <v>41</v>
      </c>
      <c r="D515">
        <v>62</v>
      </c>
      <c r="E515">
        <v>80</v>
      </c>
      <c r="F515">
        <v>225</v>
      </c>
      <c r="G515" t="s">
        <v>2</v>
      </c>
      <c r="H515" t="s">
        <v>9</v>
      </c>
    </row>
    <row r="516" spans="1:8" x14ac:dyDescent="0.3">
      <c r="A516" t="s">
        <v>12</v>
      </c>
      <c r="B516">
        <v>95</v>
      </c>
      <c r="C516" t="s">
        <v>541</v>
      </c>
      <c r="D516">
        <v>35</v>
      </c>
      <c r="E516">
        <v>51</v>
      </c>
      <c r="F516">
        <v>302.22000000000003</v>
      </c>
      <c r="G516" t="s">
        <v>2</v>
      </c>
      <c r="H516" t="s">
        <v>12</v>
      </c>
    </row>
    <row r="517" spans="1:8" x14ac:dyDescent="0.3">
      <c r="A517" t="s">
        <v>542</v>
      </c>
      <c r="B517">
        <v>94</v>
      </c>
      <c r="C517" t="s">
        <v>541</v>
      </c>
      <c r="D517">
        <v>48</v>
      </c>
      <c r="E517">
        <v>52</v>
      </c>
      <c r="F517">
        <v>30.84</v>
      </c>
      <c r="G517" t="s">
        <v>18</v>
      </c>
      <c r="H517" t="s">
        <v>150</v>
      </c>
    </row>
    <row r="518" spans="1:8" x14ac:dyDescent="0.3">
      <c r="A518" t="s">
        <v>543</v>
      </c>
      <c r="B518">
        <v>94</v>
      </c>
      <c r="C518" t="s">
        <v>541</v>
      </c>
      <c r="D518">
        <v>45</v>
      </c>
      <c r="E518">
        <v>52</v>
      </c>
      <c r="F518">
        <v>300</v>
      </c>
      <c r="G518" t="s">
        <v>2</v>
      </c>
      <c r="H518" t="s">
        <v>9</v>
      </c>
    </row>
    <row r="519" spans="1:8" x14ac:dyDescent="0.3">
      <c r="A519" t="s">
        <v>544</v>
      </c>
      <c r="B519">
        <v>94</v>
      </c>
      <c r="C519" t="s">
        <v>545</v>
      </c>
      <c r="D519">
        <v>33</v>
      </c>
      <c r="E519">
        <v>44</v>
      </c>
      <c r="F519">
        <v>352.73</v>
      </c>
      <c r="G519" t="s">
        <v>2</v>
      </c>
      <c r="H519" t="s">
        <v>12</v>
      </c>
    </row>
    <row r="520" spans="1:8" x14ac:dyDescent="0.3">
      <c r="A520" t="s">
        <v>546</v>
      </c>
      <c r="B520">
        <v>94</v>
      </c>
      <c r="C520" t="s">
        <v>541</v>
      </c>
      <c r="D520">
        <v>41</v>
      </c>
      <c r="E520">
        <v>44</v>
      </c>
      <c r="F520">
        <v>0.42</v>
      </c>
      <c r="G520" t="s">
        <v>2</v>
      </c>
      <c r="H520" t="s">
        <v>12</v>
      </c>
    </row>
    <row r="521" spans="1:8" x14ac:dyDescent="0.3">
      <c r="A521" t="s">
        <v>547</v>
      </c>
      <c r="B521">
        <v>94</v>
      </c>
      <c r="C521" t="s">
        <v>45</v>
      </c>
      <c r="D521">
        <v>59</v>
      </c>
      <c r="E521">
        <v>77</v>
      </c>
      <c r="F521">
        <v>143.30000000000001</v>
      </c>
      <c r="G521" t="s">
        <v>2</v>
      </c>
      <c r="H521" t="s">
        <v>15</v>
      </c>
    </row>
    <row r="522" spans="1:8" x14ac:dyDescent="0.3">
      <c r="A522" t="s">
        <v>548</v>
      </c>
      <c r="B522">
        <v>94</v>
      </c>
      <c r="C522" t="s">
        <v>45</v>
      </c>
      <c r="D522">
        <v>58</v>
      </c>
      <c r="E522">
        <v>74</v>
      </c>
      <c r="F522">
        <v>9.41</v>
      </c>
      <c r="G522" t="s">
        <v>18</v>
      </c>
      <c r="H522" t="s">
        <v>14</v>
      </c>
    </row>
    <row r="523" spans="1:8" x14ac:dyDescent="0.3">
      <c r="A523" t="s">
        <v>549</v>
      </c>
      <c r="B523">
        <v>94</v>
      </c>
      <c r="C523" t="s">
        <v>45</v>
      </c>
      <c r="D523">
        <v>59</v>
      </c>
      <c r="E523">
        <v>80</v>
      </c>
      <c r="F523">
        <v>7.05</v>
      </c>
      <c r="G523" t="s">
        <v>18</v>
      </c>
      <c r="H523" t="s">
        <v>12</v>
      </c>
    </row>
    <row r="524" spans="1:8" x14ac:dyDescent="0.3">
      <c r="A524" t="s">
        <v>550</v>
      </c>
      <c r="B524">
        <v>94</v>
      </c>
      <c r="C524" t="s">
        <v>41</v>
      </c>
      <c r="D524">
        <v>64</v>
      </c>
      <c r="E524">
        <v>83</v>
      </c>
      <c r="F524">
        <v>300</v>
      </c>
      <c r="G524" t="s">
        <v>2</v>
      </c>
      <c r="H524" t="s">
        <v>9</v>
      </c>
    </row>
    <row r="525" spans="1:8" x14ac:dyDescent="0.3">
      <c r="A525" t="s">
        <v>551</v>
      </c>
      <c r="B525">
        <v>95</v>
      </c>
      <c r="C525" t="s">
        <v>45</v>
      </c>
      <c r="D525">
        <v>60</v>
      </c>
      <c r="E525">
        <v>77</v>
      </c>
      <c r="F525">
        <v>7.35</v>
      </c>
      <c r="G525" t="s">
        <v>18</v>
      </c>
      <c r="H525" t="s">
        <v>4</v>
      </c>
    </row>
    <row r="526" spans="1:8" x14ac:dyDescent="0.3">
      <c r="A526" t="s">
        <v>552</v>
      </c>
      <c r="B526">
        <v>95</v>
      </c>
      <c r="C526" t="s">
        <v>45</v>
      </c>
      <c r="D526">
        <v>54</v>
      </c>
      <c r="E526">
        <v>72</v>
      </c>
      <c r="F526">
        <v>19.84</v>
      </c>
      <c r="G526" t="s">
        <v>2</v>
      </c>
      <c r="H526" t="s">
        <v>9</v>
      </c>
    </row>
    <row r="527" spans="1:8" x14ac:dyDescent="0.3">
      <c r="A527" t="s">
        <v>553</v>
      </c>
      <c r="B527">
        <v>94</v>
      </c>
      <c r="C527" t="s">
        <v>45</v>
      </c>
      <c r="D527">
        <v>59</v>
      </c>
      <c r="E527">
        <v>75</v>
      </c>
      <c r="F527">
        <v>8.82</v>
      </c>
      <c r="G527" t="s">
        <v>2</v>
      </c>
      <c r="H527" t="s">
        <v>9</v>
      </c>
    </row>
    <row r="528" spans="1:8" x14ac:dyDescent="0.3">
      <c r="A528" t="s">
        <v>554</v>
      </c>
      <c r="B528">
        <v>94</v>
      </c>
      <c r="C528" t="s">
        <v>45</v>
      </c>
      <c r="D528">
        <v>60</v>
      </c>
      <c r="E528">
        <v>75</v>
      </c>
      <c r="F528">
        <v>5.59</v>
      </c>
      <c r="G528" t="s">
        <v>18</v>
      </c>
      <c r="H528" t="s">
        <v>16</v>
      </c>
    </row>
    <row r="529" spans="1:8" x14ac:dyDescent="0.3">
      <c r="A529" t="s">
        <v>555</v>
      </c>
      <c r="B529">
        <v>95</v>
      </c>
      <c r="C529" t="s">
        <v>45</v>
      </c>
      <c r="D529">
        <v>58</v>
      </c>
      <c r="E529">
        <v>80</v>
      </c>
      <c r="F529">
        <v>8.3800000000000008</v>
      </c>
      <c r="G529" t="s">
        <v>18</v>
      </c>
      <c r="H529" t="s">
        <v>4</v>
      </c>
    </row>
    <row r="530" spans="1:8" x14ac:dyDescent="0.3">
      <c r="A530" t="s">
        <v>556</v>
      </c>
      <c r="B530">
        <v>95</v>
      </c>
      <c r="C530" t="s">
        <v>41</v>
      </c>
      <c r="D530">
        <v>64</v>
      </c>
      <c r="E530">
        <v>86</v>
      </c>
      <c r="F530">
        <v>6.47</v>
      </c>
      <c r="G530" t="s">
        <v>18</v>
      </c>
      <c r="H530" t="s">
        <v>14</v>
      </c>
    </row>
    <row r="531" spans="1:8" x14ac:dyDescent="0.3">
      <c r="A531" t="s">
        <v>557</v>
      </c>
      <c r="B531">
        <v>94</v>
      </c>
      <c r="C531" t="s">
        <v>45</v>
      </c>
      <c r="D531">
        <v>56</v>
      </c>
      <c r="E531">
        <v>77</v>
      </c>
      <c r="F531">
        <v>5.59</v>
      </c>
      <c r="G531" t="s">
        <v>18</v>
      </c>
      <c r="H531" t="s">
        <v>6</v>
      </c>
    </row>
    <row r="532" spans="1:8" x14ac:dyDescent="0.3">
      <c r="A532" t="s">
        <v>558</v>
      </c>
      <c r="B532">
        <v>95</v>
      </c>
      <c r="C532" t="s">
        <v>45</v>
      </c>
      <c r="D532">
        <v>60</v>
      </c>
      <c r="E532">
        <v>78</v>
      </c>
      <c r="F532">
        <v>5.88</v>
      </c>
      <c r="G532" t="s">
        <v>18</v>
      </c>
      <c r="H532" t="s">
        <v>9</v>
      </c>
    </row>
    <row r="533" spans="1:8" x14ac:dyDescent="0.3">
      <c r="A533" t="s">
        <v>559</v>
      </c>
      <c r="B533">
        <v>94</v>
      </c>
      <c r="C533" t="s">
        <v>45</v>
      </c>
      <c r="D533">
        <v>59</v>
      </c>
      <c r="E533">
        <v>76</v>
      </c>
      <c r="F533">
        <v>8.3800000000000008</v>
      </c>
      <c r="G533" t="s">
        <v>18</v>
      </c>
      <c r="H533" t="s">
        <v>7</v>
      </c>
    </row>
    <row r="534" spans="1:8" x14ac:dyDescent="0.3">
      <c r="A534" t="s">
        <v>118</v>
      </c>
      <c r="B534">
        <v>95</v>
      </c>
      <c r="C534" t="s">
        <v>45</v>
      </c>
      <c r="D534">
        <v>56</v>
      </c>
      <c r="E534">
        <v>78</v>
      </c>
      <c r="F534">
        <v>6.76</v>
      </c>
      <c r="G534" t="s">
        <v>18</v>
      </c>
      <c r="H534" t="s">
        <v>16</v>
      </c>
    </row>
    <row r="535" spans="1:8" x14ac:dyDescent="0.3">
      <c r="A535" t="s">
        <v>560</v>
      </c>
      <c r="B535">
        <v>94</v>
      </c>
      <c r="C535" t="s">
        <v>45</v>
      </c>
      <c r="D535">
        <v>59</v>
      </c>
      <c r="E535">
        <v>79</v>
      </c>
      <c r="F535">
        <v>7.35</v>
      </c>
      <c r="G535" t="s">
        <v>18</v>
      </c>
      <c r="H535" t="s">
        <v>12</v>
      </c>
    </row>
    <row r="536" spans="1:8" x14ac:dyDescent="0.3">
      <c r="A536" t="s">
        <v>561</v>
      </c>
      <c r="B536">
        <v>95</v>
      </c>
      <c r="C536" t="s">
        <v>41</v>
      </c>
      <c r="D536">
        <v>62</v>
      </c>
      <c r="E536">
        <v>86</v>
      </c>
      <c r="F536">
        <v>6.76</v>
      </c>
      <c r="G536" t="s">
        <v>18</v>
      </c>
      <c r="H536" t="s">
        <v>9</v>
      </c>
    </row>
    <row r="537" spans="1:8" x14ac:dyDescent="0.3">
      <c r="A537" t="s">
        <v>562</v>
      </c>
      <c r="B537">
        <v>94</v>
      </c>
      <c r="C537" t="s">
        <v>45</v>
      </c>
      <c r="D537">
        <v>58</v>
      </c>
      <c r="E537">
        <v>80</v>
      </c>
      <c r="F537">
        <v>350</v>
      </c>
      <c r="G537" t="s">
        <v>2</v>
      </c>
      <c r="H537" t="s">
        <v>14</v>
      </c>
    </row>
    <row r="538" spans="1:8" x14ac:dyDescent="0.3">
      <c r="A538" t="s">
        <v>563</v>
      </c>
      <c r="B538">
        <v>94</v>
      </c>
      <c r="C538" t="s">
        <v>45</v>
      </c>
      <c r="D538">
        <v>62</v>
      </c>
      <c r="E538">
        <v>76</v>
      </c>
      <c r="F538">
        <v>35.270000000000003</v>
      </c>
      <c r="G538" t="s">
        <v>18</v>
      </c>
      <c r="H538" t="s">
        <v>18</v>
      </c>
    </row>
    <row r="539" spans="1:8" x14ac:dyDescent="0.3">
      <c r="A539" t="s">
        <v>564</v>
      </c>
      <c r="B539">
        <v>95</v>
      </c>
      <c r="C539" t="s">
        <v>82</v>
      </c>
      <c r="D539">
        <v>46</v>
      </c>
      <c r="E539">
        <v>70</v>
      </c>
      <c r="F539">
        <v>286.60000000000002</v>
      </c>
      <c r="G539" t="s">
        <v>2</v>
      </c>
      <c r="H539" t="s">
        <v>12</v>
      </c>
    </row>
    <row r="540" spans="1:8" x14ac:dyDescent="0.3">
      <c r="A540" t="s">
        <v>565</v>
      </c>
      <c r="B540">
        <v>94</v>
      </c>
      <c r="C540" t="s">
        <v>41</v>
      </c>
      <c r="D540">
        <v>64</v>
      </c>
      <c r="E540">
        <v>84</v>
      </c>
      <c r="F540">
        <v>24</v>
      </c>
      <c r="G540" t="s">
        <v>18</v>
      </c>
      <c r="H540" t="s">
        <v>14</v>
      </c>
    </row>
    <row r="541" spans="1:8" x14ac:dyDescent="0.3">
      <c r="A541" t="s">
        <v>566</v>
      </c>
      <c r="B541">
        <v>94</v>
      </c>
      <c r="C541" t="s">
        <v>41</v>
      </c>
      <c r="D541">
        <v>64</v>
      </c>
      <c r="E541">
        <v>84</v>
      </c>
      <c r="F541">
        <v>24</v>
      </c>
      <c r="G541" t="s">
        <v>18</v>
      </c>
      <c r="H541" t="s">
        <v>14</v>
      </c>
    </row>
    <row r="542" spans="1:8" x14ac:dyDescent="0.3">
      <c r="A542" t="s">
        <v>567</v>
      </c>
      <c r="B542">
        <v>94</v>
      </c>
      <c r="C542" t="s">
        <v>45</v>
      </c>
      <c r="D542">
        <v>62</v>
      </c>
      <c r="E542">
        <v>76</v>
      </c>
      <c r="F542">
        <v>167.55</v>
      </c>
      <c r="G542" t="s">
        <v>2</v>
      </c>
      <c r="H542" t="s">
        <v>14</v>
      </c>
    </row>
    <row r="543" spans="1:8" x14ac:dyDescent="0.3">
      <c r="A543" t="s">
        <v>568</v>
      </c>
      <c r="B543">
        <v>95</v>
      </c>
      <c r="C543" t="s">
        <v>45</v>
      </c>
      <c r="D543">
        <v>56</v>
      </c>
      <c r="E543">
        <v>74</v>
      </c>
      <c r="F543">
        <v>7.05</v>
      </c>
      <c r="G543" t="s">
        <v>18</v>
      </c>
      <c r="H543" t="s">
        <v>9</v>
      </c>
    </row>
    <row r="544" spans="1:8" x14ac:dyDescent="0.3">
      <c r="A544" t="s">
        <v>569</v>
      </c>
      <c r="B544">
        <v>94</v>
      </c>
      <c r="C544" t="s">
        <v>41</v>
      </c>
      <c r="D544">
        <v>62</v>
      </c>
      <c r="E544">
        <v>84</v>
      </c>
      <c r="F544">
        <v>6.91</v>
      </c>
      <c r="G544" t="s">
        <v>18</v>
      </c>
      <c r="H544" t="s">
        <v>9</v>
      </c>
    </row>
    <row r="545" spans="1:8" x14ac:dyDescent="0.3">
      <c r="A545" t="s">
        <v>570</v>
      </c>
      <c r="B545">
        <v>94</v>
      </c>
      <c r="C545" t="s">
        <v>45</v>
      </c>
      <c r="D545">
        <v>62</v>
      </c>
      <c r="E545">
        <v>79</v>
      </c>
      <c r="F545">
        <v>12.93</v>
      </c>
      <c r="G545" t="s">
        <v>18</v>
      </c>
      <c r="H545" t="s">
        <v>4</v>
      </c>
    </row>
    <row r="546" spans="1:8" x14ac:dyDescent="0.3">
      <c r="A546" t="s">
        <v>571</v>
      </c>
      <c r="B546">
        <v>94</v>
      </c>
      <c r="C546" t="s">
        <v>45</v>
      </c>
      <c r="D546">
        <v>60</v>
      </c>
      <c r="E546">
        <v>76</v>
      </c>
      <c r="F546">
        <v>7.64</v>
      </c>
      <c r="G546" t="s">
        <v>18</v>
      </c>
      <c r="H546" t="s">
        <v>15</v>
      </c>
    </row>
    <row r="547" spans="1:8" x14ac:dyDescent="0.3">
      <c r="A547" t="s">
        <v>572</v>
      </c>
      <c r="B547">
        <v>94</v>
      </c>
      <c r="C547" t="s">
        <v>41</v>
      </c>
      <c r="D547">
        <v>62</v>
      </c>
      <c r="E547">
        <v>80</v>
      </c>
      <c r="F547">
        <v>7.94</v>
      </c>
      <c r="G547" t="s">
        <v>18</v>
      </c>
      <c r="H547" t="s">
        <v>14</v>
      </c>
    </row>
    <row r="548" spans="1:8" x14ac:dyDescent="0.3">
      <c r="A548" t="s">
        <v>573</v>
      </c>
      <c r="B548">
        <v>95</v>
      </c>
      <c r="C548" t="s">
        <v>45</v>
      </c>
      <c r="D548">
        <v>58</v>
      </c>
      <c r="E548">
        <v>80</v>
      </c>
      <c r="F548">
        <v>8.52</v>
      </c>
      <c r="G548" t="s">
        <v>18</v>
      </c>
      <c r="H548" t="s">
        <v>6</v>
      </c>
    </row>
    <row r="549" spans="1:8" x14ac:dyDescent="0.3">
      <c r="A549" t="s">
        <v>574</v>
      </c>
      <c r="B549">
        <v>95</v>
      </c>
      <c r="C549" t="s">
        <v>41</v>
      </c>
      <c r="D549">
        <v>60</v>
      </c>
      <c r="E549">
        <v>82</v>
      </c>
      <c r="F549">
        <v>132.28</v>
      </c>
      <c r="G549" t="s">
        <v>2</v>
      </c>
      <c r="H549" t="s">
        <v>12</v>
      </c>
    </row>
    <row r="550" spans="1:8" x14ac:dyDescent="0.3">
      <c r="A550" t="s">
        <v>575</v>
      </c>
      <c r="B550">
        <v>95</v>
      </c>
      <c r="C550" t="s">
        <v>41</v>
      </c>
      <c r="D550">
        <v>62</v>
      </c>
      <c r="E550">
        <v>86</v>
      </c>
      <c r="F550">
        <v>127.87</v>
      </c>
      <c r="G550" t="s">
        <v>2</v>
      </c>
      <c r="H550" t="s">
        <v>9</v>
      </c>
    </row>
    <row r="551" spans="1:8" x14ac:dyDescent="0.3">
      <c r="A551" t="s">
        <v>576</v>
      </c>
      <c r="B551">
        <v>94</v>
      </c>
      <c r="C551" t="s">
        <v>45</v>
      </c>
      <c r="D551">
        <v>60</v>
      </c>
      <c r="E551">
        <v>78</v>
      </c>
      <c r="F551">
        <v>22.05</v>
      </c>
      <c r="G551" t="s">
        <v>18</v>
      </c>
      <c r="H551" t="s">
        <v>18</v>
      </c>
    </row>
    <row r="552" spans="1:8" x14ac:dyDescent="0.3">
      <c r="A552" t="s">
        <v>577</v>
      </c>
      <c r="B552">
        <v>94</v>
      </c>
      <c r="C552" t="s">
        <v>45</v>
      </c>
      <c r="D552">
        <v>60</v>
      </c>
      <c r="E552">
        <v>78</v>
      </c>
      <c r="F552">
        <v>22.05</v>
      </c>
      <c r="G552" t="s">
        <v>18</v>
      </c>
      <c r="H552" t="s">
        <v>18</v>
      </c>
    </row>
    <row r="553" spans="1:8" x14ac:dyDescent="0.3">
      <c r="A553" t="s">
        <v>578</v>
      </c>
      <c r="B553">
        <v>95</v>
      </c>
      <c r="C553" t="s">
        <v>41</v>
      </c>
      <c r="D553">
        <v>64</v>
      </c>
      <c r="E553">
        <v>84</v>
      </c>
      <c r="F553">
        <v>176.37</v>
      </c>
      <c r="G553" t="s">
        <v>2</v>
      </c>
      <c r="H553" t="s">
        <v>9</v>
      </c>
    </row>
    <row r="554" spans="1:8" x14ac:dyDescent="0.3">
      <c r="A554" t="s">
        <v>579</v>
      </c>
      <c r="B554">
        <v>94</v>
      </c>
      <c r="C554" t="s">
        <v>41</v>
      </c>
      <c r="D554">
        <v>62</v>
      </c>
      <c r="E554">
        <v>80</v>
      </c>
      <c r="F554">
        <v>529.1</v>
      </c>
      <c r="G554" t="s">
        <v>2</v>
      </c>
      <c r="H554" t="s">
        <v>8</v>
      </c>
    </row>
    <row r="555" spans="1:8" x14ac:dyDescent="0.3">
      <c r="A555" t="s">
        <v>580</v>
      </c>
      <c r="B555">
        <v>94</v>
      </c>
      <c r="C555" t="s">
        <v>41</v>
      </c>
      <c r="D555">
        <v>67</v>
      </c>
      <c r="E555">
        <v>86</v>
      </c>
      <c r="F555">
        <v>0.44</v>
      </c>
      <c r="G555" t="s">
        <v>2</v>
      </c>
      <c r="H555" t="s">
        <v>7</v>
      </c>
    </row>
    <row r="556" spans="1:8" x14ac:dyDescent="0.3">
      <c r="A556" t="s">
        <v>581</v>
      </c>
      <c r="B556">
        <v>94</v>
      </c>
      <c r="C556" t="s">
        <v>45</v>
      </c>
      <c r="D556">
        <v>59</v>
      </c>
      <c r="E556">
        <v>77</v>
      </c>
      <c r="F556">
        <v>8.82</v>
      </c>
      <c r="G556" t="s">
        <v>18</v>
      </c>
      <c r="H556" t="s">
        <v>12</v>
      </c>
    </row>
    <row r="557" spans="1:8" x14ac:dyDescent="0.3">
      <c r="A557" t="s">
        <v>582</v>
      </c>
      <c r="B557">
        <v>94</v>
      </c>
      <c r="C557" t="s">
        <v>41</v>
      </c>
      <c r="D557">
        <v>65</v>
      </c>
      <c r="E557">
        <v>86</v>
      </c>
      <c r="F557">
        <v>79.37</v>
      </c>
      <c r="G557" t="s">
        <v>2</v>
      </c>
      <c r="H557" t="s">
        <v>9</v>
      </c>
    </row>
    <row r="558" spans="1:8" x14ac:dyDescent="0.3">
      <c r="A558" t="s">
        <v>583</v>
      </c>
      <c r="B558">
        <v>94</v>
      </c>
      <c r="C558" t="s">
        <v>45</v>
      </c>
      <c r="D558">
        <v>60</v>
      </c>
      <c r="E558">
        <v>77</v>
      </c>
      <c r="F558">
        <v>6.76</v>
      </c>
      <c r="G558" t="s">
        <v>18</v>
      </c>
      <c r="H558" t="s">
        <v>24</v>
      </c>
    </row>
    <row r="559" spans="1:8" x14ac:dyDescent="0.3">
      <c r="A559" t="s">
        <v>584</v>
      </c>
      <c r="B559">
        <v>95</v>
      </c>
      <c r="C559" t="s">
        <v>41</v>
      </c>
      <c r="D559">
        <v>62</v>
      </c>
      <c r="E559">
        <v>84</v>
      </c>
      <c r="F559">
        <v>5.88</v>
      </c>
      <c r="G559" t="s">
        <v>18</v>
      </c>
      <c r="H559" t="s">
        <v>9</v>
      </c>
    </row>
    <row r="560" spans="1:8" x14ac:dyDescent="0.3">
      <c r="A560" t="s">
        <v>585</v>
      </c>
      <c r="B560">
        <v>94</v>
      </c>
      <c r="C560" t="s">
        <v>45</v>
      </c>
      <c r="D560">
        <v>60</v>
      </c>
      <c r="E560">
        <v>77</v>
      </c>
      <c r="F560">
        <v>7.05</v>
      </c>
      <c r="G560" t="s">
        <v>18</v>
      </c>
      <c r="H560" t="s">
        <v>12</v>
      </c>
    </row>
    <row r="561" spans="1:8" x14ac:dyDescent="0.3">
      <c r="A561" t="s">
        <v>586</v>
      </c>
      <c r="B561">
        <v>94</v>
      </c>
      <c r="C561" t="s">
        <v>45</v>
      </c>
      <c r="D561">
        <v>60</v>
      </c>
      <c r="E561">
        <v>77</v>
      </c>
      <c r="F561">
        <v>7.05</v>
      </c>
      <c r="G561" t="s">
        <v>18</v>
      </c>
      <c r="H561" t="s">
        <v>12</v>
      </c>
    </row>
    <row r="562" spans="1:8" x14ac:dyDescent="0.3">
      <c r="A562" t="s">
        <v>587</v>
      </c>
      <c r="B562">
        <v>94</v>
      </c>
      <c r="C562" t="s">
        <v>45</v>
      </c>
      <c r="D562">
        <v>58</v>
      </c>
      <c r="E562">
        <v>77</v>
      </c>
      <c r="F562">
        <v>6.76</v>
      </c>
      <c r="G562" t="s">
        <v>18</v>
      </c>
      <c r="H562" t="s">
        <v>21</v>
      </c>
    </row>
    <row r="563" spans="1:8" x14ac:dyDescent="0.3">
      <c r="A563" t="s">
        <v>588</v>
      </c>
      <c r="B563">
        <v>95</v>
      </c>
      <c r="C563" t="s">
        <v>41</v>
      </c>
      <c r="D563">
        <v>62</v>
      </c>
      <c r="E563">
        <v>80</v>
      </c>
      <c r="F563">
        <v>9.26</v>
      </c>
      <c r="G563" t="s">
        <v>18</v>
      </c>
      <c r="H563" t="s">
        <v>14</v>
      </c>
    </row>
    <row r="564" spans="1:8" x14ac:dyDescent="0.3">
      <c r="A564" t="s">
        <v>589</v>
      </c>
      <c r="B564">
        <v>95</v>
      </c>
      <c r="C564" t="s">
        <v>45</v>
      </c>
      <c r="D564">
        <v>59</v>
      </c>
      <c r="E564">
        <v>75</v>
      </c>
      <c r="F564">
        <v>573.19000000000005</v>
      </c>
      <c r="G564" t="s">
        <v>2</v>
      </c>
      <c r="H564" t="s">
        <v>7</v>
      </c>
    </row>
    <row r="565" spans="1:8" x14ac:dyDescent="0.3">
      <c r="A565" t="s">
        <v>590</v>
      </c>
      <c r="B565">
        <v>94</v>
      </c>
      <c r="C565" t="s">
        <v>45</v>
      </c>
      <c r="D565">
        <v>59</v>
      </c>
      <c r="E565">
        <v>77</v>
      </c>
      <c r="F565">
        <v>7.35</v>
      </c>
      <c r="G565" t="s">
        <v>18</v>
      </c>
      <c r="H565" t="s">
        <v>14</v>
      </c>
    </row>
    <row r="566" spans="1:8" x14ac:dyDescent="0.3">
      <c r="A566" t="s">
        <v>591</v>
      </c>
      <c r="B566">
        <v>95</v>
      </c>
      <c r="C566" t="s">
        <v>41</v>
      </c>
      <c r="D566">
        <v>62</v>
      </c>
      <c r="E566">
        <v>86</v>
      </c>
      <c r="F566">
        <v>0.88</v>
      </c>
      <c r="G566" t="s">
        <v>2</v>
      </c>
      <c r="H566" t="s">
        <v>9</v>
      </c>
    </row>
    <row r="567" spans="1:8" x14ac:dyDescent="0.3">
      <c r="A567" t="s">
        <v>592</v>
      </c>
      <c r="B567">
        <v>94</v>
      </c>
      <c r="C567" t="s">
        <v>45</v>
      </c>
      <c r="D567">
        <v>54</v>
      </c>
      <c r="E567">
        <v>72</v>
      </c>
      <c r="F567">
        <v>4.9800000000000004</v>
      </c>
      <c r="G567" t="s">
        <v>18</v>
      </c>
      <c r="H567" t="s">
        <v>10</v>
      </c>
    </row>
    <row r="568" spans="1:8" x14ac:dyDescent="0.3">
      <c r="A568" t="s">
        <v>593</v>
      </c>
      <c r="B568">
        <v>94</v>
      </c>
      <c r="C568" t="s">
        <v>45</v>
      </c>
      <c r="D568">
        <v>58</v>
      </c>
      <c r="E568">
        <v>78</v>
      </c>
      <c r="F568">
        <v>92.59</v>
      </c>
      <c r="G568" t="s">
        <v>2</v>
      </c>
      <c r="H568" t="s">
        <v>14</v>
      </c>
    </row>
    <row r="569" spans="1:8" x14ac:dyDescent="0.3">
      <c r="A569" t="s">
        <v>594</v>
      </c>
      <c r="B569">
        <v>95</v>
      </c>
      <c r="C569" t="s">
        <v>41</v>
      </c>
      <c r="D569">
        <v>65</v>
      </c>
      <c r="E569">
        <v>86</v>
      </c>
      <c r="F569">
        <v>11.3</v>
      </c>
      <c r="G569" t="s">
        <v>18</v>
      </c>
      <c r="H569" t="s">
        <v>14</v>
      </c>
    </row>
    <row r="570" spans="1:8" x14ac:dyDescent="0.3">
      <c r="A570" t="s">
        <v>595</v>
      </c>
      <c r="B570">
        <v>95</v>
      </c>
      <c r="C570" t="s">
        <v>41</v>
      </c>
      <c r="D570">
        <v>62</v>
      </c>
      <c r="E570">
        <v>84</v>
      </c>
      <c r="F570">
        <v>35.270000000000003</v>
      </c>
      <c r="G570" t="s">
        <v>18</v>
      </c>
      <c r="H570" t="s">
        <v>18</v>
      </c>
    </row>
    <row r="571" spans="1:8" x14ac:dyDescent="0.3">
      <c r="A571" t="s">
        <v>596</v>
      </c>
      <c r="B571">
        <v>94</v>
      </c>
      <c r="C571" t="s">
        <v>41</v>
      </c>
      <c r="D571">
        <v>64</v>
      </c>
      <c r="E571">
        <v>88</v>
      </c>
      <c r="F571">
        <v>500</v>
      </c>
      <c r="G571" t="s">
        <v>2</v>
      </c>
      <c r="H571" t="s">
        <v>14</v>
      </c>
    </row>
    <row r="572" spans="1:8" x14ac:dyDescent="0.3">
      <c r="A572" t="s">
        <v>597</v>
      </c>
      <c r="B572">
        <v>94</v>
      </c>
      <c r="C572" t="s">
        <v>41</v>
      </c>
      <c r="D572">
        <v>56</v>
      </c>
      <c r="E572">
        <v>86</v>
      </c>
      <c r="F572">
        <v>7.73</v>
      </c>
      <c r="G572" t="s">
        <v>18</v>
      </c>
      <c r="H572" t="s">
        <v>14</v>
      </c>
    </row>
    <row r="573" spans="1:8" x14ac:dyDescent="0.3">
      <c r="A573" t="s">
        <v>598</v>
      </c>
      <c r="B573">
        <v>94</v>
      </c>
      <c r="C573" t="s">
        <v>41</v>
      </c>
      <c r="D573">
        <v>67</v>
      </c>
      <c r="E573">
        <v>99</v>
      </c>
      <c r="F573">
        <v>10.29</v>
      </c>
      <c r="G573" t="s">
        <v>18</v>
      </c>
      <c r="H573" t="s">
        <v>14</v>
      </c>
    </row>
    <row r="574" spans="1:8" x14ac:dyDescent="0.3">
      <c r="A574" t="s">
        <v>599</v>
      </c>
      <c r="B574">
        <v>94</v>
      </c>
      <c r="C574" t="s">
        <v>41</v>
      </c>
      <c r="D574">
        <v>65</v>
      </c>
      <c r="E574">
        <v>92</v>
      </c>
      <c r="F574">
        <v>10.14</v>
      </c>
      <c r="G574" t="s">
        <v>18</v>
      </c>
      <c r="H574" t="s">
        <v>9</v>
      </c>
    </row>
    <row r="575" spans="1:8" x14ac:dyDescent="0.3">
      <c r="A575" t="s">
        <v>600</v>
      </c>
      <c r="B575">
        <v>94</v>
      </c>
      <c r="C575" t="s">
        <v>41</v>
      </c>
      <c r="D575">
        <v>64</v>
      </c>
      <c r="E575">
        <v>82</v>
      </c>
      <c r="F575">
        <v>28</v>
      </c>
      <c r="G575" t="s">
        <v>30</v>
      </c>
      <c r="H575" t="s">
        <v>14</v>
      </c>
    </row>
    <row r="576" spans="1:8" x14ac:dyDescent="0.3">
      <c r="A576" t="s">
        <v>601</v>
      </c>
      <c r="B576">
        <v>95</v>
      </c>
      <c r="C576" t="s">
        <v>41</v>
      </c>
      <c r="D576">
        <v>64</v>
      </c>
      <c r="E576">
        <v>84</v>
      </c>
      <c r="F576">
        <v>35.270000000000003</v>
      </c>
      <c r="G576" t="s">
        <v>18</v>
      </c>
      <c r="H576" t="s">
        <v>14</v>
      </c>
    </row>
    <row r="577" spans="1:8" x14ac:dyDescent="0.3">
      <c r="A577" t="s">
        <v>602</v>
      </c>
      <c r="B577">
        <v>95</v>
      </c>
      <c r="C577" t="s">
        <v>41</v>
      </c>
      <c r="D577">
        <v>62</v>
      </c>
      <c r="E577">
        <v>84</v>
      </c>
      <c r="F577">
        <v>8.23</v>
      </c>
      <c r="G577" t="s">
        <v>18</v>
      </c>
      <c r="H577" t="s">
        <v>9</v>
      </c>
    </row>
    <row r="578" spans="1:8" x14ac:dyDescent="0.3">
      <c r="A578" t="s">
        <v>603</v>
      </c>
      <c r="B578">
        <v>95</v>
      </c>
      <c r="C578" t="s">
        <v>41</v>
      </c>
      <c r="D578">
        <v>64</v>
      </c>
      <c r="E578">
        <v>82</v>
      </c>
      <c r="F578">
        <v>12</v>
      </c>
      <c r="G578" t="s">
        <v>18</v>
      </c>
      <c r="H578" t="s">
        <v>14</v>
      </c>
    </row>
    <row r="579" spans="1:8" x14ac:dyDescent="0.3">
      <c r="A579" t="s">
        <v>604</v>
      </c>
      <c r="B579">
        <v>94</v>
      </c>
      <c r="C579" t="s">
        <v>45</v>
      </c>
      <c r="D579">
        <v>60</v>
      </c>
      <c r="E579">
        <v>77</v>
      </c>
      <c r="F579">
        <v>153.88</v>
      </c>
      <c r="G579" t="s">
        <v>2</v>
      </c>
      <c r="H579" t="s">
        <v>12</v>
      </c>
    </row>
    <row r="580" spans="1:8" x14ac:dyDescent="0.3">
      <c r="A580" t="s">
        <v>605</v>
      </c>
      <c r="B580">
        <v>94</v>
      </c>
      <c r="C580" t="s">
        <v>41</v>
      </c>
      <c r="D580">
        <v>62</v>
      </c>
      <c r="E580">
        <v>80</v>
      </c>
      <c r="F580">
        <v>349</v>
      </c>
      <c r="G580" t="s">
        <v>2</v>
      </c>
      <c r="H580" t="s">
        <v>15</v>
      </c>
    </row>
    <row r="581" spans="1:8" x14ac:dyDescent="0.3">
      <c r="A581" t="s">
        <v>606</v>
      </c>
      <c r="B581">
        <v>94</v>
      </c>
      <c r="C581" t="s">
        <v>41</v>
      </c>
      <c r="D581">
        <v>63</v>
      </c>
      <c r="E581">
        <v>79</v>
      </c>
      <c r="F581">
        <v>242.5</v>
      </c>
      <c r="G581" t="s">
        <v>2</v>
      </c>
      <c r="H581" t="s">
        <v>9</v>
      </c>
    </row>
    <row r="582" spans="1:8" x14ac:dyDescent="0.3">
      <c r="A582" t="s">
        <v>442</v>
      </c>
      <c r="B582">
        <v>94</v>
      </c>
      <c r="C582" t="s">
        <v>41</v>
      </c>
      <c r="D582">
        <v>64</v>
      </c>
      <c r="E582">
        <v>82</v>
      </c>
      <c r="F582">
        <v>7.35</v>
      </c>
      <c r="G582" t="s">
        <v>18</v>
      </c>
      <c r="H582" t="s">
        <v>12</v>
      </c>
    </row>
    <row r="583" spans="1:8" x14ac:dyDescent="0.3">
      <c r="A583" t="s">
        <v>607</v>
      </c>
      <c r="B583">
        <v>94</v>
      </c>
      <c r="C583" t="s">
        <v>45</v>
      </c>
      <c r="D583">
        <v>59</v>
      </c>
      <c r="E583">
        <v>78</v>
      </c>
      <c r="F583">
        <v>5.57</v>
      </c>
      <c r="G583" t="s">
        <v>18</v>
      </c>
      <c r="H583" t="s">
        <v>7</v>
      </c>
    </row>
    <row r="584" spans="1:8" x14ac:dyDescent="0.3">
      <c r="A584" t="s">
        <v>367</v>
      </c>
      <c r="B584">
        <v>94</v>
      </c>
      <c r="C584" t="s">
        <v>45</v>
      </c>
      <c r="D584">
        <v>62</v>
      </c>
      <c r="E584">
        <v>79</v>
      </c>
      <c r="F584">
        <v>10.29</v>
      </c>
      <c r="G584" t="s">
        <v>18</v>
      </c>
      <c r="H584" t="s">
        <v>9</v>
      </c>
    </row>
    <row r="585" spans="1:8" x14ac:dyDescent="0.3">
      <c r="A585" t="s">
        <v>608</v>
      </c>
      <c r="B585">
        <v>94</v>
      </c>
      <c r="C585" t="s">
        <v>45</v>
      </c>
      <c r="D585">
        <v>62</v>
      </c>
      <c r="E585">
        <v>78</v>
      </c>
      <c r="F585">
        <v>7.2</v>
      </c>
      <c r="G585" t="s">
        <v>18</v>
      </c>
      <c r="H585" t="s">
        <v>14</v>
      </c>
    </row>
    <row r="586" spans="1:8" x14ac:dyDescent="0.3">
      <c r="A586" t="s">
        <v>609</v>
      </c>
      <c r="B586">
        <v>94</v>
      </c>
      <c r="C586" t="s">
        <v>45</v>
      </c>
      <c r="D586">
        <v>58</v>
      </c>
      <c r="E586">
        <v>77</v>
      </c>
      <c r="F586">
        <v>5.88</v>
      </c>
      <c r="G586" t="s">
        <v>18</v>
      </c>
      <c r="H586" t="s">
        <v>19</v>
      </c>
    </row>
    <row r="587" spans="1:8" x14ac:dyDescent="0.3">
      <c r="A587" t="s">
        <v>610</v>
      </c>
      <c r="B587">
        <v>94</v>
      </c>
      <c r="C587" t="s">
        <v>45</v>
      </c>
      <c r="D587">
        <v>59</v>
      </c>
      <c r="E587">
        <v>74</v>
      </c>
      <c r="F587">
        <v>26.46</v>
      </c>
      <c r="G587" t="s">
        <v>18</v>
      </c>
      <c r="H587" t="s">
        <v>18</v>
      </c>
    </row>
    <row r="588" spans="1:8" x14ac:dyDescent="0.3">
      <c r="A588" t="s">
        <v>130</v>
      </c>
      <c r="B588">
        <v>94</v>
      </c>
      <c r="C588" t="s">
        <v>41</v>
      </c>
      <c r="D588">
        <v>64</v>
      </c>
      <c r="E588">
        <v>82</v>
      </c>
      <c r="F588">
        <v>6.16</v>
      </c>
      <c r="G588" t="s">
        <v>18</v>
      </c>
      <c r="H588" t="s">
        <v>9</v>
      </c>
    </row>
    <row r="589" spans="1:8" x14ac:dyDescent="0.3">
      <c r="A589" t="s">
        <v>611</v>
      </c>
      <c r="B589">
        <v>94</v>
      </c>
      <c r="C589" t="s">
        <v>45</v>
      </c>
      <c r="D589">
        <v>60</v>
      </c>
      <c r="E589">
        <v>77</v>
      </c>
      <c r="F589">
        <v>6.61</v>
      </c>
      <c r="G589" t="s">
        <v>18</v>
      </c>
      <c r="H589" t="s">
        <v>5</v>
      </c>
    </row>
    <row r="590" spans="1:8" x14ac:dyDescent="0.3">
      <c r="A590" t="s">
        <v>612</v>
      </c>
      <c r="B590">
        <v>95</v>
      </c>
      <c r="C590" t="s">
        <v>45</v>
      </c>
      <c r="D590">
        <v>60</v>
      </c>
      <c r="E590">
        <v>78</v>
      </c>
      <c r="F590">
        <v>8.23</v>
      </c>
      <c r="G590" t="s">
        <v>18</v>
      </c>
      <c r="H590" t="s">
        <v>7</v>
      </c>
    </row>
    <row r="591" spans="1:8" x14ac:dyDescent="0.3">
      <c r="A591" t="s">
        <v>613</v>
      </c>
      <c r="B591">
        <v>94</v>
      </c>
      <c r="C591" t="s">
        <v>41</v>
      </c>
      <c r="D591">
        <v>65</v>
      </c>
      <c r="E591">
        <v>84</v>
      </c>
      <c r="F591">
        <v>8.23</v>
      </c>
      <c r="G591" t="s">
        <v>18</v>
      </c>
      <c r="H591" t="s">
        <v>15</v>
      </c>
    </row>
    <row r="592" spans="1:8" x14ac:dyDescent="0.3">
      <c r="A592" t="s">
        <v>614</v>
      </c>
      <c r="B592">
        <v>94</v>
      </c>
      <c r="C592" t="s">
        <v>41</v>
      </c>
      <c r="D592">
        <v>62</v>
      </c>
      <c r="E592">
        <v>81</v>
      </c>
      <c r="F592">
        <v>5</v>
      </c>
      <c r="G592" t="s">
        <v>18</v>
      </c>
      <c r="H592" t="s">
        <v>9</v>
      </c>
    </row>
    <row r="593" spans="1:8" x14ac:dyDescent="0.3">
      <c r="A593" t="s">
        <v>615</v>
      </c>
      <c r="B593">
        <v>94</v>
      </c>
      <c r="C593" t="s">
        <v>41</v>
      </c>
      <c r="D593">
        <v>62</v>
      </c>
      <c r="E593">
        <v>80</v>
      </c>
      <c r="F593">
        <v>29.39</v>
      </c>
      <c r="G593" t="s">
        <v>18</v>
      </c>
      <c r="H593" t="s">
        <v>14</v>
      </c>
    </row>
    <row r="594" spans="1:8" x14ac:dyDescent="0.3">
      <c r="A594" t="s">
        <v>398</v>
      </c>
      <c r="B594">
        <v>96</v>
      </c>
      <c r="C594" t="s">
        <v>45</v>
      </c>
      <c r="D594">
        <v>60</v>
      </c>
      <c r="E594">
        <v>80</v>
      </c>
      <c r="F594">
        <v>30.84</v>
      </c>
      <c r="G594" t="s">
        <v>18</v>
      </c>
      <c r="H594" t="s">
        <v>150</v>
      </c>
    </row>
    <row r="595" spans="1:8" x14ac:dyDescent="0.3">
      <c r="A595" t="s">
        <v>616</v>
      </c>
      <c r="B595">
        <v>96</v>
      </c>
      <c r="C595" t="s">
        <v>45</v>
      </c>
      <c r="D595">
        <v>58</v>
      </c>
      <c r="E595">
        <v>78</v>
      </c>
      <c r="F595">
        <v>440.92</v>
      </c>
      <c r="G595" t="s">
        <v>2</v>
      </c>
      <c r="H595" t="s">
        <v>21</v>
      </c>
    </row>
    <row r="596" spans="1:8" x14ac:dyDescent="0.3">
      <c r="A596" t="s">
        <v>617</v>
      </c>
      <c r="B596">
        <v>95</v>
      </c>
      <c r="C596" t="s">
        <v>41</v>
      </c>
      <c r="D596">
        <v>64</v>
      </c>
      <c r="E596">
        <v>84</v>
      </c>
      <c r="F596">
        <v>0.88</v>
      </c>
      <c r="G596" t="s">
        <v>2</v>
      </c>
      <c r="H596" t="s">
        <v>5</v>
      </c>
    </row>
    <row r="597" spans="1:8" x14ac:dyDescent="0.3">
      <c r="A597" t="s">
        <v>618</v>
      </c>
      <c r="B597">
        <v>94</v>
      </c>
      <c r="C597" t="s">
        <v>45</v>
      </c>
      <c r="D597">
        <v>58</v>
      </c>
      <c r="E597">
        <v>76</v>
      </c>
      <c r="F597">
        <v>127.87</v>
      </c>
      <c r="G597" t="s">
        <v>2</v>
      </c>
      <c r="H597" t="s">
        <v>7</v>
      </c>
    </row>
    <row r="598" spans="1:8" x14ac:dyDescent="0.3">
      <c r="A598" t="s">
        <v>619</v>
      </c>
      <c r="B598">
        <v>94</v>
      </c>
      <c r="C598" t="s">
        <v>41</v>
      </c>
      <c r="D598">
        <v>65</v>
      </c>
      <c r="E598">
        <v>84</v>
      </c>
      <c r="F598">
        <v>396.83</v>
      </c>
      <c r="G598" t="s">
        <v>2</v>
      </c>
      <c r="H598" t="s">
        <v>9</v>
      </c>
    </row>
    <row r="599" spans="1:8" x14ac:dyDescent="0.3">
      <c r="A599" t="s">
        <v>620</v>
      </c>
      <c r="B599">
        <v>94</v>
      </c>
      <c r="C599" t="s">
        <v>41</v>
      </c>
      <c r="D599">
        <v>64</v>
      </c>
      <c r="E599">
        <v>86</v>
      </c>
      <c r="F599">
        <v>171.96</v>
      </c>
      <c r="G599" t="s">
        <v>2</v>
      </c>
      <c r="H599" t="s">
        <v>9</v>
      </c>
    </row>
    <row r="600" spans="1:8" x14ac:dyDescent="0.3">
      <c r="A600" t="s">
        <v>621</v>
      </c>
      <c r="B600">
        <v>95</v>
      </c>
      <c r="C600" t="s">
        <v>45</v>
      </c>
      <c r="D600">
        <v>59</v>
      </c>
      <c r="E600">
        <v>77</v>
      </c>
      <c r="F600">
        <v>244.44</v>
      </c>
      <c r="G600" t="s">
        <v>2</v>
      </c>
      <c r="H600" t="s">
        <v>9</v>
      </c>
    </row>
    <row r="601" spans="1:8" x14ac:dyDescent="0.3">
      <c r="A601" t="s">
        <v>622</v>
      </c>
      <c r="B601">
        <v>95</v>
      </c>
      <c r="C601" t="s">
        <v>45</v>
      </c>
      <c r="D601">
        <v>60</v>
      </c>
      <c r="E601">
        <v>76</v>
      </c>
      <c r="F601">
        <v>288.89</v>
      </c>
      <c r="G601" t="s">
        <v>2</v>
      </c>
      <c r="H601" t="s">
        <v>12</v>
      </c>
    </row>
    <row r="602" spans="1:8" x14ac:dyDescent="0.3">
      <c r="A602" t="s">
        <v>623</v>
      </c>
      <c r="B602">
        <v>94</v>
      </c>
      <c r="C602" t="s">
        <v>41</v>
      </c>
      <c r="D602">
        <v>62</v>
      </c>
      <c r="E602">
        <v>84</v>
      </c>
      <c r="F602">
        <v>28.66</v>
      </c>
      <c r="G602" t="s">
        <v>18</v>
      </c>
      <c r="H602" t="s">
        <v>14</v>
      </c>
    </row>
    <row r="603" spans="1:8" x14ac:dyDescent="0.3">
      <c r="A603" t="s">
        <v>281</v>
      </c>
      <c r="B603">
        <v>96</v>
      </c>
      <c r="C603" t="s">
        <v>41</v>
      </c>
      <c r="D603">
        <v>60</v>
      </c>
      <c r="E603">
        <v>82</v>
      </c>
      <c r="F603">
        <v>8.3800000000000008</v>
      </c>
      <c r="G603" t="s">
        <v>18</v>
      </c>
      <c r="H603" t="s">
        <v>14</v>
      </c>
    </row>
    <row r="604" spans="1:8" x14ac:dyDescent="0.3">
      <c r="A604" t="s">
        <v>624</v>
      </c>
      <c r="B604">
        <v>94</v>
      </c>
      <c r="C604" t="s">
        <v>45</v>
      </c>
      <c r="D604">
        <v>58</v>
      </c>
      <c r="E604">
        <v>78</v>
      </c>
      <c r="F604">
        <v>5.29</v>
      </c>
      <c r="G604" t="s">
        <v>18</v>
      </c>
      <c r="H604" t="s">
        <v>9</v>
      </c>
    </row>
    <row r="605" spans="1:8" x14ac:dyDescent="0.3">
      <c r="A605" t="s">
        <v>625</v>
      </c>
      <c r="B605">
        <v>94</v>
      </c>
      <c r="C605" t="s">
        <v>41</v>
      </c>
      <c r="D605">
        <v>62</v>
      </c>
      <c r="E605">
        <v>80</v>
      </c>
      <c r="F605">
        <v>220.26</v>
      </c>
      <c r="G605" t="s">
        <v>2</v>
      </c>
      <c r="H605" t="s">
        <v>9</v>
      </c>
    </row>
    <row r="606" spans="1:8" x14ac:dyDescent="0.3">
      <c r="A606" t="s">
        <v>626</v>
      </c>
      <c r="B606">
        <v>95</v>
      </c>
      <c r="C606" t="s">
        <v>41</v>
      </c>
      <c r="D606">
        <v>64</v>
      </c>
      <c r="E606">
        <v>82</v>
      </c>
      <c r="F606">
        <v>44.09</v>
      </c>
      <c r="G606" t="s">
        <v>18</v>
      </c>
      <c r="H606" t="s">
        <v>14</v>
      </c>
    </row>
    <row r="607" spans="1:8" x14ac:dyDescent="0.3">
      <c r="A607" t="s">
        <v>627</v>
      </c>
      <c r="B607">
        <v>94</v>
      </c>
      <c r="C607" t="s">
        <v>45</v>
      </c>
      <c r="D607">
        <v>62</v>
      </c>
      <c r="E607">
        <v>78</v>
      </c>
      <c r="F607">
        <v>6.96</v>
      </c>
      <c r="G607" t="s">
        <v>2</v>
      </c>
      <c r="H607" t="s">
        <v>21</v>
      </c>
    </row>
    <row r="608" spans="1:8" x14ac:dyDescent="0.3">
      <c r="A608" t="s">
        <v>628</v>
      </c>
      <c r="B608">
        <v>94</v>
      </c>
      <c r="C608" t="s">
        <v>41</v>
      </c>
      <c r="D608">
        <v>61</v>
      </c>
      <c r="E608">
        <v>82</v>
      </c>
      <c r="F608">
        <v>9.52</v>
      </c>
      <c r="G608" t="s">
        <v>18</v>
      </c>
      <c r="H608" t="s">
        <v>9</v>
      </c>
    </row>
    <row r="609" spans="1:8" x14ac:dyDescent="0.3">
      <c r="A609" t="s">
        <v>276</v>
      </c>
      <c r="B609">
        <v>94</v>
      </c>
      <c r="C609" t="s">
        <v>45</v>
      </c>
      <c r="D609">
        <v>58</v>
      </c>
      <c r="E609">
        <v>80</v>
      </c>
      <c r="F609">
        <v>6.47</v>
      </c>
      <c r="G609" t="s">
        <v>18</v>
      </c>
      <c r="H609" t="s">
        <v>12</v>
      </c>
    </row>
    <row r="610" spans="1:8" x14ac:dyDescent="0.3">
      <c r="A610" t="s">
        <v>629</v>
      </c>
      <c r="B610">
        <v>95</v>
      </c>
      <c r="C610" t="s">
        <v>41</v>
      </c>
      <c r="D610">
        <v>63</v>
      </c>
      <c r="E610">
        <v>82</v>
      </c>
      <c r="F610">
        <v>850</v>
      </c>
      <c r="G610" t="s">
        <v>2</v>
      </c>
      <c r="H610" t="s">
        <v>9</v>
      </c>
    </row>
    <row r="611" spans="1:8" x14ac:dyDescent="0.3">
      <c r="A611" t="s">
        <v>494</v>
      </c>
      <c r="B611">
        <v>94</v>
      </c>
      <c r="C611" t="s">
        <v>45</v>
      </c>
      <c r="D611">
        <v>60</v>
      </c>
      <c r="E611">
        <v>78</v>
      </c>
      <c r="F611">
        <v>5.88</v>
      </c>
      <c r="G611" t="s">
        <v>18</v>
      </c>
      <c r="H611" t="s">
        <v>9</v>
      </c>
    </row>
    <row r="612" spans="1:8" x14ac:dyDescent="0.3">
      <c r="A612" t="s">
        <v>630</v>
      </c>
      <c r="B612">
        <v>94</v>
      </c>
      <c r="C612" t="s">
        <v>45</v>
      </c>
      <c r="D612">
        <v>60</v>
      </c>
      <c r="E612">
        <v>78</v>
      </c>
      <c r="F612">
        <v>22.05</v>
      </c>
      <c r="G612" t="s">
        <v>18</v>
      </c>
      <c r="H612" t="s">
        <v>18</v>
      </c>
    </row>
    <row r="613" spans="1:8" x14ac:dyDescent="0.3">
      <c r="A613" t="s">
        <v>631</v>
      </c>
      <c r="B613">
        <v>94</v>
      </c>
      <c r="C613" t="s">
        <v>41</v>
      </c>
      <c r="D613">
        <v>64</v>
      </c>
      <c r="E613">
        <v>84</v>
      </c>
      <c r="F613">
        <v>299</v>
      </c>
      <c r="G613" t="s">
        <v>2</v>
      </c>
      <c r="H613" t="s">
        <v>9</v>
      </c>
    </row>
    <row r="614" spans="1:8" x14ac:dyDescent="0.3">
      <c r="A614" t="s">
        <v>632</v>
      </c>
      <c r="B614">
        <v>94</v>
      </c>
      <c r="C614" t="s">
        <v>45</v>
      </c>
      <c r="D614">
        <v>59</v>
      </c>
      <c r="E614">
        <v>77</v>
      </c>
      <c r="F614">
        <v>8.23</v>
      </c>
      <c r="G614" t="s">
        <v>18</v>
      </c>
      <c r="H614" t="s">
        <v>9</v>
      </c>
    </row>
    <row r="615" spans="1:8" x14ac:dyDescent="0.3">
      <c r="A615" t="s">
        <v>633</v>
      </c>
      <c r="B615">
        <v>94</v>
      </c>
      <c r="C615" t="s">
        <v>45</v>
      </c>
      <c r="D615">
        <v>59</v>
      </c>
      <c r="E615">
        <v>77</v>
      </c>
      <c r="F615">
        <v>7.94</v>
      </c>
      <c r="G615" t="s">
        <v>18</v>
      </c>
      <c r="H615" t="s">
        <v>12</v>
      </c>
    </row>
    <row r="616" spans="1:8" x14ac:dyDescent="0.3">
      <c r="A616" t="s">
        <v>634</v>
      </c>
      <c r="B616">
        <v>94</v>
      </c>
      <c r="C616" t="s">
        <v>45</v>
      </c>
      <c r="D616">
        <v>60</v>
      </c>
      <c r="E616">
        <v>78</v>
      </c>
      <c r="F616">
        <v>549</v>
      </c>
      <c r="G616" t="s">
        <v>2</v>
      </c>
      <c r="H616" t="s">
        <v>5</v>
      </c>
    </row>
    <row r="617" spans="1:8" x14ac:dyDescent="0.3">
      <c r="A617" t="s">
        <v>635</v>
      </c>
      <c r="B617">
        <v>94</v>
      </c>
      <c r="C617" t="s">
        <v>45</v>
      </c>
      <c r="D617">
        <v>59</v>
      </c>
      <c r="E617">
        <v>77</v>
      </c>
      <c r="F617">
        <v>8.23</v>
      </c>
      <c r="G617" t="s">
        <v>18</v>
      </c>
      <c r="H617" t="s">
        <v>12</v>
      </c>
    </row>
    <row r="618" spans="1:8" x14ac:dyDescent="0.3">
      <c r="A618" t="s">
        <v>636</v>
      </c>
      <c r="B618">
        <v>95</v>
      </c>
      <c r="C618" t="s">
        <v>41</v>
      </c>
      <c r="D618">
        <v>60</v>
      </c>
      <c r="E618">
        <v>82</v>
      </c>
      <c r="F618">
        <v>7.94</v>
      </c>
      <c r="G618" t="s">
        <v>18</v>
      </c>
      <c r="H618" t="s">
        <v>9</v>
      </c>
    </row>
    <row r="619" spans="1:8" x14ac:dyDescent="0.3">
      <c r="A619" t="s">
        <v>637</v>
      </c>
      <c r="B619">
        <v>95</v>
      </c>
      <c r="C619" t="s">
        <v>41</v>
      </c>
      <c r="D619">
        <v>64</v>
      </c>
      <c r="E619">
        <v>83</v>
      </c>
      <c r="F619">
        <v>433.33</v>
      </c>
      <c r="G619" t="s">
        <v>11</v>
      </c>
      <c r="H619" t="s">
        <v>9</v>
      </c>
    </row>
    <row r="620" spans="1:8" x14ac:dyDescent="0.3">
      <c r="A620" t="s">
        <v>638</v>
      </c>
      <c r="B620">
        <v>94</v>
      </c>
      <c r="C620" t="s">
        <v>45</v>
      </c>
      <c r="D620">
        <v>62</v>
      </c>
      <c r="E620">
        <v>78</v>
      </c>
      <c r="F620">
        <v>8.82</v>
      </c>
      <c r="G620" t="s">
        <v>18</v>
      </c>
      <c r="H620" t="s">
        <v>14</v>
      </c>
    </row>
    <row r="621" spans="1:8" x14ac:dyDescent="0.3">
      <c r="A621" t="s">
        <v>639</v>
      </c>
      <c r="B621">
        <v>94</v>
      </c>
      <c r="C621" t="s">
        <v>41</v>
      </c>
      <c r="D621">
        <v>62</v>
      </c>
      <c r="E621">
        <v>80</v>
      </c>
      <c r="F621">
        <v>353.33</v>
      </c>
      <c r="G621" t="s">
        <v>11</v>
      </c>
      <c r="H621" t="s">
        <v>5</v>
      </c>
    </row>
    <row r="622" spans="1:8" x14ac:dyDescent="0.3">
      <c r="A622" t="s">
        <v>640</v>
      </c>
      <c r="B622">
        <v>94</v>
      </c>
      <c r="C622" t="s">
        <v>41</v>
      </c>
      <c r="D622">
        <v>62</v>
      </c>
      <c r="E622">
        <v>80</v>
      </c>
      <c r="F622">
        <v>9.69</v>
      </c>
      <c r="G622" t="s">
        <v>18</v>
      </c>
      <c r="H622" t="s">
        <v>14</v>
      </c>
    </row>
    <row r="623" spans="1:8" x14ac:dyDescent="0.3">
      <c r="A623" t="s">
        <v>641</v>
      </c>
      <c r="B623">
        <v>94</v>
      </c>
      <c r="C623" t="s">
        <v>45</v>
      </c>
      <c r="D623">
        <v>62</v>
      </c>
      <c r="E623">
        <v>78</v>
      </c>
      <c r="F623">
        <v>64</v>
      </c>
      <c r="G623" t="s">
        <v>11</v>
      </c>
      <c r="H623" t="s">
        <v>9</v>
      </c>
    </row>
    <row r="624" spans="1:8" x14ac:dyDescent="0.3">
      <c r="A624" t="s">
        <v>642</v>
      </c>
      <c r="B624">
        <v>94</v>
      </c>
      <c r="C624" t="s">
        <v>41</v>
      </c>
      <c r="D624">
        <v>64</v>
      </c>
      <c r="E624">
        <v>84</v>
      </c>
      <c r="F624">
        <v>498</v>
      </c>
      <c r="G624" t="s">
        <v>11</v>
      </c>
      <c r="H624" t="s">
        <v>10</v>
      </c>
    </row>
    <row r="625" spans="1:8" x14ac:dyDescent="0.3">
      <c r="A625" t="s">
        <v>54</v>
      </c>
      <c r="B625">
        <v>95</v>
      </c>
      <c r="C625" t="s">
        <v>45</v>
      </c>
      <c r="D625">
        <v>59</v>
      </c>
      <c r="E625">
        <v>81</v>
      </c>
      <c r="F625">
        <v>11.02</v>
      </c>
      <c r="G625" t="s">
        <v>18</v>
      </c>
      <c r="H625" t="s">
        <v>14</v>
      </c>
    </row>
    <row r="626" spans="1:8" x14ac:dyDescent="0.3">
      <c r="A626" t="s">
        <v>643</v>
      </c>
      <c r="B626">
        <v>95</v>
      </c>
      <c r="C626" t="s">
        <v>41</v>
      </c>
      <c r="D626">
        <v>62</v>
      </c>
      <c r="E626">
        <v>80</v>
      </c>
      <c r="F626">
        <v>26.01</v>
      </c>
      <c r="G626" t="s">
        <v>18</v>
      </c>
      <c r="H626" t="s">
        <v>14</v>
      </c>
    </row>
    <row r="627" spans="1:8" x14ac:dyDescent="0.3">
      <c r="A627" t="s">
        <v>644</v>
      </c>
      <c r="B627">
        <v>94</v>
      </c>
      <c r="C627" t="s">
        <v>45</v>
      </c>
      <c r="D627">
        <v>60</v>
      </c>
      <c r="E627">
        <v>77</v>
      </c>
      <c r="F627">
        <v>6.03</v>
      </c>
      <c r="G627" t="s">
        <v>18</v>
      </c>
      <c r="H627" t="s">
        <v>9</v>
      </c>
    </row>
    <row r="628" spans="1:8" x14ac:dyDescent="0.3">
      <c r="A628" t="s">
        <v>645</v>
      </c>
      <c r="B628">
        <v>94</v>
      </c>
      <c r="C628" t="s">
        <v>41</v>
      </c>
      <c r="D628">
        <v>62</v>
      </c>
      <c r="E628">
        <v>80</v>
      </c>
      <c r="F628">
        <v>39.68</v>
      </c>
      <c r="G628" t="s">
        <v>18</v>
      </c>
      <c r="H628" t="s">
        <v>5</v>
      </c>
    </row>
    <row r="629" spans="1:8" x14ac:dyDescent="0.3">
      <c r="A629" t="s">
        <v>646</v>
      </c>
      <c r="B629">
        <v>94</v>
      </c>
      <c r="C629" t="s">
        <v>41</v>
      </c>
      <c r="D629">
        <v>64</v>
      </c>
      <c r="E629">
        <v>80</v>
      </c>
      <c r="F629">
        <v>20</v>
      </c>
      <c r="G629" t="s">
        <v>18</v>
      </c>
      <c r="H629" t="s">
        <v>5</v>
      </c>
    </row>
    <row r="630" spans="1:8" x14ac:dyDescent="0.3">
      <c r="A630" t="s">
        <v>647</v>
      </c>
      <c r="B630">
        <v>95</v>
      </c>
      <c r="C630" t="s">
        <v>41</v>
      </c>
      <c r="D630">
        <v>62</v>
      </c>
      <c r="E630">
        <v>81</v>
      </c>
      <c r="F630">
        <v>7.35</v>
      </c>
      <c r="G630" t="s">
        <v>18</v>
      </c>
      <c r="H630" t="s">
        <v>9</v>
      </c>
    </row>
    <row r="631" spans="1:8" x14ac:dyDescent="0.3">
      <c r="A631" t="s">
        <v>648</v>
      </c>
      <c r="B631">
        <v>95</v>
      </c>
      <c r="C631" t="s">
        <v>45</v>
      </c>
      <c r="D631">
        <v>61</v>
      </c>
      <c r="E631">
        <v>80</v>
      </c>
      <c r="F631">
        <v>11.76</v>
      </c>
      <c r="G631" t="s">
        <v>18</v>
      </c>
      <c r="H631" t="s">
        <v>9</v>
      </c>
    </row>
    <row r="632" spans="1:8" x14ac:dyDescent="0.3">
      <c r="A632" t="s">
        <v>649</v>
      </c>
      <c r="B632">
        <v>94</v>
      </c>
      <c r="C632" t="s">
        <v>41</v>
      </c>
      <c r="D632">
        <v>62</v>
      </c>
      <c r="E632">
        <v>80</v>
      </c>
      <c r="F632">
        <v>11.76</v>
      </c>
      <c r="G632" t="s">
        <v>18</v>
      </c>
      <c r="H632" t="s">
        <v>10</v>
      </c>
    </row>
    <row r="633" spans="1:8" x14ac:dyDescent="0.3">
      <c r="A633" t="s">
        <v>409</v>
      </c>
      <c r="B633">
        <v>94</v>
      </c>
      <c r="C633" t="s">
        <v>45</v>
      </c>
      <c r="D633">
        <v>60</v>
      </c>
      <c r="E633">
        <v>76</v>
      </c>
      <c r="F633">
        <v>6.91</v>
      </c>
      <c r="G633" t="s">
        <v>18</v>
      </c>
      <c r="H633" t="s">
        <v>9</v>
      </c>
    </row>
    <row r="634" spans="1:8" x14ac:dyDescent="0.3">
      <c r="A634" t="s">
        <v>650</v>
      </c>
      <c r="B634">
        <v>94</v>
      </c>
      <c r="C634" t="s">
        <v>41</v>
      </c>
      <c r="D634">
        <v>62</v>
      </c>
      <c r="E634">
        <v>80</v>
      </c>
      <c r="F634">
        <v>14.11</v>
      </c>
      <c r="G634" t="s">
        <v>18</v>
      </c>
      <c r="H634" t="s">
        <v>9</v>
      </c>
    </row>
    <row r="635" spans="1:8" x14ac:dyDescent="0.3">
      <c r="A635" t="s">
        <v>651</v>
      </c>
      <c r="B635">
        <v>94</v>
      </c>
      <c r="C635" t="s">
        <v>45</v>
      </c>
      <c r="D635">
        <v>60</v>
      </c>
      <c r="E635">
        <v>77</v>
      </c>
      <c r="F635">
        <v>7.05</v>
      </c>
      <c r="G635" t="s">
        <v>18</v>
      </c>
      <c r="H635" t="s">
        <v>9</v>
      </c>
    </row>
    <row r="636" spans="1:8" x14ac:dyDescent="0.3">
      <c r="A636" t="s">
        <v>652</v>
      </c>
      <c r="B636">
        <v>94</v>
      </c>
      <c r="C636" t="s">
        <v>41</v>
      </c>
      <c r="D636">
        <v>64</v>
      </c>
      <c r="E636">
        <v>83</v>
      </c>
      <c r="F636">
        <v>12.35</v>
      </c>
      <c r="G636" t="s">
        <v>18</v>
      </c>
      <c r="H636" t="s">
        <v>9</v>
      </c>
    </row>
    <row r="637" spans="1:8" x14ac:dyDescent="0.3">
      <c r="A637" t="s">
        <v>653</v>
      </c>
      <c r="B637">
        <v>96</v>
      </c>
      <c r="C637" t="s">
        <v>45</v>
      </c>
      <c r="D637">
        <v>60</v>
      </c>
      <c r="E637">
        <v>77</v>
      </c>
      <c r="F637">
        <v>6.16</v>
      </c>
      <c r="G637" t="s">
        <v>18</v>
      </c>
      <c r="H637" t="s">
        <v>9</v>
      </c>
    </row>
    <row r="638" spans="1:8" x14ac:dyDescent="0.3">
      <c r="A638" t="s">
        <v>654</v>
      </c>
      <c r="B638">
        <v>96</v>
      </c>
      <c r="C638" t="s">
        <v>41</v>
      </c>
      <c r="D638">
        <v>63</v>
      </c>
      <c r="E638">
        <v>81</v>
      </c>
      <c r="F638">
        <v>17.5</v>
      </c>
      <c r="G638" t="s">
        <v>18</v>
      </c>
      <c r="H638" t="s">
        <v>9</v>
      </c>
    </row>
    <row r="639" spans="1:8" x14ac:dyDescent="0.3">
      <c r="A639" t="s">
        <v>655</v>
      </c>
      <c r="B639">
        <v>96</v>
      </c>
      <c r="C639" t="s">
        <v>45</v>
      </c>
      <c r="D639">
        <v>58</v>
      </c>
      <c r="E639">
        <v>78</v>
      </c>
      <c r="F639">
        <v>165.34</v>
      </c>
      <c r="G639" t="s">
        <v>2</v>
      </c>
      <c r="H639" t="s">
        <v>9</v>
      </c>
    </row>
    <row r="640" spans="1:8" x14ac:dyDescent="0.3">
      <c r="A640" t="s">
        <v>656</v>
      </c>
      <c r="B640">
        <v>94</v>
      </c>
      <c r="C640" t="s">
        <v>45</v>
      </c>
      <c r="D640">
        <v>60</v>
      </c>
      <c r="E640">
        <v>77</v>
      </c>
      <c r="F640">
        <v>10.86</v>
      </c>
      <c r="G640" t="s">
        <v>18</v>
      </c>
      <c r="H640" t="s">
        <v>22</v>
      </c>
    </row>
    <row r="641" spans="1:8" x14ac:dyDescent="0.3">
      <c r="A641" t="s">
        <v>657</v>
      </c>
      <c r="B641">
        <v>95</v>
      </c>
      <c r="C641" t="s">
        <v>41</v>
      </c>
      <c r="D641">
        <v>62</v>
      </c>
      <c r="E641">
        <v>80</v>
      </c>
      <c r="F641">
        <v>149.91</v>
      </c>
      <c r="G641" t="s">
        <v>2</v>
      </c>
      <c r="H641" t="s">
        <v>12</v>
      </c>
    </row>
    <row r="642" spans="1:8" x14ac:dyDescent="0.3">
      <c r="A642" t="s">
        <v>658</v>
      </c>
      <c r="B642">
        <v>95</v>
      </c>
      <c r="C642" t="s">
        <v>45</v>
      </c>
      <c r="D642">
        <v>58</v>
      </c>
      <c r="E642">
        <v>77</v>
      </c>
      <c r="F642">
        <v>793.65</v>
      </c>
      <c r="G642" t="s">
        <v>2</v>
      </c>
      <c r="H642" t="s">
        <v>8</v>
      </c>
    </row>
    <row r="643" spans="1:8" x14ac:dyDescent="0.3">
      <c r="A643" t="s">
        <v>659</v>
      </c>
      <c r="B643">
        <v>95</v>
      </c>
      <c r="C643" t="s">
        <v>41</v>
      </c>
      <c r="D643">
        <v>64</v>
      </c>
      <c r="E643">
        <v>81</v>
      </c>
      <c r="F643">
        <v>176.37</v>
      </c>
      <c r="G643" t="s">
        <v>2</v>
      </c>
      <c r="H643" t="s">
        <v>9</v>
      </c>
    </row>
    <row r="644" spans="1:8" x14ac:dyDescent="0.3">
      <c r="A644" t="s">
        <v>660</v>
      </c>
      <c r="B644">
        <v>94</v>
      </c>
      <c r="C644" t="s">
        <v>41</v>
      </c>
      <c r="D644">
        <v>62</v>
      </c>
      <c r="E644">
        <v>80</v>
      </c>
      <c r="F644">
        <v>202.38</v>
      </c>
      <c r="G644" t="s">
        <v>2</v>
      </c>
      <c r="H644" t="s">
        <v>9</v>
      </c>
    </row>
    <row r="645" spans="1:8" x14ac:dyDescent="0.3">
      <c r="A645" t="s">
        <v>661</v>
      </c>
      <c r="B645">
        <v>94</v>
      </c>
      <c r="C645" t="s">
        <v>45</v>
      </c>
      <c r="D645">
        <v>60</v>
      </c>
      <c r="E645">
        <v>78</v>
      </c>
      <c r="F645">
        <v>154.32</v>
      </c>
      <c r="G645" t="s">
        <v>2</v>
      </c>
      <c r="H645" t="s">
        <v>9</v>
      </c>
    </row>
    <row r="646" spans="1:8" x14ac:dyDescent="0.3">
      <c r="A646" t="s">
        <v>662</v>
      </c>
      <c r="B646">
        <v>94</v>
      </c>
      <c r="C646" t="s">
        <v>45</v>
      </c>
      <c r="D646">
        <v>59</v>
      </c>
      <c r="E646">
        <v>78</v>
      </c>
      <c r="F646">
        <v>5.88</v>
      </c>
      <c r="G646" t="s">
        <v>18</v>
      </c>
      <c r="H646" t="s">
        <v>9</v>
      </c>
    </row>
    <row r="647" spans="1:8" x14ac:dyDescent="0.3">
      <c r="A647" t="s">
        <v>663</v>
      </c>
      <c r="B647">
        <v>94</v>
      </c>
      <c r="C647" t="s">
        <v>45</v>
      </c>
      <c r="D647">
        <v>58</v>
      </c>
      <c r="E647">
        <v>74</v>
      </c>
      <c r="F647">
        <v>12.93</v>
      </c>
      <c r="G647" t="s">
        <v>18</v>
      </c>
      <c r="H647" t="s">
        <v>7</v>
      </c>
    </row>
    <row r="648" spans="1:8" x14ac:dyDescent="0.3">
      <c r="A648" t="s">
        <v>638</v>
      </c>
      <c r="B648">
        <v>95</v>
      </c>
      <c r="C648" t="s">
        <v>41</v>
      </c>
      <c r="D648">
        <v>62</v>
      </c>
      <c r="E648">
        <v>80</v>
      </c>
      <c r="F648">
        <v>13.23</v>
      </c>
      <c r="G648" t="s">
        <v>18</v>
      </c>
      <c r="H648" t="s">
        <v>14</v>
      </c>
    </row>
    <row r="649" spans="1:8" x14ac:dyDescent="0.3">
      <c r="A649" t="s">
        <v>664</v>
      </c>
      <c r="B649">
        <v>94</v>
      </c>
      <c r="C649" t="s">
        <v>41</v>
      </c>
      <c r="D649">
        <v>64</v>
      </c>
      <c r="E649">
        <v>84</v>
      </c>
      <c r="F649">
        <v>8.11</v>
      </c>
      <c r="G649" t="s">
        <v>18</v>
      </c>
      <c r="H649" t="s">
        <v>14</v>
      </c>
    </row>
    <row r="650" spans="1:8" x14ac:dyDescent="0.3">
      <c r="A650" t="s">
        <v>665</v>
      </c>
      <c r="B650">
        <v>94</v>
      </c>
      <c r="C650" t="s">
        <v>45</v>
      </c>
      <c r="D650">
        <v>58</v>
      </c>
      <c r="E650">
        <v>74</v>
      </c>
      <c r="F650">
        <v>7.64</v>
      </c>
      <c r="G650" t="s">
        <v>18</v>
      </c>
      <c r="H650" t="s">
        <v>17</v>
      </c>
    </row>
    <row r="651" spans="1:8" x14ac:dyDescent="0.3">
      <c r="A651" t="s">
        <v>666</v>
      </c>
      <c r="B651">
        <v>94</v>
      </c>
      <c r="C651" t="s">
        <v>45</v>
      </c>
      <c r="D651">
        <v>54</v>
      </c>
      <c r="E651">
        <v>78</v>
      </c>
      <c r="F651">
        <v>5.88</v>
      </c>
      <c r="G651" t="s">
        <v>7</v>
      </c>
      <c r="H651" t="s">
        <v>7</v>
      </c>
    </row>
    <row r="652" spans="1:8" x14ac:dyDescent="0.3">
      <c r="A652" t="s">
        <v>667</v>
      </c>
      <c r="B652">
        <v>94</v>
      </c>
      <c r="C652" t="s">
        <v>45</v>
      </c>
      <c r="D652">
        <v>58</v>
      </c>
      <c r="E652">
        <v>76</v>
      </c>
      <c r="F652">
        <v>3.82</v>
      </c>
      <c r="G652" t="s">
        <v>7</v>
      </c>
      <c r="H652" t="s">
        <v>7</v>
      </c>
    </row>
    <row r="653" spans="1:8" x14ac:dyDescent="0.3">
      <c r="A653" t="s">
        <v>668</v>
      </c>
      <c r="B653">
        <v>95</v>
      </c>
      <c r="C653" t="s">
        <v>45</v>
      </c>
      <c r="D653">
        <v>58</v>
      </c>
      <c r="E653">
        <v>78</v>
      </c>
      <c r="F653">
        <v>11.02</v>
      </c>
      <c r="G653" t="s">
        <v>18</v>
      </c>
      <c r="H653" t="s">
        <v>14</v>
      </c>
    </row>
    <row r="654" spans="1:8" x14ac:dyDescent="0.3">
      <c r="A654" t="s">
        <v>669</v>
      </c>
      <c r="B654">
        <v>94</v>
      </c>
      <c r="C654" t="s">
        <v>45</v>
      </c>
      <c r="D654">
        <v>61</v>
      </c>
      <c r="E654">
        <v>78</v>
      </c>
      <c r="F654">
        <v>11.02</v>
      </c>
      <c r="G654" t="s">
        <v>18</v>
      </c>
      <c r="H654" t="s">
        <v>14</v>
      </c>
    </row>
    <row r="655" spans="1:8" x14ac:dyDescent="0.3">
      <c r="A655" t="s">
        <v>670</v>
      </c>
      <c r="B655">
        <v>94</v>
      </c>
      <c r="C655" t="s">
        <v>45</v>
      </c>
      <c r="D655">
        <v>60</v>
      </c>
      <c r="E655">
        <v>77</v>
      </c>
      <c r="F655">
        <v>11.02</v>
      </c>
      <c r="G655" t="s">
        <v>18</v>
      </c>
      <c r="H655" t="s">
        <v>14</v>
      </c>
    </row>
    <row r="656" spans="1:8" x14ac:dyDescent="0.3">
      <c r="A656" t="s">
        <v>671</v>
      </c>
      <c r="B656">
        <v>95</v>
      </c>
      <c r="C656" t="s">
        <v>82</v>
      </c>
      <c r="D656">
        <v>48</v>
      </c>
      <c r="E656">
        <v>64</v>
      </c>
      <c r="F656">
        <v>275</v>
      </c>
      <c r="G656" t="s">
        <v>2</v>
      </c>
      <c r="H656" t="s">
        <v>15</v>
      </c>
    </row>
    <row r="657" spans="1:8" x14ac:dyDescent="0.3">
      <c r="A657" t="s">
        <v>672</v>
      </c>
      <c r="B657">
        <v>95</v>
      </c>
      <c r="C657" t="s">
        <v>41</v>
      </c>
      <c r="D657">
        <v>62</v>
      </c>
      <c r="E657">
        <v>80</v>
      </c>
      <c r="F657">
        <v>8.82</v>
      </c>
      <c r="G657" t="s">
        <v>2</v>
      </c>
      <c r="H657" t="s">
        <v>9</v>
      </c>
    </row>
    <row r="658" spans="1:8" x14ac:dyDescent="0.3">
      <c r="A658" t="s">
        <v>673</v>
      </c>
      <c r="B658">
        <v>94</v>
      </c>
      <c r="C658" t="s">
        <v>41</v>
      </c>
      <c r="D658">
        <v>65</v>
      </c>
      <c r="E658">
        <v>81</v>
      </c>
      <c r="F658">
        <v>440.92</v>
      </c>
      <c r="G658" t="s">
        <v>2</v>
      </c>
      <c r="H658" t="s">
        <v>14</v>
      </c>
    </row>
    <row r="659" spans="1:8" x14ac:dyDescent="0.3">
      <c r="A659" t="s">
        <v>674</v>
      </c>
      <c r="B659">
        <v>95</v>
      </c>
      <c r="C659" t="s">
        <v>45</v>
      </c>
      <c r="D659">
        <v>58</v>
      </c>
      <c r="E659">
        <v>74</v>
      </c>
      <c r="F659">
        <v>13.52</v>
      </c>
      <c r="G659" t="s">
        <v>18</v>
      </c>
      <c r="H659" t="s">
        <v>18</v>
      </c>
    </row>
    <row r="660" spans="1:8" x14ac:dyDescent="0.3">
      <c r="A660" t="s">
        <v>384</v>
      </c>
      <c r="B660">
        <v>94</v>
      </c>
      <c r="C660" t="s">
        <v>45</v>
      </c>
      <c r="D660">
        <v>57</v>
      </c>
      <c r="E660">
        <v>76</v>
      </c>
      <c r="F660">
        <v>5.57</v>
      </c>
      <c r="G660" t="s">
        <v>18</v>
      </c>
      <c r="H660" t="s">
        <v>15</v>
      </c>
    </row>
    <row r="661" spans="1:8" x14ac:dyDescent="0.3">
      <c r="A661" t="s">
        <v>675</v>
      </c>
      <c r="B661">
        <v>96</v>
      </c>
      <c r="C661" t="s">
        <v>41</v>
      </c>
      <c r="D661">
        <v>62</v>
      </c>
      <c r="E661">
        <v>80</v>
      </c>
      <c r="F661">
        <v>4000</v>
      </c>
      <c r="G661" t="s">
        <v>2</v>
      </c>
      <c r="H661" t="s">
        <v>4</v>
      </c>
    </row>
    <row r="662" spans="1:8" x14ac:dyDescent="0.3">
      <c r="A662" t="s">
        <v>676</v>
      </c>
      <c r="B662">
        <v>95</v>
      </c>
      <c r="C662" t="s">
        <v>41</v>
      </c>
      <c r="D662">
        <v>64</v>
      </c>
      <c r="E662">
        <v>86</v>
      </c>
      <c r="F662">
        <v>202.82</v>
      </c>
      <c r="G662" t="s">
        <v>2</v>
      </c>
      <c r="H662" t="s">
        <v>9</v>
      </c>
    </row>
    <row r="663" spans="1:8" x14ac:dyDescent="0.3">
      <c r="A663" t="s">
        <v>677</v>
      </c>
      <c r="B663">
        <v>94</v>
      </c>
      <c r="C663" t="s">
        <v>45</v>
      </c>
      <c r="D663">
        <v>52</v>
      </c>
      <c r="E663">
        <v>70</v>
      </c>
      <c r="F663">
        <v>121.15</v>
      </c>
      <c r="G663" t="s">
        <v>2</v>
      </c>
      <c r="H663" t="s">
        <v>9</v>
      </c>
    </row>
    <row r="664" spans="1:8" x14ac:dyDescent="0.3">
      <c r="A664" t="s">
        <v>678</v>
      </c>
      <c r="B664">
        <v>94</v>
      </c>
      <c r="C664" t="s">
        <v>45</v>
      </c>
      <c r="D664">
        <v>57</v>
      </c>
      <c r="E664">
        <v>77</v>
      </c>
      <c r="F664">
        <v>242.29</v>
      </c>
      <c r="G664" t="s">
        <v>2</v>
      </c>
      <c r="H664" t="s">
        <v>19</v>
      </c>
    </row>
    <row r="665" spans="1:8" x14ac:dyDescent="0.3">
      <c r="A665" t="s">
        <v>679</v>
      </c>
      <c r="B665">
        <v>95</v>
      </c>
      <c r="C665" t="s">
        <v>45</v>
      </c>
      <c r="D665">
        <v>60</v>
      </c>
      <c r="E665">
        <v>77</v>
      </c>
      <c r="F665">
        <v>220.26</v>
      </c>
      <c r="G665" t="s">
        <v>2</v>
      </c>
      <c r="H665" t="s">
        <v>12</v>
      </c>
    </row>
    <row r="666" spans="1:8" x14ac:dyDescent="0.3">
      <c r="A666" t="s">
        <v>680</v>
      </c>
      <c r="B666">
        <v>94</v>
      </c>
      <c r="C666" t="s">
        <v>41</v>
      </c>
      <c r="D666">
        <v>64</v>
      </c>
      <c r="E666">
        <v>82</v>
      </c>
      <c r="F666">
        <v>175.93</v>
      </c>
      <c r="G666" t="s">
        <v>2</v>
      </c>
      <c r="H666" t="s">
        <v>14</v>
      </c>
    </row>
    <row r="667" spans="1:8" x14ac:dyDescent="0.3">
      <c r="A667" t="s">
        <v>681</v>
      </c>
      <c r="B667">
        <v>95</v>
      </c>
      <c r="C667" t="s">
        <v>45</v>
      </c>
      <c r="D667">
        <v>60</v>
      </c>
      <c r="E667">
        <v>78</v>
      </c>
      <c r="F667">
        <v>6.47</v>
      </c>
      <c r="G667" t="s">
        <v>18</v>
      </c>
      <c r="H667" t="s">
        <v>9</v>
      </c>
    </row>
    <row r="668" spans="1:8" x14ac:dyDescent="0.3">
      <c r="A668" t="s">
        <v>682</v>
      </c>
      <c r="B668">
        <v>95</v>
      </c>
      <c r="C668" t="s">
        <v>45</v>
      </c>
      <c r="D668">
        <v>60</v>
      </c>
      <c r="E668">
        <v>78</v>
      </c>
      <c r="F668">
        <v>424.6</v>
      </c>
      <c r="G668" t="s">
        <v>2</v>
      </c>
      <c r="H668" t="s">
        <v>14</v>
      </c>
    </row>
    <row r="669" spans="1:8" x14ac:dyDescent="0.3">
      <c r="A669" t="s">
        <v>683</v>
      </c>
      <c r="B669">
        <v>94</v>
      </c>
      <c r="C669" t="s">
        <v>45</v>
      </c>
      <c r="D669">
        <v>59</v>
      </c>
      <c r="E669">
        <v>78</v>
      </c>
      <c r="F669">
        <v>8.82</v>
      </c>
      <c r="G669" t="s">
        <v>18</v>
      </c>
      <c r="H669" t="s">
        <v>15</v>
      </c>
    </row>
    <row r="670" spans="1:8" x14ac:dyDescent="0.3">
      <c r="A670" t="s">
        <v>684</v>
      </c>
      <c r="B670">
        <v>96</v>
      </c>
      <c r="C670" t="s">
        <v>41</v>
      </c>
      <c r="D670">
        <v>61</v>
      </c>
      <c r="E670">
        <v>81</v>
      </c>
      <c r="F670">
        <v>1058.2</v>
      </c>
      <c r="G670" t="s">
        <v>2</v>
      </c>
      <c r="H670" t="s">
        <v>7</v>
      </c>
    </row>
    <row r="671" spans="1:8" x14ac:dyDescent="0.3">
      <c r="A671" t="s">
        <v>685</v>
      </c>
      <c r="B671">
        <v>95</v>
      </c>
      <c r="C671" t="s">
        <v>45</v>
      </c>
      <c r="D671">
        <v>60</v>
      </c>
      <c r="E671">
        <v>78</v>
      </c>
      <c r="F671">
        <v>1200</v>
      </c>
      <c r="G671" t="s">
        <v>2</v>
      </c>
      <c r="H671" t="s">
        <v>2</v>
      </c>
    </row>
    <row r="672" spans="1:8" x14ac:dyDescent="0.3">
      <c r="A672" t="s">
        <v>686</v>
      </c>
      <c r="B672">
        <v>95</v>
      </c>
      <c r="C672" t="s">
        <v>41</v>
      </c>
      <c r="D672">
        <v>63</v>
      </c>
      <c r="E672">
        <v>85</v>
      </c>
      <c r="F672">
        <v>143.30000000000001</v>
      </c>
      <c r="G672" t="s">
        <v>2</v>
      </c>
      <c r="H672" t="s">
        <v>9</v>
      </c>
    </row>
    <row r="673" spans="1:8" x14ac:dyDescent="0.3">
      <c r="A673" t="s">
        <v>687</v>
      </c>
      <c r="B673">
        <v>94</v>
      </c>
      <c r="C673" t="s">
        <v>45</v>
      </c>
      <c r="D673">
        <v>58</v>
      </c>
      <c r="E673">
        <v>76</v>
      </c>
      <c r="F673">
        <v>5.6</v>
      </c>
      <c r="G673" t="s">
        <v>18</v>
      </c>
      <c r="H673" t="s">
        <v>12</v>
      </c>
    </row>
    <row r="674" spans="1:8" x14ac:dyDescent="0.3">
      <c r="A674" t="s">
        <v>688</v>
      </c>
      <c r="B674">
        <v>95</v>
      </c>
      <c r="C674" t="s">
        <v>41</v>
      </c>
      <c r="D674">
        <v>72</v>
      </c>
      <c r="E674">
        <v>90</v>
      </c>
      <c r="F674">
        <v>12.5</v>
      </c>
      <c r="G674" t="s">
        <v>27</v>
      </c>
      <c r="H674" t="s">
        <v>9</v>
      </c>
    </row>
    <row r="675" spans="1:8" x14ac:dyDescent="0.3">
      <c r="A675" t="s">
        <v>689</v>
      </c>
      <c r="B675">
        <v>94</v>
      </c>
      <c r="C675" t="s">
        <v>41</v>
      </c>
      <c r="D675">
        <v>64</v>
      </c>
      <c r="E675">
        <v>86</v>
      </c>
      <c r="F675">
        <v>12</v>
      </c>
      <c r="G675" t="s">
        <v>31</v>
      </c>
      <c r="H675" t="s">
        <v>14</v>
      </c>
    </row>
    <row r="676" spans="1:8" x14ac:dyDescent="0.3">
      <c r="A676" t="s">
        <v>690</v>
      </c>
      <c r="B676">
        <v>94</v>
      </c>
      <c r="C676" t="s">
        <v>45</v>
      </c>
      <c r="D676">
        <v>60</v>
      </c>
      <c r="E676">
        <v>77</v>
      </c>
      <c r="F676">
        <v>7.64</v>
      </c>
      <c r="G676" t="s">
        <v>18</v>
      </c>
      <c r="H676" t="s">
        <v>14</v>
      </c>
    </row>
    <row r="677" spans="1:8" x14ac:dyDescent="0.3">
      <c r="A677" t="s">
        <v>691</v>
      </c>
      <c r="B677">
        <v>94</v>
      </c>
      <c r="C677" t="s">
        <v>45</v>
      </c>
      <c r="D677">
        <v>58</v>
      </c>
      <c r="E677">
        <v>78</v>
      </c>
      <c r="F677">
        <v>7.64</v>
      </c>
      <c r="G677" t="s">
        <v>18</v>
      </c>
      <c r="H677" t="s">
        <v>6</v>
      </c>
    </row>
    <row r="678" spans="1:8" x14ac:dyDescent="0.3">
      <c r="A678" t="s">
        <v>692</v>
      </c>
      <c r="B678">
        <v>94</v>
      </c>
      <c r="C678" t="s">
        <v>45</v>
      </c>
      <c r="D678">
        <v>58</v>
      </c>
      <c r="E678">
        <v>74</v>
      </c>
      <c r="F678">
        <v>5.88</v>
      </c>
      <c r="G678" t="s">
        <v>18</v>
      </c>
      <c r="H678" t="s">
        <v>4</v>
      </c>
    </row>
    <row r="679" spans="1:8" x14ac:dyDescent="0.3">
      <c r="A679" t="s">
        <v>693</v>
      </c>
      <c r="B679">
        <v>95</v>
      </c>
      <c r="C679" t="s">
        <v>41</v>
      </c>
      <c r="D679">
        <v>65</v>
      </c>
      <c r="E679">
        <v>82</v>
      </c>
      <c r="F679">
        <v>275</v>
      </c>
      <c r="G679" t="s">
        <v>2</v>
      </c>
      <c r="H679" t="s">
        <v>9</v>
      </c>
    </row>
    <row r="680" spans="1:8" x14ac:dyDescent="0.3">
      <c r="A680" t="s">
        <v>694</v>
      </c>
      <c r="B680">
        <v>94</v>
      </c>
      <c r="C680" t="s">
        <v>45</v>
      </c>
      <c r="D680">
        <v>62</v>
      </c>
      <c r="E680">
        <v>77</v>
      </c>
      <c r="F680">
        <v>275</v>
      </c>
      <c r="G680" t="s">
        <v>2</v>
      </c>
      <c r="H680" t="s">
        <v>9</v>
      </c>
    </row>
    <row r="681" spans="1:8" x14ac:dyDescent="0.3">
      <c r="A681" t="s">
        <v>340</v>
      </c>
      <c r="B681">
        <v>94</v>
      </c>
      <c r="C681" t="s">
        <v>45</v>
      </c>
      <c r="D681">
        <v>60</v>
      </c>
      <c r="E681">
        <v>78</v>
      </c>
      <c r="F681">
        <v>6.45</v>
      </c>
      <c r="G681" t="s">
        <v>18</v>
      </c>
      <c r="H681" t="s">
        <v>12</v>
      </c>
    </row>
    <row r="682" spans="1:8" x14ac:dyDescent="0.3">
      <c r="A682" t="s">
        <v>695</v>
      </c>
      <c r="B682">
        <v>94</v>
      </c>
      <c r="C682" t="s">
        <v>45</v>
      </c>
      <c r="D682">
        <v>60</v>
      </c>
      <c r="E682">
        <v>77</v>
      </c>
      <c r="F682">
        <v>176.37</v>
      </c>
      <c r="G682" t="s">
        <v>2</v>
      </c>
      <c r="H682" t="s">
        <v>12</v>
      </c>
    </row>
    <row r="683" spans="1:8" x14ac:dyDescent="0.3">
      <c r="A683" t="s">
        <v>696</v>
      </c>
      <c r="B683">
        <v>96</v>
      </c>
      <c r="C683" t="s">
        <v>45</v>
      </c>
      <c r="D683">
        <v>56</v>
      </c>
      <c r="E683">
        <v>74</v>
      </c>
      <c r="F683">
        <v>21.14</v>
      </c>
      <c r="G683" t="s">
        <v>18</v>
      </c>
      <c r="H683" t="s">
        <v>150</v>
      </c>
    </row>
    <row r="684" spans="1:8" x14ac:dyDescent="0.3">
      <c r="A684" t="s">
        <v>697</v>
      </c>
      <c r="B684">
        <v>94</v>
      </c>
      <c r="C684" t="s">
        <v>45</v>
      </c>
      <c r="D684">
        <v>58</v>
      </c>
      <c r="E684">
        <v>77</v>
      </c>
      <c r="F684">
        <v>6.8</v>
      </c>
      <c r="G684" t="s">
        <v>18</v>
      </c>
      <c r="H684" t="s">
        <v>12</v>
      </c>
    </row>
    <row r="685" spans="1:8" x14ac:dyDescent="0.3">
      <c r="A685" t="s">
        <v>698</v>
      </c>
      <c r="B685">
        <v>94</v>
      </c>
      <c r="C685" t="s">
        <v>82</v>
      </c>
      <c r="D685">
        <v>48</v>
      </c>
      <c r="E685">
        <v>67</v>
      </c>
      <c r="F685">
        <v>1000</v>
      </c>
      <c r="G685" t="s">
        <v>2</v>
      </c>
      <c r="H685" t="s">
        <v>2</v>
      </c>
    </row>
    <row r="686" spans="1:8" x14ac:dyDescent="0.3">
      <c r="A686" t="s">
        <v>699</v>
      </c>
      <c r="B686">
        <v>94</v>
      </c>
      <c r="C686" t="s">
        <v>41</v>
      </c>
      <c r="D686">
        <v>62</v>
      </c>
      <c r="E686">
        <v>84</v>
      </c>
      <c r="F686">
        <v>6.88</v>
      </c>
      <c r="G686" t="s">
        <v>18</v>
      </c>
      <c r="H686" t="s">
        <v>9</v>
      </c>
    </row>
    <row r="687" spans="1:8" x14ac:dyDescent="0.3">
      <c r="A687" t="s">
        <v>700</v>
      </c>
      <c r="B687">
        <v>94</v>
      </c>
      <c r="C687" t="s">
        <v>45</v>
      </c>
      <c r="D687">
        <v>60</v>
      </c>
      <c r="E687">
        <v>77</v>
      </c>
      <c r="F687">
        <v>6.8</v>
      </c>
      <c r="G687" t="s">
        <v>18</v>
      </c>
      <c r="H687" t="s">
        <v>12</v>
      </c>
    </row>
    <row r="688" spans="1:8" x14ac:dyDescent="0.3">
      <c r="A688" t="s">
        <v>701</v>
      </c>
      <c r="B688">
        <v>94</v>
      </c>
      <c r="C688" t="s">
        <v>41</v>
      </c>
      <c r="D688">
        <v>64</v>
      </c>
      <c r="E688">
        <v>84</v>
      </c>
      <c r="F688">
        <v>326.08999999999997</v>
      </c>
      <c r="G688" t="s">
        <v>2</v>
      </c>
      <c r="H688" t="s">
        <v>12</v>
      </c>
    </row>
    <row r="689" spans="1:8" x14ac:dyDescent="0.3">
      <c r="A689" t="s">
        <v>397</v>
      </c>
      <c r="B689">
        <v>94</v>
      </c>
      <c r="C689" t="s">
        <v>41</v>
      </c>
      <c r="D689">
        <v>62</v>
      </c>
      <c r="E689">
        <v>80</v>
      </c>
      <c r="F689">
        <v>25.57</v>
      </c>
      <c r="G689" t="s">
        <v>18</v>
      </c>
      <c r="H689" t="s">
        <v>18</v>
      </c>
    </row>
    <row r="690" spans="1:8" x14ac:dyDescent="0.3">
      <c r="A690" t="s">
        <v>702</v>
      </c>
      <c r="B690">
        <v>94</v>
      </c>
      <c r="C690" t="s">
        <v>45</v>
      </c>
      <c r="D690">
        <v>60</v>
      </c>
      <c r="E690">
        <v>78</v>
      </c>
      <c r="F690">
        <v>17.28</v>
      </c>
      <c r="G690" t="s">
        <v>18</v>
      </c>
      <c r="H690" t="s">
        <v>18</v>
      </c>
    </row>
    <row r="691" spans="1:8" x14ac:dyDescent="0.3">
      <c r="A691" t="s">
        <v>703</v>
      </c>
      <c r="B691">
        <v>96</v>
      </c>
      <c r="C691" t="s">
        <v>45</v>
      </c>
      <c r="D691">
        <v>60</v>
      </c>
      <c r="E691">
        <v>77</v>
      </c>
      <c r="F691">
        <v>171.96</v>
      </c>
      <c r="G691" t="s">
        <v>2</v>
      </c>
      <c r="H691" t="s">
        <v>12</v>
      </c>
    </row>
    <row r="692" spans="1:8" x14ac:dyDescent="0.3">
      <c r="A692" t="s">
        <v>704</v>
      </c>
      <c r="B692">
        <v>95</v>
      </c>
      <c r="C692" t="s">
        <v>41</v>
      </c>
      <c r="D692">
        <v>62</v>
      </c>
      <c r="E692">
        <v>80</v>
      </c>
      <c r="F692">
        <v>7.5</v>
      </c>
      <c r="G692" t="s">
        <v>18</v>
      </c>
      <c r="H692" t="s">
        <v>9</v>
      </c>
    </row>
    <row r="693" spans="1:8" x14ac:dyDescent="0.3">
      <c r="A693" t="s">
        <v>705</v>
      </c>
      <c r="B693">
        <v>95</v>
      </c>
      <c r="C693" t="s">
        <v>41</v>
      </c>
      <c r="D693">
        <v>62</v>
      </c>
      <c r="E693">
        <v>80</v>
      </c>
      <c r="F693">
        <v>264.55</v>
      </c>
      <c r="G693" t="s">
        <v>2</v>
      </c>
      <c r="H693" t="s">
        <v>9</v>
      </c>
    </row>
    <row r="694" spans="1:8" x14ac:dyDescent="0.3">
      <c r="A694" t="s">
        <v>706</v>
      </c>
      <c r="B694">
        <v>95</v>
      </c>
      <c r="C694" t="s">
        <v>41</v>
      </c>
      <c r="D694">
        <v>64</v>
      </c>
      <c r="E694">
        <v>84</v>
      </c>
      <c r="F694">
        <v>308.64</v>
      </c>
      <c r="G694" t="s">
        <v>2</v>
      </c>
      <c r="H694" t="s">
        <v>9</v>
      </c>
    </row>
    <row r="695" spans="1:8" x14ac:dyDescent="0.3">
      <c r="A695" t="s">
        <v>707</v>
      </c>
      <c r="B695">
        <v>94</v>
      </c>
      <c r="C695" t="s">
        <v>45</v>
      </c>
      <c r="D695">
        <v>56</v>
      </c>
      <c r="E695">
        <v>72</v>
      </c>
      <c r="F695">
        <v>6.47</v>
      </c>
      <c r="G695" t="s">
        <v>18</v>
      </c>
      <c r="H695" t="s">
        <v>17</v>
      </c>
    </row>
    <row r="696" spans="1:8" x14ac:dyDescent="0.3">
      <c r="A696" t="s">
        <v>708</v>
      </c>
      <c r="B696">
        <v>94</v>
      </c>
      <c r="C696" t="s">
        <v>45</v>
      </c>
      <c r="D696">
        <v>56</v>
      </c>
      <c r="E696">
        <v>74</v>
      </c>
      <c r="F696">
        <v>105.82</v>
      </c>
      <c r="G696" t="s">
        <v>2</v>
      </c>
      <c r="H696" t="s">
        <v>7</v>
      </c>
    </row>
    <row r="697" spans="1:8" x14ac:dyDescent="0.3">
      <c r="A697" t="s">
        <v>709</v>
      </c>
      <c r="B697">
        <v>94</v>
      </c>
      <c r="C697" t="s">
        <v>45</v>
      </c>
      <c r="D697">
        <v>58</v>
      </c>
      <c r="E697">
        <v>78</v>
      </c>
      <c r="F697">
        <v>154.32</v>
      </c>
      <c r="G697" t="s">
        <v>2</v>
      </c>
      <c r="H697" t="s">
        <v>7</v>
      </c>
    </row>
    <row r="698" spans="1:8" x14ac:dyDescent="0.3">
      <c r="A698" t="s">
        <v>710</v>
      </c>
      <c r="B698">
        <v>94</v>
      </c>
      <c r="C698" t="s">
        <v>45</v>
      </c>
      <c r="D698">
        <v>61</v>
      </c>
      <c r="E698">
        <v>79</v>
      </c>
      <c r="F698">
        <v>14.22</v>
      </c>
      <c r="G698" t="s">
        <v>18</v>
      </c>
      <c r="H698" t="s">
        <v>10</v>
      </c>
    </row>
    <row r="699" spans="1:8" x14ac:dyDescent="0.3">
      <c r="A699" t="s">
        <v>711</v>
      </c>
      <c r="B699">
        <v>96</v>
      </c>
      <c r="C699" t="s">
        <v>45</v>
      </c>
      <c r="D699">
        <v>59</v>
      </c>
      <c r="E699">
        <v>77</v>
      </c>
      <c r="F699">
        <v>7.05</v>
      </c>
      <c r="G699" t="s">
        <v>18</v>
      </c>
      <c r="H699" t="s">
        <v>12</v>
      </c>
    </row>
    <row r="700" spans="1:8" x14ac:dyDescent="0.3">
      <c r="A700" t="s">
        <v>712</v>
      </c>
      <c r="B700">
        <v>94</v>
      </c>
      <c r="C700" t="s">
        <v>45</v>
      </c>
      <c r="D700">
        <v>58</v>
      </c>
      <c r="E700">
        <v>78</v>
      </c>
      <c r="F700">
        <v>11.61</v>
      </c>
      <c r="G700" t="s">
        <v>18</v>
      </c>
      <c r="H700" t="s">
        <v>14</v>
      </c>
    </row>
    <row r="701" spans="1:8" x14ac:dyDescent="0.3">
      <c r="A701" t="s">
        <v>713</v>
      </c>
      <c r="B701">
        <v>95</v>
      </c>
      <c r="C701" t="s">
        <v>41</v>
      </c>
      <c r="D701">
        <v>64</v>
      </c>
      <c r="E701">
        <v>82</v>
      </c>
      <c r="F701">
        <v>35.270000000000003</v>
      </c>
      <c r="G701" t="s">
        <v>18</v>
      </c>
      <c r="H701" t="s">
        <v>14</v>
      </c>
    </row>
    <row r="702" spans="1:8" x14ac:dyDescent="0.3">
      <c r="A702" t="s">
        <v>714</v>
      </c>
      <c r="B702">
        <v>94</v>
      </c>
      <c r="C702" t="s">
        <v>45</v>
      </c>
      <c r="D702">
        <v>58</v>
      </c>
      <c r="E702">
        <v>76</v>
      </c>
      <c r="F702">
        <v>5</v>
      </c>
      <c r="G702" t="s">
        <v>18</v>
      </c>
      <c r="H702" t="s">
        <v>6</v>
      </c>
    </row>
    <row r="703" spans="1:8" x14ac:dyDescent="0.3">
      <c r="A703" t="s">
        <v>715</v>
      </c>
      <c r="B703">
        <v>95</v>
      </c>
      <c r="C703" t="s">
        <v>41</v>
      </c>
      <c r="D703">
        <v>65</v>
      </c>
      <c r="E703">
        <v>85</v>
      </c>
      <c r="F703">
        <v>275</v>
      </c>
      <c r="G703" t="s">
        <v>2</v>
      </c>
      <c r="H703" t="s">
        <v>9</v>
      </c>
    </row>
    <row r="704" spans="1:8" x14ac:dyDescent="0.3">
      <c r="A704" t="s">
        <v>716</v>
      </c>
      <c r="B704">
        <v>95</v>
      </c>
      <c r="C704" t="s">
        <v>41</v>
      </c>
      <c r="D704">
        <v>64</v>
      </c>
      <c r="E704">
        <v>82</v>
      </c>
      <c r="F704">
        <v>9.17</v>
      </c>
      <c r="G704" t="s">
        <v>18</v>
      </c>
      <c r="H704" t="s">
        <v>14</v>
      </c>
    </row>
    <row r="705" spans="1:8" x14ac:dyDescent="0.3">
      <c r="A705" t="s">
        <v>130</v>
      </c>
      <c r="B705">
        <v>94</v>
      </c>
      <c r="C705" t="s">
        <v>45</v>
      </c>
      <c r="D705">
        <v>60</v>
      </c>
      <c r="E705">
        <v>78</v>
      </c>
      <c r="F705">
        <v>5.88</v>
      </c>
      <c r="G705" t="s">
        <v>18</v>
      </c>
      <c r="H705" t="s">
        <v>9</v>
      </c>
    </row>
    <row r="706" spans="1:8" x14ac:dyDescent="0.3">
      <c r="A706" t="s">
        <v>12</v>
      </c>
      <c r="B706">
        <v>95</v>
      </c>
      <c r="C706" t="s">
        <v>45</v>
      </c>
      <c r="D706">
        <v>62</v>
      </c>
      <c r="E706">
        <v>77</v>
      </c>
      <c r="F706">
        <v>264.32</v>
      </c>
      <c r="G706" t="s">
        <v>2</v>
      </c>
      <c r="H706" t="s">
        <v>12</v>
      </c>
    </row>
    <row r="707" spans="1:8" x14ac:dyDescent="0.3">
      <c r="A707" t="s">
        <v>439</v>
      </c>
      <c r="B707">
        <v>96</v>
      </c>
      <c r="C707" t="s">
        <v>45</v>
      </c>
      <c r="D707">
        <v>58</v>
      </c>
      <c r="E707">
        <v>78</v>
      </c>
      <c r="F707">
        <v>24.23</v>
      </c>
      <c r="G707" t="s">
        <v>18</v>
      </c>
      <c r="H707" t="s">
        <v>18</v>
      </c>
    </row>
    <row r="708" spans="1:8" x14ac:dyDescent="0.3">
      <c r="A708" t="s">
        <v>202</v>
      </c>
      <c r="B708">
        <v>95</v>
      </c>
      <c r="C708" t="s">
        <v>45</v>
      </c>
      <c r="D708">
        <v>60</v>
      </c>
      <c r="E708">
        <v>78</v>
      </c>
      <c r="F708">
        <v>6.47</v>
      </c>
      <c r="G708" t="s">
        <v>18</v>
      </c>
      <c r="H708" t="s">
        <v>9</v>
      </c>
    </row>
    <row r="709" spans="1:8" x14ac:dyDescent="0.3">
      <c r="A709" t="s">
        <v>717</v>
      </c>
      <c r="B709">
        <v>94</v>
      </c>
      <c r="C709" t="s">
        <v>45</v>
      </c>
      <c r="D709">
        <v>58</v>
      </c>
      <c r="E709">
        <v>76</v>
      </c>
      <c r="F709">
        <v>10.58</v>
      </c>
      <c r="G709" t="s">
        <v>18</v>
      </c>
      <c r="H709" t="s">
        <v>14</v>
      </c>
    </row>
    <row r="710" spans="1:8" x14ac:dyDescent="0.3">
      <c r="A710" t="s">
        <v>718</v>
      </c>
      <c r="B710">
        <v>95</v>
      </c>
      <c r="C710" t="s">
        <v>45</v>
      </c>
      <c r="D710">
        <v>60</v>
      </c>
      <c r="E710">
        <v>78</v>
      </c>
      <c r="F710">
        <v>8.3800000000000008</v>
      </c>
      <c r="G710" t="s">
        <v>18</v>
      </c>
      <c r="H710" t="s">
        <v>14</v>
      </c>
    </row>
    <row r="711" spans="1:8" x14ac:dyDescent="0.3">
      <c r="A711" t="s">
        <v>719</v>
      </c>
      <c r="B711">
        <v>94</v>
      </c>
      <c r="C711" t="s">
        <v>41</v>
      </c>
      <c r="D711">
        <v>62</v>
      </c>
      <c r="E711">
        <v>80</v>
      </c>
      <c r="F711">
        <v>5.44</v>
      </c>
      <c r="G711" t="s">
        <v>18</v>
      </c>
      <c r="H711" t="s">
        <v>14</v>
      </c>
    </row>
    <row r="712" spans="1:8" x14ac:dyDescent="0.3">
      <c r="A712" t="s">
        <v>720</v>
      </c>
      <c r="B712">
        <v>95</v>
      </c>
      <c r="C712" t="s">
        <v>41</v>
      </c>
      <c r="D712">
        <v>68</v>
      </c>
      <c r="E712">
        <v>92</v>
      </c>
      <c r="F712">
        <v>7.05</v>
      </c>
      <c r="G712" t="s">
        <v>18</v>
      </c>
      <c r="H712" t="s">
        <v>9</v>
      </c>
    </row>
    <row r="713" spans="1:8" x14ac:dyDescent="0.3">
      <c r="A713" t="s">
        <v>118</v>
      </c>
      <c r="B713">
        <v>94</v>
      </c>
      <c r="C713" t="s">
        <v>45</v>
      </c>
      <c r="D713">
        <v>58</v>
      </c>
      <c r="E713">
        <v>76</v>
      </c>
      <c r="F713">
        <v>6.17</v>
      </c>
      <c r="G713" t="s">
        <v>18</v>
      </c>
      <c r="H713" t="s">
        <v>16</v>
      </c>
    </row>
    <row r="714" spans="1:8" x14ac:dyDescent="0.3">
      <c r="A714" t="s">
        <v>721</v>
      </c>
      <c r="B714">
        <v>94</v>
      </c>
      <c r="C714" t="s">
        <v>41</v>
      </c>
      <c r="D714">
        <v>62</v>
      </c>
      <c r="E714">
        <v>80</v>
      </c>
      <c r="F714">
        <v>4.74</v>
      </c>
      <c r="G714" t="s">
        <v>18</v>
      </c>
      <c r="H714" t="s">
        <v>16</v>
      </c>
    </row>
    <row r="715" spans="1:8" x14ac:dyDescent="0.3">
      <c r="A715" t="s">
        <v>722</v>
      </c>
      <c r="B715">
        <v>95</v>
      </c>
      <c r="C715" t="s">
        <v>45</v>
      </c>
      <c r="D715">
        <v>58</v>
      </c>
      <c r="E715">
        <v>78</v>
      </c>
      <c r="F715">
        <v>5.59</v>
      </c>
      <c r="G715" t="s">
        <v>18</v>
      </c>
      <c r="H715" t="s">
        <v>9</v>
      </c>
    </row>
    <row r="716" spans="1:8" x14ac:dyDescent="0.3">
      <c r="A716" t="s">
        <v>723</v>
      </c>
      <c r="B716">
        <v>95</v>
      </c>
      <c r="C716" t="s">
        <v>45</v>
      </c>
      <c r="D716">
        <v>60</v>
      </c>
      <c r="E716">
        <v>78</v>
      </c>
      <c r="F716">
        <v>44.09</v>
      </c>
      <c r="G716" t="s">
        <v>18</v>
      </c>
      <c r="H716" t="s">
        <v>5</v>
      </c>
    </row>
    <row r="717" spans="1:8" x14ac:dyDescent="0.3">
      <c r="A717" t="s">
        <v>724</v>
      </c>
      <c r="B717">
        <v>94</v>
      </c>
      <c r="C717" t="s">
        <v>45</v>
      </c>
      <c r="D717">
        <v>58</v>
      </c>
      <c r="E717">
        <v>76</v>
      </c>
      <c r="F717">
        <v>7.94</v>
      </c>
      <c r="G717" t="s">
        <v>18</v>
      </c>
      <c r="H717" t="s">
        <v>14</v>
      </c>
    </row>
    <row r="718" spans="1:8" x14ac:dyDescent="0.3">
      <c r="A718" t="s">
        <v>725</v>
      </c>
      <c r="B718">
        <v>94</v>
      </c>
      <c r="C718" t="s">
        <v>45</v>
      </c>
      <c r="D718">
        <v>60</v>
      </c>
      <c r="E718">
        <v>78</v>
      </c>
      <c r="F718">
        <v>44.09</v>
      </c>
      <c r="G718" t="s">
        <v>18</v>
      </c>
      <c r="H718" t="s">
        <v>5</v>
      </c>
    </row>
    <row r="719" spans="1:8" x14ac:dyDescent="0.3">
      <c r="A719" t="s">
        <v>726</v>
      </c>
      <c r="B719">
        <v>94</v>
      </c>
      <c r="C719" t="s">
        <v>45</v>
      </c>
      <c r="D719">
        <v>57</v>
      </c>
      <c r="E719">
        <v>75</v>
      </c>
      <c r="F719">
        <v>11.02</v>
      </c>
      <c r="G719" t="s">
        <v>18</v>
      </c>
      <c r="H719" t="s">
        <v>4</v>
      </c>
    </row>
    <row r="720" spans="1:8" x14ac:dyDescent="0.3">
      <c r="A720" t="s">
        <v>727</v>
      </c>
      <c r="B720">
        <v>95</v>
      </c>
      <c r="C720" t="s">
        <v>41</v>
      </c>
      <c r="D720">
        <v>64</v>
      </c>
      <c r="E720">
        <v>84</v>
      </c>
      <c r="F720">
        <v>40</v>
      </c>
      <c r="G720" t="s">
        <v>18</v>
      </c>
      <c r="H720" t="s">
        <v>5</v>
      </c>
    </row>
    <row r="721" spans="1:8" x14ac:dyDescent="0.3">
      <c r="A721" t="s">
        <v>728</v>
      </c>
      <c r="B721">
        <v>94</v>
      </c>
      <c r="C721" t="s">
        <v>45</v>
      </c>
      <c r="D721">
        <v>62</v>
      </c>
      <c r="E721">
        <v>78</v>
      </c>
      <c r="F721">
        <v>6.09</v>
      </c>
      <c r="G721" t="s">
        <v>2</v>
      </c>
      <c r="H721" t="s">
        <v>21</v>
      </c>
    </row>
    <row r="722" spans="1:8" x14ac:dyDescent="0.3">
      <c r="A722" t="s">
        <v>729</v>
      </c>
      <c r="B722">
        <v>95</v>
      </c>
      <c r="C722" t="s">
        <v>45</v>
      </c>
      <c r="D722">
        <v>60</v>
      </c>
      <c r="E722">
        <v>77</v>
      </c>
      <c r="F722">
        <v>2083.33</v>
      </c>
      <c r="G722" t="s">
        <v>2</v>
      </c>
      <c r="H722" t="s">
        <v>5</v>
      </c>
    </row>
    <row r="723" spans="1:8" x14ac:dyDescent="0.3">
      <c r="A723" t="s">
        <v>730</v>
      </c>
      <c r="B723">
        <v>94</v>
      </c>
      <c r="C723" t="s">
        <v>45</v>
      </c>
      <c r="D723">
        <v>56</v>
      </c>
      <c r="E723">
        <v>72</v>
      </c>
      <c r="F723">
        <v>250</v>
      </c>
      <c r="G723" t="s">
        <v>2</v>
      </c>
      <c r="H723" t="s">
        <v>5</v>
      </c>
    </row>
    <row r="724" spans="1:8" x14ac:dyDescent="0.3">
      <c r="A724" t="s">
        <v>731</v>
      </c>
      <c r="B724">
        <v>94</v>
      </c>
      <c r="C724" t="s">
        <v>45</v>
      </c>
      <c r="D724">
        <v>60</v>
      </c>
      <c r="E724">
        <v>76</v>
      </c>
      <c r="F724">
        <v>440</v>
      </c>
      <c r="G724" t="s">
        <v>2</v>
      </c>
      <c r="H724" t="s">
        <v>9</v>
      </c>
    </row>
    <row r="725" spans="1:8" x14ac:dyDescent="0.3">
      <c r="A725" t="s">
        <v>732</v>
      </c>
      <c r="B725">
        <v>95</v>
      </c>
      <c r="C725" t="s">
        <v>45</v>
      </c>
      <c r="D725">
        <v>60</v>
      </c>
      <c r="E725">
        <v>80</v>
      </c>
      <c r="F725">
        <v>154.32</v>
      </c>
      <c r="G725" t="s">
        <v>2</v>
      </c>
      <c r="H725" t="s">
        <v>9</v>
      </c>
    </row>
    <row r="726" spans="1:8" x14ac:dyDescent="0.3">
      <c r="A726" t="s">
        <v>733</v>
      </c>
      <c r="B726">
        <v>94</v>
      </c>
      <c r="C726" t="s">
        <v>45</v>
      </c>
      <c r="D726">
        <v>58</v>
      </c>
      <c r="E726">
        <v>76</v>
      </c>
      <c r="F726">
        <v>485.01</v>
      </c>
      <c r="G726" t="s">
        <v>2</v>
      </c>
      <c r="H726" t="s">
        <v>2</v>
      </c>
    </row>
    <row r="727" spans="1:8" x14ac:dyDescent="0.3">
      <c r="A727" t="s">
        <v>734</v>
      </c>
      <c r="B727">
        <v>95</v>
      </c>
      <c r="C727" t="s">
        <v>45</v>
      </c>
      <c r="D727">
        <v>57</v>
      </c>
      <c r="E727">
        <v>74</v>
      </c>
      <c r="F727">
        <v>26.46</v>
      </c>
      <c r="G727" t="s">
        <v>18</v>
      </c>
      <c r="H727" t="s">
        <v>18</v>
      </c>
    </row>
    <row r="728" spans="1:8" x14ac:dyDescent="0.3">
      <c r="A728" t="s">
        <v>735</v>
      </c>
      <c r="B728">
        <v>94</v>
      </c>
      <c r="C728" t="s">
        <v>45</v>
      </c>
      <c r="D728">
        <v>58</v>
      </c>
      <c r="E728">
        <v>78</v>
      </c>
      <c r="F728">
        <v>5.59</v>
      </c>
      <c r="G728" t="s">
        <v>18</v>
      </c>
      <c r="H728" t="s">
        <v>9</v>
      </c>
    </row>
    <row r="729" spans="1:8" x14ac:dyDescent="0.3">
      <c r="A729" t="s">
        <v>736</v>
      </c>
      <c r="B729">
        <v>94</v>
      </c>
      <c r="C729" t="s">
        <v>41</v>
      </c>
      <c r="D729">
        <v>62</v>
      </c>
      <c r="E729">
        <v>80</v>
      </c>
      <c r="F729">
        <v>11.17</v>
      </c>
      <c r="G729" t="s">
        <v>18</v>
      </c>
      <c r="H729" t="s">
        <v>14</v>
      </c>
    </row>
    <row r="730" spans="1:8" x14ac:dyDescent="0.3">
      <c r="A730" t="s">
        <v>737</v>
      </c>
      <c r="B730">
        <v>94</v>
      </c>
      <c r="C730" t="s">
        <v>45</v>
      </c>
      <c r="D730">
        <v>57</v>
      </c>
      <c r="E730">
        <v>73</v>
      </c>
      <c r="F730">
        <v>5.14</v>
      </c>
      <c r="G730" t="s">
        <v>18</v>
      </c>
      <c r="H730" t="s">
        <v>15</v>
      </c>
    </row>
    <row r="731" spans="1:8" x14ac:dyDescent="0.3">
      <c r="A731" t="s">
        <v>738</v>
      </c>
      <c r="B731">
        <v>95</v>
      </c>
      <c r="C731" t="s">
        <v>45</v>
      </c>
      <c r="D731">
        <v>56</v>
      </c>
      <c r="E731">
        <v>74</v>
      </c>
      <c r="F731">
        <v>5.48</v>
      </c>
      <c r="G731" t="s">
        <v>18</v>
      </c>
      <c r="H731" t="s">
        <v>21</v>
      </c>
    </row>
    <row r="732" spans="1:8" x14ac:dyDescent="0.3">
      <c r="A732" t="s">
        <v>739</v>
      </c>
      <c r="B732">
        <v>95</v>
      </c>
      <c r="C732" t="s">
        <v>45</v>
      </c>
      <c r="D732">
        <v>58</v>
      </c>
      <c r="E732">
        <v>78</v>
      </c>
      <c r="F732">
        <v>28.66</v>
      </c>
      <c r="G732" t="s">
        <v>18</v>
      </c>
      <c r="H732" t="s">
        <v>14</v>
      </c>
    </row>
    <row r="733" spans="1:8" x14ac:dyDescent="0.3">
      <c r="A733" t="s">
        <v>740</v>
      </c>
      <c r="B733">
        <v>94</v>
      </c>
      <c r="C733" t="s">
        <v>45</v>
      </c>
      <c r="D733">
        <v>56</v>
      </c>
      <c r="E733">
        <v>74</v>
      </c>
      <c r="F733">
        <v>6.47</v>
      </c>
      <c r="G733" t="s">
        <v>18</v>
      </c>
      <c r="H733" t="s">
        <v>9</v>
      </c>
    </row>
    <row r="734" spans="1:8" x14ac:dyDescent="0.3">
      <c r="A734" t="s">
        <v>741</v>
      </c>
      <c r="B734">
        <v>94</v>
      </c>
      <c r="C734" t="s">
        <v>45</v>
      </c>
      <c r="D734">
        <v>60</v>
      </c>
      <c r="E734">
        <v>78</v>
      </c>
      <c r="F734">
        <v>11.6</v>
      </c>
      <c r="G734" t="s">
        <v>18</v>
      </c>
      <c r="H734" t="s">
        <v>15</v>
      </c>
    </row>
    <row r="735" spans="1:8" x14ac:dyDescent="0.3">
      <c r="A735" t="s">
        <v>742</v>
      </c>
      <c r="B735">
        <v>95</v>
      </c>
      <c r="C735" t="s">
        <v>45</v>
      </c>
      <c r="D735">
        <v>58</v>
      </c>
      <c r="E735">
        <v>77</v>
      </c>
      <c r="F735">
        <v>13.23</v>
      </c>
      <c r="G735" t="s">
        <v>18</v>
      </c>
      <c r="H735" t="s">
        <v>5</v>
      </c>
    </row>
    <row r="736" spans="1:8" x14ac:dyDescent="0.3">
      <c r="A736" t="s">
        <v>743</v>
      </c>
      <c r="B736">
        <v>95</v>
      </c>
      <c r="C736" t="s">
        <v>41</v>
      </c>
      <c r="D736">
        <v>60</v>
      </c>
      <c r="E736">
        <v>82</v>
      </c>
      <c r="F736">
        <v>3000</v>
      </c>
      <c r="G736" t="s">
        <v>2</v>
      </c>
      <c r="H736" t="s">
        <v>5</v>
      </c>
    </row>
    <row r="737" spans="1:8" x14ac:dyDescent="0.3">
      <c r="A737" t="s">
        <v>744</v>
      </c>
      <c r="B737">
        <v>94</v>
      </c>
      <c r="C737" t="s">
        <v>45</v>
      </c>
      <c r="D737">
        <v>58</v>
      </c>
      <c r="E737">
        <v>76</v>
      </c>
      <c r="F737">
        <v>300</v>
      </c>
      <c r="G737" t="s">
        <v>2</v>
      </c>
      <c r="H737" t="s">
        <v>15</v>
      </c>
    </row>
    <row r="738" spans="1:8" x14ac:dyDescent="0.3">
      <c r="A738" t="s">
        <v>745</v>
      </c>
      <c r="B738">
        <v>94</v>
      </c>
      <c r="C738" t="s">
        <v>45</v>
      </c>
      <c r="D738">
        <v>57</v>
      </c>
      <c r="E738">
        <v>74</v>
      </c>
      <c r="F738">
        <v>6.17</v>
      </c>
      <c r="G738" t="s">
        <v>18</v>
      </c>
      <c r="H738" t="s">
        <v>24</v>
      </c>
    </row>
    <row r="739" spans="1:8" x14ac:dyDescent="0.3">
      <c r="A739" t="s">
        <v>551</v>
      </c>
      <c r="B739">
        <v>95</v>
      </c>
      <c r="C739" t="s">
        <v>45</v>
      </c>
      <c r="D739">
        <v>58</v>
      </c>
      <c r="E739">
        <v>76</v>
      </c>
      <c r="F739">
        <v>7.35</v>
      </c>
      <c r="G739" t="s">
        <v>18</v>
      </c>
      <c r="H739" t="s">
        <v>4</v>
      </c>
    </row>
    <row r="740" spans="1:8" x14ac:dyDescent="0.3">
      <c r="A740" t="s">
        <v>746</v>
      </c>
      <c r="B740">
        <v>95</v>
      </c>
      <c r="C740" t="s">
        <v>45</v>
      </c>
      <c r="D740">
        <v>60</v>
      </c>
      <c r="E740">
        <v>77</v>
      </c>
      <c r="F740">
        <v>28.66</v>
      </c>
      <c r="G740" t="s">
        <v>18</v>
      </c>
      <c r="H740" t="s">
        <v>5</v>
      </c>
    </row>
    <row r="741" spans="1:8" x14ac:dyDescent="0.3">
      <c r="A741" t="s">
        <v>747</v>
      </c>
      <c r="B741">
        <v>95</v>
      </c>
      <c r="C741" t="s">
        <v>45</v>
      </c>
      <c r="D741">
        <v>58</v>
      </c>
      <c r="E741">
        <v>76</v>
      </c>
      <c r="F741">
        <v>26.46</v>
      </c>
      <c r="G741" t="s">
        <v>18</v>
      </c>
      <c r="H741" t="s">
        <v>18</v>
      </c>
    </row>
    <row r="742" spans="1:8" x14ac:dyDescent="0.3">
      <c r="A742" t="s">
        <v>748</v>
      </c>
      <c r="B742">
        <v>94</v>
      </c>
      <c r="C742" t="s">
        <v>45</v>
      </c>
      <c r="D742">
        <v>60</v>
      </c>
      <c r="E742">
        <v>78</v>
      </c>
      <c r="F742">
        <v>5.58</v>
      </c>
      <c r="G742" t="s">
        <v>18</v>
      </c>
      <c r="H742" t="s">
        <v>9</v>
      </c>
    </row>
    <row r="743" spans="1:8" x14ac:dyDescent="0.3">
      <c r="A743" t="s">
        <v>749</v>
      </c>
      <c r="B743">
        <v>95</v>
      </c>
      <c r="C743" t="s">
        <v>45</v>
      </c>
      <c r="D743">
        <v>58</v>
      </c>
      <c r="E743">
        <v>76</v>
      </c>
      <c r="F743">
        <v>5.51</v>
      </c>
      <c r="G743" t="s">
        <v>18</v>
      </c>
      <c r="H743" t="s">
        <v>20</v>
      </c>
    </row>
    <row r="744" spans="1:8" x14ac:dyDescent="0.3">
      <c r="A744" t="s">
        <v>750</v>
      </c>
      <c r="B744">
        <v>94</v>
      </c>
      <c r="C744" t="s">
        <v>45</v>
      </c>
      <c r="D744">
        <v>60</v>
      </c>
      <c r="E744">
        <v>78</v>
      </c>
      <c r="F744">
        <v>6.76</v>
      </c>
      <c r="G744" t="s">
        <v>18</v>
      </c>
      <c r="H744" t="s">
        <v>15</v>
      </c>
    </row>
    <row r="745" spans="1:8" x14ac:dyDescent="0.3">
      <c r="A745" t="s">
        <v>287</v>
      </c>
      <c r="B745">
        <v>95</v>
      </c>
      <c r="C745" t="s">
        <v>45</v>
      </c>
      <c r="D745">
        <v>60</v>
      </c>
      <c r="E745">
        <v>77</v>
      </c>
      <c r="F745">
        <v>15.71</v>
      </c>
      <c r="G745" t="s">
        <v>18</v>
      </c>
      <c r="H745" t="s">
        <v>14</v>
      </c>
    </row>
    <row r="746" spans="1:8" x14ac:dyDescent="0.3">
      <c r="A746" t="s">
        <v>751</v>
      </c>
      <c r="B746">
        <v>94</v>
      </c>
      <c r="C746" t="s">
        <v>45</v>
      </c>
      <c r="D746">
        <v>59</v>
      </c>
      <c r="E746">
        <v>79</v>
      </c>
      <c r="F746">
        <v>153.88</v>
      </c>
      <c r="G746" t="s">
        <v>2</v>
      </c>
      <c r="H746" t="s">
        <v>12</v>
      </c>
    </row>
    <row r="747" spans="1:8" x14ac:dyDescent="0.3">
      <c r="A747" t="s">
        <v>752</v>
      </c>
      <c r="B747">
        <v>94</v>
      </c>
      <c r="C747" t="s">
        <v>45</v>
      </c>
      <c r="D747">
        <v>60</v>
      </c>
      <c r="E747">
        <v>78</v>
      </c>
      <c r="F747">
        <v>4.12</v>
      </c>
      <c r="G747" t="s">
        <v>18</v>
      </c>
      <c r="H747" t="s">
        <v>15</v>
      </c>
    </row>
    <row r="748" spans="1:8" x14ac:dyDescent="0.3">
      <c r="A748" t="s">
        <v>753</v>
      </c>
      <c r="B748">
        <v>94</v>
      </c>
      <c r="C748" t="s">
        <v>41</v>
      </c>
      <c r="D748">
        <v>62</v>
      </c>
      <c r="E748">
        <v>80</v>
      </c>
      <c r="F748">
        <v>11.46</v>
      </c>
      <c r="G748" t="s">
        <v>18</v>
      </c>
      <c r="H748" t="s">
        <v>14</v>
      </c>
    </row>
    <row r="749" spans="1:8" x14ac:dyDescent="0.3">
      <c r="A749" t="s">
        <v>754</v>
      </c>
      <c r="B749">
        <v>96</v>
      </c>
      <c r="C749" t="s">
        <v>45</v>
      </c>
      <c r="D749">
        <v>54</v>
      </c>
      <c r="E749">
        <v>72</v>
      </c>
      <c r="F749">
        <v>176.37</v>
      </c>
      <c r="G749" t="s">
        <v>2</v>
      </c>
      <c r="H749" t="s">
        <v>12</v>
      </c>
    </row>
    <row r="750" spans="1:8" x14ac:dyDescent="0.3">
      <c r="A750" t="s">
        <v>755</v>
      </c>
      <c r="B750">
        <v>95</v>
      </c>
      <c r="C750" t="s">
        <v>45</v>
      </c>
      <c r="D750">
        <v>58</v>
      </c>
      <c r="E750">
        <v>76</v>
      </c>
      <c r="F750">
        <v>6.76</v>
      </c>
      <c r="G750" t="s">
        <v>18</v>
      </c>
      <c r="H750" t="s">
        <v>12</v>
      </c>
    </row>
    <row r="751" spans="1:8" x14ac:dyDescent="0.3">
      <c r="A751" t="s">
        <v>756</v>
      </c>
      <c r="B751">
        <v>94</v>
      </c>
      <c r="C751" t="s">
        <v>45</v>
      </c>
      <c r="D751">
        <v>60</v>
      </c>
      <c r="E751">
        <v>78</v>
      </c>
      <c r="F751">
        <v>5.59</v>
      </c>
      <c r="G751" t="s">
        <v>18</v>
      </c>
      <c r="H751" t="s">
        <v>9</v>
      </c>
    </row>
    <row r="752" spans="1:8" x14ac:dyDescent="0.3">
      <c r="A752" t="s">
        <v>757</v>
      </c>
      <c r="B752">
        <v>95</v>
      </c>
      <c r="C752" t="s">
        <v>45</v>
      </c>
      <c r="D752">
        <v>54</v>
      </c>
      <c r="E752">
        <v>76</v>
      </c>
      <c r="F752">
        <v>143.30000000000001</v>
      </c>
      <c r="G752" t="s">
        <v>2</v>
      </c>
      <c r="H752" t="s">
        <v>9</v>
      </c>
    </row>
    <row r="753" spans="1:8" x14ac:dyDescent="0.3">
      <c r="A753" t="s">
        <v>758</v>
      </c>
      <c r="B753">
        <v>95</v>
      </c>
      <c r="C753" t="s">
        <v>45</v>
      </c>
      <c r="D753">
        <v>58</v>
      </c>
      <c r="E753">
        <v>78</v>
      </c>
      <c r="F753">
        <v>143.30000000000001</v>
      </c>
      <c r="G753" t="s">
        <v>2</v>
      </c>
      <c r="H753" t="s">
        <v>9</v>
      </c>
    </row>
    <row r="754" spans="1:8" x14ac:dyDescent="0.3">
      <c r="A754" t="s">
        <v>759</v>
      </c>
      <c r="B754">
        <v>95</v>
      </c>
      <c r="C754" t="s">
        <v>82</v>
      </c>
      <c r="D754">
        <v>45</v>
      </c>
      <c r="E754">
        <v>70</v>
      </c>
      <c r="F754">
        <v>286.60000000000002</v>
      </c>
      <c r="G754" t="s">
        <v>2</v>
      </c>
      <c r="H754" t="s">
        <v>15</v>
      </c>
    </row>
    <row r="755" spans="1:8" x14ac:dyDescent="0.3">
      <c r="A755" t="s">
        <v>760</v>
      </c>
      <c r="B755">
        <v>94</v>
      </c>
      <c r="C755" t="s">
        <v>45</v>
      </c>
      <c r="D755">
        <v>60</v>
      </c>
      <c r="E755">
        <v>78</v>
      </c>
      <c r="F755">
        <v>8.82</v>
      </c>
      <c r="G755" t="s">
        <v>18</v>
      </c>
      <c r="H755" t="s">
        <v>14</v>
      </c>
    </row>
    <row r="756" spans="1:8" x14ac:dyDescent="0.3">
      <c r="A756" t="s">
        <v>761</v>
      </c>
      <c r="B756">
        <v>94</v>
      </c>
      <c r="C756" t="s">
        <v>45</v>
      </c>
      <c r="D756">
        <v>58</v>
      </c>
      <c r="E756">
        <v>76</v>
      </c>
      <c r="F756">
        <v>7.35</v>
      </c>
      <c r="G756" t="s">
        <v>18</v>
      </c>
      <c r="H756" t="s">
        <v>14</v>
      </c>
    </row>
    <row r="757" spans="1:8" x14ac:dyDescent="0.3">
      <c r="A757" t="s">
        <v>762</v>
      </c>
      <c r="B757">
        <v>94</v>
      </c>
      <c r="C757" t="s">
        <v>45</v>
      </c>
      <c r="D757">
        <v>58</v>
      </c>
      <c r="E757">
        <v>74</v>
      </c>
      <c r="F757">
        <v>500</v>
      </c>
      <c r="G757" t="s">
        <v>2</v>
      </c>
      <c r="H757" t="s">
        <v>14</v>
      </c>
    </row>
    <row r="758" spans="1:8" x14ac:dyDescent="0.3">
      <c r="A758" t="s">
        <v>763</v>
      </c>
      <c r="B758">
        <v>94</v>
      </c>
      <c r="C758" t="s">
        <v>45</v>
      </c>
      <c r="D758">
        <v>58</v>
      </c>
      <c r="E758">
        <v>78</v>
      </c>
      <c r="F758">
        <v>121.25</v>
      </c>
      <c r="G758" t="s">
        <v>2</v>
      </c>
      <c r="H758" t="s">
        <v>13</v>
      </c>
    </row>
    <row r="759" spans="1:8" x14ac:dyDescent="0.3">
      <c r="A759" t="s">
        <v>764</v>
      </c>
      <c r="B759">
        <v>95</v>
      </c>
      <c r="C759" t="s">
        <v>82</v>
      </c>
      <c r="D759">
        <v>48</v>
      </c>
      <c r="E759">
        <v>64</v>
      </c>
      <c r="F759">
        <v>352.73</v>
      </c>
      <c r="G759" t="s">
        <v>2</v>
      </c>
      <c r="H759" t="s">
        <v>9</v>
      </c>
    </row>
    <row r="760" spans="1:8" x14ac:dyDescent="0.3">
      <c r="A760" t="s">
        <v>765</v>
      </c>
      <c r="B760">
        <v>95</v>
      </c>
      <c r="C760" t="s">
        <v>45</v>
      </c>
      <c r="D760">
        <v>56</v>
      </c>
      <c r="E760">
        <v>74</v>
      </c>
      <c r="F760">
        <v>5.42</v>
      </c>
      <c r="G760" t="s">
        <v>18</v>
      </c>
      <c r="H760" t="s">
        <v>9</v>
      </c>
    </row>
    <row r="761" spans="1:8" x14ac:dyDescent="0.3">
      <c r="A761" t="s">
        <v>766</v>
      </c>
      <c r="B761">
        <v>95</v>
      </c>
      <c r="C761" t="s">
        <v>45</v>
      </c>
      <c r="D761">
        <v>58</v>
      </c>
      <c r="E761">
        <v>77</v>
      </c>
      <c r="F761">
        <v>158.72999999999999</v>
      </c>
      <c r="G761" t="s">
        <v>2</v>
      </c>
      <c r="H761" t="s">
        <v>9</v>
      </c>
    </row>
    <row r="762" spans="1:8" x14ac:dyDescent="0.3">
      <c r="A762" t="s">
        <v>767</v>
      </c>
      <c r="B762">
        <v>95</v>
      </c>
      <c r="C762" t="s">
        <v>45</v>
      </c>
      <c r="D762">
        <v>57</v>
      </c>
      <c r="E762">
        <v>77</v>
      </c>
      <c r="F762">
        <v>27.76</v>
      </c>
      <c r="G762" t="s">
        <v>18</v>
      </c>
      <c r="H762" t="s">
        <v>18</v>
      </c>
    </row>
    <row r="763" spans="1:8" x14ac:dyDescent="0.3">
      <c r="A763" t="s">
        <v>664</v>
      </c>
      <c r="B763">
        <v>95</v>
      </c>
      <c r="C763" t="s">
        <v>45</v>
      </c>
      <c r="D763">
        <v>60</v>
      </c>
      <c r="E763">
        <v>76</v>
      </c>
      <c r="F763">
        <v>7.94</v>
      </c>
      <c r="G763" t="s">
        <v>18</v>
      </c>
      <c r="H763" t="s">
        <v>14</v>
      </c>
    </row>
    <row r="764" spans="1:8" x14ac:dyDescent="0.3">
      <c r="A764" t="s">
        <v>760</v>
      </c>
      <c r="B764">
        <v>94</v>
      </c>
      <c r="C764" t="s">
        <v>45</v>
      </c>
      <c r="D764">
        <v>61</v>
      </c>
      <c r="E764">
        <v>79</v>
      </c>
      <c r="F764">
        <v>8.82</v>
      </c>
      <c r="G764" t="s">
        <v>18</v>
      </c>
      <c r="H764" t="s">
        <v>14</v>
      </c>
    </row>
    <row r="765" spans="1:8" x14ac:dyDescent="0.3">
      <c r="A765" t="s">
        <v>603</v>
      </c>
      <c r="B765">
        <v>94</v>
      </c>
      <c r="C765" t="s">
        <v>45</v>
      </c>
      <c r="D765">
        <v>60</v>
      </c>
      <c r="E765">
        <v>77</v>
      </c>
      <c r="F765">
        <v>11.17</v>
      </c>
      <c r="G765" t="s">
        <v>18</v>
      </c>
      <c r="H765" t="s">
        <v>14</v>
      </c>
    </row>
    <row r="766" spans="1:8" x14ac:dyDescent="0.3">
      <c r="A766" t="s">
        <v>768</v>
      </c>
      <c r="B766">
        <v>94</v>
      </c>
      <c r="C766" t="s">
        <v>45</v>
      </c>
      <c r="D766">
        <v>60</v>
      </c>
      <c r="E766">
        <v>77</v>
      </c>
      <c r="F766">
        <v>8.82</v>
      </c>
      <c r="G766" t="s">
        <v>18</v>
      </c>
      <c r="H766" t="s">
        <v>6</v>
      </c>
    </row>
    <row r="767" spans="1:8" x14ac:dyDescent="0.3">
      <c r="A767" t="s">
        <v>769</v>
      </c>
      <c r="B767">
        <v>95</v>
      </c>
      <c r="C767" t="s">
        <v>41</v>
      </c>
      <c r="D767">
        <v>64</v>
      </c>
      <c r="E767">
        <v>84</v>
      </c>
      <c r="F767">
        <v>292.04000000000002</v>
      </c>
      <c r="G767" t="s">
        <v>2</v>
      </c>
      <c r="H767" t="s">
        <v>4</v>
      </c>
    </row>
    <row r="768" spans="1:8" x14ac:dyDescent="0.3">
      <c r="A768" t="s">
        <v>770</v>
      </c>
      <c r="B768">
        <v>95</v>
      </c>
      <c r="C768" t="s">
        <v>41</v>
      </c>
      <c r="D768">
        <v>62</v>
      </c>
      <c r="E768">
        <v>80</v>
      </c>
      <c r="F768">
        <v>474.29</v>
      </c>
      <c r="G768" t="s">
        <v>11</v>
      </c>
      <c r="H768" t="s">
        <v>5</v>
      </c>
    </row>
    <row r="769" spans="1:8" x14ac:dyDescent="0.3">
      <c r="A769" t="s">
        <v>771</v>
      </c>
      <c r="B769">
        <v>94</v>
      </c>
      <c r="C769" t="s">
        <v>45</v>
      </c>
      <c r="D769">
        <v>54</v>
      </c>
      <c r="E769">
        <v>74</v>
      </c>
      <c r="F769">
        <v>5.29</v>
      </c>
      <c r="G769" t="s">
        <v>18</v>
      </c>
      <c r="H769" t="s">
        <v>14</v>
      </c>
    </row>
    <row r="770" spans="1:8" x14ac:dyDescent="0.3">
      <c r="A770" t="s">
        <v>772</v>
      </c>
      <c r="B770">
        <v>94</v>
      </c>
      <c r="C770" t="s">
        <v>45</v>
      </c>
      <c r="D770">
        <v>58</v>
      </c>
      <c r="E770">
        <v>77</v>
      </c>
      <c r="F770">
        <v>620</v>
      </c>
      <c r="G770" t="s">
        <v>2</v>
      </c>
      <c r="H770" t="s">
        <v>9</v>
      </c>
    </row>
    <row r="771" spans="1:8" x14ac:dyDescent="0.3">
      <c r="A771" t="s">
        <v>773</v>
      </c>
      <c r="B771">
        <v>94</v>
      </c>
      <c r="C771" t="s">
        <v>45</v>
      </c>
      <c r="D771">
        <v>57</v>
      </c>
      <c r="E771">
        <v>78</v>
      </c>
      <c r="F771">
        <v>204.55</v>
      </c>
      <c r="G771" t="s">
        <v>2</v>
      </c>
      <c r="H771" t="s">
        <v>12</v>
      </c>
    </row>
    <row r="772" spans="1:8" x14ac:dyDescent="0.3">
      <c r="A772" t="s">
        <v>774</v>
      </c>
      <c r="B772">
        <v>95</v>
      </c>
      <c r="C772" t="s">
        <v>41</v>
      </c>
      <c r="D772">
        <v>75</v>
      </c>
      <c r="E772">
        <v>93</v>
      </c>
      <c r="F772">
        <v>16.5</v>
      </c>
      <c r="G772" t="s">
        <v>27</v>
      </c>
      <c r="H772" t="s">
        <v>14</v>
      </c>
    </row>
    <row r="773" spans="1:8" x14ac:dyDescent="0.3">
      <c r="A773" t="s">
        <v>775</v>
      </c>
      <c r="B773">
        <v>94</v>
      </c>
      <c r="C773" t="s">
        <v>45</v>
      </c>
      <c r="D773">
        <v>58</v>
      </c>
      <c r="E773">
        <v>80</v>
      </c>
      <c r="F773">
        <v>6.47</v>
      </c>
      <c r="G773" t="s">
        <v>18</v>
      </c>
      <c r="H773" t="s">
        <v>17</v>
      </c>
    </row>
    <row r="774" spans="1:8" x14ac:dyDescent="0.3">
      <c r="A774" t="s">
        <v>776</v>
      </c>
      <c r="B774">
        <v>94</v>
      </c>
      <c r="C774" t="s">
        <v>45</v>
      </c>
      <c r="D774">
        <v>60</v>
      </c>
      <c r="E774">
        <v>77</v>
      </c>
      <c r="F774">
        <v>6.76</v>
      </c>
      <c r="G774" t="s">
        <v>18</v>
      </c>
      <c r="H774" t="s">
        <v>15</v>
      </c>
    </row>
    <row r="775" spans="1:8" x14ac:dyDescent="0.3">
      <c r="A775" t="s">
        <v>777</v>
      </c>
      <c r="B775">
        <v>94</v>
      </c>
      <c r="C775" t="s">
        <v>45</v>
      </c>
      <c r="D775">
        <v>59</v>
      </c>
      <c r="E775">
        <v>77</v>
      </c>
      <c r="F775">
        <v>176.37</v>
      </c>
      <c r="G775" t="s">
        <v>2</v>
      </c>
      <c r="H775" t="s">
        <v>9</v>
      </c>
    </row>
    <row r="776" spans="1:8" x14ac:dyDescent="0.3">
      <c r="A776" t="s">
        <v>778</v>
      </c>
      <c r="B776">
        <v>97</v>
      </c>
      <c r="C776" t="s">
        <v>45</v>
      </c>
      <c r="D776">
        <v>58</v>
      </c>
      <c r="E776">
        <v>76</v>
      </c>
      <c r="F776">
        <v>15.43</v>
      </c>
      <c r="G776" t="s">
        <v>18</v>
      </c>
      <c r="H776" t="s">
        <v>8</v>
      </c>
    </row>
    <row r="777" spans="1:8" x14ac:dyDescent="0.3">
      <c r="A777" t="s">
        <v>779</v>
      </c>
      <c r="B777">
        <v>95</v>
      </c>
      <c r="C777" t="s">
        <v>45</v>
      </c>
      <c r="D777">
        <v>58</v>
      </c>
      <c r="E777">
        <v>76</v>
      </c>
      <c r="F777">
        <v>264.55</v>
      </c>
      <c r="G777" t="s">
        <v>2</v>
      </c>
      <c r="H777" t="s">
        <v>3</v>
      </c>
    </row>
    <row r="778" spans="1:8" x14ac:dyDescent="0.3">
      <c r="A778" t="s">
        <v>780</v>
      </c>
      <c r="B778">
        <v>94</v>
      </c>
      <c r="C778" t="s">
        <v>45</v>
      </c>
      <c r="D778">
        <v>60</v>
      </c>
      <c r="E778">
        <v>77</v>
      </c>
      <c r="F778">
        <v>242.29</v>
      </c>
      <c r="G778" t="s">
        <v>2</v>
      </c>
      <c r="H778" t="s">
        <v>15</v>
      </c>
    </row>
    <row r="779" spans="1:8" x14ac:dyDescent="0.3">
      <c r="A779" t="s">
        <v>781</v>
      </c>
      <c r="B779">
        <v>95</v>
      </c>
      <c r="C779" t="s">
        <v>41</v>
      </c>
      <c r="D779">
        <v>64</v>
      </c>
      <c r="E779">
        <v>80</v>
      </c>
      <c r="F779">
        <v>418.5</v>
      </c>
      <c r="G779" t="s">
        <v>2</v>
      </c>
      <c r="H779" t="s">
        <v>6</v>
      </c>
    </row>
    <row r="780" spans="1:8" x14ac:dyDescent="0.3">
      <c r="A780" t="s">
        <v>782</v>
      </c>
      <c r="B780">
        <v>95</v>
      </c>
      <c r="C780" t="s">
        <v>41</v>
      </c>
      <c r="D780">
        <v>60</v>
      </c>
      <c r="E780">
        <v>82</v>
      </c>
      <c r="F780">
        <v>5.57</v>
      </c>
      <c r="G780" t="s">
        <v>18</v>
      </c>
      <c r="H780" t="s">
        <v>9</v>
      </c>
    </row>
    <row r="781" spans="1:8" x14ac:dyDescent="0.3">
      <c r="A781" t="s">
        <v>783</v>
      </c>
      <c r="B781">
        <v>94</v>
      </c>
      <c r="C781" t="s">
        <v>45</v>
      </c>
      <c r="D781">
        <v>54</v>
      </c>
      <c r="E781">
        <v>72</v>
      </c>
      <c r="F781">
        <v>7.05</v>
      </c>
      <c r="G781" t="s">
        <v>18</v>
      </c>
      <c r="H781" t="s">
        <v>16</v>
      </c>
    </row>
    <row r="782" spans="1:8" x14ac:dyDescent="0.3">
      <c r="A782" t="s">
        <v>784</v>
      </c>
      <c r="B782">
        <v>94</v>
      </c>
      <c r="C782" t="s">
        <v>45</v>
      </c>
      <c r="D782">
        <v>58</v>
      </c>
      <c r="E782">
        <v>74</v>
      </c>
      <c r="F782">
        <v>22.05</v>
      </c>
      <c r="G782" t="s">
        <v>18</v>
      </c>
      <c r="H782" t="s">
        <v>18</v>
      </c>
    </row>
    <row r="783" spans="1:8" x14ac:dyDescent="0.3">
      <c r="A783" t="s">
        <v>785</v>
      </c>
      <c r="B783">
        <v>95</v>
      </c>
      <c r="C783" t="s">
        <v>82</v>
      </c>
      <c r="D783">
        <v>45</v>
      </c>
      <c r="E783">
        <v>58</v>
      </c>
      <c r="F783">
        <v>275</v>
      </c>
      <c r="G783" t="s">
        <v>2</v>
      </c>
      <c r="H783" t="s">
        <v>12</v>
      </c>
    </row>
    <row r="784" spans="1:8" x14ac:dyDescent="0.3">
      <c r="A784" t="s">
        <v>786</v>
      </c>
      <c r="B784">
        <v>95</v>
      </c>
      <c r="C784" t="s">
        <v>45</v>
      </c>
      <c r="D784">
        <v>58</v>
      </c>
      <c r="E784">
        <v>76</v>
      </c>
      <c r="F784">
        <v>5.73</v>
      </c>
      <c r="G784" t="s">
        <v>18</v>
      </c>
      <c r="H784" t="s">
        <v>9</v>
      </c>
    </row>
    <row r="785" spans="1:8" x14ac:dyDescent="0.3">
      <c r="A785" t="s">
        <v>747</v>
      </c>
      <c r="B785">
        <v>94</v>
      </c>
      <c r="C785" t="s">
        <v>45</v>
      </c>
      <c r="D785">
        <v>57</v>
      </c>
      <c r="E785">
        <v>74</v>
      </c>
      <c r="F785">
        <v>26.46</v>
      </c>
      <c r="G785" t="s">
        <v>18</v>
      </c>
      <c r="H785" t="s">
        <v>18</v>
      </c>
    </row>
    <row r="786" spans="1:8" x14ac:dyDescent="0.3">
      <c r="A786" t="s">
        <v>787</v>
      </c>
      <c r="B786">
        <v>95</v>
      </c>
      <c r="C786" t="s">
        <v>45</v>
      </c>
      <c r="D786">
        <v>58</v>
      </c>
      <c r="E786">
        <v>74</v>
      </c>
      <c r="F786">
        <v>26.46</v>
      </c>
      <c r="G786" t="s">
        <v>18</v>
      </c>
      <c r="H786" t="s">
        <v>8</v>
      </c>
    </row>
    <row r="787" spans="1:8" x14ac:dyDescent="0.3">
      <c r="A787" t="s">
        <v>788</v>
      </c>
      <c r="B787">
        <v>95</v>
      </c>
      <c r="C787" t="s">
        <v>45</v>
      </c>
      <c r="D787">
        <v>60</v>
      </c>
      <c r="E787">
        <v>77</v>
      </c>
      <c r="F787">
        <v>26.46</v>
      </c>
      <c r="G787" t="s">
        <v>18</v>
      </c>
      <c r="H787" t="s">
        <v>18</v>
      </c>
    </row>
    <row r="788" spans="1:8" x14ac:dyDescent="0.3">
      <c r="A788" t="s">
        <v>789</v>
      </c>
      <c r="B788">
        <v>94</v>
      </c>
      <c r="C788" t="s">
        <v>41</v>
      </c>
      <c r="D788">
        <v>62</v>
      </c>
      <c r="E788">
        <v>80</v>
      </c>
      <c r="F788">
        <v>14.11</v>
      </c>
      <c r="G788" t="s">
        <v>18</v>
      </c>
      <c r="H788" t="s">
        <v>14</v>
      </c>
    </row>
    <row r="789" spans="1:8" x14ac:dyDescent="0.3">
      <c r="A789" t="s">
        <v>790</v>
      </c>
      <c r="B789">
        <v>94</v>
      </c>
      <c r="C789" t="s">
        <v>45</v>
      </c>
      <c r="D789">
        <v>58</v>
      </c>
      <c r="E789">
        <v>74</v>
      </c>
      <c r="F789">
        <v>154.19</v>
      </c>
      <c r="G789" t="s">
        <v>2</v>
      </c>
      <c r="H789" t="s">
        <v>9</v>
      </c>
    </row>
    <row r="790" spans="1:8" x14ac:dyDescent="0.3">
      <c r="A790" t="s">
        <v>791</v>
      </c>
      <c r="B790">
        <v>95</v>
      </c>
      <c r="C790" t="s">
        <v>82</v>
      </c>
      <c r="D790">
        <v>50</v>
      </c>
      <c r="E790">
        <v>64</v>
      </c>
      <c r="F790">
        <v>220.26</v>
      </c>
      <c r="G790" t="s">
        <v>2</v>
      </c>
      <c r="H790" t="s">
        <v>9</v>
      </c>
    </row>
    <row r="791" spans="1:8" x14ac:dyDescent="0.3">
      <c r="A791" t="s">
        <v>792</v>
      </c>
      <c r="B791">
        <v>94</v>
      </c>
      <c r="C791" t="s">
        <v>45</v>
      </c>
      <c r="D791">
        <v>62</v>
      </c>
      <c r="E791">
        <v>76</v>
      </c>
      <c r="F791">
        <v>176.21</v>
      </c>
      <c r="G791" t="s">
        <v>2</v>
      </c>
      <c r="H791" t="s">
        <v>15</v>
      </c>
    </row>
    <row r="792" spans="1:8" x14ac:dyDescent="0.3">
      <c r="A792" t="s">
        <v>793</v>
      </c>
      <c r="B792">
        <v>94</v>
      </c>
      <c r="C792" t="s">
        <v>45</v>
      </c>
      <c r="D792">
        <v>62</v>
      </c>
      <c r="E792">
        <v>76</v>
      </c>
      <c r="F792">
        <v>154.19</v>
      </c>
      <c r="G792" t="s">
        <v>2</v>
      </c>
      <c r="H792" t="s">
        <v>9</v>
      </c>
    </row>
    <row r="793" spans="1:8" x14ac:dyDescent="0.3">
      <c r="A793" t="s">
        <v>794</v>
      </c>
      <c r="B793">
        <v>96</v>
      </c>
      <c r="C793" t="s">
        <v>45</v>
      </c>
      <c r="D793">
        <v>58</v>
      </c>
      <c r="E793">
        <v>77</v>
      </c>
      <c r="F793">
        <v>617.28</v>
      </c>
      <c r="G793" t="s">
        <v>2</v>
      </c>
      <c r="H793" t="s">
        <v>6</v>
      </c>
    </row>
    <row r="794" spans="1:8" x14ac:dyDescent="0.3">
      <c r="A794" t="s">
        <v>795</v>
      </c>
      <c r="B794">
        <v>94</v>
      </c>
      <c r="C794" t="s">
        <v>45</v>
      </c>
      <c r="D794">
        <v>56</v>
      </c>
      <c r="E794">
        <v>74</v>
      </c>
      <c r="F794">
        <v>352.73</v>
      </c>
      <c r="G794" t="s">
        <v>2</v>
      </c>
      <c r="H794" t="s">
        <v>2</v>
      </c>
    </row>
    <row r="795" spans="1:8" x14ac:dyDescent="0.3">
      <c r="A795" t="s">
        <v>796</v>
      </c>
      <c r="B795">
        <v>94</v>
      </c>
      <c r="C795" t="s">
        <v>45</v>
      </c>
      <c r="D795">
        <v>60</v>
      </c>
      <c r="E795">
        <v>76</v>
      </c>
      <c r="F795">
        <v>5.29</v>
      </c>
      <c r="G795" t="s">
        <v>18</v>
      </c>
      <c r="H795" t="s">
        <v>9</v>
      </c>
    </row>
    <row r="796" spans="1:8" x14ac:dyDescent="0.3">
      <c r="A796" t="s">
        <v>797</v>
      </c>
      <c r="B796">
        <v>95</v>
      </c>
      <c r="C796" t="s">
        <v>41</v>
      </c>
      <c r="D796">
        <v>62</v>
      </c>
      <c r="E796">
        <v>80</v>
      </c>
      <c r="F796">
        <v>7.64</v>
      </c>
      <c r="G796" t="s">
        <v>18</v>
      </c>
      <c r="H796" t="s">
        <v>9</v>
      </c>
    </row>
    <row r="797" spans="1:8" x14ac:dyDescent="0.3">
      <c r="A797" t="s">
        <v>798</v>
      </c>
      <c r="B797">
        <v>94</v>
      </c>
      <c r="C797" t="s">
        <v>45</v>
      </c>
      <c r="D797">
        <v>56</v>
      </c>
      <c r="E797">
        <v>74</v>
      </c>
      <c r="F797">
        <v>5.59</v>
      </c>
      <c r="G797" t="s">
        <v>18</v>
      </c>
      <c r="H797" t="s">
        <v>9</v>
      </c>
    </row>
    <row r="798" spans="1:8" x14ac:dyDescent="0.3">
      <c r="A798" t="s">
        <v>799</v>
      </c>
      <c r="B798">
        <v>94</v>
      </c>
      <c r="C798" t="s">
        <v>45</v>
      </c>
      <c r="D798">
        <v>54</v>
      </c>
      <c r="E798">
        <v>74</v>
      </c>
      <c r="F798">
        <v>14.99</v>
      </c>
      <c r="G798" t="s">
        <v>18</v>
      </c>
      <c r="H798" t="s">
        <v>18</v>
      </c>
    </row>
    <row r="799" spans="1:8" x14ac:dyDescent="0.3">
      <c r="A799" t="s">
        <v>800</v>
      </c>
      <c r="B799">
        <v>94</v>
      </c>
      <c r="C799" t="s">
        <v>41</v>
      </c>
      <c r="D799">
        <v>64</v>
      </c>
      <c r="E799">
        <v>80</v>
      </c>
      <c r="F799">
        <v>7.64</v>
      </c>
      <c r="G799" t="s">
        <v>18</v>
      </c>
      <c r="H799" t="s">
        <v>14</v>
      </c>
    </row>
    <row r="800" spans="1:8" x14ac:dyDescent="0.3">
      <c r="A800" t="s">
        <v>801</v>
      </c>
      <c r="B800">
        <v>94</v>
      </c>
      <c r="C800" t="s">
        <v>45</v>
      </c>
      <c r="D800">
        <v>60</v>
      </c>
      <c r="E800">
        <v>76</v>
      </c>
      <c r="F800">
        <v>6.91</v>
      </c>
      <c r="G800" t="s">
        <v>12</v>
      </c>
      <c r="H800" t="s">
        <v>12</v>
      </c>
    </row>
    <row r="801" spans="1:8" x14ac:dyDescent="0.3">
      <c r="A801" t="s">
        <v>802</v>
      </c>
      <c r="B801">
        <v>96</v>
      </c>
      <c r="C801" t="s">
        <v>45</v>
      </c>
      <c r="D801">
        <v>60</v>
      </c>
      <c r="E801">
        <v>77</v>
      </c>
      <c r="F801">
        <v>123.46</v>
      </c>
      <c r="G801" t="s">
        <v>18</v>
      </c>
      <c r="H801" t="s">
        <v>4</v>
      </c>
    </row>
    <row r="802" spans="1:8" x14ac:dyDescent="0.3">
      <c r="A802" t="s">
        <v>803</v>
      </c>
      <c r="B802">
        <v>95</v>
      </c>
      <c r="C802" t="s">
        <v>45</v>
      </c>
      <c r="D802">
        <v>57</v>
      </c>
      <c r="E802">
        <v>74</v>
      </c>
      <c r="F802">
        <v>26.46</v>
      </c>
      <c r="G802" t="s">
        <v>18</v>
      </c>
      <c r="H802" t="s">
        <v>18</v>
      </c>
    </row>
    <row r="803" spans="1:8" x14ac:dyDescent="0.3">
      <c r="A803" t="s">
        <v>508</v>
      </c>
      <c r="B803">
        <v>95</v>
      </c>
      <c r="C803" t="s">
        <v>82</v>
      </c>
      <c r="D803">
        <v>46</v>
      </c>
      <c r="E803">
        <v>60</v>
      </c>
      <c r="F803">
        <v>800</v>
      </c>
      <c r="G803" t="s">
        <v>2</v>
      </c>
      <c r="H803" t="s">
        <v>5</v>
      </c>
    </row>
    <row r="804" spans="1:8" x14ac:dyDescent="0.3">
      <c r="A804" t="s">
        <v>804</v>
      </c>
      <c r="B804">
        <v>94</v>
      </c>
      <c r="C804" t="s">
        <v>45</v>
      </c>
      <c r="D804">
        <v>62</v>
      </c>
      <c r="E804">
        <v>78</v>
      </c>
      <c r="F804">
        <v>700</v>
      </c>
      <c r="G804" t="s">
        <v>2</v>
      </c>
      <c r="H804" t="s">
        <v>6</v>
      </c>
    </row>
    <row r="805" spans="1:8" x14ac:dyDescent="0.3">
      <c r="A805" t="s">
        <v>805</v>
      </c>
      <c r="B805">
        <v>95</v>
      </c>
      <c r="C805" t="s">
        <v>82</v>
      </c>
      <c r="D805">
        <v>46</v>
      </c>
      <c r="E805">
        <v>60</v>
      </c>
      <c r="F805">
        <v>29.08</v>
      </c>
      <c r="G805" t="s">
        <v>18</v>
      </c>
      <c r="H805" t="s">
        <v>150</v>
      </c>
    </row>
    <row r="806" spans="1:8" x14ac:dyDescent="0.3">
      <c r="A806" t="s">
        <v>806</v>
      </c>
      <c r="B806">
        <v>95</v>
      </c>
      <c r="C806" t="s">
        <v>541</v>
      </c>
      <c r="D806">
        <v>40</v>
      </c>
      <c r="E806">
        <v>54</v>
      </c>
      <c r="F806">
        <v>3600</v>
      </c>
      <c r="G806" t="s">
        <v>2</v>
      </c>
      <c r="H806" t="s">
        <v>4</v>
      </c>
    </row>
    <row r="807" spans="1:8" x14ac:dyDescent="0.3">
      <c r="A807" t="s">
        <v>807</v>
      </c>
      <c r="B807">
        <v>94</v>
      </c>
      <c r="C807" t="s">
        <v>541</v>
      </c>
      <c r="D807">
        <v>40</v>
      </c>
      <c r="E807">
        <v>50</v>
      </c>
      <c r="F807">
        <v>8.82</v>
      </c>
      <c r="G807" t="s">
        <v>18</v>
      </c>
      <c r="H807" t="s">
        <v>16</v>
      </c>
    </row>
    <row r="808" spans="1:8" x14ac:dyDescent="0.3">
      <c r="A808" t="s">
        <v>808</v>
      </c>
      <c r="B808">
        <v>94</v>
      </c>
      <c r="C808" t="s">
        <v>82</v>
      </c>
      <c r="D808">
        <v>47</v>
      </c>
      <c r="E808">
        <v>60</v>
      </c>
      <c r="F808">
        <v>7.2</v>
      </c>
      <c r="G808" t="s">
        <v>18</v>
      </c>
      <c r="H808" t="s">
        <v>16</v>
      </c>
    </row>
    <row r="809" spans="1:8" x14ac:dyDescent="0.3">
      <c r="A809" t="s">
        <v>809</v>
      </c>
      <c r="B809">
        <v>94</v>
      </c>
      <c r="C809" t="s">
        <v>82</v>
      </c>
      <c r="D809">
        <v>47</v>
      </c>
      <c r="E809">
        <v>61</v>
      </c>
      <c r="F809">
        <v>10.050000000000001</v>
      </c>
      <c r="G809" t="s">
        <v>18</v>
      </c>
      <c r="H809" t="s">
        <v>18</v>
      </c>
    </row>
    <row r="810" spans="1:8" x14ac:dyDescent="0.3">
      <c r="A810" t="s">
        <v>810</v>
      </c>
      <c r="B810">
        <v>95</v>
      </c>
      <c r="C810" t="s">
        <v>45</v>
      </c>
      <c r="D810">
        <v>57</v>
      </c>
      <c r="E810">
        <v>79</v>
      </c>
      <c r="F810">
        <v>6.17</v>
      </c>
      <c r="G810" t="s">
        <v>18</v>
      </c>
      <c r="H810" t="s">
        <v>16</v>
      </c>
    </row>
    <row r="811" spans="1:8" x14ac:dyDescent="0.3">
      <c r="A811" t="s">
        <v>811</v>
      </c>
      <c r="B811">
        <v>95</v>
      </c>
      <c r="C811" t="s">
        <v>45</v>
      </c>
      <c r="D811">
        <v>58</v>
      </c>
      <c r="E811">
        <v>80</v>
      </c>
      <c r="F811">
        <v>5.59</v>
      </c>
      <c r="G811" t="s">
        <v>18</v>
      </c>
      <c r="H811" t="s">
        <v>16</v>
      </c>
    </row>
    <row r="812" spans="1:8" x14ac:dyDescent="0.3">
      <c r="A812" t="s">
        <v>812</v>
      </c>
      <c r="B812">
        <v>96</v>
      </c>
      <c r="C812" t="s">
        <v>41</v>
      </c>
      <c r="D812">
        <v>64</v>
      </c>
      <c r="E812">
        <v>82</v>
      </c>
      <c r="F812">
        <v>14.11</v>
      </c>
      <c r="G812" t="s">
        <v>18</v>
      </c>
      <c r="H812" t="s">
        <v>14</v>
      </c>
    </row>
    <row r="813" spans="1:8" x14ac:dyDescent="0.3">
      <c r="A813" t="s">
        <v>813</v>
      </c>
      <c r="B813">
        <v>95</v>
      </c>
      <c r="C813" t="s">
        <v>45</v>
      </c>
      <c r="D813">
        <v>58</v>
      </c>
      <c r="E813">
        <v>78</v>
      </c>
      <c r="F813">
        <v>154.32</v>
      </c>
      <c r="G813" t="s">
        <v>2</v>
      </c>
      <c r="H813" t="s">
        <v>9</v>
      </c>
    </row>
    <row r="814" spans="1:8" x14ac:dyDescent="0.3">
      <c r="A814" t="s">
        <v>814</v>
      </c>
      <c r="B814">
        <v>94</v>
      </c>
      <c r="C814" t="s">
        <v>45</v>
      </c>
      <c r="D814">
        <v>58</v>
      </c>
      <c r="E814">
        <v>80</v>
      </c>
      <c r="F814">
        <v>5.88</v>
      </c>
      <c r="G814" t="s">
        <v>18</v>
      </c>
      <c r="H814" t="s">
        <v>9</v>
      </c>
    </row>
    <row r="815" spans="1:8" x14ac:dyDescent="0.3">
      <c r="A815" t="s">
        <v>815</v>
      </c>
      <c r="B815">
        <v>94</v>
      </c>
      <c r="C815" t="s">
        <v>41</v>
      </c>
      <c r="D815">
        <v>64</v>
      </c>
      <c r="E815">
        <v>86</v>
      </c>
      <c r="F815">
        <v>7.64</v>
      </c>
      <c r="G815" t="s">
        <v>18</v>
      </c>
      <c r="H815" t="s">
        <v>9</v>
      </c>
    </row>
    <row r="816" spans="1:8" x14ac:dyDescent="0.3">
      <c r="A816" t="s">
        <v>720</v>
      </c>
      <c r="B816">
        <v>94</v>
      </c>
      <c r="C816" t="s">
        <v>45</v>
      </c>
      <c r="D816">
        <v>58</v>
      </c>
      <c r="E816">
        <v>78</v>
      </c>
      <c r="F816">
        <v>5.59</v>
      </c>
      <c r="G816" t="s">
        <v>18</v>
      </c>
      <c r="H816" t="s">
        <v>9</v>
      </c>
    </row>
    <row r="817" spans="1:8" x14ac:dyDescent="0.3">
      <c r="A817" t="s">
        <v>816</v>
      </c>
      <c r="B817">
        <v>94</v>
      </c>
      <c r="C817" t="s">
        <v>45</v>
      </c>
      <c r="D817">
        <v>60</v>
      </c>
      <c r="E817">
        <v>78</v>
      </c>
      <c r="F817">
        <v>5.88</v>
      </c>
      <c r="G817" t="s">
        <v>18</v>
      </c>
      <c r="H817" t="s">
        <v>9</v>
      </c>
    </row>
    <row r="818" spans="1:8" x14ac:dyDescent="0.3">
      <c r="A818" t="s">
        <v>817</v>
      </c>
      <c r="B818">
        <v>94</v>
      </c>
      <c r="C818" t="s">
        <v>41</v>
      </c>
      <c r="D818">
        <v>62</v>
      </c>
      <c r="E818">
        <v>80</v>
      </c>
      <c r="F818">
        <v>154.32</v>
      </c>
      <c r="G818" t="s">
        <v>2</v>
      </c>
      <c r="H818" t="s">
        <v>16</v>
      </c>
    </row>
    <row r="819" spans="1:8" x14ac:dyDescent="0.3">
      <c r="A819" t="s">
        <v>818</v>
      </c>
      <c r="B819">
        <v>94</v>
      </c>
      <c r="C819" t="s">
        <v>45</v>
      </c>
      <c r="D819">
        <v>57</v>
      </c>
      <c r="E819">
        <v>77</v>
      </c>
      <c r="F819">
        <v>158.72999999999999</v>
      </c>
      <c r="G819" t="s">
        <v>2</v>
      </c>
      <c r="H819" t="s">
        <v>12</v>
      </c>
    </row>
    <row r="820" spans="1:8" x14ac:dyDescent="0.3">
      <c r="A820" t="s">
        <v>819</v>
      </c>
      <c r="B820">
        <v>95</v>
      </c>
      <c r="C820" t="s">
        <v>45</v>
      </c>
      <c r="D820">
        <v>57</v>
      </c>
      <c r="E820">
        <v>77</v>
      </c>
      <c r="F820">
        <v>330.4</v>
      </c>
      <c r="G820" t="s">
        <v>2</v>
      </c>
      <c r="H820" t="s">
        <v>12</v>
      </c>
    </row>
    <row r="821" spans="1:8" x14ac:dyDescent="0.3">
      <c r="A821" t="s">
        <v>820</v>
      </c>
      <c r="B821">
        <v>95</v>
      </c>
      <c r="C821" t="s">
        <v>45</v>
      </c>
      <c r="D821">
        <v>60</v>
      </c>
      <c r="E821">
        <v>80</v>
      </c>
      <c r="F821">
        <v>7.94</v>
      </c>
      <c r="G821" t="s">
        <v>18</v>
      </c>
      <c r="H821" t="s">
        <v>4</v>
      </c>
    </row>
    <row r="822" spans="1:8" x14ac:dyDescent="0.3">
      <c r="A822" t="s">
        <v>821</v>
      </c>
      <c r="B822">
        <v>94</v>
      </c>
      <c r="C822" t="s">
        <v>45</v>
      </c>
      <c r="D822">
        <v>55</v>
      </c>
      <c r="E822">
        <v>73</v>
      </c>
      <c r="F822">
        <v>7.05</v>
      </c>
      <c r="G822" t="s">
        <v>18</v>
      </c>
      <c r="H822" t="s">
        <v>14</v>
      </c>
    </row>
    <row r="823" spans="1:8" x14ac:dyDescent="0.3">
      <c r="A823" t="s">
        <v>822</v>
      </c>
      <c r="B823">
        <v>94</v>
      </c>
      <c r="C823" t="s">
        <v>45</v>
      </c>
      <c r="D823">
        <v>60</v>
      </c>
      <c r="E823">
        <v>78</v>
      </c>
      <c r="F823">
        <v>7.94</v>
      </c>
      <c r="G823" t="s">
        <v>18</v>
      </c>
      <c r="H823" t="s">
        <v>14</v>
      </c>
    </row>
    <row r="824" spans="1:8" x14ac:dyDescent="0.3">
      <c r="A824" t="s">
        <v>823</v>
      </c>
      <c r="B824">
        <v>94</v>
      </c>
      <c r="C824" t="s">
        <v>45</v>
      </c>
      <c r="D824">
        <v>58</v>
      </c>
      <c r="E824">
        <v>78</v>
      </c>
      <c r="F824">
        <v>11.02</v>
      </c>
      <c r="G824" t="s">
        <v>18</v>
      </c>
      <c r="H824" t="s">
        <v>8</v>
      </c>
    </row>
    <row r="825" spans="1:8" x14ac:dyDescent="0.3">
      <c r="A825" t="s">
        <v>824</v>
      </c>
      <c r="B825">
        <v>94</v>
      </c>
      <c r="C825" t="s">
        <v>41</v>
      </c>
      <c r="D825">
        <v>60</v>
      </c>
      <c r="E825">
        <v>82</v>
      </c>
      <c r="F825">
        <v>6.47</v>
      </c>
      <c r="G825" t="s">
        <v>18</v>
      </c>
      <c r="H825" t="s">
        <v>21</v>
      </c>
    </row>
    <row r="826" spans="1:8" x14ac:dyDescent="0.3">
      <c r="A826" t="s">
        <v>825</v>
      </c>
      <c r="B826">
        <v>96</v>
      </c>
      <c r="C826" t="s">
        <v>41</v>
      </c>
      <c r="D826">
        <v>62</v>
      </c>
      <c r="E826">
        <v>80</v>
      </c>
      <c r="F826">
        <v>40.56</v>
      </c>
      <c r="G826" t="s">
        <v>18</v>
      </c>
      <c r="H826" t="s">
        <v>14</v>
      </c>
    </row>
    <row r="827" spans="1:8" x14ac:dyDescent="0.3">
      <c r="A827" t="s">
        <v>826</v>
      </c>
      <c r="B827">
        <v>97</v>
      </c>
      <c r="C827" t="s">
        <v>41</v>
      </c>
      <c r="D827">
        <v>64</v>
      </c>
      <c r="E827">
        <v>84</v>
      </c>
      <c r="F827">
        <v>35.270000000000003</v>
      </c>
      <c r="G827" t="s">
        <v>18</v>
      </c>
      <c r="H827" t="s">
        <v>14</v>
      </c>
    </row>
    <row r="828" spans="1:8" x14ac:dyDescent="0.3">
      <c r="A828" t="s">
        <v>827</v>
      </c>
      <c r="B828">
        <v>94</v>
      </c>
      <c r="C828" t="s">
        <v>45</v>
      </c>
      <c r="D828">
        <v>60</v>
      </c>
      <c r="E828">
        <v>80</v>
      </c>
      <c r="F828">
        <v>36.11</v>
      </c>
      <c r="G828" t="s">
        <v>18</v>
      </c>
      <c r="H828" t="s">
        <v>150</v>
      </c>
    </row>
    <row r="829" spans="1:8" x14ac:dyDescent="0.3">
      <c r="A829" t="s">
        <v>828</v>
      </c>
      <c r="B829">
        <v>94</v>
      </c>
      <c r="C829" t="s">
        <v>45</v>
      </c>
      <c r="D829">
        <v>56</v>
      </c>
      <c r="E829">
        <v>72</v>
      </c>
      <c r="F829">
        <v>35.270000000000003</v>
      </c>
      <c r="G829" t="s">
        <v>18</v>
      </c>
      <c r="H829" t="s">
        <v>18</v>
      </c>
    </row>
    <row r="830" spans="1:8" x14ac:dyDescent="0.3">
      <c r="A830" t="s">
        <v>829</v>
      </c>
      <c r="B830">
        <v>95</v>
      </c>
      <c r="C830" t="s">
        <v>45</v>
      </c>
      <c r="D830">
        <v>58</v>
      </c>
      <c r="E830">
        <v>78</v>
      </c>
      <c r="F830">
        <v>22.05</v>
      </c>
      <c r="G830" t="s">
        <v>18</v>
      </c>
      <c r="H830" t="s">
        <v>18</v>
      </c>
    </row>
    <row r="831" spans="1:8" x14ac:dyDescent="0.3">
      <c r="A831" t="s">
        <v>830</v>
      </c>
      <c r="B831">
        <v>95</v>
      </c>
      <c r="C831" t="s">
        <v>41</v>
      </c>
      <c r="D831">
        <v>64</v>
      </c>
      <c r="E831">
        <v>80</v>
      </c>
      <c r="F831">
        <v>10.58</v>
      </c>
      <c r="G831" t="s">
        <v>18</v>
      </c>
      <c r="H831" t="s">
        <v>4</v>
      </c>
    </row>
    <row r="832" spans="1:8" x14ac:dyDescent="0.3">
      <c r="A832" t="s">
        <v>831</v>
      </c>
      <c r="B832">
        <v>94</v>
      </c>
      <c r="C832" t="s">
        <v>45</v>
      </c>
      <c r="D832">
        <v>58</v>
      </c>
      <c r="E832">
        <v>76</v>
      </c>
      <c r="F832">
        <v>5.59</v>
      </c>
      <c r="G832" t="s">
        <v>18</v>
      </c>
      <c r="H832" t="s">
        <v>9</v>
      </c>
    </row>
    <row r="833" spans="1:8" x14ac:dyDescent="0.3">
      <c r="A833" t="s">
        <v>832</v>
      </c>
      <c r="B833">
        <v>94</v>
      </c>
      <c r="C833" t="s">
        <v>45</v>
      </c>
      <c r="D833">
        <v>58</v>
      </c>
      <c r="E833">
        <v>76</v>
      </c>
      <c r="F833">
        <v>15.87</v>
      </c>
      <c r="G833" t="s">
        <v>18</v>
      </c>
      <c r="H833" t="s">
        <v>14</v>
      </c>
    </row>
    <row r="834" spans="1:8" x14ac:dyDescent="0.3">
      <c r="A834" t="s">
        <v>833</v>
      </c>
      <c r="B834">
        <v>94</v>
      </c>
      <c r="C834" t="s">
        <v>45</v>
      </c>
      <c r="D834">
        <v>60</v>
      </c>
      <c r="E834">
        <v>78</v>
      </c>
      <c r="F834">
        <v>208.89</v>
      </c>
      <c r="G834" t="s">
        <v>2</v>
      </c>
      <c r="H834" t="s">
        <v>5</v>
      </c>
    </row>
    <row r="835" spans="1:8" x14ac:dyDescent="0.3">
      <c r="A835" t="s">
        <v>834</v>
      </c>
      <c r="B835">
        <v>95</v>
      </c>
      <c r="C835" t="s">
        <v>45</v>
      </c>
      <c r="D835">
        <v>56</v>
      </c>
      <c r="E835">
        <v>76</v>
      </c>
      <c r="F835">
        <v>22.02</v>
      </c>
      <c r="G835" t="s">
        <v>18</v>
      </c>
      <c r="H835" t="s">
        <v>18</v>
      </c>
    </row>
    <row r="836" spans="1:8" x14ac:dyDescent="0.3">
      <c r="A836" t="s">
        <v>835</v>
      </c>
      <c r="B836">
        <v>95</v>
      </c>
      <c r="C836" t="s">
        <v>45</v>
      </c>
      <c r="D836">
        <v>60</v>
      </c>
      <c r="E836">
        <v>78</v>
      </c>
      <c r="F836">
        <v>7.35</v>
      </c>
      <c r="G836" t="s">
        <v>18</v>
      </c>
      <c r="H836" t="s">
        <v>21</v>
      </c>
    </row>
    <row r="837" spans="1:8" x14ac:dyDescent="0.3">
      <c r="A837" t="s">
        <v>836</v>
      </c>
      <c r="B837">
        <v>94</v>
      </c>
      <c r="C837" t="s">
        <v>45</v>
      </c>
      <c r="D837">
        <v>58</v>
      </c>
      <c r="E837">
        <v>78</v>
      </c>
      <c r="F837">
        <v>5.58</v>
      </c>
      <c r="G837" t="s">
        <v>18</v>
      </c>
      <c r="H837" t="s">
        <v>21</v>
      </c>
    </row>
    <row r="838" spans="1:8" x14ac:dyDescent="0.3">
      <c r="A838" t="s">
        <v>837</v>
      </c>
      <c r="B838">
        <v>94</v>
      </c>
      <c r="C838" t="s">
        <v>45</v>
      </c>
      <c r="D838">
        <v>58</v>
      </c>
      <c r="E838">
        <v>78</v>
      </c>
      <c r="F838">
        <v>176.21</v>
      </c>
      <c r="G838" t="s">
        <v>2</v>
      </c>
      <c r="H838" t="s">
        <v>15</v>
      </c>
    </row>
    <row r="839" spans="1:8" x14ac:dyDescent="0.3">
      <c r="A839" t="s">
        <v>838</v>
      </c>
      <c r="B839">
        <v>94</v>
      </c>
      <c r="C839" t="s">
        <v>41</v>
      </c>
      <c r="D839">
        <v>64</v>
      </c>
      <c r="E839">
        <v>88</v>
      </c>
      <c r="F839">
        <v>53.4</v>
      </c>
      <c r="G839" t="s">
        <v>2</v>
      </c>
      <c r="H839" t="s">
        <v>9</v>
      </c>
    </row>
    <row r="840" spans="1:8" x14ac:dyDescent="0.3">
      <c r="A840" t="s">
        <v>839</v>
      </c>
      <c r="B840">
        <v>94</v>
      </c>
      <c r="C840" t="s">
        <v>41</v>
      </c>
      <c r="D840">
        <v>62</v>
      </c>
      <c r="E840">
        <v>80</v>
      </c>
      <c r="F840">
        <v>3.95</v>
      </c>
      <c r="G840" t="s">
        <v>18</v>
      </c>
      <c r="H840" t="s">
        <v>150</v>
      </c>
    </row>
    <row r="841" spans="1:8" x14ac:dyDescent="0.3">
      <c r="A841" t="s">
        <v>840</v>
      </c>
      <c r="B841">
        <v>94</v>
      </c>
      <c r="C841" t="s">
        <v>45</v>
      </c>
      <c r="D841">
        <v>58</v>
      </c>
      <c r="E841">
        <v>76</v>
      </c>
      <c r="F841">
        <v>5.29</v>
      </c>
      <c r="G841" t="s">
        <v>18</v>
      </c>
      <c r="H841" t="s">
        <v>9</v>
      </c>
    </row>
    <row r="842" spans="1:8" x14ac:dyDescent="0.3">
      <c r="A842" t="s">
        <v>841</v>
      </c>
      <c r="B842">
        <v>94</v>
      </c>
      <c r="C842" t="s">
        <v>45</v>
      </c>
      <c r="D842">
        <v>57</v>
      </c>
      <c r="E842">
        <v>74</v>
      </c>
      <c r="F842">
        <v>326.67</v>
      </c>
      <c r="G842" t="s">
        <v>2</v>
      </c>
      <c r="H842" t="s">
        <v>14</v>
      </c>
    </row>
    <row r="843" spans="1:8" x14ac:dyDescent="0.3">
      <c r="A843" t="s">
        <v>842</v>
      </c>
      <c r="B843">
        <v>94</v>
      </c>
      <c r="C843" t="s">
        <v>45</v>
      </c>
      <c r="D843">
        <v>58</v>
      </c>
      <c r="E843">
        <v>78</v>
      </c>
      <c r="F843">
        <v>6.47</v>
      </c>
      <c r="G843" t="s">
        <v>18</v>
      </c>
      <c r="H843" t="s">
        <v>12</v>
      </c>
    </row>
    <row r="844" spans="1:8" x14ac:dyDescent="0.3">
      <c r="A844" t="s">
        <v>843</v>
      </c>
      <c r="B844">
        <v>94</v>
      </c>
      <c r="C844" t="s">
        <v>45</v>
      </c>
      <c r="D844">
        <v>60</v>
      </c>
      <c r="E844">
        <v>76</v>
      </c>
      <c r="F844">
        <v>15.41</v>
      </c>
      <c r="G844" t="s">
        <v>18</v>
      </c>
      <c r="H844" t="s">
        <v>14</v>
      </c>
    </row>
    <row r="845" spans="1:8" x14ac:dyDescent="0.3">
      <c r="A845" t="s">
        <v>844</v>
      </c>
      <c r="B845">
        <v>94</v>
      </c>
      <c r="C845" t="s">
        <v>45</v>
      </c>
      <c r="D845">
        <v>54</v>
      </c>
      <c r="E845">
        <v>72</v>
      </c>
      <c r="F845">
        <v>4.7</v>
      </c>
      <c r="G845" t="s">
        <v>18</v>
      </c>
      <c r="H845" t="s">
        <v>21</v>
      </c>
    </row>
    <row r="846" spans="1:8" x14ac:dyDescent="0.3">
      <c r="A846" t="s">
        <v>845</v>
      </c>
      <c r="B846">
        <v>94</v>
      </c>
      <c r="C846" t="s">
        <v>45</v>
      </c>
      <c r="D846">
        <v>56</v>
      </c>
      <c r="E846">
        <v>76</v>
      </c>
      <c r="F846">
        <v>5.59</v>
      </c>
      <c r="G846" t="s">
        <v>18</v>
      </c>
      <c r="H846" t="s">
        <v>7</v>
      </c>
    </row>
    <row r="847" spans="1:8" x14ac:dyDescent="0.3">
      <c r="A847" t="s">
        <v>609</v>
      </c>
      <c r="B847">
        <v>95</v>
      </c>
      <c r="C847" t="s">
        <v>41</v>
      </c>
      <c r="D847">
        <v>60</v>
      </c>
      <c r="E847">
        <v>82</v>
      </c>
      <c r="F847">
        <v>5.29</v>
      </c>
      <c r="G847" t="s">
        <v>18</v>
      </c>
      <c r="H847" t="s">
        <v>19</v>
      </c>
    </row>
    <row r="848" spans="1:8" x14ac:dyDescent="0.3">
      <c r="A848" t="s">
        <v>846</v>
      </c>
      <c r="B848">
        <v>96</v>
      </c>
      <c r="C848" t="s">
        <v>45</v>
      </c>
      <c r="D848">
        <v>60</v>
      </c>
      <c r="E848">
        <v>78</v>
      </c>
      <c r="F848">
        <v>352.73</v>
      </c>
      <c r="G848" t="s">
        <v>2</v>
      </c>
      <c r="H848" t="s">
        <v>9</v>
      </c>
    </row>
    <row r="849" spans="1:8" x14ac:dyDescent="0.3">
      <c r="A849" t="s">
        <v>847</v>
      </c>
      <c r="B849">
        <v>95</v>
      </c>
      <c r="C849" t="s">
        <v>45</v>
      </c>
      <c r="D849">
        <v>60</v>
      </c>
      <c r="E849">
        <v>76</v>
      </c>
      <c r="F849">
        <v>5.88</v>
      </c>
      <c r="G849" t="s">
        <v>18</v>
      </c>
      <c r="H849" t="s">
        <v>150</v>
      </c>
    </row>
    <row r="850" spans="1:8" x14ac:dyDescent="0.3">
      <c r="A850" t="s">
        <v>848</v>
      </c>
      <c r="B850">
        <v>95</v>
      </c>
      <c r="C850" t="s">
        <v>45</v>
      </c>
      <c r="D850">
        <v>57</v>
      </c>
      <c r="E850">
        <v>77</v>
      </c>
      <c r="F850">
        <v>92.59</v>
      </c>
      <c r="G850" t="s">
        <v>2</v>
      </c>
      <c r="H850" t="s">
        <v>9</v>
      </c>
    </row>
    <row r="851" spans="1:8" x14ac:dyDescent="0.3">
      <c r="A851" t="s">
        <v>849</v>
      </c>
      <c r="B851">
        <v>94</v>
      </c>
      <c r="C851" t="s">
        <v>45</v>
      </c>
      <c r="D851">
        <v>58</v>
      </c>
      <c r="E851">
        <v>80</v>
      </c>
      <c r="F851">
        <v>7.94</v>
      </c>
      <c r="G851" t="s">
        <v>18</v>
      </c>
      <c r="H851" t="s">
        <v>15</v>
      </c>
    </row>
    <row r="852" spans="1:8" x14ac:dyDescent="0.3">
      <c r="A852" t="s">
        <v>850</v>
      </c>
      <c r="B852">
        <v>95</v>
      </c>
      <c r="C852" t="s">
        <v>41</v>
      </c>
      <c r="D852">
        <v>64</v>
      </c>
      <c r="E852">
        <v>82</v>
      </c>
      <c r="F852">
        <v>420.35</v>
      </c>
      <c r="G852" t="s">
        <v>2</v>
      </c>
      <c r="H852" t="s">
        <v>9</v>
      </c>
    </row>
    <row r="853" spans="1:8" x14ac:dyDescent="0.3">
      <c r="A853" t="s">
        <v>851</v>
      </c>
      <c r="B853">
        <v>94</v>
      </c>
      <c r="C853" t="s">
        <v>45</v>
      </c>
      <c r="D853">
        <v>54</v>
      </c>
      <c r="E853">
        <v>72</v>
      </c>
      <c r="F853">
        <v>7.35</v>
      </c>
      <c r="G853" t="s">
        <v>18</v>
      </c>
      <c r="H853" t="s">
        <v>16</v>
      </c>
    </row>
    <row r="854" spans="1:8" x14ac:dyDescent="0.3">
      <c r="A854" t="s">
        <v>852</v>
      </c>
      <c r="B854">
        <v>94</v>
      </c>
      <c r="C854" t="s">
        <v>45</v>
      </c>
      <c r="D854">
        <v>57</v>
      </c>
      <c r="E854">
        <v>73</v>
      </c>
      <c r="F854">
        <v>12.3</v>
      </c>
      <c r="G854" t="s">
        <v>18</v>
      </c>
      <c r="H854" t="s">
        <v>8</v>
      </c>
    </row>
    <row r="855" spans="1:8" x14ac:dyDescent="0.3">
      <c r="A855" t="s">
        <v>853</v>
      </c>
      <c r="B855">
        <v>94</v>
      </c>
      <c r="C855" t="s">
        <v>45</v>
      </c>
      <c r="D855">
        <v>58</v>
      </c>
      <c r="E855">
        <v>76</v>
      </c>
      <c r="F855">
        <v>4.9800000000000004</v>
      </c>
      <c r="G855" t="s">
        <v>18</v>
      </c>
      <c r="H855" t="s">
        <v>12</v>
      </c>
    </row>
    <row r="856" spans="1:8" x14ac:dyDescent="0.3">
      <c r="A856" t="s">
        <v>854</v>
      </c>
      <c r="B856">
        <v>95</v>
      </c>
      <c r="C856" t="s">
        <v>41</v>
      </c>
      <c r="D856">
        <v>62</v>
      </c>
      <c r="E856">
        <v>80</v>
      </c>
      <c r="F856">
        <v>11.02</v>
      </c>
      <c r="G856" t="s">
        <v>18</v>
      </c>
      <c r="H856" t="s">
        <v>5</v>
      </c>
    </row>
    <row r="857" spans="1:8" x14ac:dyDescent="0.3">
      <c r="A857" t="s">
        <v>855</v>
      </c>
      <c r="B857">
        <v>94</v>
      </c>
      <c r="C857" t="s">
        <v>45</v>
      </c>
      <c r="D857">
        <v>60</v>
      </c>
      <c r="E857">
        <v>78</v>
      </c>
      <c r="F857">
        <v>5.59</v>
      </c>
      <c r="G857" t="s">
        <v>18</v>
      </c>
      <c r="H857" t="s">
        <v>9</v>
      </c>
    </row>
    <row r="858" spans="1:8" x14ac:dyDescent="0.3">
      <c r="A858" t="s">
        <v>856</v>
      </c>
      <c r="B858">
        <v>94</v>
      </c>
      <c r="C858" t="s">
        <v>45</v>
      </c>
      <c r="D858">
        <v>59</v>
      </c>
      <c r="E858">
        <v>77</v>
      </c>
      <c r="F858">
        <v>11.02</v>
      </c>
      <c r="G858" t="s">
        <v>18</v>
      </c>
      <c r="H858" t="s">
        <v>9</v>
      </c>
    </row>
    <row r="859" spans="1:8" x14ac:dyDescent="0.3">
      <c r="A859" t="s">
        <v>857</v>
      </c>
      <c r="B859">
        <v>94</v>
      </c>
      <c r="C859" t="s">
        <v>45</v>
      </c>
      <c r="D859">
        <v>54</v>
      </c>
      <c r="E859">
        <v>72</v>
      </c>
      <c r="F859">
        <v>152.16999999999999</v>
      </c>
      <c r="G859" t="s">
        <v>2</v>
      </c>
      <c r="H859" t="s">
        <v>15</v>
      </c>
    </row>
    <row r="860" spans="1:8" x14ac:dyDescent="0.3">
      <c r="A860" t="s">
        <v>858</v>
      </c>
      <c r="B860">
        <v>95</v>
      </c>
      <c r="C860" t="s">
        <v>45</v>
      </c>
      <c r="D860">
        <v>62</v>
      </c>
      <c r="E860">
        <v>78</v>
      </c>
      <c r="F860">
        <v>130.07</v>
      </c>
      <c r="G860" t="s">
        <v>2</v>
      </c>
      <c r="H860" t="s">
        <v>9</v>
      </c>
    </row>
    <row r="861" spans="1:8" x14ac:dyDescent="0.3">
      <c r="A861" t="s">
        <v>859</v>
      </c>
      <c r="B861">
        <v>96</v>
      </c>
      <c r="C861" t="s">
        <v>82</v>
      </c>
      <c r="D861">
        <v>44</v>
      </c>
      <c r="E861">
        <v>60</v>
      </c>
      <c r="F861">
        <v>374.78</v>
      </c>
      <c r="G861" t="s">
        <v>2</v>
      </c>
      <c r="H861" t="s">
        <v>9</v>
      </c>
    </row>
    <row r="862" spans="1:8" x14ac:dyDescent="0.3">
      <c r="A862" t="s">
        <v>107</v>
      </c>
      <c r="B862">
        <v>94</v>
      </c>
      <c r="C862" t="s">
        <v>45</v>
      </c>
      <c r="D862">
        <v>60</v>
      </c>
      <c r="E862">
        <v>76</v>
      </c>
      <c r="F862">
        <v>22.05</v>
      </c>
      <c r="G862" t="s">
        <v>18</v>
      </c>
      <c r="H862" t="s">
        <v>18</v>
      </c>
    </row>
    <row r="863" spans="1:8" x14ac:dyDescent="0.3">
      <c r="A863" t="s">
        <v>860</v>
      </c>
      <c r="B863">
        <v>94</v>
      </c>
      <c r="C863" t="s">
        <v>45</v>
      </c>
      <c r="D863">
        <v>58</v>
      </c>
      <c r="E863">
        <v>76</v>
      </c>
      <c r="F863">
        <v>26.46</v>
      </c>
      <c r="G863" t="s">
        <v>18</v>
      </c>
      <c r="H863" t="s">
        <v>18</v>
      </c>
    </row>
    <row r="864" spans="1:8" x14ac:dyDescent="0.3">
      <c r="A864" t="s">
        <v>861</v>
      </c>
      <c r="B864">
        <v>95</v>
      </c>
      <c r="C864" t="s">
        <v>45</v>
      </c>
      <c r="D864">
        <v>58</v>
      </c>
      <c r="E864">
        <v>80</v>
      </c>
      <c r="F864">
        <v>13.23</v>
      </c>
      <c r="G864" t="s">
        <v>18</v>
      </c>
      <c r="H864" t="s">
        <v>14</v>
      </c>
    </row>
    <row r="865" spans="1:8" x14ac:dyDescent="0.3">
      <c r="A865" t="s">
        <v>862</v>
      </c>
      <c r="B865">
        <v>95</v>
      </c>
      <c r="C865" t="s">
        <v>41</v>
      </c>
      <c r="D865">
        <v>64</v>
      </c>
      <c r="E865">
        <v>88</v>
      </c>
      <c r="F865">
        <v>44.09</v>
      </c>
      <c r="G865" t="s">
        <v>18</v>
      </c>
      <c r="H865" t="s">
        <v>5</v>
      </c>
    </row>
    <row r="866" spans="1:8" x14ac:dyDescent="0.3">
      <c r="A866" t="s">
        <v>863</v>
      </c>
      <c r="B866">
        <v>95</v>
      </c>
      <c r="C866" t="s">
        <v>45</v>
      </c>
      <c r="D866">
        <v>57</v>
      </c>
      <c r="E866">
        <v>79</v>
      </c>
      <c r="F866">
        <v>7.35</v>
      </c>
      <c r="G866" t="s">
        <v>18</v>
      </c>
      <c r="H866" t="s">
        <v>9</v>
      </c>
    </row>
    <row r="867" spans="1:8" x14ac:dyDescent="0.3">
      <c r="A867" t="s">
        <v>864</v>
      </c>
      <c r="B867">
        <v>95</v>
      </c>
      <c r="C867" t="s">
        <v>45</v>
      </c>
      <c r="D867">
        <v>60</v>
      </c>
      <c r="E867">
        <v>74</v>
      </c>
      <c r="F867">
        <v>7.64</v>
      </c>
      <c r="G867" t="s">
        <v>18</v>
      </c>
      <c r="H867" t="s">
        <v>7</v>
      </c>
    </row>
    <row r="868" spans="1:8" x14ac:dyDescent="0.3">
      <c r="A868" t="s">
        <v>580</v>
      </c>
      <c r="B868">
        <v>94</v>
      </c>
      <c r="C868" t="s">
        <v>41</v>
      </c>
      <c r="D868">
        <v>62</v>
      </c>
      <c r="E868">
        <v>80</v>
      </c>
      <c r="F868">
        <v>10.58</v>
      </c>
      <c r="G868" t="s">
        <v>18</v>
      </c>
      <c r="H868" t="s">
        <v>7</v>
      </c>
    </row>
    <row r="869" spans="1:8" x14ac:dyDescent="0.3">
      <c r="A869" t="s">
        <v>109</v>
      </c>
      <c r="B869">
        <v>94</v>
      </c>
      <c r="C869" t="s">
        <v>45</v>
      </c>
      <c r="D869">
        <v>60</v>
      </c>
      <c r="E869">
        <v>80</v>
      </c>
      <c r="F869">
        <v>176.37</v>
      </c>
      <c r="G869" t="s">
        <v>2</v>
      </c>
      <c r="H869" t="s">
        <v>12</v>
      </c>
    </row>
    <row r="870" spans="1:8" x14ac:dyDescent="0.3">
      <c r="A870" t="s">
        <v>865</v>
      </c>
      <c r="B870">
        <v>96</v>
      </c>
      <c r="C870" t="s">
        <v>45</v>
      </c>
      <c r="D870">
        <v>59</v>
      </c>
      <c r="E870">
        <v>77</v>
      </c>
      <c r="F870">
        <v>66.67</v>
      </c>
      <c r="G870" t="s">
        <v>28</v>
      </c>
      <c r="H870" t="s">
        <v>5</v>
      </c>
    </row>
    <row r="871" spans="1:8" x14ac:dyDescent="0.3">
      <c r="A871" t="s">
        <v>866</v>
      </c>
      <c r="B871">
        <v>94</v>
      </c>
      <c r="C871" t="s">
        <v>45</v>
      </c>
      <c r="D871">
        <v>57</v>
      </c>
      <c r="E871">
        <v>77</v>
      </c>
      <c r="F871">
        <v>5.29</v>
      </c>
      <c r="G871" t="s">
        <v>18</v>
      </c>
      <c r="H871" t="s">
        <v>12</v>
      </c>
    </row>
    <row r="872" spans="1:8" x14ac:dyDescent="0.3">
      <c r="A872" t="s">
        <v>867</v>
      </c>
      <c r="B872">
        <v>94</v>
      </c>
      <c r="C872" t="s">
        <v>41</v>
      </c>
      <c r="D872">
        <v>62</v>
      </c>
      <c r="E872">
        <v>80</v>
      </c>
      <c r="F872">
        <v>242.5</v>
      </c>
      <c r="G872" t="s">
        <v>2</v>
      </c>
      <c r="H872" t="s">
        <v>9</v>
      </c>
    </row>
    <row r="873" spans="1:8" x14ac:dyDescent="0.3">
      <c r="A873" t="s">
        <v>868</v>
      </c>
      <c r="B873">
        <v>94</v>
      </c>
      <c r="C873" t="s">
        <v>41</v>
      </c>
      <c r="D873">
        <v>64</v>
      </c>
      <c r="E873">
        <v>84</v>
      </c>
      <c r="F873">
        <v>29.39</v>
      </c>
      <c r="G873" t="s">
        <v>18</v>
      </c>
      <c r="H873" t="s">
        <v>5</v>
      </c>
    </row>
    <row r="874" spans="1:8" x14ac:dyDescent="0.3">
      <c r="A874" t="s">
        <v>869</v>
      </c>
      <c r="B874">
        <v>94</v>
      </c>
      <c r="C874" t="s">
        <v>45</v>
      </c>
      <c r="D874">
        <v>62</v>
      </c>
      <c r="E874">
        <v>78</v>
      </c>
      <c r="F874">
        <v>16.75</v>
      </c>
      <c r="G874" t="s">
        <v>18</v>
      </c>
      <c r="H874" t="s">
        <v>18</v>
      </c>
    </row>
    <row r="875" spans="1:8" x14ac:dyDescent="0.3">
      <c r="A875" t="s">
        <v>870</v>
      </c>
      <c r="B875">
        <v>95</v>
      </c>
      <c r="C875" t="s">
        <v>45</v>
      </c>
      <c r="D875">
        <v>58</v>
      </c>
      <c r="E875">
        <v>76</v>
      </c>
      <c r="F875">
        <v>6.47</v>
      </c>
      <c r="G875" t="s">
        <v>18</v>
      </c>
      <c r="H875" t="s">
        <v>15</v>
      </c>
    </row>
    <row r="876" spans="1:8" x14ac:dyDescent="0.3">
      <c r="A876" t="s">
        <v>871</v>
      </c>
      <c r="B876">
        <v>96</v>
      </c>
      <c r="C876" t="s">
        <v>45</v>
      </c>
      <c r="D876">
        <v>60</v>
      </c>
      <c r="E876">
        <v>78</v>
      </c>
      <c r="F876">
        <v>6.46</v>
      </c>
      <c r="G876" t="s">
        <v>18</v>
      </c>
      <c r="H876" t="s">
        <v>9</v>
      </c>
    </row>
    <row r="877" spans="1:8" x14ac:dyDescent="0.3">
      <c r="A877" t="s">
        <v>872</v>
      </c>
      <c r="B877">
        <v>94</v>
      </c>
      <c r="C877" t="s">
        <v>45</v>
      </c>
      <c r="D877">
        <v>58</v>
      </c>
      <c r="E877">
        <v>76</v>
      </c>
      <c r="F877">
        <v>6.17</v>
      </c>
      <c r="G877" t="s">
        <v>18</v>
      </c>
      <c r="H877" t="s">
        <v>9</v>
      </c>
    </row>
    <row r="878" spans="1:8" x14ac:dyDescent="0.3">
      <c r="A878" t="s">
        <v>873</v>
      </c>
      <c r="B878">
        <v>94</v>
      </c>
      <c r="C878" t="s">
        <v>41</v>
      </c>
      <c r="D878">
        <v>60</v>
      </c>
      <c r="E878">
        <v>82</v>
      </c>
      <c r="F878">
        <v>165.34</v>
      </c>
      <c r="G878" t="s">
        <v>2</v>
      </c>
      <c r="H878" t="s">
        <v>9</v>
      </c>
    </row>
    <row r="879" spans="1:8" x14ac:dyDescent="0.3">
      <c r="A879" t="s">
        <v>874</v>
      </c>
      <c r="B879">
        <v>95</v>
      </c>
      <c r="C879" t="s">
        <v>45</v>
      </c>
      <c r="D879">
        <v>58</v>
      </c>
      <c r="E879">
        <v>80</v>
      </c>
      <c r="F879">
        <v>22.05</v>
      </c>
      <c r="G879" t="s">
        <v>18</v>
      </c>
      <c r="H879" t="s">
        <v>5</v>
      </c>
    </row>
    <row r="880" spans="1:8" x14ac:dyDescent="0.3">
      <c r="A880" t="s">
        <v>875</v>
      </c>
      <c r="B880">
        <v>96</v>
      </c>
      <c r="C880" t="s">
        <v>45</v>
      </c>
      <c r="D880">
        <v>59</v>
      </c>
      <c r="E880">
        <v>81</v>
      </c>
      <c r="F880">
        <v>1102.29</v>
      </c>
      <c r="G880" t="s">
        <v>2</v>
      </c>
      <c r="H880" t="s">
        <v>5</v>
      </c>
    </row>
    <row r="881" spans="1:8" x14ac:dyDescent="0.3">
      <c r="A881" t="s">
        <v>876</v>
      </c>
      <c r="B881">
        <v>95</v>
      </c>
      <c r="C881" t="s">
        <v>45</v>
      </c>
      <c r="D881">
        <v>58</v>
      </c>
      <c r="E881">
        <v>77</v>
      </c>
      <c r="F881">
        <v>0.88</v>
      </c>
      <c r="G881" t="s">
        <v>2</v>
      </c>
      <c r="H881" t="s">
        <v>5</v>
      </c>
    </row>
    <row r="882" spans="1:8" x14ac:dyDescent="0.3">
      <c r="A882" t="s">
        <v>877</v>
      </c>
      <c r="B882">
        <v>94</v>
      </c>
      <c r="C882" t="s">
        <v>41</v>
      </c>
      <c r="D882">
        <v>60</v>
      </c>
      <c r="E882">
        <v>84</v>
      </c>
      <c r="F882">
        <v>0.88</v>
      </c>
      <c r="G882" t="s">
        <v>2</v>
      </c>
      <c r="H882" t="s">
        <v>5</v>
      </c>
    </row>
    <row r="883" spans="1:8" x14ac:dyDescent="0.3">
      <c r="A883" t="s">
        <v>878</v>
      </c>
      <c r="B883">
        <v>94</v>
      </c>
      <c r="C883" t="s">
        <v>45</v>
      </c>
      <c r="D883">
        <v>58</v>
      </c>
      <c r="E883">
        <v>78</v>
      </c>
      <c r="F883">
        <v>87.94</v>
      </c>
      <c r="G883" t="s">
        <v>11</v>
      </c>
      <c r="H883" t="s">
        <v>14</v>
      </c>
    </row>
    <row r="884" spans="1:8" x14ac:dyDescent="0.3">
      <c r="A884" t="s">
        <v>879</v>
      </c>
      <c r="B884">
        <v>95</v>
      </c>
      <c r="C884" t="s">
        <v>45</v>
      </c>
      <c r="D884">
        <v>58</v>
      </c>
      <c r="E884">
        <v>82</v>
      </c>
      <c r="F884">
        <v>560</v>
      </c>
      <c r="G884" t="s">
        <v>11</v>
      </c>
      <c r="H884" t="s">
        <v>5</v>
      </c>
    </row>
    <row r="885" spans="1:8" x14ac:dyDescent="0.3">
      <c r="A885" t="s">
        <v>880</v>
      </c>
      <c r="B885">
        <v>94</v>
      </c>
      <c r="C885" t="s">
        <v>45</v>
      </c>
      <c r="D885">
        <v>56</v>
      </c>
      <c r="E885">
        <v>80</v>
      </c>
      <c r="F885">
        <v>27.76</v>
      </c>
      <c r="G885" t="s">
        <v>18</v>
      </c>
      <c r="H885" t="s">
        <v>150</v>
      </c>
    </row>
    <row r="886" spans="1:8" x14ac:dyDescent="0.3">
      <c r="A886" t="s">
        <v>881</v>
      </c>
      <c r="B886">
        <v>94</v>
      </c>
      <c r="C886" t="s">
        <v>45</v>
      </c>
      <c r="D886">
        <v>58</v>
      </c>
      <c r="E886">
        <v>76</v>
      </c>
      <c r="F886">
        <v>6.6</v>
      </c>
      <c r="G886" t="s">
        <v>18</v>
      </c>
      <c r="H886" t="s">
        <v>12</v>
      </c>
    </row>
    <row r="887" spans="1:8" x14ac:dyDescent="0.3">
      <c r="A887" t="s">
        <v>467</v>
      </c>
      <c r="B887">
        <v>95</v>
      </c>
      <c r="C887" t="s">
        <v>45</v>
      </c>
      <c r="D887">
        <v>57</v>
      </c>
      <c r="E887">
        <v>78</v>
      </c>
      <c r="F887">
        <v>39.659999999999997</v>
      </c>
      <c r="G887" t="s">
        <v>18</v>
      </c>
      <c r="H887" t="s">
        <v>18</v>
      </c>
    </row>
    <row r="888" spans="1:8" x14ac:dyDescent="0.3">
      <c r="A888" t="s">
        <v>439</v>
      </c>
      <c r="B888">
        <v>95</v>
      </c>
      <c r="C888" t="s">
        <v>45</v>
      </c>
      <c r="D888">
        <v>56</v>
      </c>
      <c r="E888">
        <v>78</v>
      </c>
      <c r="F888">
        <v>22.02</v>
      </c>
      <c r="G888" t="s">
        <v>18</v>
      </c>
      <c r="H888" t="s">
        <v>18</v>
      </c>
    </row>
    <row r="889" spans="1:8" x14ac:dyDescent="0.3">
      <c r="A889" t="s">
        <v>882</v>
      </c>
      <c r="B889">
        <v>94</v>
      </c>
      <c r="C889" t="s">
        <v>45</v>
      </c>
      <c r="D889">
        <v>58</v>
      </c>
      <c r="E889">
        <v>80</v>
      </c>
      <c r="F889">
        <v>11.67</v>
      </c>
      <c r="G889" t="s">
        <v>18</v>
      </c>
      <c r="H889" t="s">
        <v>9</v>
      </c>
    </row>
    <row r="890" spans="1:8" x14ac:dyDescent="0.3">
      <c r="A890" t="s">
        <v>883</v>
      </c>
      <c r="B890">
        <v>94</v>
      </c>
      <c r="C890" t="s">
        <v>45</v>
      </c>
      <c r="D890">
        <v>58</v>
      </c>
      <c r="E890">
        <v>80</v>
      </c>
      <c r="F890">
        <v>154.19</v>
      </c>
      <c r="G890" t="s">
        <v>2</v>
      </c>
      <c r="H890" t="s">
        <v>9</v>
      </c>
    </row>
    <row r="891" spans="1:8" x14ac:dyDescent="0.3">
      <c r="A891" t="s">
        <v>884</v>
      </c>
      <c r="B891">
        <v>96</v>
      </c>
      <c r="C891" t="s">
        <v>41</v>
      </c>
      <c r="D891">
        <v>64</v>
      </c>
      <c r="E891">
        <v>82</v>
      </c>
      <c r="F891">
        <v>507.05</v>
      </c>
      <c r="G891" t="s">
        <v>2</v>
      </c>
      <c r="H891" t="s">
        <v>9</v>
      </c>
    </row>
    <row r="892" spans="1:8" x14ac:dyDescent="0.3">
      <c r="A892" t="s">
        <v>885</v>
      </c>
      <c r="B892">
        <v>94</v>
      </c>
      <c r="C892" t="s">
        <v>45</v>
      </c>
      <c r="D892">
        <v>56</v>
      </c>
      <c r="E892">
        <v>72</v>
      </c>
      <c r="F892">
        <v>154.19</v>
      </c>
      <c r="G892" t="s">
        <v>2</v>
      </c>
      <c r="H892" t="s">
        <v>13</v>
      </c>
    </row>
    <row r="893" spans="1:8" x14ac:dyDescent="0.3">
      <c r="A893" t="s">
        <v>490</v>
      </c>
      <c r="B893">
        <v>96</v>
      </c>
      <c r="C893" t="s">
        <v>45</v>
      </c>
      <c r="D893">
        <v>58</v>
      </c>
      <c r="E893">
        <v>80</v>
      </c>
      <c r="F893">
        <v>22.02</v>
      </c>
      <c r="G893" t="s">
        <v>18</v>
      </c>
      <c r="H893" t="s">
        <v>150</v>
      </c>
    </row>
    <row r="894" spans="1:8" x14ac:dyDescent="0.3">
      <c r="A894" t="s">
        <v>886</v>
      </c>
      <c r="B894">
        <v>97</v>
      </c>
      <c r="C894" t="s">
        <v>45</v>
      </c>
      <c r="D894">
        <v>57</v>
      </c>
      <c r="E894">
        <v>79</v>
      </c>
      <c r="F894">
        <v>132.28</v>
      </c>
      <c r="G894" t="s">
        <v>18</v>
      </c>
      <c r="H894" t="s">
        <v>5</v>
      </c>
    </row>
    <row r="895" spans="1:8" x14ac:dyDescent="0.3">
      <c r="A895" t="s">
        <v>887</v>
      </c>
      <c r="B895">
        <v>96</v>
      </c>
      <c r="C895" t="s">
        <v>41</v>
      </c>
      <c r="D895">
        <v>62</v>
      </c>
      <c r="E895">
        <v>80</v>
      </c>
      <c r="F895">
        <v>127.87</v>
      </c>
      <c r="G895" t="s">
        <v>18</v>
      </c>
      <c r="H895" t="s">
        <v>9</v>
      </c>
    </row>
    <row r="896" spans="1:8" x14ac:dyDescent="0.3">
      <c r="A896" t="s">
        <v>398</v>
      </c>
      <c r="B896">
        <v>96</v>
      </c>
      <c r="C896" t="s">
        <v>45</v>
      </c>
      <c r="D896">
        <v>60</v>
      </c>
      <c r="E896">
        <v>78</v>
      </c>
      <c r="F896">
        <v>27.76</v>
      </c>
      <c r="G896" t="s">
        <v>18</v>
      </c>
      <c r="H896" t="s">
        <v>150</v>
      </c>
    </row>
    <row r="897" spans="1:8" x14ac:dyDescent="0.3">
      <c r="A897" t="s">
        <v>888</v>
      </c>
      <c r="B897">
        <v>95</v>
      </c>
      <c r="C897" t="s">
        <v>41</v>
      </c>
      <c r="D897">
        <v>64</v>
      </c>
      <c r="E897">
        <v>80</v>
      </c>
      <c r="F897">
        <v>23.37</v>
      </c>
      <c r="G897" t="s">
        <v>18</v>
      </c>
      <c r="H897" t="s">
        <v>9</v>
      </c>
    </row>
    <row r="898" spans="1:8" x14ac:dyDescent="0.3">
      <c r="A898" t="s">
        <v>889</v>
      </c>
      <c r="B898">
        <v>95</v>
      </c>
      <c r="C898" t="s">
        <v>45</v>
      </c>
      <c r="D898">
        <v>60</v>
      </c>
      <c r="E898">
        <v>78</v>
      </c>
      <c r="F898">
        <v>26.46</v>
      </c>
      <c r="G898" t="s">
        <v>18</v>
      </c>
      <c r="H898" t="s">
        <v>150</v>
      </c>
    </row>
    <row r="899" spans="1:8" x14ac:dyDescent="0.3">
      <c r="A899" t="s">
        <v>890</v>
      </c>
      <c r="B899">
        <v>95</v>
      </c>
      <c r="C899" t="s">
        <v>45</v>
      </c>
      <c r="D899">
        <v>56</v>
      </c>
      <c r="E899">
        <v>78</v>
      </c>
      <c r="F899">
        <v>27.76</v>
      </c>
      <c r="G899" t="s">
        <v>18</v>
      </c>
      <c r="H899" t="s">
        <v>18</v>
      </c>
    </row>
    <row r="900" spans="1:8" x14ac:dyDescent="0.3">
      <c r="A900" t="s">
        <v>891</v>
      </c>
      <c r="B900">
        <v>94</v>
      </c>
      <c r="C900" t="s">
        <v>45</v>
      </c>
      <c r="D900">
        <v>58</v>
      </c>
      <c r="E900">
        <v>78</v>
      </c>
      <c r="F900">
        <v>5.86</v>
      </c>
      <c r="G900" t="s">
        <v>18</v>
      </c>
      <c r="H900" t="s">
        <v>14</v>
      </c>
    </row>
    <row r="901" spans="1:8" x14ac:dyDescent="0.3">
      <c r="A901" t="s">
        <v>892</v>
      </c>
      <c r="B901">
        <v>95</v>
      </c>
      <c r="C901" t="s">
        <v>45</v>
      </c>
      <c r="D901">
        <v>60</v>
      </c>
      <c r="E901">
        <v>76</v>
      </c>
      <c r="F901">
        <v>6.47</v>
      </c>
      <c r="G901" t="s">
        <v>18</v>
      </c>
      <c r="H901" t="s">
        <v>9</v>
      </c>
    </row>
    <row r="902" spans="1:8" x14ac:dyDescent="0.3">
      <c r="A902" t="s">
        <v>893</v>
      </c>
      <c r="B902">
        <v>94</v>
      </c>
      <c r="C902" t="s">
        <v>41</v>
      </c>
      <c r="D902">
        <v>65</v>
      </c>
      <c r="E902">
        <v>83</v>
      </c>
      <c r="F902">
        <v>7.35</v>
      </c>
      <c r="G902" t="s">
        <v>18</v>
      </c>
      <c r="H902" t="s">
        <v>9</v>
      </c>
    </row>
    <row r="903" spans="1:8" x14ac:dyDescent="0.3">
      <c r="A903" t="s">
        <v>468</v>
      </c>
      <c r="B903">
        <v>94</v>
      </c>
      <c r="C903" t="s">
        <v>82</v>
      </c>
      <c r="D903">
        <v>56</v>
      </c>
      <c r="E903">
        <v>64</v>
      </c>
      <c r="F903">
        <v>4.7</v>
      </c>
      <c r="G903" t="s">
        <v>18</v>
      </c>
      <c r="H903" t="s">
        <v>9</v>
      </c>
    </row>
    <row r="904" spans="1:8" x14ac:dyDescent="0.3">
      <c r="A904" t="s">
        <v>894</v>
      </c>
      <c r="B904">
        <v>94</v>
      </c>
      <c r="C904" t="s">
        <v>41</v>
      </c>
      <c r="D904">
        <v>64</v>
      </c>
      <c r="E904">
        <v>80</v>
      </c>
      <c r="F904">
        <v>6.47</v>
      </c>
      <c r="G904" t="s">
        <v>18</v>
      </c>
      <c r="H904" t="s">
        <v>9</v>
      </c>
    </row>
    <row r="905" spans="1:8" x14ac:dyDescent="0.3">
      <c r="A905" t="s">
        <v>895</v>
      </c>
      <c r="B905">
        <v>96</v>
      </c>
      <c r="C905" t="s">
        <v>41</v>
      </c>
      <c r="D905">
        <v>76</v>
      </c>
      <c r="E905">
        <v>92</v>
      </c>
      <c r="F905">
        <v>1680</v>
      </c>
      <c r="G905" t="s">
        <v>27</v>
      </c>
      <c r="H905" t="s">
        <v>14</v>
      </c>
    </row>
    <row r="906" spans="1:8" x14ac:dyDescent="0.3">
      <c r="A906" t="s">
        <v>896</v>
      </c>
      <c r="B906">
        <v>94</v>
      </c>
      <c r="C906" t="s">
        <v>45</v>
      </c>
      <c r="D906">
        <v>57</v>
      </c>
      <c r="E906">
        <v>77</v>
      </c>
      <c r="F906">
        <v>7.35</v>
      </c>
      <c r="G906" t="s">
        <v>18</v>
      </c>
      <c r="H906" t="s">
        <v>14</v>
      </c>
    </row>
    <row r="907" spans="1:8" x14ac:dyDescent="0.3">
      <c r="A907" t="s">
        <v>897</v>
      </c>
      <c r="B907">
        <v>96</v>
      </c>
      <c r="C907" t="s">
        <v>45</v>
      </c>
      <c r="D907">
        <v>60</v>
      </c>
      <c r="E907">
        <v>78</v>
      </c>
      <c r="F907">
        <v>83.77</v>
      </c>
      <c r="G907" t="s">
        <v>18</v>
      </c>
      <c r="H907" t="s">
        <v>14</v>
      </c>
    </row>
    <row r="908" spans="1:8" x14ac:dyDescent="0.3">
      <c r="A908" t="s">
        <v>898</v>
      </c>
      <c r="B908">
        <v>96</v>
      </c>
      <c r="C908" t="s">
        <v>41</v>
      </c>
      <c r="D908">
        <v>62</v>
      </c>
      <c r="E908">
        <v>88</v>
      </c>
      <c r="F908">
        <v>330.69</v>
      </c>
      <c r="G908" t="s">
        <v>2</v>
      </c>
      <c r="H908" t="s">
        <v>7</v>
      </c>
    </row>
    <row r="909" spans="1:8" x14ac:dyDescent="0.3">
      <c r="A909" t="s">
        <v>899</v>
      </c>
      <c r="B909">
        <v>95</v>
      </c>
      <c r="C909" t="s">
        <v>41</v>
      </c>
      <c r="D909">
        <v>62</v>
      </c>
      <c r="E909">
        <v>80</v>
      </c>
      <c r="F909">
        <v>26.46</v>
      </c>
      <c r="G909" t="s">
        <v>18</v>
      </c>
      <c r="H909" t="s">
        <v>14</v>
      </c>
    </row>
    <row r="910" spans="1:8" x14ac:dyDescent="0.3">
      <c r="A910" t="s">
        <v>900</v>
      </c>
      <c r="B910">
        <v>95</v>
      </c>
      <c r="C910" t="s">
        <v>45</v>
      </c>
      <c r="D910">
        <v>62</v>
      </c>
      <c r="E910">
        <v>78</v>
      </c>
      <c r="F910">
        <v>70.55</v>
      </c>
      <c r="G910" t="s">
        <v>18</v>
      </c>
      <c r="H910" t="s">
        <v>20</v>
      </c>
    </row>
    <row r="911" spans="1:8" x14ac:dyDescent="0.3">
      <c r="A911" t="s">
        <v>901</v>
      </c>
      <c r="B911">
        <v>94</v>
      </c>
      <c r="C911" t="s">
        <v>45</v>
      </c>
      <c r="D911">
        <v>56</v>
      </c>
      <c r="E911">
        <v>72</v>
      </c>
      <c r="F911">
        <v>35.270000000000003</v>
      </c>
      <c r="G911" t="s">
        <v>18</v>
      </c>
      <c r="H911" t="s">
        <v>14</v>
      </c>
    </row>
    <row r="912" spans="1:8" x14ac:dyDescent="0.3">
      <c r="A912" t="s">
        <v>902</v>
      </c>
      <c r="B912">
        <v>94</v>
      </c>
      <c r="C912" t="s">
        <v>45</v>
      </c>
      <c r="D912">
        <v>59</v>
      </c>
      <c r="E912">
        <v>77</v>
      </c>
      <c r="F912">
        <v>800</v>
      </c>
      <c r="G912" t="s">
        <v>2</v>
      </c>
      <c r="H912" t="s">
        <v>6</v>
      </c>
    </row>
    <row r="913" spans="1:8" x14ac:dyDescent="0.3">
      <c r="A913" t="s">
        <v>903</v>
      </c>
      <c r="B913">
        <v>94</v>
      </c>
      <c r="C913" t="s">
        <v>41</v>
      </c>
      <c r="D913">
        <v>62</v>
      </c>
      <c r="E913">
        <v>80</v>
      </c>
      <c r="F913">
        <v>500</v>
      </c>
      <c r="G913" t="s">
        <v>2</v>
      </c>
      <c r="H913" t="s">
        <v>7</v>
      </c>
    </row>
    <row r="914" spans="1:8" x14ac:dyDescent="0.3">
      <c r="A914" t="s">
        <v>904</v>
      </c>
      <c r="B914">
        <v>94</v>
      </c>
      <c r="C914" t="s">
        <v>45</v>
      </c>
      <c r="D914">
        <v>58</v>
      </c>
      <c r="E914">
        <v>80</v>
      </c>
      <c r="F914">
        <v>11.02</v>
      </c>
      <c r="G914" t="s">
        <v>18</v>
      </c>
      <c r="H914" t="s">
        <v>15</v>
      </c>
    </row>
    <row r="915" spans="1:8" x14ac:dyDescent="0.3">
      <c r="A915" t="s">
        <v>905</v>
      </c>
      <c r="B915">
        <v>95</v>
      </c>
      <c r="C915" t="s">
        <v>45</v>
      </c>
      <c r="D915">
        <v>58</v>
      </c>
      <c r="E915">
        <v>80</v>
      </c>
      <c r="F915">
        <v>5.59</v>
      </c>
      <c r="G915" t="s">
        <v>18</v>
      </c>
      <c r="H915" t="s">
        <v>9</v>
      </c>
    </row>
    <row r="916" spans="1:8" x14ac:dyDescent="0.3">
      <c r="A916" t="s">
        <v>906</v>
      </c>
      <c r="B916">
        <v>95</v>
      </c>
      <c r="C916" t="s">
        <v>45</v>
      </c>
      <c r="D916">
        <v>60</v>
      </c>
      <c r="E916">
        <v>77</v>
      </c>
      <c r="F916">
        <v>6.17</v>
      </c>
      <c r="G916" t="s">
        <v>18</v>
      </c>
      <c r="H916" t="s">
        <v>21</v>
      </c>
    </row>
    <row r="917" spans="1:8" x14ac:dyDescent="0.3">
      <c r="A917" t="s">
        <v>907</v>
      </c>
      <c r="B917">
        <v>94</v>
      </c>
      <c r="C917" t="s">
        <v>41</v>
      </c>
      <c r="D917">
        <v>62</v>
      </c>
      <c r="E917">
        <v>80</v>
      </c>
      <c r="F917">
        <v>5.57</v>
      </c>
      <c r="G917" t="s">
        <v>18</v>
      </c>
      <c r="H917" t="s">
        <v>9</v>
      </c>
    </row>
    <row r="918" spans="1:8" x14ac:dyDescent="0.3">
      <c r="A918" t="s">
        <v>908</v>
      </c>
      <c r="B918">
        <v>95</v>
      </c>
      <c r="C918" t="s">
        <v>45</v>
      </c>
      <c r="D918">
        <v>58</v>
      </c>
      <c r="E918">
        <v>78</v>
      </c>
      <c r="F918">
        <v>7.94</v>
      </c>
      <c r="G918" t="s">
        <v>18</v>
      </c>
      <c r="H918" t="s">
        <v>9</v>
      </c>
    </row>
    <row r="919" spans="1:8" x14ac:dyDescent="0.3">
      <c r="A919" t="s">
        <v>909</v>
      </c>
      <c r="B919">
        <v>94</v>
      </c>
      <c r="C919" t="s">
        <v>45</v>
      </c>
      <c r="D919">
        <v>58</v>
      </c>
      <c r="E919">
        <v>76</v>
      </c>
      <c r="F919">
        <v>10.57</v>
      </c>
      <c r="G919" t="s">
        <v>18</v>
      </c>
      <c r="H919" t="s">
        <v>14</v>
      </c>
    </row>
    <row r="920" spans="1:8" x14ac:dyDescent="0.3">
      <c r="A920" t="s">
        <v>910</v>
      </c>
      <c r="B920">
        <v>94</v>
      </c>
      <c r="C920" t="s">
        <v>45</v>
      </c>
      <c r="D920">
        <v>62</v>
      </c>
      <c r="E920">
        <v>78</v>
      </c>
      <c r="F920">
        <v>5.29</v>
      </c>
      <c r="G920" t="s">
        <v>18</v>
      </c>
      <c r="H920" t="s">
        <v>9</v>
      </c>
    </row>
    <row r="921" spans="1:8" x14ac:dyDescent="0.3">
      <c r="A921" t="s">
        <v>911</v>
      </c>
      <c r="B921">
        <v>94</v>
      </c>
      <c r="C921" t="s">
        <v>41</v>
      </c>
      <c r="D921">
        <v>64</v>
      </c>
      <c r="E921">
        <v>82</v>
      </c>
      <c r="F921">
        <v>220</v>
      </c>
      <c r="G921" t="s">
        <v>2</v>
      </c>
      <c r="H921" t="s">
        <v>9</v>
      </c>
    </row>
    <row r="922" spans="1:8" x14ac:dyDescent="0.3">
      <c r="A922" t="s">
        <v>912</v>
      </c>
      <c r="B922">
        <v>95</v>
      </c>
      <c r="C922" t="s">
        <v>45</v>
      </c>
      <c r="D922">
        <v>52</v>
      </c>
      <c r="E922">
        <v>76</v>
      </c>
      <c r="F922">
        <v>333.33</v>
      </c>
      <c r="G922" t="s">
        <v>2</v>
      </c>
      <c r="H922" t="s">
        <v>12</v>
      </c>
    </row>
    <row r="923" spans="1:8" x14ac:dyDescent="0.3">
      <c r="A923" t="s">
        <v>913</v>
      </c>
      <c r="B923">
        <v>94</v>
      </c>
      <c r="C923" t="s">
        <v>45</v>
      </c>
      <c r="D923">
        <v>60</v>
      </c>
      <c r="E923">
        <v>76</v>
      </c>
      <c r="F923">
        <v>264.55</v>
      </c>
      <c r="G923" t="s">
        <v>2</v>
      </c>
      <c r="H923" t="s">
        <v>7</v>
      </c>
    </row>
    <row r="924" spans="1:8" x14ac:dyDescent="0.3">
      <c r="A924" t="s">
        <v>914</v>
      </c>
      <c r="B924">
        <v>94</v>
      </c>
      <c r="C924" t="s">
        <v>45</v>
      </c>
      <c r="D924">
        <v>58</v>
      </c>
      <c r="E924">
        <v>78</v>
      </c>
      <c r="F924">
        <v>165.34</v>
      </c>
      <c r="G924" t="s">
        <v>2</v>
      </c>
      <c r="H924" t="s">
        <v>7</v>
      </c>
    </row>
    <row r="925" spans="1:8" x14ac:dyDescent="0.3">
      <c r="A925" t="s">
        <v>915</v>
      </c>
      <c r="B925">
        <v>94</v>
      </c>
      <c r="C925" t="s">
        <v>45</v>
      </c>
      <c r="D925">
        <v>58</v>
      </c>
      <c r="E925">
        <v>80</v>
      </c>
      <c r="F925">
        <v>121.25</v>
      </c>
      <c r="G925" t="s">
        <v>2</v>
      </c>
      <c r="H925" t="s">
        <v>9</v>
      </c>
    </row>
    <row r="926" spans="1:8" x14ac:dyDescent="0.3">
      <c r="A926" t="s">
        <v>916</v>
      </c>
      <c r="B926">
        <v>94</v>
      </c>
      <c r="C926" t="s">
        <v>45</v>
      </c>
      <c r="D926">
        <v>58</v>
      </c>
      <c r="E926">
        <v>76</v>
      </c>
      <c r="F926">
        <v>123.46</v>
      </c>
      <c r="G926" t="s">
        <v>2</v>
      </c>
      <c r="H926" t="s">
        <v>9</v>
      </c>
    </row>
    <row r="927" spans="1:8" x14ac:dyDescent="0.3">
      <c r="A927" t="s">
        <v>917</v>
      </c>
      <c r="B927">
        <v>94</v>
      </c>
      <c r="C927" t="s">
        <v>45</v>
      </c>
      <c r="D927">
        <v>52</v>
      </c>
      <c r="E927">
        <v>72</v>
      </c>
      <c r="F927">
        <v>99.21</v>
      </c>
      <c r="G927" t="s">
        <v>2</v>
      </c>
      <c r="H927" t="s">
        <v>7</v>
      </c>
    </row>
    <row r="928" spans="1:8" x14ac:dyDescent="0.3">
      <c r="A928" t="s">
        <v>918</v>
      </c>
      <c r="B928">
        <v>95</v>
      </c>
      <c r="C928" t="s">
        <v>41</v>
      </c>
      <c r="D928">
        <v>62</v>
      </c>
      <c r="E928">
        <v>80</v>
      </c>
      <c r="F928">
        <v>529.1</v>
      </c>
      <c r="G928" t="s">
        <v>2</v>
      </c>
      <c r="H928" t="s">
        <v>7</v>
      </c>
    </row>
    <row r="929" spans="1:8" x14ac:dyDescent="0.3">
      <c r="A929" t="s">
        <v>919</v>
      </c>
      <c r="B929">
        <v>96</v>
      </c>
      <c r="C929" t="s">
        <v>45</v>
      </c>
      <c r="D929">
        <v>60</v>
      </c>
      <c r="E929">
        <v>76</v>
      </c>
      <c r="F929">
        <v>6.61</v>
      </c>
      <c r="G929" t="s">
        <v>18</v>
      </c>
      <c r="H929" t="s">
        <v>12</v>
      </c>
    </row>
    <row r="930" spans="1:8" x14ac:dyDescent="0.3">
      <c r="A930" t="s">
        <v>920</v>
      </c>
      <c r="B930">
        <v>95</v>
      </c>
      <c r="C930" t="s">
        <v>41</v>
      </c>
      <c r="D930">
        <v>62</v>
      </c>
      <c r="E930">
        <v>80</v>
      </c>
      <c r="F930">
        <v>7.64</v>
      </c>
      <c r="G930" t="s">
        <v>18</v>
      </c>
      <c r="H930" t="s">
        <v>9</v>
      </c>
    </row>
    <row r="931" spans="1:8" x14ac:dyDescent="0.3">
      <c r="A931" t="s">
        <v>468</v>
      </c>
      <c r="B931">
        <v>94</v>
      </c>
      <c r="C931" t="s">
        <v>45</v>
      </c>
      <c r="D931">
        <v>59</v>
      </c>
      <c r="E931">
        <v>77</v>
      </c>
      <c r="F931">
        <v>5.73</v>
      </c>
      <c r="G931" t="s">
        <v>18</v>
      </c>
      <c r="H931" t="s">
        <v>9</v>
      </c>
    </row>
    <row r="932" spans="1:8" x14ac:dyDescent="0.3">
      <c r="A932" t="s">
        <v>921</v>
      </c>
      <c r="B932">
        <v>94</v>
      </c>
      <c r="C932" t="s">
        <v>82</v>
      </c>
      <c r="D932">
        <v>46</v>
      </c>
      <c r="E932">
        <v>60</v>
      </c>
      <c r="F932">
        <v>374.78</v>
      </c>
      <c r="G932" t="s">
        <v>2</v>
      </c>
      <c r="H932" t="s">
        <v>12</v>
      </c>
    </row>
    <row r="933" spans="1:8" x14ac:dyDescent="0.3">
      <c r="A933" t="s">
        <v>922</v>
      </c>
      <c r="B933">
        <v>94</v>
      </c>
      <c r="C933" t="s">
        <v>45</v>
      </c>
      <c r="D933">
        <v>54</v>
      </c>
      <c r="E933">
        <v>74</v>
      </c>
      <c r="F933">
        <v>12.35</v>
      </c>
      <c r="G933" t="s">
        <v>18</v>
      </c>
      <c r="H933" t="s">
        <v>14</v>
      </c>
    </row>
    <row r="934" spans="1:8" x14ac:dyDescent="0.3">
      <c r="A934" t="s">
        <v>923</v>
      </c>
      <c r="B934">
        <v>94</v>
      </c>
      <c r="C934" t="s">
        <v>41</v>
      </c>
      <c r="D934">
        <v>64</v>
      </c>
      <c r="E934">
        <v>86</v>
      </c>
      <c r="F934">
        <v>7.35</v>
      </c>
      <c r="G934" t="s">
        <v>18</v>
      </c>
      <c r="H934" t="s">
        <v>9</v>
      </c>
    </row>
    <row r="935" spans="1:8" x14ac:dyDescent="0.3">
      <c r="A935" t="s">
        <v>442</v>
      </c>
      <c r="B935">
        <v>95</v>
      </c>
      <c r="C935" t="s">
        <v>45</v>
      </c>
      <c r="D935">
        <v>60</v>
      </c>
      <c r="E935">
        <v>78</v>
      </c>
      <c r="F935">
        <v>7.33</v>
      </c>
      <c r="G935" t="s">
        <v>18</v>
      </c>
      <c r="H935" t="s">
        <v>12</v>
      </c>
    </row>
    <row r="936" spans="1:8" x14ac:dyDescent="0.3">
      <c r="A936" t="s">
        <v>924</v>
      </c>
      <c r="B936">
        <v>94</v>
      </c>
      <c r="C936" t="s">
        <v>41</v>
      </c>
      <c r="D936">
        <v>64</v>
      </c>
      <c r="E936">
        <v>84</v>
      </c>
      <c r="F936">
        <v>176.21</v>
      </c>
      <c r="G936" t="s">
        <v>2</v>
      </c>
      <c r="H936" t="s">
        <v>9</v>
      </c>
    </row>
    <row r="937" spans="1:8" x14ac:dyDescent="0.3">
      <c r="A937" t="s">
        <v>925</v>
      </c>
      <c r="B937">
        <v>94</v>
      </c>
      <c r="C937" t="s">
        <v>45</v>
      </c>
      <c r="D937">
        <v>55</v>
      </c>
      <c r="E937">
        <v>71</v>
      </c>
      <c r="F937">
        <v>6.61</v>
      </c>
      <c r="G937" t="s">
        <v>18</v>
      </c>
      <c r="H937" t="s">
        <v>5</v>
      </c>
    </row>
    <row r="938" spans="1:8" x14ac:dyDescent="0.3">
      <c r="A938" t="s">
        <v>926</v>
      </c>
      <c r="B938">
        <v>94</v>
      </c>
      <c r="C938" t="s">
        <v>45</v>
      </c>
      <c r="D938">
        <v>57</v>
      </c>
      <c r="E938">
        <v>75</v>
      </c>
      <c r="F938">
        <v>8.82</v>
      </c>
      <c r="G938" t="s">
        <v>18</v>
      </c>
      <c r="H938" t="s">
        <v>5</v>
      </c>
    </row>
    <row r="939" spans="1:8" x14ac:dyDescent="0.3">
      <c r="A939" t="s">
        <v>927</v>
      </c>
      <c r="B939">
        <v>95</v>
      </c>
      <c r="C939" t="s">
        <v>45</v>
      </c>
      <c r="D939">
        <v>56</v>
      </c>
      <c r="E939">
        <v>78</v>
      </c>
      <c r="F939">
        <v>440.92</v>
      </c>
      <c r="G939" t="s">
        <v>2</v>
      </c>
      <c r="H939" t="s">
        <v>8</v>
      </c>
    </row>
    <row r="940" spans="1:8" x14ac:dyDescent="0.3">
      <c r="A940" t="s">
        <v>928</v>
      </c>
      <c r="B940">
        <v>94</v>
      </c>
      <c r="C940" t="s">
        <v>45</v>
      </c>
      <c r="D940">
        <v>58</v>
      </c>
      <c r="E940">
        <v>76</v>
      </c>
      <c r="F940">
        <v>21.16</v>
      </c>
      <c r="G940" t="s">
        <v>18</v>
      </c>
      <c r="H940" t="s">
        <v>8</v>
      </c>
    </row>
    <row r="941" spans="1:8" x14ac:dyDescent="0.3">
      <c r="A941" t="s">
        <v>929</v>
      </c>
      <c r="B941">
        <v>94</v>
      </c>
      <c r="C941" t="s">
        <v>45</v>
      </c>
      <c r="D941">
        <v>57</v>
      </c>
      <c r="E941">
        <v>73</v>
      </c>
      <c r="F941">
        <v>5.57</v>
      </c>
      <c r="G941" t="s">
        <v>18</v>
      </c>
      <c r="H941" t="s">
        <v>14</v>
      </c>
    </row>
    <row r="942" spans="1:8" x14ac:dyDescent="0.3">
      <c r="A942" t="s">
        <v>930</v>
      </c>
      <c r="B942">
        <v>95</v>
      </c>
      <c r="C942" t="s">
        <v>41</v>
      </c>
      <c r="D942">
        <v>62</v>
      </c>
      <c r="E942">
        <v>82</v>
      </c>
      <c r="F942">
        <v>22</v>
      </c>
      <c r="G942" t="s">
        <v>18</v>
      </c>
      <c r="H942" t="s">
        <v>5</v>
      </c>
    </row>
    <row r="943" spans="1:8" x14ac:dyDescent="0.3">
      <c r="A943" t="s">
        <v>931</v>
      </c>
      <c r="B943">
        <v>94</v>
      </c>
      <c r="C943" t="s">
        <v>45</v>
      </c>
      <c r="D943">
        <v>56</v>
      </c>
      <c r="E943">
        <v>82</v>
      </c>
      <c r="F943">
        <v>7.33</v>
      </c>
      <c r="G943" t="s">
        <v>18</v>
      </c>
      <c r="H943" t="s">
        <v>9</v>
      </c>
    </row>
    <row r="944" spans="1:8" x14ac:dyDescent="0.3">
      <c r="A944" t="s">
        <v>932</v>
      </c>
      <c r="B944">
        <v>94</v>
      </c>
      <c r="C944" t="s">
        <v>45</v>
      </c>
      <c r="D944">
        <v>56</v>
      </c>
      <c r="E944">
        <v>76</v>
      </c>
      <c r="F944">
        <v>22</v>
      </c>
      <c r="G944" t="s">
        <v>18</v>
      </c>
      <c r="H944" t="s">
        <v>18</v>
      </c>
    </row>
    <row r="945" spans="1:8" x14ac:dyDescent="0.3">
      <c r="A945" t="s">
        <v>933</v>
      </c>
      <c r="B945">
        <v>95</v>
      </c>
      <c r="C945" t="s">
        <v>41</v>
      </c>
      <c r="D945">
        <v>62</v>
      </c>
      <c r="E945">
        <v>80</v>
      </c>
      <c r="F945">
        <v>9.48</v>
      </c>
      <c r="G945" t="s">
        <v>18</v>
      </c>
      <c r="H945" t="s">
        <v>15</v>
      </c>
    </row>
    <row r="946" spans="1:8" x14ac:dyDescent="0.3">
      <c r="A946" t="s">
        <v>934</v>
      </c>
      <c r="B946">
        <v>95</v>
      </c>
      <c r="C946" t="s">
        <v>45</v>
      </c>
      <c r="D946">
        <v>58</v>
      </c>
      <c r="E946">
        <v>80</v>
      </c>
      <c r="F946">
        <v>6.17</v>
      </c>
      <c r="G946" t="s">
        <v>18</v>
      </c>
      <c r="H946" t="s">
        <v>12</v>
      </c>
    </row>
    <row r="947" spans="1:8" x14ac:dyDescent="0.3">
      <c r="A947" t="s">
        <v>935</v>
      </c>
      <c r="B947">
        <v>95</v>
      </c>
      <c r="C947" t="s">
        <v>41</v>
      </c>
      <c r="D947">
        <v>64</v>
      </c>
      <c r="E947">
        <v>86</v>
      </c>
      <c r="F947">
        <v>5.59</v>
      </c>
      <c r="G947" t="s">
        <v>18</v>
      </c>
      <c r="H947" t="s">
        <v>9</v>
      </c>
    </row>
    <row r="948" spans="1:8" x14ac:dyDescent="0.3">
      <c r="A948" t="s">
        <v>936</v>
      </c>
      <c r="B948">
        <v>94</v>
      </c>
      <c r="C948" t="s">
        <v>45</v>
      </c>
      <c r="D948">
        <v>60</v>
      </c>
      <c r="E948">
        <v>77</v>
      </c>
      <c r="F948">
        <v>7.94</v>
      </c>
      <c r="G948" t="s">
        <v>18</v>
      </c>
      <c r="H948" t="s">
        <v>14</v>
      </c>
    </row>
    <row r="949" spans="1:8" x14ac:dyDescent="0.3">
      <c r="A949" t="s">
        <v>937</v>
      </c>
      <c r="B949">
        <v>94</v>
      </c>
      <c r="C949" t="s">
        <v>45</v>
      </c>
      <c r="D949">
        <v>60</v>
      </c>
      <c r="E949">
        <v>78</v>
      </c>
      <c r="F949">
        <v>5.86</v>
      </c>
      <c r="G949" t="s">
        <v>18</v>
      </c>
      <c r="H949" t="s">
        <v>9</v>
      </c>
    </row>
    <row r="950" spans="1:8" x14ac:dyDescent="0.3">
      <c r="A950" t="s">
        <v>938</v>
      </c>
      <c r="B950">
        <v>95</v>
      </c>
      <c r="C950" t="s">
        <v>41</v>
      </c>
      <c r="D950">
        <v>62</v>
      </c>
      <c r="E950">
        <v>80</v>
      </c>
      <c r="F950">
        <v>7.64</v>
      </c>
      <c r="G950" t="s">
        <v>18</v>
      </c>
      <c r="H950" t="s">
        <v>9</v>
      </c>
    </row>
    <row r="951" spans="1:8" x14ac:dyDescent="0.3">
      <c r="A951" t="s">
        <v>886</v>
      </c>
      <c r="B951">
        <v>95</v>
      </c>
      <c r="C951" t="s">
        <v>45</v>
      </c>
      <c r="D951">
        <v>54</v>
      </c>
      <c r="E951">
        <v>72</v>
      </c>
      <c r="F951">
        <v>23.52</v>
      </c>
      <c r="G951" t="s">
        <v>18</v>
      </c>
      <c r="H951" t="s">
        <v>5</v>
      </c>
    </row>
    <row r="952" spans="1:8" x14ac:dyDescent="0.3">
      <c r="A952" t="s">
        <v>939</v>
      </c>
      <c r="B952">
        <v>94</v>
      </c>
      <c r="C952" t="s">
        <v>45</v>
      </c>
      <c r="D952">
        <v>56</v>
      </c>
      <c r="E952">
        <v>74</v>
      </c>
      <c r="F952">
        <v>6.91</v>
      </c>
      <c r="G952" t="s">
        <v>18</v>
      </c>
      <c r="H952" t="s">
        <v>12</v>
      </c>
    </row>
    <row r="953" spans="1:8" x14ac:dyDescent="0.3">
      <c r="A953" t="s">
        <v>940</v>
      </c>
      <c r="B953">
        <v>94</v>
      </c>
      <c r="C953" t="s">
        <v>45</v>
      </c>
      <c r="D953">
        <v>58</v>
      </c>
      <c r="E953">
        <v>77</v>
      </c>
      <c r="F953">
        <v>6.03</v>
      </c>
      <c r="G953" t="s">
        <v>18</v>
      </c>
      <c r="H953" t="s">
        <v>21</v>
      </c>
    </row>
    <row r="954" spans="1:8" x14ac:dyDescent="0.3">
      <c r="A954" t="s">
        <v>941</v>
      </c>
      <c r="B954">
        <v>94</v>
      </c>
      <c r="C954" t="s">
        <v>41</v>
      </c>
      <c r="D954">
        <v>62</v>
      </c>
      <c r="E954">
        <v>82</v>
      </c>
      <c r="F954">
        <v>712</v>
      </c>
      <c r="G954" t="s">
        <v>2</v>
      </c>
      <c r="H954" t="s">
        <v>5</v>
      </c>
    </row>
    <row r="955" spans="1:8" x14ac:dyDescent="0.3">
      <c r="A955" t="s">
        <v>942</v>
      </c>
      <c r="B955">
        <v>96</v>
      </c>
      <c r="C955" t="s">
        <v>45</v>
      </c>
      <c r="D955">
        <v>60</v>
      </c>
      <c r="E955">
        <v>80</v>
      </c>
      <c r="F955">
        <v>600</v>
      </c>
      <c r="G955" t="s">
        <v>2</v>
      </c>
      <c r="H955" t="s">
        <v>7</v>
      </c>
    </row>
    <row r="956" spans="1:8" x14ac:dyDescent="0.3">
      <c r="A956" t="s">
        <v>943</v>
      </c>
      <c r="B956">
        <v>94</v>
      </c>
      <c r="C956" t="s">
        <v>45</v>
      </c>
      <c r="D956">
        <v>58</v>
      </c>
      <c r="E956">
        <v>76</v>
      </c>
      <c r="F956">
        <v>6.17</v>
      </c>
      <c r="G956" t="s">
        <v>18</v>
      </c>
      <c r="H956" t="s">
        <v>7</v>
      </c>
    </row>
    <row r="957" spans="1:8" x14ac:dyDescent="0.3">
      <c r="A957" t="s">
        <v>944</v>
      </c>
      <c r="B957">
        <v>94</v>
      </c>
      <c r="C957" t="s">
        <v>45</v>
      </c>
      <c r="D957">
        <v>59</v>
      </c>
      <c r="E957">
        <v>77</v>
      </c>
      <c r="F957">
        <v>17.64</v>
      </c>
      <c r="G957" t="s">
        <v>11</v>
      </c>
      <c r="H957" t="s">
        <v>14</v>
      </c>
    </row>
    <row r="958" spans="1:8" x14ac:dyDescent="0.3">
      <c r="A958" t="s">
        <v>945</v>
      </c>
      <c r="B958">
        <v>95</v>
      </c>
      <c r="C958" t="s">
        <v>41</v>
      </c>
      <c r="D958">
        <v>64</v>
      </c>
      <c r="E958">
        <v>84</v>
      </c>
      <c r="F958">
        <v>7.33</v>
      </c>
      <c r="G958" t="s">
        <v>18</v>
      </c>
      <c r="H958" t="s">
        <v>9</v>
      </c>
    </row>
    <row r="959" spans="1:8" x14ac:dyDescent="0.3">
      <c r="A959" t="s">
        <v>946</v>
      </c>
      <c r="B959">
        <v>95</v>
      </c>
      <c r="C959" t="s">
        <v>45</v>
      </c>
      <c r="D959">
        <v>58</v>
      </c>
      <c r="E959">
        <v>80</v>
      </c>
      <c r="F959">
        <v>25.71</v>
      </c>
      <c r="G959" t="s">
        <v>18</v>
      </c>
      <c r="H959" t="s">
        <v>14</v>
      </c>
    </row>
    <row r="960" spans="1:8" x14ac:dyDescent="0.3">
      <c r="A960" t="s">
        <v>581</v>
      </c>
      <c r="B960">
        <v>94</v>
      </c>
      <c r="C960" t="s">
        <v>45</v>
      </c>
      <c r="D960">
        <v>56</v>
      </c>
      <c r="E960">
        <v>76</v>
      </c>
      <c r="F960">
        <v>7.05</v>
      </c>
      <c r="G960" t="s">
        <v>18</v>
      </c>
      <c r="H960" t="s">
        <v>12</v>
      </c>
    </row>
    <row r="961" spans="1:8" x14ac:dyDescent="0.3">
      <c r="A961" t="s">
        <v>947</v>
      </c>
      <c r="B961">
        <v>94</v>
      </c>
      <c r="C961" t="s">
        <v>41</v>
      </c>
      <c r="D961">
        <v>64</v>
      </c>
      <c r="E961">
        <v>86</v>
      </c>
      <c r="F961">
        <v>8.7899999999999991</v>
      </c>
      <c r="G961" t="s">
        <v>18</v>
      </c>
      <c r="H961" t="s">
        <v>22</v>
      </c>
    </row>
    <row r="962" spans="1:8" x14ac:dyDescent="0.3">
      <c r="A962" t="s">
        <v>948</v>
      </c>
      <c r="B962">
        <v>94</v>
      </c>
      <c r="C962" t="s">
        <v>45</v>
      </c>
      <c r="D962">
        <v>60</v>
      </c>
      <c r="E962">
        <v>76</v>
      </c>
      <c r="F962">
        <v>22</v>
      </c>
      <c r="G962" t="s">
        <v>18</v>
      </c>
      <c r="H962" t="s">
        <v>18</v>
      </c>
    </row>
    <row r="963" spans="1:8" x14ac:dyDescent="0.3">
      <c r="A963" t="s">
        <v>949</v>
      </c>
      <c r="B963">
        <v>95</v>
      </c>
      <c r="C963" t="s">
        <v>45</v>
      </c>
      <c r="D963">
        <v>58</v>
      </c>
      <c r="E963">
        <v>78</v>
      </c>
      <c r="F963">
        <v>7.05</v>
      </c>
      <c r="G963" t="s">
        <v>18</v>
      </c>
      <c r="H963" t="s">
        <v>12</v>
      </c>
    </row>
    <row r="964" spans="1:8" x14ac:dyDescent="0.3">
      <c r="A964" t="s">
        <v>950</v>
      </c>
      <c r="B964">
        <v>94</v>
      </c>
      <c r="C964" t="s">
        <v>41</v>
      </c>
      <c r="D964">
        <v>64</v>
      </c>
      <c r="E964">
        <v>86</v>
      </c>
      <c r="F964">
        <v>668.14</v>
      </c>
      <c r="G964" t="s">
        <v>2</v>
      </c>
      <c r="H964" t="s">
        <v>9</v>
      </c>
    </row>
    <row r="965" spans="1:8" x14ac:dyDescent="0.3">
      <c r="A965" t="s">
        <v>951</v>
      </c>
      <c r="B965">
        <v>94</v>
      </c>
      <c r="C965" t="s">
        <v>45</v>
      </c>
      <c r="D965">
        <v>59</v>
      </c>
      <c r="E965">
        <v>79</v>
      </c>
      <c r="F965">
        <v>141.09</v>
      </c>
      <c r="G965" t="s">
        <v>2</v>
      </c>
      <c r="H965" t="s">
        <v>9</v>
      </c>
    </row>
    <row r="966" spans="1:8" x14ac:dyDescent="0.3">
      <c r="A966" t="s">
        <v>952</v>
      </c>
      <c r="B966">
        <v>95</v>
      </c>
      <c r="C966" t="s">
        <v>45</v>
      </c>
      <c r="D966">
        <v>57</v>
      </c>
      <c r="E966">
        <v>74</v>
      </c>
      <c r="F966">
        <v>13.23</v>
      </c>
      <c r="G966" t="s">
        <v>18</v>
      </c>
      <c r="H966" t="s">
        <v>14</v>
      </c>
    </row>
    <row r="967" spans="1:8" x14ac:dyDescent="0.3">
      <c r="A967" t="s">
        <v>953</v>
      </c>
      <c r="B967">
        <v>97</v>
      </c>
      <c r="C967" t="s">
        <v>41</v>
      </c>
      <c r="D967">
        <v>64</v>
      </c>
      <c r="E967">
        <v>86</v>
      </c>
      <c r="F967">
        <v>16.149999999999999</v>
      </c>
      <c r="G967" t="s">
        <v>18</v>
      </c>
      <c r="H967" t="s">
        <v>9</v>
      </c>
    </row>
    <row r="968" spans="1:8" x14ac:dyDescent="0.3">
      <c r="A968" t="s">
        <v>954</v>
      </c>
      <c r="B968">
        <v>94</v>
      </c>
      <c r="C968" t="s">
        <v>45</v>
      </c>
      <c r="D968">
        <v>58</v>
      </c>
      <c r="E968">
        <v>78</v>
      </c>
      <c r="F968">
        <v>5.59</v>
      </c>
      <c r="G968" t="s">
        <v>18</v>
      </c>
      <c r="H968" t="s">
        <v>14</v>
      </c>
    </row>
    <row r="969" spans="1:8" x14ac:dyDescent="0.3">
      <c r="A969" t="s">
        <v>798</v>
      </c>
      <c r="B969">
        <v>94</v>
      </c>
      <c r="C969" t="s">
        <v>41</v>
      </c>
      <c r="D969">
        <v>62</v>
      </c>
      <c r="E969">
        <v>80</v>
      </c>
      <c r="F969">
        <v>5.29</v>
      </c>
      <c r="G969" t="s">
        <v>18</v>
      </c>
      <c r="H969" t="s">
        <v>9</v>
      </c>
    </row>
    <row r="970" spans="1:8" x14ac:dyDescent="0.3">
      <c r="A970" t="s">
        <v>955</v>
      </c>
      <c r="B970">
        <v>94</v>
      </c>
      <c r="C970" t="s">
        <v>82</v>
      </c>
      <c r="D970">
        <v>51</v>
      </c>
      <c r="E970">
        <v>64</v>
      </c>
      <c r="F970">
        <v>200</v>
      </c>
      <c r="G970" t="s">
        <v>2</v>
      </c>
      <c r="H970" t="s">
        <v>150</v>
      </c>
    </row>
    <row r="971" spans="1:8" x14ac:dyDescent="0.3">
      <c r="A971" t="s">
        <v>956</v>
      </c>
      <c r="B971">
        <v>94</v>
      </c>
      <c r="C971" t="s">
        <v>541</v>
      </c>
      <c r="D971">
        <v>36</v>
      </c>
      <c r="E971">
        <v>48</v>
      </c>
      <c r="F971">
        <v>200</v>
      </c>
      <c r="G971" t="s">
        <v>2</v>
      </c>
      <c r="H971" t="s">
        <v>14</v>
      </c>
    </row>
    <row r="972" spans="1:8" x14ac:dyDescent="0.3">
      <c r="A972" t="s">
        <v>957</v>
      </c>
      <c r="B972">
        <v>94</v>
      </c>
      <c r="C972" t="s">
        <v>541</v>
      </c>
      <c r="D972">
        <v>39</v>
      </c>
      <c r="E972">
        <v>53</v>
      </c>
      <c r="F972">
        <v>133.33000000000001</v>
      </c>
      <c r="G972" t="s">
        <v>2</v>
      </c>
      <c r="H972" t="s">
        <v>14</v>
      </c>
    </row>
    <row r="973" spans="1:8" x14ac:dyDescent="0.3">
      <c r="A973" t="s">
        <v>958</v>
      </c>
      <c r="B973">
        <v>95</v>
      </c>
      <c r="C973" t="s">
        <v>82</v>
      </c>
      <c r="D973">
        <v>50</v>
      </c>
      <c r="E973">
        <v>67</v>
      </c>
      <c r="F973">
        <v>92.59</v>
      </c>
      <c r="G973" t="s">
        <v>2</v>
      </c>
      <c r="H973" t="s">
        <v>9</v>
      </c>
    </row>
    <row r="974" spans="1:8" x14ac:dyDescent="0.3">
      <c r="A974" t="s">
        <v>959</v>
      </c>
      <c r="B974">
        <v>96</v>
      </c>
      <c r="C974" t="s">
        <v>541</v>
      </c>
      <c r="D974">
        <v>35</v>
      </c>
      <c r="E974">
        <v>48</v>
      </c>
      <c r="F974">
        <v>242.5</v>
      </c>
      <c r="G974" t="s">
        <v>2</v>
      </c>
      <c r="H974" t="s">
        <v>9</v>
      </c>
    </row>
    <row r="975" spans="1:8" x14ac:dyDescent="0.3">
      <c r="A975" t="s">
        <v>960</v>
      </c>
      <c r="B975">
        <v>95</v>
      </c>
      <c r="C975" t="s">
        <v>41</v>
      </c>
      <c r="D975">
        <v>62</v>
      </c>
      <c r="E975">
        <v>80</v>
      </c>
      <c r="F975">
        <v>66.09</v>
      </c>
      <c r="G975" t="s">
        <v>18</v>
      </c>
      <c r="H975" t="s">
        <v>20</v>
      </c>
    </row>
    <row r="976" spans="1:8" x14ac:dyDescent="0.3">
      <c r="A976" t="s">
        <v>961</v>
      </c>
      <c r="B976">
        <v>95</v>
      </c>
      <c r="C976" t="s">
        <v>41</v>
      </c>
      <c r="D976">
        <v>64</v>
      </c>
      <c r="E976">
        <v>84</v>
      </c>
      <c r="F976">
        <v>165.34</v>
      </c>
      <c r="G976" t="s">
        <v>2</v>
      </c>
      <c r="H976" t="s">
        <v>9</v>
      </c>
    </row>
    <row r="977" spans="1:8" x14ac:dyDescent="0.3">
      <c r="A977" t="s">
        <v>962</v>
      </c>
      <c r="B977">
        <v>95</v>
      </c>
      <c r="C977" t="s">
        <v>41</v>
      </c>
      <c r="D977">
        <v>62</v>
      </c>
      <c r="E977">
        <v>80</v>
      </c>
      <c r="F977">
        <v>180.78</v>
      </c>
      <c r="G977" t="s">
        <v>2</v>
      </c>
      <c r="H977" t="s">
        <v>9</v>
      </c>
    </row>
    <row r="978" spans="1:8" x14ac:dyDescent="0.3">
      <c r="A978" t="s">
        <v>963</v>
      </c>
      <c r="B978">
        <v>94</v>
      </c>
      <c r="C978" t="s">
        <v>45</v>
      </c>
      <c r="D978">
        <v>58</v>
      </c>
      <c r="E978">
        <v>76</v>
      </c>
      <c r="F978">
        <v>121.25</v>
      </c>
      <c r="G978" t="s">
        <v>2</v>
      </c>
      <c r="H978" t="s">
        <v>15</v>
      </c>
    </row>
    <row r="979" spans="1:8" x14ac:dyDescent="0.3">
      <c r="A979" t="s">
        <v>964</v>
      </c>
      <c r="B979">
        <v>94</v>
      </c>
      <c r="C979" t="s">
        <v>45</v>
      </c>
      <c r="D979">
        <v>58</v>
      </c>
      <c r="E979">
        <v>76</v>
      </c>
      <c r="F979">
        <v>280</v>
      </c>
      <c r="G979" t="s">
        <v>2</v>
      </c>
      <c r="H979" t="s">
        <v>9</v>
      </c>
    </row>
    <row r="980" spans="1:8" x14ac:dyDescent="0.3">
      <c r="A980" t="s">
        <v>965</v>
      </c>
      <c r="B980">
        <v>94</v>
      </c>
      <c r="C980" t="s">
        <v>41</v>
      </c>
      <c r="D980">
        <v>64</v>
      </c>
      <c r="E980">
        <v>80</v>
      </c>
      <c r="F980">
        <v>220.26</v>
      </c>
      <c r="G980" t="s">
        <v>2</v>
      </c>
      <c r="H980" t="s">
        <v>9</v>
      </c>
    </row>
    <row r="981" spans="1:8" x14ac:dyDescent="0.3">
      <c r="A981" t="s">
        <v>966</v>
      </c>
      <c r="B981">
        <v>95</v>
      </c>
      <c r="C981" t="s">
        <v>45</v>
      </c>
      <c r="D981">
        <v>54</v>
      </c>
      <c r="E981">
        <v>78</v>
      </c>
      <c r="F981">
        <v>132.28</v>
      </c>
      <c r="G981" t="s">
        <v>2</v>
      </c>
      <c r="H981" t="s">
        <v>15</v>
      </c>
    </row>
    <row r="982" spans="1:8" x14ac:dyDescent="0.3">
      <c r="A982" t="s">
        <v>967</v>
      </c>
      <c r="B982">
        <v>94</v>
      </c>
      <c r="C982" t="s">
        <v>45</v>
      </c>
      <c r="D982">
        <v>60</v>
      </c>
      <c r="E982">
        <v>80</v>
      </c>
      <c r="F982">
        <v>127.87</v>
      </c>
      <c r="G982" t="s">
        <v>2</v>
      </c>
      <c r="H982" t="s">
        <v>9</v>
      </c>
    </row>
    <row r="983" spans="1:8" x14ac:dyDescent="0.3">
      <c r="A983" t="s">
        <v>968</v>
      </c>
      <c r="B983">
        <v>94</v>
      </c>
      <c r="C983" t="s">
        <v>45</v>
      </c>
      <c r="D983">
        <v>60</v>
      </c>
      <c r="E983">
        <v>78</v>
      </c>
      <c r="F983">
        <v>299.56</v>
      </c>
      <c r="G983" t="s">
        <v>2</v>
      </c>
      <c r="H983" t="s">
        <v>8</v>
      </c>
    </row>
    <row r="984" spans="1:8" x14ac:dyDescent="0.3">
      <c r="A984" t="s">
        <v>969</v>
      </c>
      <c r="B984">
        <v>94</v>
      </c>
      <c r="C984" t="s">
        <v>41</v>
      </c>
      <c r="D984">
        <v>64</v>
      </c>
      <c r="E984">
        <v>84</v>
      </c>
      <c r="F984">
        <v>22.02</v>
      </c>
      <c r="G984" t="s">
        <v>18</v>
      </c>
      <c r="H984" t="s">
        <v>5</v>
      </c>
    </row>
    <row r="985" spans="1:8" x14ac:dyDescent="0.3">
      <c r="A985" t="s">
        <v>609</v>
      </c>
      <c r="B985">
        <v>94</v>
      </c>
      <c r="C985" t="s">
        <v>41</v>
      </c>
      <c r="D985">
        <v>60</v>
      </c>
      <c r="E985">
        <v>82</v>
      </c>
      <c r="F985">
        <v>4.7</v>
      </c>
      <c r="G985" t="s">
        <v>18</v>
      </c>
      <c r="H985" t="s">
        <v>19</v>
      </c>
    </row>
    <row r="986" spans="1:8" x14ac:dyDescent="0.3">
      <c r="A986" t="s">
        <v>970</v>
      </c>
      <c r="B986">
        <v>94</v>
      </c>
      <c r="C986" t="s">
        <v>45</v>
      </c>
      <c r="D986">
        <v>60</v>
      </c>
      <c r="E986">
        <v>78</v>
      </c>
      <c r="F986">
        <v>154.19</v>
      </c>
      <c r="G986" t="s">
        <v>2</v>
      </c>
      <c r="H986" t="s">
        <v>9</v>
      </c>
    </row>
    <row r="987" spans="1:8" x14ac:dyDescent="0.3">
      <c r="A987" t="s">
        <v>971</v>
      </c>
      <c r="B987">
        <v>95</v>
      </c>
      <c r="C987" t="s">
        <v>45</v>
      </c>
      <c r="D987">
        <v>58</v>
      </c>
      <c r="E987">
        <v>78</v>
      </c>
      <c r="F987">
        <v>5.29</v>
      </c>
      <c r="G987" t="s">
        <v>18</v>
      </c>
      <c r="H987" t="s">
        <v>14</v>
      </c>
    </row>
    <row r="988" spans="1:8" x14ac:dyDescent="0.3">
      <c r="A988" t="s">
        <v>972</v>
      </c>
      <c r="B988">
        <v>94</v>
      </c>
      <c r="C988" t="s">
        <v>41</v>
      </c>
      <c r="D988">
        <v>63</v>
      </c>
      <c r="E988">
        <v>83</v>
      </c>
      <c r="F988">
        <v>15.43</v>
      </c>
      <c r="G988" t="s">
        <v>18</v>
      </c>
      <c r="H988" t="s">
        <v>8</v>
      </c>
    </row>
    <row r="989" spans="1:8" x14ac:dyDescent="0.3">
      <c r="A989" t="s">
        <v>973</v>
      </c>
      <c r="B989">
        <v>94</v>
      </c>
      <c r="C989" t="s">
        <v>41</v>
      </c>
      <c r="D989">
        <v>62</v>
      </c>
      <c r="E989">
        <v>80</v>
      </c>
      <c r="F989">
        <v>300</v>
      </c>
      <c r="G989" t="s">
        <v>2</v>
      </c>
      <c r="H989" t="s">
        <v>15</v>
      </c>
    </row>
    <row r="990" spans="1:8" x14ac:dyDescent="0.3">
      <c r="A990" t="s">
        <v>974</v>
      </c>
      <c r="B990">
        <v>94</v>
      </c>
      <c r="C990" t="s">
        <v>82</v>
      </c>
      <c r="D990">
        <v>56</v>
      </c>
      <c r="E990">
        <v>64</v>
      </c>
      <c r="F990">
        <v>7.94</v>
      </c>
      <c r="G990" t="s">
        <v>18</v>
      </c>
      <c r="H990" t="s">
        <v>14</v>
      </c>
    </row>
    <row r="991" spans="1:8" x14ac:dyDescent="0.3">
      <c r="A991" t="s">
        <v>975</v>
      </c>
      <c r="B991">
        <v>94</v>
      </c>
      <c r="C991" t="s">
        <v>41</v>
      </c>
      <c r="D991">
        <v>82</v>
      </c>
      <c r="E991">
        <v>104</v>
      </c>
      <c r="F991">
        <v>2980</v>
      </c>
      <c r="G991" t="s">
        <v>27</v>
      </c>
      <c r="H991" t="s">
        <v>3</v>
      </c>
    </row>
    <row r="992" spans="1:8" x14ac:dyDescent="0.3">
      <c r="A992" t="s">
        <v>976</v>
      </c>
      <c r="B992">
        <v>94</v>
      </c>
      <c r="C992" t="s">
        <v>541</v>
      </c>
      <c r="D992">
        <v>42</v>
      </c>
      <c r="E992">
        <v>58</v>
      </c>
      <c r="F992">
        <v>352.73</v>
      </c>
      <c r="G992" t="s">
        <v>2</v>
      </c>
      <c r="H992" t="s">
        <v>17</v>
      </c>
    </row>
    <row r="993" spans="1:8" x14ac:dyDescent="0.3">
      <c r="A993" t="s">
        <v>977</v>
      </c>
      <c r="B993">
        <v>95</v>
      </c>
      <c r="C993" t="s">
        <v>45</v>
      </c>
      <c r="D993">
        <v>58</v>
      </c>
      <c r="E993">
        <v>78</v>
      </c>
      <c r="F993">
        <v>5.29</v>
      </c>
      <c r="G993" t="s">
        <v>18</v>
      </c>
      <c r="H993" t="s">
        <v>9</v>
      </c>
    </row>
    <row r="994" spans="1:8" x14ac:dyDescent="0.3">
      <c r="A994" t="s">
        <v>978</v>
      </c>
      <c r="B994">
        <v>95</v>
      </c>
      <c r="C994" t="s">
        <v>45</v>
      </c>
      <c r="D994">
        <v>60</v>
      </c>
      <c r="E994">
        <v>78</v>
      </c>
      <c r="F994">
        <v>7.05</v>
      </c>
      <c r="G994" t="s">
        <v>18</v>
      </c>
      <c r="H994" t="s">
        <v>15</v>
      </c>
    </row>
    <row r="995" spans="1:8" x14ac:dyDescent="0.3">
      <c r="A995" t="s">
        <v>979</v>
      </c>
      <c r="B995">
        <v>94</v>
      </c>
      <c r="C995" t="s">
        <v>45</v>
      </c>
      <c r="D995">
        <v>60</v>
      </c>
      <c r="E995">
        <v>78</v>
      </c>
      <c r="F995">
        <v>25.57</v>
      </c>
      <c r="G995" t="s">
        <v>18</v>
      </c>
      <c r="H995" t="s">
        <v>5</v>
      </c>
    </row>
    <row r="996" spans="1:8" x14ac:dyDescent="0.3">
      <c r="A996" t="s">
        <v>980</v>
      </c>
      <c r="B996">
        <v>94</v>
      </c>
      <c r="C996" t="s">
        <v>45</v>
      </c>
      <c r="D996">
        <v>60</v>
      </c>
      <c r="E996">
        <v>77</v>
      </c>
      <c r="F996">
        <v>8.23</v>
      </c>
      <c r="G996" t="s">
        <v>18</v>
      </c>
      <c r="H996" t="s">
        <v>14</v>
      </c>
    </row>
    <row r="997" spans="1:8" x14ac:dyDescent="0.3">
      <c r="A997" t="s">
        <v>981</v>
      </c>
      <c r="B997">
        <v>95</v>
      </c>
      <c r="C997" t="s">
        <v>45</v>
      </c>
      <c r="D997">
        <v>58</v>
      </c>
      <c r="E997">
        <v>80</v>
      </c>
      <c r="F997">
        <v>22.05</v>
      </c>
      <c r="G997" t="s">
        <v>18</v>
      </c>
      <c r="H997" t="s">
        <v>18</v>
      </c>
    </row>
    <row r="998" spans="1:8" x14ac:dyDescent="0.3">
      <c r="A998" t="s">
        <v>982</v>
      </c>
      <c r="B998">
        <v>94</v>
      </c>
      <c r="C998" t="s">
        <v>41</v>
      </c>
      <c r="D998">
        <v>62</v>
      </c>
      <c r="E998">
        <v>80</v>
      </c>
      <c r="F998">
        <v>13.23</v>
      </c>
      <c r="G998" t="s">
        <v>18</v>
      </c>
      <c r="H998" t="s">
        <v>4</v>
      </c>
    </row>
    <row r="999" spans="1:8" x14ac:dyDescent="0.3">
      <c r="A999" t="s">
        <v>276</v>
      </c>
      <c r="B999">
        <v>95</v>
      </c>
      <c r="C999" t="s">
        <v>45</v>
      </c>
      <c r="D999">
        <v>58</v>
      </c>
      <c r="E999">
        <v>80</v>
      </c>
      <c r="F999">
        <v>6.03</v>
      </c>
      <c r="G999" t="s">
        <v>18</v>
      </c>
      <c r="H999" t="s">
        <v>12</v>
      </c>
    </row>
    <row r="1000" spans="1:8" x14ac:dyDescent="0.3">
      <c r="A1000" t="s">
        <v>983</v>
      </c>
      <c r="B1000">
        <v>95</v>
      </c>
      <c r="C1000" t="s">
        <v>45</v>
      </c>
      <c r="D1000">
        <v>56</v>
      </c>
      <c r="E1000">
        <v>76</v>
      </c>
      <c r="F1000">
        <v>6.17</v>
      </c>
      <c r="G1000" t="s">
        <v>18</v>
      </c>
      <c r="H1000" t="s">
        <v>4</v>
      </c>
    </row>
    <row r="1001" spans="1:8" x14ac:dyDescent="0.3">
      <c r="A1001" t="s">
        <v>118</v>
      </c>
      <c r="B1001">
        <v>94</v>
      </c>
      <c r="C1001" t="s">
        <v>45</v>
      </c>
      <c r="D1001">
        <v>56</v>
      </c>
      <c r="E1001">
        <v>74</v>
      </c>
      <c r="F1001">
        <v>5.26</v>
      </c>
      <c r="G1001" t="s">
        <v>18</v>
      </c>
      <c r="H1001" t="s">
        <v>16</v>
      </c>
    </row>
    <row r="1002" spans="1:8" x14ac:dyDescent="0.3">
      <c r="A1002" t="s">
        <v>984</v>
      </c>
      <c r="B1002">
        <v>94</v>
      </c>
      <c r="C1002" t="s">
        <v>45</v>
      </c>
      <c r="D1002">
        <v>58</v>
      </c>
      <c r="E1002">
        <v>78</v>
      </c>
      <c r="F1002">
        <v>5.88</v>
      </c>
      <c r="G1002" t="s">
        <v>18</v>
      </c>
      <c r="H1002" t="s">
        <v>14</v>
      </c>
    </row>
    <row r="1003" spans="1:8" x14ac:dyDescent="0.3">
      <c r="A1003" t="s">
        <v>985</v>
      </c>
      <c r="B1003">
        <v>94</v>
      </c>
      <c r="C1003" t="s">
        <v>41</v>
      </c>
      <c r="D1003">
        <v>62</v>
      </c>
      <c r="E1003">
        <v>80</v>
      </c>
      <c r="F1003">
        <v>26.41</v>
      </c>
      <c r="G1003" t="s">
        <v>18</v>
      </c>
      <c r="H1003" t="s">
        <v>22</v>
      </c>
    </row>
    <row r="1004" spans="1:8" x14ac:dyDescent="0.3">
      <c r="A1004" t="s">
        <v>986</v>
      </c>
      <c r="B1004">
        <v>95</v>
      </c>
      <c r="C1004" t="s">
        <v>45</v>
      </c>
      <c r="D1004">
        <v>52</v>
      </c>
      <c r="E1004">
        <v>70</v>
      </c>
      <c r="F1004">
        <v>7.05</v>
      </c>
      <c r="G1004" t="s">
        <v>2</v>
      </c>
      <c r="H1004" t="s">
        <v>9</v>
      </c>
    </row>
    <row r="1005" spans="1:8" x14ac:dyDescent="0.3">
      <c r="A1005" t="s">
        <v>987</v>
      </c>
      <c r="B1005">
        <v>94</v>
      </c>
      <c r="C1005" t="s">
        <v>41</v>
      </c>
      <c r="D1005">
        <v>62</v>
      </c>
      <c r="E1005">
        <v>80</v>
      </c>
      <c r="F1005">
        <v>5.88</v>
      </c>
      <c r="G1005" t="s">
        <v>2</v>
      </c>
      <c r="H1005" t="s">
        <v>9</v>
      </c>
    </row>
    <row r="1006" spans="1:8" x14ac:dyDescent="0.3">
      <c r="A1006" t="s">
        <v>988</v>
      </c>
      <c r="B1006">
        <v>94</v>
      </c>
      <c r="C1006" t="s">
        <v>45</v>
      </c>
      <c r="D1006">
        <v>56</v>
      </c>
      <c r="E1006">
        <v>74</v>
      </c>
      <c r="F1006">
        <v>5.88</v>
      </c>
      <c r="G1006" t="s">
        <v>18</v>
      </c>
      <c r="H1006" t="s">
        <v>23</v>
      </c>
    </row>
    <row r="1007" spans="1:8" x14ac:dyDescent="0.3">
      <c r="A1007" t="s">
        <v>989</v>
      </c>
      <c r="B1007">
        <v>94</v>
      </c>
      <c r="C1007" t="s">
        <v>45</v>
      </c>
      <c r="D1007">
        <v>60</v>
      </c>
      <c r="E1007">
        <v>78</v>
      </c>
      <c r="F1007">
        <v>5</v>
      </c>
      <c r="G1007" t="s">
        <v>18</v>
      </c>
      <c r="H1007" t="s">
        <v>17</v>
      </c>
    </row>
    <row r="1008" spans="1:8" x14ac:dyDescent="0.3">
      <c r="A1008" t="s">
        <v>990</v>
      </c>
      <c r="B1008">
        <v>94</v>
      </c>
      <c r="C1008" t="s">
        <v>45</v>
      </c>
      <c r="D1008">
        <v>58</v>
      </c>
      <c r="E1008">
        <v>78</v>
      </c>
      <c r="F1008">
        <v>4.9800000000000004</v>
      </c>
      <c r="G1008" t="s">
        <v>18</v>
      </c>
      <c r="H1008" t="s">
        <v>20</v>
      </c>
    </row>
    <row r="1009" spans="1:8" x14ac:dyDescent="0.3">
      <c r="A1009" t="s">
        <v>991</v>
      </c>
      <c r="B1009">
        <v>94</v>
      </c>
      <c r="C1009" t="s">
        <v>45</v>
      </c>
      <c r="D1009">
        <v>58</v>
      </c>
      <c r="E1009">
        <v>78</v>
      </c>
      <c r="F1009">
        <v>6.32</v>
      </c>
      <c r="G1009" t="s">
        <v>18</v>
      </c>
      <c r="H1009" t="s">
        <v>17</v>
      </c>
    </row>
    <row r="1010" spans="1:8" x14ac:dyDescent="0.3">
      <c r="A1010" t="s">
        <v>992</v>
      </c>
      <c r="B1010">
        <v>94</v>
      </c>
      <c r="C1010" t="s">
        <v>45</v>
      </c>
      <c r="D1010">
        <v>53</v>
      </c>
      <c r="E1010">
        <v>71</v>
      </c>
      <c r="F1010">
        <v>3.97</v>
      </c>
      <c r="G1010" t="s">
        <v>18</v>
      </c>
      <c r="H1010" t="s">
        <v>20</v>
      </c>
    </row>
    <row r="1011" spans="1:8" x14ac:dyDescent="0.3">
      <c r="A1011" t="s">
        <v>993</v>
      </c>
      <c r="B1011">
        <v>95</v>
      </c>
      <c r="C1011" t="s">
        <v>41</v>
      </c>
      <c r="D1011">
        <v>60</v>
      </c>
      <c r="E1011">
        <v>84</v>
      </c>
      <c r="F1011">
        <v>7.33</v>
      </c>
      <c r="G1011" t="s">
        <v>18</v>
      </c>
      <c r="H1011" t="s">
        <v>20</v>
      </c>
    </row>
    <row r="1012" spans="1:8" x14ac:dyDescent="0.3">
      <c r="A1012" t="s">
        <v>994</v>
      </c>
      <c r="B1012">
        <v>96</v>
      </c>
      <c r="C1012" t="s">
        <v>45</v>
      </c>
      <c r="D1012">
        <v>60</v>
      </c>
      <c r="E1012">
        <v>78</v>
      </c>
      <c r="F1012">
        <v>127.87</v>
      </c>
      <c r="G1012" t="s">
        <v>2</v>
      </c>
      <c r="H1012" t="s">
        <v>9</v>
      </c>
    </row>
    <row r="1013" spans="1:8" x14ac:dyDescent="0.3">
      <c r="A1013" t="s">
        <v>995</v>
      </c>
      <c r="B1013">
        <v>95</v>
      </c>
      <c r="C1013" t="s">
        <v>45</v>
      </c>
      <c r="D1013">
        <v>58</v>
      </c>
      <c r="E1013">
        <v>78</v>
      </c>
      <c r="F1013">
        <v>6.02</v>
      </c>
      <c r="G1013" t="s">
        <v>18</v>
      </c>
      <c r="H1013" t="s">
        <v>9</v>
      </c>
    </row>
    <row r="1014" spans="1:8" x14ac:dyDescent="0.3">
      <c r="A1014" t="s">
        <v>996</v>
      </c>
      <c r="B1014">
        <v>95</v>
      </c>
      <c r="C1014" t="s">
        <v>45</v>
      </c>
      <c r="D1014">
        <v>58</v>
      </c>
      <c r="E1014">
        <v>78</v>
      </c>
      <c r="F1014">
        <v>617.28</v>
      </c>
      <c r="G1014" t="s">
        <v>2</v>
      </c>
      <c r="H1014" t="s">
        <v>2</v>
      </c>
    </row>
    <row r="1015" spans="1:8" x14ac:dyDescent="0.3">
      <c r="A1015" t="s">
        <v>997</v>
      </c>
      <c r="B1015">
        <v>95</v>
      </c>
      <c r="C1015" t="s">
        <v>41</v>
      </c>
      <c r="D1015">
        <v>60</v>
      </c>
      <c r="E1015">
        <v>82</v>
      </c>
      <c r="F1015">
        <v>143.30000000000001</v>
      </c>
      <c r="G1015" t="s">
        <v>2</v>
      </c>
      <c r="H1015" t="s">
        <v>9</v>
      </c>
    </row>
    <row r="1016" spans="1:8" x14ac:dyDescent="0.3">
      <c r="A1016" t="s">
        <v>998</v>
      </c>
      <c r="B1016">
        <v>94</v>
      </c>
      <c r="C1016" t="s">
        <v>45</v>
      </c>
      <c r="D1016">
        <v>58</v>
      </c>
      <c r="E1016">
        <v>76</v>
      </c>
      <c r="F1016">
        <v>143.30000000000001</v>
      </c>
      <c r="G1016" t="s">
        <v>2</v>
      </c>
      <c r="H1016" t="s">
        <v>12</v>
      </c>
    </row>
    <row r="1017" spans="1:8" x14ac:dyDescent="0.3">
      <c r="A1017" t="s">
        <v>999</v>
      </c>
      <c r="B1017">
        <v>95</v>
      </c>
      <c r="C1017" t="s">
        <v>45</v>
      </c>
      <c r="D1017">
        <v>60</v>
      </c>
      <c r="E1017">
        <v>78</v>
      </c>
      <c r="F1017">
        <v>250</v>
      </c>
      <c r="G1017" t="s">
        <v>2</v>
      </c>
      <c r="H1017" t="s">
        <v>9</v>
      </c>
    </row>
    <row r="1018" spans="1:8" x14ac:dyDescent="0.3">
      <c r="A1018" t="s">
        <v>1000</v>
      </c>
      <c r="B1018">
        <v>94</v>
      </c>
      <c r="C1018" t="s">
        <v>45</v>
      </c>
      <c r="D1018">
        <v>58</v>
      </c>
      <c r="E1018">
        <v>76</v>
      </c>
      <c r="F1018">
        <v>275</v>
      </c>
      <c r="G1018" t="s">
        <v>2</v>
      </c>
      <c r="H1018" t="s">
        <v>12</v>
      </c>
    </row>
    <row r="1019" spans="1:8" x14ac:dyDescent="0.3">
      <c r="A1019" t="s">
        <v>1001</v>
      </c>
      <c r="B1019">
        <v>94</v>
      </c>
      <c r="C1019" t="s">
        <v>45</v>
      </c>
      <c r="D1019">
        <v>56</v>
      </c>
      <c r="E1019">
        <v>76</v>
      </c>
      <c r="F1019">
        <v>225</v>
      </c>
      <c r="G1019" t="s">
        <v>2</v>
      </c>
      <c r="H1019" t="s">
        <v>9</v>
      </c>
    </row>
    <row r="1020" spans="1:8" x14ac:dyDescent="0.3">
      <c r="A1020" t="s">
        <v>1002</v>
      </c>
      <c r="B1020">
        <v>94</v>
      </c>
      <c r="C1020" t="s">
        <v>45</v>
      </c>
      <c r="D1020">
        <v>60</v>
      </c>
      <c r="E1020">
        <v>77</v>
      </c>
      <c r="F1020">
        <v>10</v>
      </c>
      <c r="G1020" t="s">
        <v>18</v>
      </c>
      <c r="H1020" t="s">
        <v>9</v>
      </c>
    </row>
    <row r="1021" spans="1:8" x14ac:dyDescent="0.3">
      <c r="A1021" t="s">
        <v>1003</v>
      </c>
      <c r="B1021">
        <v>94</v>
      </c>
      <c r="C1021" t="s">
        <v>45</v>
      </c>
      <c r="D1021">
        <v>58</v>
      </c>
      <c r="E1021">
        <v>78</v>
      </c>
      <c r="F1021">
        <v>5.28</v>
      </c>
      <c r="G1021" t="s">
        <v>18</v>
      </c>
      <c r="H1021" t="s">
        <v>9</v>
      </c>
    </row>
    <row r="1022" spans="1:8" x14ac:dyDescent="0.3">
      <c r="A1022" t="s">
        <v>1004</v>
      </c>
      <c r="B1022">
        <v>95</v>
      </c>
      <c r="C1022" t="s">
        <v>45</v>
      </c>
      <c r="D1022">
        <v>56</v>
      </c>
      <c r="E1022">
        <v>76</v>
      </c>
      <c r="F1022">
        <v>6.47</v>
      </c>
      <c r="G1022" t="s">
        <v>18</v>
      </c>
      <c r="H1022" t="s">
        <v>12</v>
      </c>
    </row>
    <row r="1023" spans="1:8" x14ac:dyDescent="0.3">
      <c r="A1023" t="s">
        <v>1005</v>
      </c>
      <c r="B1023">
        <v>94</v>
      </c>
      <c r="C1023" t="s">
        <v>41</v>
      </c>
      <c r="D1023">
        <v>62</v>
      </c>
      <c r="E1023">
        <v>80</v>
      </c>
      <c r="F1023">
        <v>7.35</v>
      </c>
      <c r="G1023" t="s">
        <v>18</v>
      </c>
      <c r="H1023" t="s">
        <v>14</v>
      </c>
    </row>
    <row r="1024" spans="1:8" x14ac:dyDescent="0.3">
      <c r="A1024" t="s">
        <v>1006</v>
      </c>
      <c r="B1024">
        <v>94</v>
      </c>
      <c r="C1024" t="s">
        <v>45</v>
      </c>
      <c r="D1024">
        <v>57</v>
      </c>
      <c r="E1024">
        <v>73</v>
      </c>
      <c r="F1024">
        <v>7.35</v>
      </c>
      <c r="G1024" t="s">
        <v>18</v>
      </c>
      <c r="H1024" t="s">
        <v>9</v>
      </c>
    </row>
    <row r="1025" spans="1:8" x14ac:dyDescent="0.3">
      <c r="A1025" t="s">
        <v>1007</v>
      </c>
      <c r="B1025">
        <v>94</v>
      </c>
      <c r="C1025" t="s">
        <v>45</v>
      </c>
      <c r="D1025">
        <v>56</v>
      </c>
      <c r="E1025">
        <v>72</v>
      </c>
      <c r="F1025">
        <v>7.35</v>
      </c>
      <c r="G1025" t="s">
        <v>14</v>
      </c>
      <c r="H1025" t="s">
        <v>14</v>
      </c>
    </row>
    <row r="1026" spans="1:8" x14ac:dyDescent="0.3">
      <c r="A1026" t="s">
        <v>1008</v>
      </c>
      <c r="B1026">
        <v>94</v>
      </c>
      <c r="C1026" t="s">
        <v>45</v>
      </c>
      <c r="D1026">
        <v>58</v>
      </c>
      <c r="E1026">
        <v>80</v>
      </c>
      <c r="F1026">
        <v>7.94</v>
      </c>
      <c r="G1026" t="s">
        <v>18</v>
      </c>
      <c r="H1026" t="s">
        <v>14</v>
      </c>
    </row>
    <row r="1027" spans="1:8" x14ac:dyDescent="0.3">
      <c r="A1027" t="s">
        <v>1009</v>
      </c>
      <c r="B1027">
        <v>94</v>
      </c>
      <c r="C1027" t="s">
        <v>45</v>
      </c>
      <c r="D1027">
        <v>57</v>
      </c>
      <c r="E1027">
        <v>77</v>
      </c>
      <c r="F1027">
        <v>7.35</v>
      </c>
      <c r="G1027" t="s">
        <v>18</v>
      </c>
      <c r="H1027" t="s">
        <v>14</v>
      </c>
    </row>
    <row r="1028" spans="1:8" x14ac:dyDescent="0.3">
      <c r="A1028" t="s">
        <v>1010</v>
      </c>
      <c r="B1028">
        <v>96</v>
      </c>
      <c r="C1028" t="s">
        <v>45</v>
      </c>
      <c r="D1028">
        <v>58</v>
      </c>
      <c r="E1028">
        <v>80</v>
      </c>
      <c r="F1028">
        <v>220.26</v>
      </c>
      <c r="G1028" t="s">
        <v>2</v>
      </c>
      <c r="H1028" t="s">
        <v>15</v>
      </c>
    </row>
    <row r="1029" spans="1:8" x14ac:dyDescent="0.3">
      <c r="A1029" t="s">
        <v>1011</v>
      </c>
      <c r="B1029">
        <v>95</v>
      </c>
      <c r="C1029" t="s">
        <v>45</v>
      </c>
      <c r="D1029">
        <v>54</v>
      </c>
      <c r="E1029">
        <v>74</v>
      </c>
      <c r="F1029">
        <v>210</v>
      </c>
      <c r="G1029" t="s">
        <v>2</v>
      </c>
      <c r="H1029" t="s">
        <v>10</v>
      </c>
    </row>
    <row r="1030" spans="1:8" x14ac:dyDescent="0.3">
      <c r="A1030" t="s">
        <v>1012</v>
      </c>
      <c r="B1030">
        <v>94</v>
      </c>
      <c r="C1030" t="s">
        <v>45</v>
      </c>
      <c r="D1030">
        <v>60</v>
      </c>
      <c r="E1030">
        <v>78</v>
      </c>
      <c r="F1030">
        <v>396.48</v>
      </c>
      <c r="G1030" t="s">
        <v>2</v>
      </c>
      <c r="H1030" t="s">
        <v>9</v>
      </c>
    </row>
    <row r="1031" spans="1:8" x14ac:dyDescent="0.3">
      <c r="A1031" t="s">
        <v>1013</v>
      </c>
      <c r="B1031">
        <v>95</v>
      </c>
      <c r="C1031" t="s">
        <v>45</v>
      </c>
      <c r="D1031">
        <v>59</v>
      </c>
      <c r="E1031">
        <v>77</v>
      </c>
      <c r="F1031">
        <v>20</v>
      </c>
      <c r="G1031" t="s">
        <v>18</v>
      </c>
      <c r="H1031" t="s">
        <v>14</v>
      </c>
    </row>
    <row r="1032" spans="1:8" x14ac:dyDescent="0.3">
      <c r="A1032" t="s">
        <v>1014</v>
      </c>
      <c r="B1032">
        <v>95</v>
      </c>
      <c r="C1032" t="s">
        <v>45</v>
      </c>
      <c r="D1032">
        <v>57</v>
      </c>
      <c r="E1032">
        <v>77</v>
      </c>
      <c r="F1032">
        <v>246.7</v>
      </c>
      <c r="G1032" t="s">
        <v>2</v>
      </c>
      <c r="H1032" t="s">
        <v>9</v>
      </c>
    </row>
    <row r="1033" spans="1:8" x14ac:dyDescent="0.3">
      <c r="A1033" t="s">
        <v>1015</v>
      </c>
      <c r="B1033">
        <v>95</v>
      </c>
      <c r="C1033" t="s">
        <v>45</v>
      </c>
      <c r="D1033">
        <v>58</v>
      </c>
      <c r="E1033">
        <v>77</v>
      </c>
      <c r="F1033">
        <v>7.33</v>
      </c>
      <c r="G1033" t="s">
        <v>18</v>
      </c>
      <c r="H1033" t="s">
        <v>9</v>
      </c>
    </row>
    <row r="1034" spans="1:8" x14ac:dyDescent="0.3">
      <c r="A1034" t="s">
        <v>1016</v>
      </c>
      <c r="B1034">
        <v>94</v>
      </c>
      <c r="C1034" t="s">
        <v>45</v>
      </c>
      <c r="D1034">
        <v>60</v>
      </c>
      <c r="E1034">
        <v>78</v>
      </c>
      <c r="F1034">
        <v>7.35</v>
      </c>
      <c r="G1034" t="s">
        <v>18</v>
      </c>
      <c r="H1034" t="s">
        <v>14</v>
      </c>
    </row>
    <row r="1035" spans="1:8" x14ac:dyDescent="0.3">
      <c r="A1035" t="s">
        <v>1017</v>
      </c>
      <c r="B1035">
        <v>94</v>
      </c>
      <c r="C1035" t="s">
        <v>45</v>
      </c>
      <c r="D1035">
        <v>58</v>
      </c>
      <c r="E1035">
        <v>76</v>
      </c>
      <c r="F1035">
        <v>7.27</v>
      </c>
      <c r="G1035" t="s">
        <v>18</v>
      </c>
      <c r="H1035" t="s">
        <v>5</v>
      </c>
    </row>
    <row r="1036" spans="1:8" x14ac:dyDescent="0.3">
      <c r="A1036" t="s">
        <v>1018</v>
      </c>
      <c r="B1036">
        <v>94</v>
      </c>
      <c r="C1036" t="s">
        <v>45</v>
      </c>
      <c r="D1036">
        <v>56</v>
      </c>
      <c r="E1036">
        <v>76</v>
      </c>
      <c r="F1036">
        <v>198.24</v>
      </c>
      <c r="G1036" t="s">
        <v>2</v>
      </c>
      <c r="H1036" t="s">
        <v>9</v>
      </c>
    </row>
    <row r="1037" spans="1:8" x14ac:dyDescent="0.3">
      <c r="A1037" t="s">
        <v>1019</v>
      </c>
      <c r="B1037">
        <v>96</v>
      </c>
      <c r="C1037" t="s">
        <v>45</v>
      </c>
      <c r="D1037">
        <v>59</v>
      </c>
      <c r="E1037">
        <v>77</v>
      </c>
      <c r="F1037">
        <v>40</v>
      </c>
      <c r="G1037" t="s">
        <v>18</v>
      </c>
      <c r="H1037" t="s">
        <v>5</v>
      </c>
    </row>
    <row r="1038" spans="1:8" x14ac:dyDescent="0.3">
      <c r="A1038" t="s">
        <v>1020</v>
      </c>
      <c r="B1038">
        <v>94</v>
      </c>
      <c r="C1038" t="s">
        <v>45</v>
      </c>
      <c r="D1038">
        <v>58</v>
      </c>
      <c r="E1038">
        <v>82</v>
      </c>
      <c r="F1038">
        <v>26.41</v>
      </c>
      <c r="G1038" t="s">
        <v>18</v>
      </c>
      <c r="H1038" t="s">
        <v>18</v>
      </c>
    </row>
    <row r="1039" spans="1:8" x14ac:dyDescent="0.3">
      <c r="A1039" t="s">
        <v>1021</v>
      </c>
      <c r="B1039">
        <v>95</v>
      </c>
      <c r="C1039" t="s">
        <v>45</v>
      </c>
      <c r="D1039">
        <v>56</v>
      </c>
      <c r="E1039">
        <v>78</v>
      </c>
      <c r="F1039">
        <v>92.59</v>
      </c>
      <c r="G1039" t="s">
        <v>2</v>
      </c>
      <c r="H1039" t="s">
        <v>12</v>
      </c>
    </row>
    <row r="1040" spans="1:8" x14ac:dyDescent="0.3">
      <c r="A1040" t="s">
        <v>1022</v>
      </c>
      <c r="B1040">
        <v>95</v>
      </c>
      <c r="C1040" t="s">
        <v>41</v>
      </c>
      <c r="D1040">
        <v>62</v>
      </c>
      <c r="E1040">
        <v>84</v>
      </c>
      <c r="F1040">
        <v>165.34</v>
      </c>
      <c r="G1040" t="s">
        <v>2</v>
      </c>
      <c r="H1040" t="s">
        <v>9</v>
      </c>
    </row>
    <row r="1041" spans="1:8" x14ac:dyDescent="0.3">
      <c r="A1041" t="s">
        <v>1023</v>
      </c>
      <c r="B1041">
        <v>94</v>
      </c>
      <c r="C1041" t="s">
        <v>45</v>
      </c>
      <c r="D1041">
        <v>59</v>
      </c>
      <c r="E1041">
        <v>77</v>
      </c>
      <c r="F1041">
        <v>160</v>
      </c>
      <c r="G1041" t="s">
        <v>2</v>
      </c>
      <c r="H1041" t="s">
        <v>9</v>
      </c>
    </row>
    <row r="1042" spans="1:8" x14ac:dyDescent="0.3">
      <c r="A1042" t="s">
        <v>1024</v>
      </c>
      <c r="B1042">
        <v>94</v>
      </c>
      <c r="C1042" t="s">
        <v>45</v>
      </c>
      <c r="D1042">
        <v>56</v>
      </c>
      <c r="E1042">
        <v>76</v>
      </c>
      <c r="F1042">
        <v>92.59</v>
      </c>
      <c r="G1042" t="s">
        <v>2</v>
      </c>
      <c r="H1042" t="s">
        <v>9</v>
      </c>
    </row>
    <row r="1043" spans="1:8" x14ac:dyDescent="0.3">
      <c r="A1043" t="s">
        <v>1025</v>
      </c>
      <c r="B1043">
        <v>94</v>
      </c>
      <c r="C1043" t="s">
        <v>45</v>
      </c>
      <c r="D1043">
        <v>52</v>
      </c>
      <c r="E1043">
        <v>70</v>
      </c>
      <c r="F1043">
        <v>110.23</v>
      </c>
      <c r="G1043" t="s">
        <v>2</v>
      </c>
      <c r="H1043" t="s">
        <v>15</v>
      </c>
    </row>
    <row r="1044" spans="1:8" x14ac:dyDescent="0.3">
      <c r="A1044" t="s">
        <v>1026</v>
      </c>
      <c r="B1044">
        <v>94</v>
      </c>
      <c r="C1044" t="s">
        <v>41</v>
      </c>
      <c r="D1044">
        <v>62</v>
      </c>
      <c r="E1044">
        <v>80</v>
      </c>
      <c r="F1044">
        <v>155.56</v>
      </c>
      <c r="G1044" t="s">
        <v>2</v>
      </c>
      <c r="H1044" t="s">
        <v>9</v>
      </c>
    </row>
    <row r="1045" spans="1:8" x14ac:dyDescent="0.3">
      <c r="A1045" t="s">
        <v>1027</v>
      </c>
      <c r="B1045">
        <v>94</v>
      </c>
      <c r="C1045" t="s">
        <v>45</v>
      </c>
      <c r="D1045">
        <v>60</v>
      </c>
      <c r="E1045">
        <v>78</v>
      </c>
      <c r="F1045">
        <v>171.96</v>
      </c>
      <c r="G1045" t="s">
        <v>2</v>
      </c>
      <c r="H1045" t="s">
        <v>12</v>
      </c>
    </row>
    <row r="1046" spans="1:8" x14ac:dyDescent="0.3">
      <c r="A1046" t="s">
        <v>1028</v>
      </c>
      <c r="B1046">
        <v>95</v>
      </c>
      <c r="C1046" t="s">
        <v>45</v>
      </c>
      <c r="D1046">
        <v>60</v>
      </c>
      <c r="E1046">
        <v>80</v>
      </c>
      <c r="F1046">
        <v>8.52</v>
      </c>
      <c r="G1046" t="s">
        <v>18</v>
      </c>
      <c r="H1046" t="s">
        <v>14</v>
      </c>
    </row>
    <row r="1047" spans="1:8" x14ac:dyDescent="0.3">
      <c r="A1047" t="s">
        <v>755</v>
      </c>
      <c r="B1047">
        <v>95</v>
      </c>
      <c r="C1047" t="s">
        <v>45</v>
      </c>
      <c r="D1047">
        <v>60</v>
      </c>
      <c r="E1047">
        <v>78</v>
      </c>
      <c r="F1047">
        <v>6.47</v>
      </c>
      <c r="G1047" t="s">
        <v>18</v>
      </c>
      <c r="H1047" t="s">
        <v>12</v>
      </c>
    </row>
    <row r="1048" spans="1:8" x14ac:dyDescent="0.3">
      <c r="A1048" t="s">
        <v>861</v>
      </c>
      <c r="B1048">
        <v>95</v>
      </c>
      <c r="C1048" t="s">
        <v>41</v>
      </c>
      <c r="D1048">
        <v>62</v>
      </c>
      <c r="E1048">
        <v>80</v>
      </c>
      <c r="F1048">
        <v>12.35</v>
      </c>
      <c r="G1048" t="s">
        <v>18</v>
      </c>
      <c r="H1048" t="s">
        <v>14</v>
      </c>
    </row>
    <row r="1049" spans="1:8" x14ac:dyDescent="0.3">
      <c r="A1049" t="s">
        <v>1029</v>
      </c>
      <c r="B1049">
        <v>94</v>
      </c>
      <c r="C1049" t="s">
        <v>45</v>
      </c>
      <c r="D1049">
        <v>58</v>
      </c>
      <c r="E1049">
        <v>80</v>
      </c>
      <c r="F1049">
        <v>25.17</v>
      </c>
      <c r="G1049" t="s">
        <v>18</v>
      </c>
      <c r="H1049" t="s">
        <v>18</v>
      </c>
    </row>
    <row r="1050" spans="1:8" x14ac:dyDescent="0.3">
      <c r="A1050" t="s">
        <v>1030</v>
      </c>
      <c r="B1050">
        <v>95</v>
      </c>
      <c r="C1050" t="s">
        <v>45</v>
      </c>
      <c r="D1050">
        <v>58</v>
      </c>
      <c r="E1050">
        <v>82</v>
      </c>
      <c r="F1050">
        <v>7.72</v>
      </c>
      <c r="G1050" t="s">
        <v>18</v>
      </c>
      <c r="H1050" t="s">
        <v>8</v>
      </c>
    </row>
    <row r="1051" spans="1:8" x14ac:dyDescent="0.3">
      <c r="A1051" t="s">
        <v>467</v>
      </c>
      <c r="B1051">
        <v>96</v>
      </c>
      <c r="C1051" t="s">
        <v>45</v>
      </c>
      <c r="D1051">
        <v>56</v>
      </c>
      <c r="E1051">
        <v>74</v>
      </c>
      <c r="F1051">
        <v>38.58</v>
      </c>
      <c r="G1051" t="s">
        <v>18</v>
      </c>
      <c r="H1051" t="s">
        <v>18</v>
      </c>
    </row>
    <row r="1052" spans="1:8" x14ac:dyDescent="0.3">
      <c r="A1052" t="s">
        <v>1031</v>
      </c>
      <c r="B1052">
        <v>95</v>
      </c>
      <c r="C1052" t="s">
        <v>41</v>
      </c>
      <c r="D1052">
        <v>62</v>
      </c>
      <c r="E1052">
        <v>84</v>
      </c>
      <c r="F1052">
        <v>26.46</v>
      </c>
      <c r="G1052" t="s">
        <v>18</v>
      </c>
      <c r="H1052" t="s">
        <v>5</v>
      </c>
    </row>
    <row r="1053" spans="1:8" x14ac:dyDescent="0.3">
      <c r="A1053" t="s">
        <v>1032</v>
      </c>
      <c r="B1053">
        <v>94</v>
      </c>
      <c r="C1053" t="s">
        <v>45</v>
      </c>
      <c r="D1053">
        <v>56</v>
      </c>
      <c r="E1053">
        <v>76</v>
      </c>
      <c r="F1053">
        <v>12.35</v>
      </c>
      <c r="G1053" t="s">
        <v>18</v>
      </c>
      <c r="H1053" t="s">
        <v>18</v>
      </c>
    </row>
    <row r="1054" spans="1:8" x14ac:dyDescent="0.3">
      <c r="A1054" t="s">
        <v>1033</v>
      </c>
      <c r="B1054">
        <v>94</v>
      </c>
      <c r="C1054" t="s">
        <v>41</v>
      </c>
      <c r="D1054">
        <v>60</v>
      </c>
      <c r="E1054">
        <v>82</v>
      </c>
      <c r="F1054">
        <v>8.52</v>
      </c>
      <c r="G1054" t="s">
        <v>18</v>
      </c>
      <c r="H1054" t="s">
        <v>5</v>
      </c>
    </row>
    <row r="1055" spans="1:8" x14ac:dyDescent="0.3">
      <c r="A1055" t="s">
        <v>1034</v>
      </c>
      <c r="B1055">
        <v>94</v>
      </c>
      <c r="C1055" t="s">
        <v>45</v>
      </c>
      <c r="D1055">
        <v>56</v>
      </c>
      <c r="E1055">
        <v>76</v>
      </c>
      <c r="F1055">
        <v>14.55</v>
      </c>
      <c r="G1055" t="s">
        <v>18</v>
      </c>
      <c r="H1055" t="s">
        <v>150</v>
      </c>
    </row>
    <row r="1056" spans="1:8" x14ac:dyDescent="0.3">
      <c r="A1056" t="s">
        <v>1035</v>
      </c>
      <c r="B1056">
        <v>94</v>
      </c>
      <c r="C1056" t="s">
        <v>45</v>
      </c>
      <c r="D1056">
        <v>58</v>
      </c>
      <c r="E1056">
        <v>76</v>
      </c>
      <c r="F1056">
        <v>25.2</v>
      </c>
      <c r="G1056" t="s">
        <v>18</v>
      </c>
      <c r="H1056" t="s">
        <v>150</v>
      </c>
    </row>
    <row r="1057" spans="1:8" x14ac:dyDescent="0.3">
      <c r="A1057" t="s">
        <v>1036</v>
      </c>
      <c r="B1057">
        <v>94</v>
      </c>
      <c r="C1057" t="s">
        <v>41</v>
      </c>
      <c r="D1057">
        <v>64</v>
      </c>
      <c r="E1057">
        <v>82</v>
      </c>
      <c r="F1057">
        <v>181.82</v>
      </c>
      <c r="G1057" t="s">
        <v>2</v>
      </c>
      <c r="H1057" t="s">
        <v>9</v>
      </c>
    </row>
    <row r="1058" spans="1:8" x14ac:dyDescent="0.3">
      <c r="A1058" t="s">
        <v>787</v>
      </c>
      <c r="B1058">
        <v>94</v>
      </c>
      <c r="C1058" t="s">
        <v>45</v>
      </c>
      <c r="D1058">
        <v>58</v>
      </c>
      <c r="E1058">
        <v>78</v>
      </c>
      <c r="F1058">
        <v>22</v>
      </c>
      <c r="G1058" t="s">
        <v>18</v>
      </c>
      <c r="H1058" t="s">
        <v>8</v>
      </c>
    </row>
    <row r="1059" spans="1:8" x14ac:dyDescent="0.3">
      <c r="A1059" t="s">
        <v>1037</v>
      </c>
      <c r="B1059">
        <v>95</v>
      </c>
      <c r="C1059" t="s">
        <v>45</v>
      </c>
      <c r="D1059">
        <v>58</v>
      </c>
      <c r="E1059">
        <v>74</v>
      </c>
      <c r="F1059">
        <v>5.58</v>
      </c>
      <c r="G1059" t="s">
        <v>18</v>
      </c>
      <c r="H1059" t="s">
        <v>150</v>
      </c>
    </row>
    <row r="1060" spans="1:8" x14ac:dyDescent="0.3">
      <c r="A1060" t="s">
        <v>1038</v>
      </c>
      <c r="B1060">
        <v>96</v>
      </c>
      <c r="C1060" t="s">
        <v>45</v>
      </c>
      <c r="D1060">
        <v>54</v>
      </c>
      <c r="E1060">
        <v>76</v>
      </c>
      <c r="F1060">
        <v>220.46</v>
      </c>
      <c r="G1060" t="s">
        <v>2</v>
      </c>
      <c r="H1060" t="s">
        <v>5</v>
      </c>
    </row>
    <row r="1061" spans="1:8" x14ac:dyDescent="0.3">
      <c r="A1061" t="s">
        <v>1039</v>
      </c>
      <c r="B1061">
        <v>94</v>
      </c>
      <c r="C1061" t="s">
        <v>41</v>
      </c>
      <c r="D1061">
        <v>62</v>
      </c>
      <c r="E1061">
        <v>84</v>
      </c>
      <c r="F1061">
        <v>5.29</v>
      </c>
      <c r="G1061" t="s">
        <v>18</v>
      </c>
      <c r="H1061" t="s">
        <v>9</v>
      </c>
    </row>
    <row r="1062" spans="1:8" x14ac:dyDescent="0.3">
      <c r="A1062" t="s">
        <v>1040</v>
      </c>
      <c r="B1062">
        <v>94</v>
      </c>
      <c r="C1062" t="s">
        <v>41</v>
      </c>
      <c r="D1062">
        <v>64</v>
      </c>
      <c r="E1062">
        <v>82</v>
      </c>
      <c r="F1062">
        <v>8.81</v>
      </c>
      <c r="G1062" t="s">
        <v>18</v>
      </c>
      <c r="H1062" t="s">
        <v>14</v>
      </c>
    </row>
    <row r="1063" spans="1:8" x14ac:dyDescent="0.3">
      <c r="A1063" t="s">
        <v>1041</v>
      </c>
      <c r="B1063">
        <v>94</v>
      </c>
      <c r="C1063" t="s">
        <v>41</v>
      </c>
      <c r="D1063">
        <v>64</v>
      </c>
      <c r="E1063">
        <v>84</v>
      </c>
      <c r="F1063">
        <v>6.96</v>
      </c>
      <c r="G1063" t="s">
        <v>2</v>
      </c>
      <c r="H1063" t="s">
        <v>9</v>
      </c>
    </row>
    <row r="1064" spans="1:8" x14ac:dyDescent="0.3">
      <c r="A1064" t="s">
        <v>1042</v>
      </c>
      <c r="B1064">
        <v>94</v>
      </c>
      <c r="C1064" t="s">
        <v>45</v>
      </c>
      <c r="D1064">
        <v>52</v>
      </c>
      <c r="E1064">
        <v>70</v>
      </c>
      <c r="F1064">
        <v>119.05</v>
      </c>
      <c r="G1064" t="s">
        <v>2</v>
      </c>
      <c r="H1064" t="s">
        <v>15</v>
      </c>
    </row>
    <row r="1065" spans="1:8" x14ac:dyDescent="0.3">
      <c r="A1065" t="s">
        <v>1043</v>
      </c>
      <c r="B1065">
        <v>94</v>
      </c>
      <c r="C1065" t="s">
        <v>45</v>
      </c>
      <c r="D1065">
        <v>54</v>
      </c>
      <c r="E1065">
        <v>74</v>
      </c>
      <c r="F1065">
        <v>4.63</v>
      </c>
      <c r="G1065" t="s">
        <v>18</v>
      </c>
      <c r="H1065" t="s">
        <v>150</v>
      </c>
    </row>
    <row r="1066" spans="1:8" x14ac:dyDescent="0.3">
      <c r="A1066" t="s">
        <v>1044</v>
      </c>
      <c r="B1066">
        <v>94</v>
      </c>
      <c r="C1066" t="s">
        <v>82</v>
      </c>
      <c r="D1066">
        <v>45</v>
      </c>
      <c r="E1066">
        <v>63</v>
      </c>
      <c r="F1066">
        <v>5.57</v>
      </c>
      <c r="G1066" t="s">
        <v>18</v>
      </c>
      <c r="H1066" t="s">
        <v>16</v>
      </c>
    </row>
    <row r="1067" spans="1:8" x14ac:dyDescent="0.3">
      <c r="A1067" t="s">
        <v>1045</v>
      </c>
      <c r="B1067">
        <v>94</v>
      </c>
      <c r="C1067" t="s">
        <v>45</v>
      </c>
      <c r="D1067">
        <v>60</v>
      </c>
      <c r="E1067">
        <v>80</v>
      </c>
      <c r="F1067">
        <v>26.41</v>
      </c>
      <c r="G1067" t="s">
        <v>18</v>
      </c>
      <c r="H1067" t="s">
        <v>18</v>
      </c>
    </row>
    <row r="1068" spans="1:8" x14ac:dyDescent="0.3">
      <c r="A1068" t="s">
        <v>1046</v>
      </c>
      <c r="B1068">
        <v>94</v>
      </c>
      <c r="C1068" t="s">
        <v>41</v>
      </c>
      <c r="D1068">
        <v>64</v>
      </c>
      <c r="E1068">
        <v>82</v>
      </c>
      <c r="F1068">
        <v>8.7899999999999991</v>
      </c>
      <c r="G1068" t="s">
        <v>18</v>
      </c>
      <c r="H1068" t="s">
        <v>14</v>
      </c>
    </row>
    <row r="1069" spans="1:8" x14ac:dyDescent="0.3">
      <c r="A1069" t="s">
        <v>1047</v>
      </c>
      <c r="B1069">
        <v>94</v>
      </c>
      <c r="C1069" t="s">
        <v>45</v>
      </c>
      <c r="D1069">
        <v>58</v>
      </c>
      <c r="E1069">
        <v>78</v>
      </c>
      <c r="F1069">
        <v>5.88</v>
      </c>
      <c r="G1069" t="s">
        <v>18</v>
      </c>
      <c r="H1069" t="s">
        <v>9</v>
      </c>
    </row>
    <row r="1070" spans="1:8" x14ac:dyDescent="0.3">
      <c r="A1070" t="s">
        <v>1048</v>
      </c>
      <c r="B1070">
        <v>94</v>
      </c>
      <c r="C1070" t="s">
        <v>45</v>
      </c>
      <c r="D1070">
        <v>60</v>
      </c>
      <c r="E1070">
        <v>78</v>
      </c>
      <c r="F1070">
        <v>11.9</v>
      </c>
      <c r="G1070" t="s">
        <v>18</v>
      </c>
      <c r="H1070" t="s">
        <v>6</v>
      </c>
    </row>
    <row r="1071" spans="1:8" x14ac:dyDescent="0.3">
      <c r="A1071" t="s">
        <v>1049</v>
      </c>
      <c r="B1071">
        <v>94</v>
      </c>
      <c r="C1071" t="s">
        <v>45</v>
      </c>
      <c r="D1071">
        <v>60</v>
      </c>
      <c r="E1071">
        <v>78</v>
      </c>
      <c r="F1071">
        <v>5.88</v>
      </c>
      <c r="G1071" t="s">
        <v>18</v>
      </c>
      <c r="H1071" t="s">
        <v>5</v>
      </c>
    </row>
    <row r="1072" spans="1:8" x14ac:dyDescent="0.3">
      <c r="A1072" t="s">
        <v>1050</v>
      </c>
      <c r="B1072">
        <v>94</v>
      </c>
      <c r="C1072" t="s">
        <v>45</v>
      </c>
      <c r="D1072">
        <v>58</v>
      </c>
      <c r="E1072">
        <v>78</v>
      </c>
      <c r="F1072">
        <v>160</v>
      </c>
      <c r="G1072" t="s">
        <v>2</v>
      </c>
      <c r="H1072" t="s">
        <v>7</v>
      </c>
    </row>
    <row r="1073" spans="1:8" x14ac:dyDescent="0.3">
      <c r="A1073" t="s">
        <v>1051</v>
      </c>
      <c r="B1073">
        <v>94</v>
      </c>
      <c r="C1073" t="s">
        <v>45</v>
      </c>
      <c r="D1073">
        <v>58</v>
      </c>
      <c r="E1073">
        <v>78</v>
      </c>
      <c r="F1073">
        <v>5.59</v>
      </c>
      <c r="G1073" t="s">
        <v>18</v>
      </c>
      <c r="H1073" t="s">
        <v>9</v>
      </c>
    </row>
    <row r="1074" spans="1:8" x14ac:dyDescent="0.3">
      <c r="A1074" t="s">
        <v>1052</v>
      </c>
      <c r="B1074">
        <v>96</v>
      </c>
      <c r="C1074" t="s">
        <v>41</v>
      </c>
      <c r="D1074">
        <v>85</v>
      </c>
      <c r="E1074">
        <v>105</v>
      </c>
      <c r="F1074">
        <v>1</v>
      </c>
      <c r="G1074" t="s">
        <v>27</v>
      </c>
      <c r="H1074" t="s">
        <v>14</v>
      </c>
    </row>
    <row r="1075" spans="1:8" x14ac:dyDescent="0.3">
      <c r="A1075" t="s">
        <v>1053</v>
      </c>
      <c r="B1075">
        <v>94</v>
      </c>
      <c r="C1075" t="s">
        <v>41</v>
      </c>
      <c r="D1075">
        <v>79</v>
      </c>
      <c r="E1075">
        <v>92</v>
      </c>
      <c r="F1075">
        <v>4</v>
      </c>
      <c r="G1075" t="s">
        <v>27</v>
      </c>
      <c r="H1075" t="s">
        <v>2</v>
      </c>
    </row>
    <row r="1076" spans="1:8" x14ac:dyDescent="0.3">
      <c r="A1076" t="s">
        <v>1054</v>
      </c>
      <c r="B1076">
        <v>94</v>
      </c>
      <c r="C1076" t="s">
        <v>45</v>
      </c>
      <c r="D1076">
        <v>60</v>
      </c>
      <c r="E1076">
        <v>78</v>
      </c>
      <c r="F1076">
        <v>288.89</v>
      </c>
      <c r="G1076" t="s">
        <v>2</v>
      </c>
      <c r="H1076" t="s">
        <v>12</v>
      </c>
    </row>
    <row r="1077" spans="1:8" x14ac:dyDescent="0.3">
      <c r="A1077" t="s">
        <v>1055</v>
      </c>
      <c r="B1077">
        <v>94</v>
      </c>
      <c r="C1077" t="s">
        <v>45</v>
      </c>
      <c r="D1077">
        <v>54</v>
      </c>
      <c r="E1077">
        <v>74</v>
      </c>
      <c r="F1077">
        <v>4.9800000000000004</v>
      </c>
      <c r="G1077" t="s">
        <v>18</v>
      </c>
      <c r="H1077" t="s">
        <v>12</v>
      </c>
    </row>
    <row r="1078" spans="1:8" x14ac:dyDescent="0.3">
      <c r="A1078" t="s">
        <v>1056</v>
      </c>
      <c r="B1078">
        <v>94</v>
      </c>
      <c r="C1078" t="s">
        <v>45</v>
      </c>
      <c r="D1078">
        <v>54</v>
      </c>
      <c r="E1078">
        <v>74</v>
      </c>
      <c r="F1078">
        <v>5</v>
      </c>
      <c r="G1078" t="s">
        <v>18</v>
      </c>
      <c r="H1078" t="s">
        <v>16</v>
      </c>
    </row>
    <row r="1079" spans="1:8" x14ac:dyDescent="0.3">
      <c r="A1079" t="s">
        <v>1057</v>
      </c>
      <c r="B1079">
        <v>95</v>
      </c>
      <c r="C1079" t="s">
        <v>45</v>
      </c>
      <c r="D1079">
        <v>58</v>
      </c>
      <c r="E1079">
        <v>78</v>
      </c>
      <c r="F1079">
        <v>163.88</v>
      </c>
      <c r="G1079" t="s">
        <v>2</v>
      </c>
      <c r="H1079" t="s">
        <v>9</v>
      </c>
    </row>
    <row r="1080" spans="1:8" x14ac:dyDescent="0.3">
      <c r="A1080" t="s">
        <v>1058</v>
      </c>
      <c r="B1080">
        <v>95</v>
      </c>
      <c r="C1080" t="s">
        <v>45</v>
      </c>
      <c r="D1080">
        <v>60</v>
      </c>
      <c r="E1080">
        <v>78</v>
      </c>
      <c r="F1080">
        <v>111.01</v>
      </c>
      <c r="G1080" t="s">
        <v>2</v>
      </c>
      <c r="H1080" t="s">
        <v>9</v>
      </c>
    </row>
    <row r="1081" spans="1:8" x14ac:dyDescent="0.3">
      <c r="A1081" t="s">
        <v>1059</v>
      </c>
      <c r="B1081">
        <v>96</v>
      </c>
      <c r="C1081" t="s">
        <v>82</v>
      </c>
      <c r="D1081">
        <v>44</v>
      </c>
      <c r="E1081">
        <v>62</v>
      </c>
      <c r="F1081">
        <v>225</v>
      </c>
      <c r="G1081" t="s">
        <v>2</v>
      </c>
      <c r="H1081" t="s">
        <v>16</v>
      </c>
    </row>
    <row r="1082" spans="1:8" x14ac:dyDescent="0.3">
      <c r="A1082" t="s">
        <v>1060</v>
      </c>
      <c r="B1082">
        <v>95</v>
      </c>
      <c r="C1082" t="s">
        <v>45</v>
      </c>
      <c r="D1082">
        <v>54</v>
      </c>
      <c r="E1082">
        <v>72</v>
      </c>
      <c r="F1082">
        <v>6.61</v>
      </c>
      <c r="G1082" t="s">
        <v>18</v>
      </c>
      <c r="H1082" t="s">
        <v>12</v>
      </c>
    </row>
    <row r="1083" spans="1:8" x14ac:dyDescent="0.3">
      <c r="A1083" t="s">
        <v>1061</v>
      </c>
      <c r="B1083">
        <v>94</v>
      </c>
      <c r="C1083" t="s">
        <v>45</v>
      </c>
      <c r="D1083">
        <v>52</v>
      </c>
      <c r="E1083">
        <v>72</v>
      </c>
      <c r="F1083">
        <v>5.59</v>
      </c>
      <c r="G1083" t="s">
        <v>18</v>
      </c>
      <c r="H1083" t="s">
        <v>9</v>
      </c>
    </row>
    <row r="1084" spans="1:8" x14ac:dyDescent="0.3">
      <c r="A1084" t="s">
        <v>1062</v>
      </c>
      <c r="B1084">
        <v>94</v>
      </c>
      <c r="C1084" t="s">
        <v>45</v>
      </c>
      <c r="D1084">
        <v>58</v>
      </c>
      <c r="E1084">
        <v>80</v>
      </c>
      <c r="F1084">
        <v>5.59</v>
      </c>
      <c r="G1084" t="s">
        <v>18</v>
      </c>
      <c r="H1084" t="s">
        <v>9</v>
      </c>
    </row>
    <row r="1085" spans="1:8" x14ac:dyDescent="0.3">
      <c r="A1085" t="s">
        <v>1063</v>
      </c>
      <c r="B1085">
        <v>94</v>
      </c>
      <c r="C1085" t="s">
        <v>45</v>
      </c>
      <c r="D1085">
        <v>52</v>
      </c>
      <c r="E1085">
        <v>70</v>
      </c>
      <c r="F1085">
        <v>25</v>
      </c>
      <c r="G1085" t="s">
        <v>31</v>
      </c>
      <c r="H1085" t="s">
        <v>5</v>
      </c>
    </row>
    <row r="1086" spans="1:8" x14ac:dyDescent="0.3">
      <c r="A1086" t="s">
        <v>1064</v>
      </c>
      <c r="B1086">
        <v>94</v>
      </c>
      <c r="C1086" t="s">
        <v>41</v>
      </c>
      <c r="D1086">
        <v>64</v>
      </c>
      <c r="E1086">
        <v>84</v>
      </c>
      <c r="F1086">
        <v>22</v>
      </c>
      <c r="G1086" t="s">
        <v>18</v>
      </c>
      <c r="H1086" t="s">
        <v>18</v>
      </c>
    </row>
    <row r="1087" spans="1:8" x14ac:dyDescent="0.3">
      <c r="A1087" t="s">
        <v>1065</v>
      </c>
      <c r="B1087">
        <v>94</v>
      </c>
      <c r="C1087" t="s">
        <v>41</v>
      </c>
      <c r="D1087">
        <v>64</v>
      </c>
      <c r="E1087">
        <v>86</v>
      </c>
      <c r="F1087">
        <v>26.41</v>
      </c>
      <c r="G1087" t="s">
        <v>18</v>
      </c>
      <c r="H1087" t="s">
        <v>18</v>
      </c>
    </row>
    <row r="1088" spans="1:8" x14ac:dyDescent="0.3">
      <c r="A1088" t="s">
        <v>1066</v>
      </c>
      <c r="B1088">
        <v>95</v>
      </c>
      <c r="C1088" t="s">
        <v>45</v>
      </c>
      <c r="D1088">
        <v>54</v>
      </c>
      <c r="E1088">
        <v>72</v>
      </c>
      <c r="F1088">
        <v>132.28</v>
      </c>
      <c r="G1088" t="s">
        <v>2</v>
      </c>
      <c r="H1088" t="s">
        <v>16</v>
      </c>
    </row>
    <row r="1089" spans="1:8" x14ac:dyDescent="0.3">
      <c r="A1089" t="s">
        <v>1067</v>
      </c>
      <c r="B1089">
        <v>95</v>
      </c>
      <c r="C1089" t="s">
        <v>45</v>
      </c>
      <c r="D1089">
        <v>56</v>
      </c>
      <c r="E1089">
        <v>76</v>
      </c>
      <c r="F1089">
        <v>99.12</v>
      </c>
      <c r="G1089" t="s">
        <v>2</v>
      </c>
      <c r="H1089" t="s">
        <v>12</v>
      </c>
    </row>
    <row r="1090" spans="1:8" x14ac:dyDescent="0.3">
      <c r="A1090" t="s">
        <v>1068</v>
      </c>
      <c r="B1090">
        <v>95</v>
      </c>
      <c r="C1090" t="s">
        <v>45</v>
      </c>
      <c r="D1090">
        <v>58</v>
      </c>
      <c r="E1090">
        <v>80</v>
      </c>
      <c r="F1090">
        <v>167.55</v>
      </c>
      <c r="G1090" t="s">
        <v>2</v>
      </c>
      <c r="H1090" t="s">
        <v>9</v>
      </c>
    </row>
    <row r="1091" spans="1:8" x14ac:dyDescent="0.3">
      <c r="A1091" t="s">
        <v>871</v>
      </c>
      <c r="B1091">
        <v>95</v>
      </c>
      <c r="C1091" t="s">
        <v>41</v>
      </c>
      <c r="D1091">
        <v>64</v>
      </c>
      <c r="E1091">
        <v>82</v>
      </c>
      <c r="F1091">
        <v>6.46</v>
      </c>
      <c r="G1091" t="s">
        <v>18</v>
      </c>
      <c r="H1091" t="s">
        <v>9</v>
      </c>
    </row>
    <row r="1092" spans="1:8" x14ac:dyDescent="0.3">
      <c r="A1092" t="s">
        <v>1069</v>
      </c>
      <c r="B1092">
        <v>96</v>
      </c>
      <c r="C1092" t="s">
        <v>41</v>
      </c>
      <c r="D1092">
        <v>64</v>
      </c>
      <c r="E1092">
        <v>84</v>
      </c>
      <c r="F1092">
        <v>8.3699999999999992</v>
      </c>
      <c r="G1092" t="s">
        <v>18</v>
      </c>
      <c r="H1092" t="s">
        <v>14</v>
      </c>
    </row>
    <row r="1093" spans="1:8" x14ac:dyDescent="0.3">
      <c r="A1093" t="s">
        <v>1070</v>
      </c>
      <c r="B1093">
        <v>95</v>
      </c>
      <c r="C1093" t="s">
        <v>41</v>
      </c>
      <c r="D1093">
        <v>62</v>
      </c>
      <c r="E1093">
        <v>80</v>
      </c>
      <c r="F1093">
        <v>9.9600000000000009</v>
      </c>
      <c r="G1093" t="s">
        <v>18</v>
      </c>
      <c r="H1093" t="s">
        <v>14</v>
      </c>
    </row>
    <row r="1094" spans="1:8" x14ac:dyDescent="0.3">
      <c r="A1094" t="s">
        <v>1071</v>
      </c>
      <c r="B1094">
        <v>95</v>
      </c>
      <c r="C1094" t="s">
        <v>45</v>
      </c>
      <c r="D1094">
        <v>60</v>
      </c>
      <c r="E1094">
        <v>80</v>
      </c>
      <c r="F1094">
        <v>136.68</v>
      </c>
      <c r="G1094" t="s">
        <v>2</v>
      </c>
      <c r="H1094" t="s">
        <v>14</v>
      </c>
    </row>
    <row r="1095" spans="1:8" x14ac:dyDescent="0.3">
      <c r="A1095" t="s">
        <v>1072</v>
      </c>
      <c r="B1095">
        <v>94</v>
      </c>
      <c r="C1095" t="s">
        <v>41</v>
      </c>
      <c r="D1095">
        <v>64</v>
      </c>
      <c r="E1095">
        <v>84</v>
      </c>
      <c r="F1095">
        <v>273.37</v>
      </c>
      <c r="G1095" t="s">
        <v>2</v>
      </c>
      <c r="H1095" t="s">
        <v>14</v>
      </c>
    </row>
    <row r="1096" spans="1:8" x14ac:dyDescent="0.3">
      <c r="A1096" t="s">
        <v>1073</v>
      </c>
      <c r="B1096">
        <v>94</v>
      </c>
      <c r="C1096" t="s">
        <v>45</v>
      </c>
      <c r="D1096">
        <v>58</v>
      </c>
      <c r="E1096">
        <v>76</v>
      </c>
      <c r="F1096">
        <v>14.7</v>
      </c>
      <c r="G1096" t="s">
        <v>11</v>
      </c>
      <c r="H1096" t="s">
        <v>14</v>
      </c>
    </row>
    <row r="1097" spans="1:8" x14ac:dyDescent="0.3">
      <c r="A1097" t="s">
        <v>1074</v>
      </c>
      <c r="B1097">
        <v>94</v>
      </c>
      <c r="C1097" t="s">
        <v>45</v>
      </c>
      <c r="D1097">
        <v>58</v>
      </c>
      <c r="E1097">
        <v>80</v>
      </c>
      <c r="F1097">
        <v>8.82</v>
      </c>
      <c r="G1097" t="s">
        <v>18</v>
      </c>
      <c r="H1097" t="s">
        <v>14</v>
      </c>
    </row>
    <row r="1098" spans="1:8" x14ac:dyDescent="0.3">
      <c r="A1098" t="s">
        <v>1075</v>
      </c>
      <c r="B1098">
        <v>94</v>
      </c>
      <c r="C1098" t="s">
        <v>41</v>
      </c>
      <c r="D1098">
        <v>62</v>
      </c>
      <c r="E1098">
        <v>80</v>
      </c>
      <c r="F1098">
        <v>1146.3800000000001</v>
      </c>
      <c r="G1098" t="s">
        <v>2</v>
      </c>
      <c r="H1098" t="s">
        <v>14</v>
      </c>
    </row>
    <row r="1099" spans="1:8" x14ac:dyDescent="0.3">
      <c r="A1099" t="s">
        <v>1076</v>
      </c>
      <c r="B1099">
        <v>94</v>
      </c>
      <c r="C1099" t="s">
        <v>45</v>
      </c>
      <c r="D1099">
        <v>60</v>
      </c>
      <c r="E1099">
        <v>78</v>
      </c>
      <c r="F1099">
        <v>5.88</v>
      </c>
      <c r="G1099" t="s">
        <v>18</v>
      </c>
      <c r="H1099" t="s">
        <v>4</v>
      </c>
    </row>
    <row r="1100" spans="1:8" x14ac:dyDescent="0.3">
      <c r="A1100" t="s">
        <v>1077</v>
      </c>
      <c r="B1100">
        <v>95</v>
      </c>
      <c r="C1100" t="s">
        <v>45</v>
      </c>
      <c r="D1100">
        <v>52</v>
      </c>
      <c r="E1100">
        <v>70</v>
      </c>
      <c r="F1100">
        <v>263.88</v>
      </c>
      <c r="G1100" t="s">
        <v>2</v>
      </c>
      <c r="H1100" t="s">
        <v>9</v>
      </c>
    </row>
    <row r="1101" spans="1:8" x14ac:dyDescent="0.3">
      <c r="A1101" t="s">
        <v>135</v>
      </c>
      <c r="B1101">
        <v>95</v>
      </c>
      <c r="C1101" t="s">
        <v>41</v>
      </c>
      <c r="D1101">
        <v>64</v>
      </c>
      <c r="E1101">
        <v>84</v>
      </c>
      <c r="F1101">
        <v>66.09</v>
      </c>
      <c r="G1101" t="s">
        <v>18</v>
      </c>
      <c r="H1101" t="s">
        <v>18</v>
      </c>
    </row>
    <row r="1102" spans="1:8" x14ac:dyDescent="0.3">
      <c r="A1102" t="s">
        <v>1078</v>
      </c>
      <c r="B1102">
        <v>95</v>
      </c>
      <c r="C1102" t="s">
        <v>41</v>
      </c>
      <c r="D1102">
        <v>64</v>
      </c>
      <c r="E1102">
        <v>84</v>
      </c>
      <c r="F1102">
        <v>6.32</v>
      </c>
      <c r="G1102" t="s">
        <v>18</v>
      </c>
      <c r="H1102" t="s">
        <v>9</v>
      </c>
    </row>
    <row r="1103" spans="1:8" x14ac:dyDescent="0.3">
      <c r="A1103" t="s">
        <v>1079</v>
      </c>
      <c r="B1103">
        <v>95</v>
      </c>
      <c r="C1103" t="s">
        <v>41</v>
      </c>
      <c r="D1103">
        <v>64</v>
      </c>
      <c r="E1103">
        <v>84</v>
      </c>
      <c r="F1103">
        <v>149.91</v>
      </c>
      <c r="G1103" t="s">
        <v>2</v>
      </c>
      <c r="H1103" t="s">
        <v>9</v>
      </c>
    </row>
    <row r="1104" spans="1:8" x14ac:dyDescent="0.3">
      <c r="A1104" t="s">
        <v>1080</v>
      </c>
      <c r="B1104">
        <v>94</v>
      </c>
      <c r="C1104" t="s">
        <v>45</v>
      </c>
      <c r="D1104">
        <v>60</v>
      </c>
      <c r="E1104">
        <v>78</v>
      </c>
      <c r="F1104">
        <v>11.64</v>
      </c>
      <c r="G1104" t="s">
        <v>18</v>
      </c>
      <c r="H1104" t="s">
        <v>18</v>
      </c>
    </row>
    <row r="1105" spans="1:8" x14ac:dyDescent="0.3">
      <c r="A1105" t="s">
        <v>1081</v>
      </c>
      <c r="B1105">
        <v>95</v>
      </c>
      <c r="C1105" t="s">
        <v>45</v>
      </c>
      <c r="D1105">
        <v>58</v>
      </c>
      <c r="E1105">
        <v>76</v>
      </c>
      <c r="F1105">
        <v>136.68</v>
      </c>
      <c r="G1105" t="s">
        <v>2</v>
      </c>
      <c r="H1105" t="s">
        <v>9</v>
      </c>
    </row>
    <row r="1106" spans="1:8" x14ac:dyDescent="0.3">
      <c r="A1106" t="s">
        <v>1082</v>
      </c>
      <c r="B1106">
        <v>94</v>
      </c>
      <c r="C1106" t="s">
        <v>45</v>
      </c>
      <c r="D1106">
        <v>58</v>
      </c>
      <c r="E1106">
        <v>76</v>
      </c>
      <c r="F1106">
        <v>5.88</v>
      </c>
      <c r="G1106" t="s">
        <v>18</v>
      </c>
      <c r="H1106" t="s">
        <v>17</v>
      </c>
    </row>
    <row r="1107" spans="1:8" x14ac:dyDescent="0.3">
      <c r="A1107" t="s">
        <v>1083</v>
      </c>
      <c r="B1107">
        <v>94</v>
      </c>
      <c r="C1107" t="s">
        <v>45</v>
      </c>
      <c r="D1107">
        <v>58</v>
      </c>
      <c r="E1107">
        <v>78</v>
      </c>
      <c r="F1107">
        <v>165.34</v>
      </c>
      <c r="G1107" t="s">
        <v>2</v>
      </c>
      <c r="H1107" t="s">
        <v>9</v>
      </c>
    </row>
    <row r="1108" spans="1:8" x14ac:dyDescent="0.3">
      <c r="A1108" t="s">
        <v>1084</v>
      </c>
      <c r="B1108">
        <v>94</v>
      </c>
      <c r="C1108" t="s">
        <v>41</v>
      </c>
      <c r="D1108">
        <v>62</v>
      </c>
      <c r="E1108">
        <v>80</v>
      </c>
      <c r="F1108">
        <v>154.32</v>
      </c>
      <c r="G1108" t="s">
        <v>2</v>
      </c>
      <c r="H1108" t="s">
        <v>12</v>
      </c>
    </row>
    <row r="1109" spans="1:8" x14ac:dyDescent="0.3">
      <c r="A1109" t="s">
        <v>1085</v>
      </c>
      <c r="B1109">
        <v>95</v>
      </c>
      <c r="C1109" t="s">
        <v>45</v>
      </c>
      <c r="D1109">
        <v>56</v>
      </c>
      <c r="E1109">
        <v>74</v>
      </c>
      <c r="F1109">
        <v>59</v>
      </c>
      <c r="G1109" t="s">
        <v>11</v>
      </c>
      <c r="H1109" t="s">
        <v>12</v>
      </c>
    </row>
    <row r="1110" spans="1:8" x14ac:dyDescent="0.3">
      <c r="A1110" t="s">
        <v>1086</v>
      </c>
      <c r="B1110">
        <v>94</v>
      </c>
      <c r="C1110" t="s">
        <v>45</v>
      </c>
      <c r="D1110">
        <v>56</v>
      </c>
      <c r="E1110">
        <v>76</v>
      </c>
      <c r="F1110">
        <v>300</v>
      </c>
      <c r="G1110" t="s">
        <v>2</v>
      </c>
      <c r="H1110" t="s">
        <v>9</v>
      </c>
    </row>
    <row r="1111" spans="1:8" x14ac:dyDescent="0.3">
      <c r="A1111" t="s">
        <v>1087</v>
      </c>
      <c r="B1111">
        <v>94</v>
      </c>
      <c r="C1111" t="s">
        <v>45</v>
      </c>
      <c r="D1111">
        <v>57</v>
      </c>
      <c r="E1111">
        <v>73</v>
      </c>
      <c r="F1111">
        <v>5.57</v>
      </c>
      <c r="G1111" t="s">
        <v>18</v>
      </c>
      <c r="H1111" t="s">
        <v>9</v>
      </c>
    </row>
    <row r="1112" spans="1:8" x14ac:dyDescent="0.3">
      <c r="A1112" t="s">
        <v>1088</v>
      </c>
      <c r="B1112">
        <v>94</v>
      </c>
      <c r="C1112" t="s">
        <v>41</v>
      </c>
      <c r="D1112">
        <v>64</v>
      </c>
      <c r="E1112">
        <v>80</v>
      </c>
      <c r="F1112">
        <v>546.74</v>
      </c>
      <c r="G1112" t="s">
        <v>2</v>
      </c>
      <c r="H1112" t="s">
        <v>7</v>
      </c>
    </row>
    <row r="1113" spans="1:8" x14ac:dyDescent="0.3">
      <c r="A1113" t="s">
        <v>1089</v>
      </c>
      <c r="B1113">
        <v>94</v>
      </c>
      <c r="C1113" t="s">
        <v>45</v>
      </c>
      <c r="D1113">
        <v>58</v>
      </c>
      <c r="E1113">
        <v>78</v>
      </c>
      <c r="F1113">
        <v>4</v>
      </c>
      <c r="G1113" t="s">
        <v>6</v>
      </c>
      <c r="H1113" t="s">
        <v>6</v>
      </c>
    </row>
    <row r="1114" spans="1:8" x14ac:dyDescent="0.3">
      <c r="A1114" t="s">
        <v>1090</v>
      </c>
      <c r="B1114">
        <v>95</v>
      </c>
      <c r="C1114" t="s">
        <v>41</v>
      </c>
      <c r="D1114">
        <v>64</v>
      </c>
      <c r="E1114">
        <v>82</v>
      </c>
      <c r="F1114">
        <v>198.41</v>
      </c>
      <c r="G1114" t="s">
        <v>2</v>
      </c>
      <c r="H1114" t="s">
        <v>9</v>
      </c>
    </row>
    <row r="1115" spans="1:8" x14ac:dyDescent="0.3">
      <c r="A1115" t="s">
        <v>1091</v>
      </c>
      <c r="B1115">
        <v>94</v>
      </c>
      <c r="C1115" t="s">
        <v>45</v>
      </c>
      <c r="D1115">
        <v>60</v>
      </c>
      <c r="E1115">
        <v>80</v>
      </c>
      <c r="F1115">
        <v>132.28</v>
      </c>
      <c r="G1115" t="s">
        <v>2</v>
      </c>
      <c r="H1115" t="s">
        <v>9</v>
      </c>
    </row>
    <row r="1116" spans="1:8" x14ac:dyDescent="0.3">
      <c r="A1116" t="s">
        <v>868</v>
      </c>
      <c r="B1116">
        <v>96</v>
      </c>
      <c r="C1116" t="s">
        <v>45</v>
      </c>
      <c r="D1116">
        <v>58</v>
      </c>
      <c r="E1116">
        <v>78</v>
      </c>
      <c r="F1116">
        <v>24.69</v>
      </c>
      <c r="G1116" t="s">
        <v>18</v>
      </c>
      <c r="H1116" t="s">
        <v>5</v>
      </c>
    </row>
    <row r="1117" spans="1:8" x14ac:dyDescent="0.3">
      <c r="A1117" t="s">
        <v>1092</v>
      </c>
      <c r="B1117">
        <v>95</v>
      </c>
      <c r="C1117" t="s">
        <v>41</v>
      </c>
      <c r="D1117">
        <v>68</v>
      </c>
      <c r="E1117">
        <v>90</v>
      </c>
      <c r="F1117">
        <v>17.59</v>
      </c>
      <c r="G1117" t="s">
        <v>18</v>
      </c>
      <c r="H1117" t="s">
        <v>9</v>
      </c>
    </row>
    <row r="1118" spans="1:8" x14ac:dyDescent="0.3">
      <c r="A1118" t="s">
        <v>1093</v>
      </c>
      <c r="B1118">
        <v>95</v>
      </c>
      <c r="C1118" t="s">
        <v>45</v>
      </c>
      <c r="D1118">
        <v>58</v>
      </c>
      <c r="E1118">
        <v>76</v>
      </c>
      <c r="F1118">
        <v>6.76</v>
      </c>
      <c r="G1118" t="s">
        <v>18</v>
      </c>
      <c r="H1118" t="s">
        <v>9</v>
      </c>
    </row>
    <row r="1119" spans="1:8" x14ac:dyDescent="0.3">
      <c r="A1119" t="s">
        <v>1094</v>
      </c>
      <c r="B1119">
        <v>94</v>
      </c>
      <c r="C1119" t="s">
        <v>41</v>
      </c>
      <c r="D1119">
        <v>64</v>
      </c>
      <c r="E1119">
        <v>82</v>
      </c>
      <c r="F1119">
        <v>7.33</v>
      </c>
      <c r="G1119" t="s">
        <v>18</v>
      </c>
      <c r="H1119" t="s">
        <v>9</v>
      </c>
    </row>
    <row r="1120" spans="1:8" x14ac:dyDescent="0.3">
      <c r="A1120" t="s">
        <v>1095</v>
      </c>
      <c r="B1120">
        <v>94</v>
      </c>
      <c r="C1120" t="s">
        <v>45</v>
      </c>
      <c r="D1120">
        <v>56</v>
      </c>
      <c r="E1120">
        <v>78</v>
      </c>
      <c r="F1120">
        <v>90.83</v>
      </c>
      <c r="G1120" t="s">
        <v>2</v>
      </c>
      <c r="H1120" t="s">
        <v>12</v>
      </c>
    </row>
    <row r="1121" spans="1:8" x14ac:dyDescent="0.3">
      <c r="A1121" t="s">
        <v>1096</v>
      </c>
      <c r="B1121">
        <v>94</v>
      </c>
      <c r="C1121" t="s">
        <v>41</v>
      </c>
      <c r="D1121">
        <v>62</v>
      </c>
      <c r="E1121">
        <v>80</v>
      </c>
      <c r="F1121">
        <v>6.47</v>
      </c>
      <c r="G1121" t="s">
        <v>18</v>
      </c>
      <c r="H1121" t="s">
        <v>9</v>
      </c>
    </row>
    <row r="1122" spans="1:8" x14ac:dyDescent="0.3">
      <c r="A1122" t="s">
        <v>1097</v>
      </c>
      <c r="B1122">
        <v>95</v>
      </c>
      <c r="C1122" t="s">
        <v>82</v>
      </c>
      <c r="D1122">
        <v>47</v>
      </c>
      <c r="E1122">
        <v>73</v>
      </c>
      <c r="F1122">
        <v>485.01</v>
      </c>
      <c r="G1122" t="s">
        <v>2</v>
      </c>
      <c r="H1122" t="s">
        <v>9</v>
      </c>
    </row>
    <row r="1123" spans="1:8" x14ac:dyDescent="0.3">
      <c r="A1123" t="s">
        <v>1098</v>
      </c>
      <c r="B1123">
        <v>94</v>
      </c>
      <c r="C1123" t="s">
        <v>82</v>
      </c>
      <c r="D1123">
        <v>46</v>
      </c>
      <c r="E1123">
        <v>64</v>
      </c>
      <c r="F1123">
        <v>485.01</v>
      </c>
      <c r="G1123" t="s">
        <v>2</v>
      </c>
      <c r="H1123" t="s">
        <v>2</v>
      </c>
    </row>
    <row r="1124" spans="1:8" x14ac:dyDescent="0.3">
      <c r="A1124" t="s">
        <v>1099</v>
      </c>
      <c r="B1124">
        <v>94</v>
      </c>
      <c r="C1124" t="s">
        <v>45</v>
      </c>
      <c r="D1124">
        <v>60</v>
      </c>
      <c r="E1124">
        <v>78</v>
      </c>
      <c r="F1124">
        <v>24.25</v>
      </c>
      <c r="G1124" t="s">
        <v>18</v>
      </c>
      <c r="H1124" t="s">
        <v>9</v>
      </c>
    </row>
    <row r="1125" spans="1:8" x14ac:dyDescent="0.3">
      <c r="A1125" t="s">
        <v>1100</v>
      </c>
      <c r="B1125">
        <v>94</v>
      </c>
      <c r="C1125" t="s">
        <v>41</v>
      </c>
      <c r="D1125">
        <v>62</v>
      </c>
      <c r="E1125">
        <v>80</v>
      </c>
      <c r="F1125">
        <v>40</v>
      </c>
      <c r="G1125" t="s">
        <v>18</v>
      </c>
      <c r="H1125" t="s">
        <v>5</v>
      </c>
    </row>
    <row r="1126" spans="1:8" x14ac:dyDescent="0.3">
      <c r="A1126" t="s">
        <v>1101</v>
      </c>
      <c r="B1126">
        <v>94</v>
      </c>
      <c r="C1126" t="s">
        <v>45</v>
      </c>
      <c r="D1126">
        <v>61</v>
      </c>
      <c r="E1126">
        <v>79</v>
      </c>
      <c r="F1126">
        <v>0.44</v>
      </c>
      <c r="G1126" t="s">
        <v>2</v>
      </c>
      <c r="H1126" t="s">
        <v>6</v>
      </c>
    </row>
    <row r="1127" spans="1:8" x14ac:dyDescent="0.3">
      <c r="A1127" t="s">
        <v>1102</v>
      </c>
      <c r="B1127">
        <v>95</v>
      </c>
      <c r="C1127" t="s">
        <v>45</v>
      </c>
      <c r="D1127">
        <v>58</v>
      </c>
      <c r="E1127">
        <v>76</v>
      </c>
      <c r="F1127">
        <v>198.24</v>
      </c>
      <c r="G1127" t="s">
        <v>2</v>
      </c>
      <c r="H1127" t="s">
        <v>9</v>
      </c>
    </row>
    <row r="1128" spans="1:8" x14ac:dyDescent="0.3">
      <c r="A1128" t="s">
        <v>1054</v>
      </c>
      <c r="B1128">
        <v>94</v>
      </c>
      <c r="C1128" t="s">
        <v>45</v>
      </c>
      <c r="D1128">
        <v>57</v>
      </c>
      <c r="E1128">
        <v>77</v>
      </c>
      <c r="F1128">
        <v>200</v>
      </c>
      <c r="G1128" t="s">
        <v>2</v>
      </c>
      <c r="H1128" t="s">
        <v>12</v>
      </c>
    </row>
    <row r="1129" spans="1:8" x14ac:dyDescent="0.3">
      <c r="A1129" t="s">
        <v>1103</v>
      </c>
      <c r="B1129">
        <v>95</v>
      </c>
      <c r="C1129" t="s">
        <v>45</v>
      </c>
      <c r="D1129">
        <v>58</v>
      </c>
      <c r="E1129">
        <v>74</v>
      </c>
      <c r="F1129">
        <v>26.41</v>
      </c>
      <c r="G1129" t="s">
        <v>18</v>
      </c>
      <c r="H1129" t="s">
        <v>18</v>
      </c>
    </row>
    <row r="1130" spans="1:8" x14ac:dyDescent="0.3">
      <c r="A1130" t="s">
        <v>1104</v>
      </c>
      <c r="B1130">
        <v>95</v>
      </c>
      <c r="C1130" t="s">
        <v>41</v>
      </c>
      <c r="D1130">
        <v>60</v>
      </c>
      <c r="E1130">
        <v>82</v>
      </c>
      <c r="F1130">
        <v>6.17</v>
      </c>
      <c r="G1130" t="s">
        <v>18</v>
      </c>
      <c r="H1130" t="s">
        <v>9</v>
      </c>
    </row>
    <row r="1131" spans="1:8" x14ac:dyDescent="0.3">
      <c r="A1131" t="s">
        <v>1105</v>
      </c>
      <c r="B1131">
        <v>95</v>
      </c>
      <c r="C1131" t="s">
        <v>45</v>
      </c>
      <c r="D1131">
        <v>56</v>
      </c>
      <c r="E1131">
        <v>74</v>
      </c>
      <c r="F1131">
        <v>16.53</v>
      </c>
      <c r="G1131" t="s">
        <v>18</v>
      </c>
      <c r="H1131" t="s">
        <v>150</v>
      </c>
    </row>
    <row r="1132" spans="1:8" x14ac:dyDescent="0.3">
      <c r="A1132" t="s">
        <v>1106</v>
      </c>
      <c r="B1132">
        <v>94</v>
      </c>
      <c r="C1132" t="s">
        <v>45</v>
      </c>
      <c r="D1132">
        <v>55</v>
      </c>
      <c r="E1132">
        <v>71</v>
      </c>
      <c r="F1132">
        <v>14.55</v>
      </c>
      <c r="G1132" t="s">
        <v>18</v>
      </c>
      <c r="H1132" t="s">
        <v>150</v>
      </c>
    </row>
    <row r="1133" spans="1:8" x14ac:dyDescent="0.3">
      <c r="A1133" t="s">
        <v>1107</v>
      </c>
      <c r="B1133">
        <v>96</v>
      </c>
      <c r="C1133" t="s">
        <v>45</v>
      </c>
      <c r="D1133">
        <v>58</v>
      </c>
      <c r="E1133">
        <v>76</v>
      </c>
      <c r="F1133">
        <v>1058.2</v>
      </c>
      <c r="G1133" t="s">
        <v>2</v>
      </c>
      <c r="H1133" t="s">
        <v>5</v>
      </c>
    </row>
    <row r="1134" spans="1:8" x14ac:dyDescent="0.3">
      <c r="A1134" t="s">
        <v>1108</v>
      </c>
      <c r="B1134">
        <v>95</v>
      </c>
      <c r="C1134" t="s">
        <v>45</v>
      </c>
      <c r="D1134">
        <v>60</v>
      </c>
      <c r="E1134">
        <v>77</v>
      </c>
      <c r="F1134">
        <v>5.86</v>
      </c>
      <c r="G1134" t="s">
        <v>18</v>
      </c>
      <c r="H1134" t="s">
        <v>9</v>
      </c>
    </row>
    <row r="1135" spans="1:8" x14ac:dyDescent="0.3">
      <c r="A1135" t="s">
        <v>1109</v>
      </c>
      <c r="B1135">
        <v>95</v>
      </c>
      <c r="C1135" t="s">
        <v>45</v>
      </c>
      <c r="D1135">
        <v>46</v>
      </c>
      <c r="E1135">
        <v>76</v>
      </c>
      <c r="F1135">
        <v>529.1</v>
      </c>
      <c r="G1135" t="s">
        <v>2</v>
      </c>
      <c r="H1135" t="s">
        <v>5</v>
      </c>
    </row>
    <row r="1136" spans="1:8" x14ac:dyDescent="0.3">
      <c r="A1136" t="s">
        <v>1110</v>
      </c>
      <c r="B1136">
        <v>94</v>
      </c>
      <c r="C1136" t="s">
        <v>41</v>
      </c>
      <c r="D1136">
        <v>62</v>
      </c>
      <c r="E1136">
        <v>80</v>
      </c>
      <c r="F1136">
        <v>5.28</v>
      </c>
      <c r="G1136" t="s">
        <v>18</v>
      </c>
      <c r="H1136" t="s">
        <v>20</v>
      </c>
    </row>
    <row r="1137" spans="1:8" x14ac:dyDescent="0.3">
      <c r="A1137" t="s">
        <v>1111</v>
      </c>
      <c r="B1137">
        <v>95</v>
      </c>
      <c r="C1137" t="s">
        <v>45</v>
      </c>
      <c r="D1137">
        <v>59</v>
      </c>
      <c r="E1137">
        <v>77</v>
      </c>
      <c r="F1137">
        <v>143.30000000000001</v>
      </c>
      <c r="G1137" t="s">
        <v>2</v>
      </c>
      <c r="H1137" t="s">
        <v>9</v>
      </c>
    </row>
    <row r="1138" spans="1:8" x14ac:dyDescent="0.3">
      <c r="A1138" t="s">
        <v>1112</v>
      </c>
      <c r="B1138">
        <v>94</v>
      </c>
      <c r="C1138" t="s">
        <v>45</v>
      </c>
      <c r="D1138">
        <v>52</v>
      </c>
      <c r="E1138">
        <v>74</v>
      </c>
      <c r="F1138">
        <v>143.30000000000001</v>
      </c>
      <c r="G1138" t="s">
        <v>2</v>
      </c>
      <c r="H1138" t="s">
        <v>12</v>
      </c>
    </row>
    <row r="1139" spans="1:8" x14ac:dyDescent="0.3">
      <c r="A1139" t="s">
        <v>1113</v>
      </c>
      <c r="B1139">
        <v>94</v>
      </c>
      <c r="C1139" t="s">
        <v>45</v>
      </c>
      <c r="D1139">
        <v>60</v>
      </c>
      <c r="E1139">
        <v>78</v>
      </c>
      <c r="F1139">
        <v>1750</v>
      </c>
      <c r="G1139" t="s">
        <v>2</v>
      </c>
      <c r="H1139" t="s">
        <v>9</v>
      </c>
    </row>
    <row r="1140" spans="1:8" x14ac:dyDescent="0.3">
      <c r="A1140" t="s">
        <v>1114</v>
      </c>
      <c r="B1140">
        <v>94</v>
      </c>
      <c r="C1140" t="s">
        <v>45</v>
      </c>
      <c r="D1140">
        <v>60</v>
      </c>
      <c r="E1140">
        <v>80</v>
      </c>
      <c r="F1140">
        <v>136.68</v>
      </c>
      <c r="G1140" t="s">
        <v>2</v>
      </c>
      <c r="H1140" t="s">
        <v>9</v>
      </c>
    </row>
    <row r="1141" spans="1:8" x14ac:dyDescent="0.3">
      <c r="A1141" t="s">
        <v>1115</v>
      </c>
      <c r="B1141">
        <v>98</v>
      </c>
      <c r="C1141" t="s">
        <v>45</v>
      </c>
      <c r="D1141">
        <v>58</v>
      </c>
      <c r="E1141">
        <v>76</v>
      </c>
      <c r="F1141">
        <v>44.09</v>
      </c>
      <c r="G1141" t="s">
        <v>18</v>
      </c>
      <c r="H1141" t="s">
        <v>5</v>
      </c>
    </row>
    <row r="1142" spans="1:8" x14ac:dyDescent="0.3">
      <c r="A1142" t="s">
        <v>1116</v>
      </c>
      <c r="B1142">
        <v>95</v>
      </c>
      <c r="C1142" t="s">
        <v>45</v>
      </c>
      <c r="D1142">
        <v>53</v>
      </c>
      <c r="E1142">
        <v>73</v>
      </c>
      <c r="F1142">
        <v>49.97</v>
      </c>
      <c r="G1142" t="s">
        <v>18</v>
      </c>
      <c r="H1142" t="s">
        <v>14</v>
      </c>
    </row>
    <row r="1143" spans="1:8" x14ac:dyDescent="0.3">
      <c r="A1143" t="s">
        <v>1117</v>
      </c>
      <c r="B1143">
        <v>94</v>
      </c>
      <c r="C1143" t="s">
        <v>41</v>
      </c>
      <c r="D1143">
        <v>62</v>
      </c>
      <c r="E1143">
        <v>80</v>
      </c>
      <c r="F1143">
        <v>5.59</v>
      </c>
      <c r="G1143" t="s">
        <v>18</v>
      </c>
      <c r="H1143" t="s">
        <v>9</v>
      </c>
    </row>
    <row r="1144" spans="1:8" x14ac:dyDescent="0.3">
      <c r="A1144" t="s">
        <v>1118</v>
      </c>
      <c r="B1144">
        <v>94</v>
      </c>
      <c r="C1144" t="s">
        <v>45</v>
      </c>
      <c r="D1144">
        <v>60</v>
      </c>
      <c r="E1144">
        <v>77</v>
      </c>
      <c r="F1144">
        <v>165</v>
      </c>
      <c r="G1144" t="s">
        <v>2</v>
      </c>
      <c r="H1144" t="s">
        <v>12</v>
      </c>
    </row>
    <row r="1145" spans="1:8" x14ac:dyDescent="0.3">
      <c r="A1145" t="s">
        <v>1119</v>
      </c>
      <c r="B1145">
        <v>97</v>
      </c>
      <c r="C1145" t="s">
        <v>45</v>
      </c>
      <c r="D1145">
        <v>57</v>
      </c>
      <c r="E1145">
        <v>77</v>
      </c>
      <c r="F1145">
        <v>15.43</v>
      </c>
      <c r="G1145" t="s">
        <v>18</v>
      </c>
      <c r="H1145" t="s">
        <v>9</v>
      </c>
    </row>
    <row r="1146" spans="1:8" x14ac:dyDescent="0.3">
      <c r="A1146" t="s">
        <v>467</v>
      </c>
      <c r="B1146">
        <v>96</v>
      </c>
      <c r="C1146" t="s">
        <v>45</v>
      </c>
      <c r="D1146">
        <v>52</v>
      </c>
      <c r="E1146">
        <v>70</v>
      </c>
      <c r="F1146">
        <v>33.049999999999997</v>
      </c>
      <c r="G1146" t="s">
        <v>18</v>
      </c>
      <c r="H1146" t="s">
        <v>18</v>
      </c>
    </row>
    <row r="1147" spans="1:8" x14ac:dyDescent="0.3">
      <c r="A1147" t="s">
        <v>490</v>
      </c>
      <c r="B1147">
        <v>94</v>
      </c>
      <c r="C1147" t="s">
        <v>45</v>
      </c>
      <c r="D1147">
        <v>54</v>
      </c>
      <c r="E1147">
        <v>74</v>
      </c>
      <c r="F1147">
        <v>17.61</v>
      </c>
      <c r="G1147" t="s">
        <v>18</v>
      </c>
      <c r="H1147" t="s">
        <v>150</v>
      </c>
    </row>
    <row r="1148" spans="1:8" x14ac:dyDescent="0.3">
      <c r="A1148" t="s">
        <v>1120</v>
      </c>
      <c r="B1148">
        <v>94</v>
      </c>
      <c r="C1148" t="s">
        <v>45</v>
      </c>
      <c r="D1148">
        <v>60</v>
      </c>
      <c r="E1148">
        <v>78</v>
      </c>
      <c r="F1148">
        <v>5.58</v>
      </c>
      <c r="G1148" t="s">
        <v>18</v>
      </c>
      <c r="H1148" t="s">
        <v>9</v>
      </c>
    </row>
    <row r="1149" spans="1:8" x14ac:dyDescent="0.3">
      <c r="A1149" t="s">
        <v>1121</v>
      </c>
      <c r="B1149">
        <v>96</v>
      </c>
      <c r="C1149" t="s">
        <v>82</v>
      </c>
      <c r="D1149">
        <v>44</v>
      </c>
      <c r="E1149">
        <v>60</v>
      </c>
      <c r="F1149">
        <v>396.83</v>
      </c>
      <c r="G1149" t="s">
        <v>2</v>
      </c>
      <c r="H1149" t="s">
        <v>12</v>
      </c>
    </row>
    <row r="1150" spans="1:8" x14ac:dyDescent="0.3">
      <c r="A1150" t="s">
        <v>1122</v>
      </c>
      <c r="B1150">
        <v>98</v>
      </c>
      <c r="C1150" t="s">
        <v>45</v>
      </c>
      <c r="D1150">
        <v>58</v>
      </c>
      <c r="E1150">
        <v>76</v>
      </c>
      <c r="F1150">
        <v>25</v>
      </c>
      <c r="G1150" t="s">
        <v>2</v>
      </c>
      <c r="H1150" t="s">
        <v>5</v>
      </c>
    </row>
    <row r="1151" spans="1:8" x14ac:dyDescent="0.3">
      <c r="A1151" t="s">
        <v>1123</v>
      </c>
      <c r="B1151">
        <v>94</v>
      </c>
      <c r="C1151" t="s">
        <v>45</v>
      </c>
      <c r="D1151">
        <v>54</v>
      </c>
      <c r="E1151">
        <v>70</v>
      </c>
      <c r="F1151">
        <v>4.9800000000000004</v>
      </c>
      <c r="G1151" t="s">
        <v>18</v>
      </c>
      <c r="H1151" t="s">
        <v>14</v>
      </c>
    </row>
    <row r="1152" spans="1:8" x14ac:dyDescent="0.3">
      <c r="A1152" t="s">
        <v>1124</v>
      </c>
      <c r="B1152">
        <v>94</v>
      </c>
      <c r="C1152" t="s">
        <v>41</v>
      </c>
      <c r="D1152">
        <v>62</v>
      </c>
      <c r="E1152">
        <v>80</v>
      </c>
      <c r="F1152">
        <v>57.28</v>
      </c>
      <c r="G1152" t="s">
        <v>18</v>
      </c>
      <c r="H1152" t="s">
        <v>2</v>
      </c>
    </row>
    <row r="1153" spans="1:8" x14ac:dyDescent="0.3">
      <c r="A1153" t="s">
        <v>1125</v>
      </c>
      <c r="B1153">
        <v>95</v>
      </c>
      <c r="C1153" t="s">
        <v>45</v>
      </c>
      <c r="D1153">
        <v>60</v>
      </c>
      <c r="E1153">
        <v>78</v>
      </c>
      <c r="F1153">
        <v>49.97</v>
      </c>
      <c r="G1153" t="s">
        <v>18</v>
      </c>
      <c r="H1153" t="s">
        <v>5</v>
      </c>
    </row>
    <row r="1154" spans="1:8" x14ac:dyDescent="0.3">
      <c r="A1154" t="s">
        <v>1126</v>
      </c>
      <c r="B1154">
        <v>95</v>
      </c>
      <c r="C1154" t="s">
        <v>45</v>
      </c>
      <c r="D1154">
        <v>54</v>
      </c>
      <c r="E1154">
        <v>70</v>
      </c>
      <c r="F1154">
        <v>28.66</v>
      </c>
      <c r="G1154" t="s">
        <v>18</v>
      </c>
      <c r="H1154" t="s">
        <v>5</v>
      </c>
    </row>
    <row r="1155" spans="1:8" x14ac:dyDescent="0.3">
      <c r="A1155" t="s">
        <v>1127</v>
      </c>
      <c r="B1155">
        <v>94</v>
      </c>
      <c r="C1155" t="s">
        <v>45</v>
      </c>
      <c r="D1155">
        <v>58</v>
      </c>
      <c r="E1155">
        <v>78</v>
      </c>
      <c r="F1155">
        <v>12.79</v>
      </c>
      <c r="G1155" t="s">
        <v>2</v>
      </c>
      <c r="H1155" t="s">
        <v>9</v>
      </c>
    </row>
    <row r="1156" spans="1:8" x14ac:dyDescent="0.3">
      <c r="A1156" t="s">
        <v>1128</v>
      </c>
      <c r="B1156">
        <v>94</v>
      </c>
      <c r="C1156" t="s">
        <v>45</v>
      </c>
      <c r="D1156">
        <v>59</v>
      </c>
      <c r="E1156">
        <v>74</v>
      </c>
      <c r="F1156">
        <v>7.35</v>
      </c>
      <c r="G1156" t="s">
        <v>2</v>
      </c>
      <c r="H1156" t="s">
        <v>9</v>
      </c>
    </row>
    <row r="1157" spans="1:8" x14ac:dyDescent="0.3">
      <c r="A1157" t="s">
        <v>667</v>
      </c>
      <c r="B1157">
        <v>94</v>
      </c>
      <c r="C1157" t="s">
        <v>45</v>
      </c>
      <c r="D1157">
        <v>55</v>
      </c>
      <c r="E1157">
        <v>73</v>
      </c>
      <c r="F1157">
        <v>3.82</v>
      </c>
      <c r="G1157" t="s">
        <v>7</v>
      </c>
      <c r="H1157" t="s">
        <v>7</v>
      </c>
    </row>
    <row r="1158" spans="1:8" x14ac:dyDescent="0.3">
      <c r="A1158" t="s">
        <v>1129</v>
      </c>
      <c r="B1158">
        <v>94</v>
      </c>
      <c r="C1158" t="s">
        <v>45</v>
      </c>
      <c r="D1158">
        <v>56</v>
      </c>
      <c r="E1158">
        <v>72</v>
      </c>
      <c r="F1158">
        <v>3.82</v>
      </c>
      <c r="G1158" t="s">
        <v>7</v>
      </c>
      <c r="H1158" t="s">
        <v>7</v>
      </c>
    </row>
    <row r="1159" spans="1:8" x14ac:dyDescent="0.3">
      <c r="A1159" t="s">
        <v>1130</v>
      </c>
      <c r="B1159">
        <v>97</v>
      </c>
      <c r="C1159" t="s">
        <v>45</v>
      </c>
      <c r="D1159">
        <v>60</v>
      </c>
      <c r="E1159">
        <v>76</v>
      </c>
      <c r="F1159">
        <v>176.37</v>
      </c>
      <c r="G1159" t="s">
        <v>2</v>
      </c>
      <c r="H1159" t="s">
        <v>9</v>
      </c>
    </row>
    <row r="1160" spans="1:8" x14ac:dyDescent="0.3">
      <c r="A1160" t="s">
        <v>1131</v>
      </c>
      <c r="B1160">
        <v>94</v>
      </c>
      <c r="C1160" t="s">
        <v>45</v>
      </c>
      <c r="D1160">
        <v>58</v>
      </c>
      <c r="E1160">
        <v>74</v>
      </c>
      <c r="F1160">
        <v>661.38</v>
      </c>
      <c r="G1160" t="s">
        <v>2</v>
      </c>
      <c r="H1160" t="s">
        <v>5</v>
      </c>
    </row>
    <row r="1161" spans="1:8" x14ac:dyDescent="0.3">
      <c r="A1161" t="s">
        <v>1132</v>
      </c>
      <c r="B1161">
        <v>94</v>
      </c>
      <c r="C1161" t="s">
        <v>45</v>
      </c>
      <c r="D1161">
        <v>58</v>
      </c>
      <c r="E1161">
        <v>76</v>
      </c>
      <c r="F1161">
        <v>10.58</v>
      </c>
      <c r="G1161" t="s">
        <v>18</v>
      </c>
      <c r="H1161" t="s">
        <v>15</v>
      </c>
    </row>
    <row r="1162" spans="1:8" x14ac:dyDescent="0.3">
      <c r="A1162" t="s">
        <v>1133</v>
      </c>
      <c r="B1162">
        <v>94</v>
      </c>
      <c r="C1162" t="s">
        <v>45</v>
      </c>
      <c r="D1162">
        <v>58</v>
      </c>
      <c r="E1162">
        <v>76</v>
      </c>
      <c r="F1162">
        <v>7.35</v>
      </c>
      <c r="G1162" t="s">
        <v>18</v>
      </c>
      <c r="H1162" t="s">
        <v>9</v>
      </c>
    </row>
    <row r="1163" spans="1:8" x14ac:dyDescent="0.3">
      <c r="A1163" t="s">
        <v>1134</v>
      </c>
      <c r="B1163">
        <v>94</v>
      </c>
      <c r="C1163" t="s">
        <v>45</v>
      </c>
      <c r="D1163">
        <v>52</v>
      </c>
      <c r="E1163">
        <v>70</v>
      </c>
      <c r="F1163">
        <v>4.9800000000000004</v>
      </c>
      <c r="G1163" t="s">
        <v>18</v>
      </c>
      <c r="H1163" t="s">
        <v>9</v>
      </c>
    </row>
    <row r="1164" spans="1:8" x14ac:dyDescent="0.3">
      <c r="A1164" t="s">
        <v>1135</v>
      </c>
      <c r="B1164">
        <v>95</v>
      </c>
      <c r="C1164" t="s">
        <v>41</v>
      </c>
      <c r="D1164">
        <v>64</v>
      </c>
      <c r="E1164">
        <v>84</v>
      </c>
      <c r="F1164">
        <v>17.59</v>
      </c>
      <c r="G1164" t="s">
        <v>18</v>
      </c>
      <c r="H1164" t="s">
        <v>7</v>
      </c>
    </row>
    <row r="1165" spans="1:8" x14ac:dyDescent="0.3">
      <c r="A1165" t="s">
        <v>1136</v>
      </c>
      <c r="B1165">
        <v>94</v>
      </c>
      <c r="C1165" t="s">
        <v>45</v>
      </c>
      <c r="D1165">
        <v>58</v>
      </c>
      <c r="E1165">
        <v>76</v>
      </c>
      <c r="F1165">
        <v>17.59</v>
      </c>
      <c r="G1165" t="s">
        <v>18</v>
      </c>
      <c r="H1165" t="s">
        <v>18</v>
      </c>
    </row>
    <row r="1166" spans="1:8" x14ac:dyDescent="0.3">
      <c r="A1166" t="s">
        <v>1137</v>
      </c>
      <c r="B1166">
        <v>94</v>
      </c>
      <c r="C1166" t="s">
        <v>45</v>
      </c>
      <c r="D1166">
        <v>62</v>
      </c>
      <c r="E1166">
        <v>78</v>
      </c>
      <c r="F1166">
        <v>5.88</v>
      </c>
      <c r="G1166" t="s">
        <v>31</v>
      </c>
      <c r="H1166" t="s">
        <v>14</v>
      </c>
    </row>
    <row r="1167" spans="1:8" x14ac:dyDescent="0.3">
      <c r="A1167" t="s">
        <v>1138</v>
      </c>
      <c r="B1167">
        <v>94</v>
      </c>
      <c r="C1167" t="s">
        <v>45</v>
      </c>
      <c r="D1167">
        <v>58</v>
      </c>
      <c r="E1167">
        <v>78</v>
      </c>
      <c r="F1167">
        <v>121.25</v>
      </c>
      <c r="G1167" t="s">
        <v>2</v>
      </c>
      <c r="H1167" t="s">
        <v>9</v>
      </c>
    </row>
    <row r="1168" spans="1:8" x14ac:dyDescent="0.3">
      <c r="A1168" t="s">
        <v>1139</v>
      </c>
      <c r="B1168">
        <v>94</v>
      </c>
      <c r="C1168" t="s">
        <v>45</v>
      </c>
      <c r="D1168">
        <v>52</v>
      </c>
      <c r="E1168">
        <v>70</v>
      </c>
      <c r="F1168">
        <v>110.23</v>
      </c>
      <c r="G1168" t="s">
        <v>2</v>
      </c>
      <c r="H1168" t="s">
        <v>15</v>
      </c>
    </row>
    <row r="1169" spans="1:8" x14ac:dyDescent="0.3">
      <c r="A1169" t="s">
        <v>1140</v>
      </c>
      <c r="B1169">
        <v>95</v>
      </c>
      <c r="C1169" t="s">
        <v>45</v>
      </c>
      <c r="D1169">
        <v>55</v>
      </c>
      <c r="E1169">
        <v>75</v>
      </c>
      <c r="F1169">
        <v>5.26</v>
      </c>
      <c r="G1169" t="s">
        <v>18</v>
      </c>
      <c r="H1169" t="s">
        <v>15</v>
      </c>
    </row>
    <row r="1170" spans="1:8" x14ac:dyDescent="0.3">
      <c r="A1170" t="s">
        <v>1141</v>
      </c>
      <c r="B1170">
        <v>94</v>
      </c>
      <c r="C1170" t="s">
        <v>45</v>
      </c>
      <c r="D1170">
        <v>60</v>
      </c>
      <c r="E1170">
        <v>78</v>
      </c>
      <c r="F1170">
        <v>5.51</v>
      </c>
      <c r="G1170" t="s">
        <v>18</v>
      </c>
      <c r="H1170" t="s">
        <v>9</v>
      </c>
    </row>
    <row r="1171" spans="1:8" x14ac:dyDescent="0.3">
      <c r="A1171" t="s">
        <v>1142</v>
      </c>
      <c r="B1171">
        <v>94</v>
      </c>
      <c r="C1171" t="s">
        <v>45</v>
      </c>
      <c r="D1171">
        <v>58</v>
      </c>
      <c r="E1171">
        <v>74</v>
      </c>
      <c r="F1171">
        <v>12.35</v>
      </c>
      <c r="G1171" t="s">
        <v>18</v>
      </c>
      <c r="H1171" t="s">
        <v>14</v>
      </c>
    </row>
    <row r="1172" spans="1:8" x14ac:dyDescent="0.3">
      <c r="A1172" t="s">
        <v>1143</v>
      </c>
      <c r="B1172">
        <v>95</v>
      </c>
      <c r="C1172" t="s">
        <v>82</v>
      </c>
      <c r="D1172">
        <v>48</v>
      </c>
      <c r="E1172">
        <v>66</v>
      </c>
      <c r="F1172">
        <v>6.47</v>
      </c>
      <c r="G1172" t="s">
        <v>18</v>
      </c>
      <c r="H1172" t="s">
        <v>12</v>
      </c>
    </row>
    <row r="1173" spans="1:8" x14ac:dyDescent="0.3">
      <c r="A1173" t="s">
        <v>1144</v>
      </c>
      <c r="B1173">
        <v>95</v>
      </c>
      <c r="C1173" t="s">
        <v>45</v>
      </c>
      <c r="D1173">
        <v>60</v>
      </c>
      <c r="E1173">
        <v>80</v>
      </c>
      <c r="F1173">
        <v>5</v>
      </c>
      <c r="G1173" t="s">
        <v>18</v>
      </c>
      <c r="H1173" t="s">
        <v>12</v>
      </c>
    </row>
    <row r="1174" spans="1:8" x14ac:dyDescent="0.3">
      <c r="A1174" t="s">
        <v>1145</v>
      </c>
      <c r="B1174">
        <v>95</v>
      </c>
      <c r="C1174" t="s">
        <v>45</v>
      </c>
      <c r="D1174">
        <v>54</v>
      </c>
      <c r="E1174">
        <v>74</v>
      </c>
      <c r="F1174">
        <v>330.43</v>
      </c>
      <c r="G1174" t="s">
        <v>2</v>
      </c>
      <c r="H1174" t="s">
        <v>12</v>
      </c>
    </row>
    <row r="1175" spans="1:8" x14ac:dyDescent="0.3">
      <c r="A1175" t="s">
        <v>1146</v>
      </c>
      <c r="B1175">
        <v>95</v>
      </c>
      <c r="C1175" t="s">
        <v>45</v>
      </c>
      <c r="D1175">
        <v>58</v>
      </c>
      <c r="E1175">
        <v>74</v>
      </c>
      <c r="F1175">
        <v>244.44</v>
      </c>
      <c r="G1175" t="s">
        <v>2</v>
      </c>
      <c r="H1175" t="s">
        <v>12</v>
      </c>
    </row>
    <row r="1176" spans="1:8" x14ac:dyDescent="0.3">
      <c r="A1176" t="s">
        <v>1147</v>
      </c>
      <c r="B1176">
        <v>94</v>
      </c>
      <c r="C1176" t="s">
        <v>45</v>
      </c>
      <c r="D1176">
        <v>54</v>
      </c>
      <c r="E1176">
        <v>72</v>
      </c>
      <c r="F1176">
        <v>198.24</v>
      </c>
      <c r="G1176" t="s">
        <v>2</v>
      </c>
      <c r="H1176" t="s">
        <v>12</v>
      </c>
    </row>
    <row r="1177" spans="1:8" x14ac:dyDescent="0.3">
      <c r="A1177" t="s">
        <v>1148</v>
      </c>
      <c r="B1177">
        <v>94</v>
      </c>
      <c r="C1177" t="s">
        <v>45</v>
      </c>
      <c r="D1177">
        <v>60</v>
      </c>
      <c r="E1177">
        <v>78</v>
      </c>
      <c r="F1177">
        <v>143.30000000000001</v>
      </c>
      <c r="G1177" t="s">
        <v>2</v>
      </c>
      <c r="H1177" t="s">
        <v>12</v>
      </c>
    </row>
    <row r="1178" spans="1:8" x14ac:dyDescent="0.3">
      <c r="A1178" t="s">
        <v>1149</v>
      </c>
      <c r="B1178">
        <v>94</v>
      </c>
      <c r="C1178" t="s">
        <v>45</v>
      </c>
      <c r="D1178">
        <v>58</v>
      </c>
      <c r="E1178">
        <v>80</v>
      </c>
      <c r="F1178">
        <v>6.45</v>
      </c>
      <c r="G1178" t="s">
        <v>18</v>
      </c>
      <c r="H1178" t="s">
        <v>12</v>
      </c>
    </row>
    <row r="1179" spans="1:8" x14ac:dyDescent="0.3">
      <c r="A1179" t="s">
        <v>1150</v>
      </c>
      <c r="B1179">
        <v>94</v>
      </c>
      <c r="C1179" t="s">
        <v>45</v>
      </c>
      <c r="D1179">
        <v>60</v>
      </c>
      <c r="E1179">
        <v>78</v>
      </c>
      <c r="F1179">
        <v>9.7799999999999994</v>
      </c>
      <c r="G1179" t="s">
        <v>31</v>
      </c>
      <c r="H1179" t="s">
        <v>12</v>
      </c>
    </row>
    <row r="1180" spans="1:8" x14ac:dyDescent="0.3">
      <c r="A1180" t="s">
        <v>1151</v>
      </c>
      <c r="B1180">
        <v>94</v>
      </c>
      <c r="C1180" t="s">
        <v>45</v>
      </c>
      <c r="D1180">
        <v>57</v>
      </c>
      <c r="E1180">
        <v>77</v>
      </c>
      <c r="F1180">
        <v>250</v>
      </c>
      <c r="G1180" t="s">
        <v>2</v>
      </c>
      <c r="H1180" t="s">
        <v>12</v>
      </c>
    </row>
    <row r="1181" spans="1:8" x14ac:dyDescent="0.3">
      <c r="A1181" t="s">
        <v>1152</v>
      </c>
      <c r="B1181">
        <v>94</v>
      </c>
      <c r="C1181" t="s">
        <v>45</v>
      </c>
      <c r="D1181">
        <v>56</v>
      </c>
      <c r="E1181">
        <v>72</v>
      </c>
      <c r="F1181">
        <v>6.76</v>
      </c>
      <c r="G1181" t="s">
        <v>18</v>
      </c>
      <c r="H1181" t="s">
        <v>12</v>
      </c>
    </row>
    <row r="1182" spans="1:8" x14ac:dyDescent="0.3">
      <c r="A1182" t="s">
        <v>1153</v>
      </c>
      <c r="B1182">
        <v>94</v>
      </c>
      <c r="C1182" t="s">
        <v>45</v>
      </c>
      <c r="D1182">
        <v>54</v>
      </c>
      <c r="E1182">
        <v>72</v>
      </c>
      <c r="F1182">
        <v>5.29</v>
      </c>
      <c r="G1182" t="s">
        <v>18</v>
      </c>
      <c r="H1182" t="s">
        <v>12</v>
      </c>
    </row>
    <row r="1183" spans="1:8" x14ac:dyDescent="0.3">
      <c r="A1183" t="s">
        <v>1154</v>
      </c>
      <c r="B1183">
        <v>94</v>
      </c>
      <c r="C1183" t="s">
        <v>82</v>
      </c>
      <c r="D1183">
        <v>50</v>
      </c>
      <c r="E1183">
        <v>70</v>
      </c>
      <c r="F1183">
        <v>5.29</v>
      </c>
      <c r="G1183" t="s">
        <v>18</v>
      </c>
      <c r="H1183" t="s">
        <v>9</v>
      </c>
    </row>
    <row r="1184" spans="1:8" x14ac:dyDescent="0.3">
      <c r="A1184" t="s">
        <v>427</v>
      </c>
      <c r="B1184">
        <v>94</v>
      </c>
      <c r="C1184" t="s">
        <v>45</v>
      </c>
      <c r="D1184">
        <v>57</v>
      </c>
      <c r="E1184">
        <v>77</v>
      </c>
      <c r="F1184">
        <v>5.88</v>
      </c>
      <c r="G1184" t="s">
        <v>18</v>
      </c>
      <c r="H1184" t="s">
        <v>9</v>
      </c>
    </row>
    <row r="1185" spans="1:8" x14ac:dyDescent="0.3">
      <c r="A1185" t="s">
        <v>1155</v>
      </c>
      <c r="B1185">
        <v>94</v>
      </c>
      <c r="C1185" t="s">
        <v>45</v>
      </c>
      <c r="D1185">
        <v>58</v>
      </c>
      <c r="E1185">
        <v>78</v>
      </c>
      <c r="F1185">
        <v>5.88</v>
      </c>
      <c r="G1185" t="s">
        <v>18</v>
      </c>
      <c r="H1185" t="s">
        <v>9</v>
      </c>
    </row>
    <row r="1186" spans="1:8" x14ac:dyDescent="0.3">
      <c r="A1186" t="s">
        <v>427</v>
      </c>
      <c r="B1186">
        <v>94</v>
      </c>
      <c r="C1186" t="s">
        <v>45</v>
      </c>
      <c r="D1186">
        <v>60</v>
      </c>
      <c r="E1186">
        <v>78</v>
      </c>
      <c r="F1186">
        <v>5.73</v>
      </c>
      <c r="G1186" t="s">
        <v>18</v>
      </c>
      <c r="H1186" t="s">
        <v>9</v>
      </c>
    </row>
    <row r="1187" spans="1:8" x14ac:dyDescent="0.3">
      <c r="A1187" t="s">
        <v>1156</v>
      </c>
      <c r="B1187">
        <v>94</v>
      </c>
      <c r="C1187" t="s">
        <v>45</v>
      </c>
      <c r="D1187">
        <v>58</v>
      </c>
      <c r="E1187">
        <v>74</v>
      </c>
      <c r="F1187">
        <v>198.24</v>
      </c>
      <c r="G1187" t="s">
        <v>2</v>
      </c>
      <c r="H1187" t="s">
        <v>14</v>
      </c>
    </row>
    <row r="1188" spans="1:8" x14ac:dyDescent="0.3">
      <c r="A1188" t="s">
        <v>398</v>
      </c>
      <c r="B1188">
        <v>95</v>
      </c>
      <c r="C1188" t="s">
        <v>45</v>
      </c>
      <c r="D1188">
        <v>60</v>
      </c>
      <c r="E1188">
        <v>78</v>
      </c>
      <c r="F1188">
        <v>27.76</v>
      </c>
      <c r="G1188" t="s">
        <v>18</v>
      </c>
      <c r="H1188" t="s">
        <v>150</v>
      </c>
    </row>
    <row r="1189" spans="1:8" x14ac:dyDescent="0.3">
      <c r="A1189" t="s">
        <v>409</v>
      </c>
      <c r="B1189">
        <v>94</v>
      </c>
      <c r="C1189" t="s">
        <v>45</v>
      </c>
      <c r="D1189">
        <v>60</v>
      </c>
      <c r="E1189">
        <v>76</v>
      </c>
      <c r="F1189">
        <v>6.03</v>
      </c>
      <c r="G1189" t="s">
        <v>18</v>
      </c>
      <c r="H1189" t="s">
        <v>9</v>
      </c>
    </row>
    <row r="1190" spans="1:8" x14ac:dyDescent="0.3">
      <c r="A1190" t="s">
        <v>1157</v>
      </c>
      <c r="B1190">
        <v>94</v>
      </c>
      <c r="C1190" t="s">
        <v>41</v>
      </c>
      <c r="D1190">
        <v>62</v>
      </c>
      <c r="E1190">
        <v>84</v>
      </c>
      <c r="F1190">
        <v>4.7</v>
      </c>
      <c r="G1190" t="s">
        <v>18</v>
      </c>
      <c r="H1190" t="s">
        <v>14</v>
      </c>
    </row>
    <row r="1191" spans="1:8" x14ac:dyDescent="0.3">
      <c r="A1191" t="s">
        <v>1158</v>
      </c>
      <c r="B1191">
        <v>94</v>
      </c>
      <c r="C1191" t="s">
        <v>45</v>
      </c>
      <c r="D1191">
        <v>52</v>
      </c>
      <c r="E1191">
        <v>72</v>
      </c>
      <c r="F1191">
        <v>239.13</v>
      </c>
      <c r="G1191" t="s">
        <v>2</v>
      </c>
      <c r="H1191" t="s">
        <v>9</v>
      </c>
    </row>
    <row r="1192" spans="1:8" x14ac:dyDescent="0.3">
      <c r="A1192" t="s">
        <v>1159</v>
      </c>
      <c r="B1192">
        <v>94</v>
      </c>
      <c r="C1192" t="s">
        <v>41</v>
      </c>
      <c r="D1192">
        <v>62</v>
      </c>
      <c r="E1192">
        <v>80</v>
      </c>
      <c r="F1192">
        <v>2500</v>
      </c>
      <c r="G1192" t="s">
        <v>2</v>
      </c>
      <c r="H1192" t="s">
        <v>5</v>
      </c>
    </row>
    <row r="1193" spans="1:8" x14ac:dyDescent="0.3">
      <c r="A1193" t="s">
        <v>1160</v>
      </c>
      <c r="B1193">
        <v>94</v>
      </c>
      <c r="C1193" t="s">
        <v>45</v>
      </c>
      <c r="D1193">
        <v>56</v>
      </c>
      <c r="E1193">
        <v>70</v>
      </c>
      <c r="F1193">
        <v>13.23</v>
      </c>
      <c r="G1193" t="s">
        <v>18</v>
      </c>
      <c r="H1193" t="s">
        <v>150</v>
      </c>
    </row>
    <row r="1194" spans="1:8" x14ac:dyDescent="0.3">
      <c r="A1194" t="s">
        <v>1161</v>
      </c>
      <c r="B1194">
        <v>96</v>
      </c>
      <c r="C1194" t="s">
        <v>45</v>
      </c>
      <c r="D1194">
        <v>58</v>
      </c>
      <c r="E1194">
        <v>76</v>
      </c>
      <c r="F1194">
        <v>26.41</v>
      </c>
      <c r="G1194" t="s">
        <v>18</v>
      </c>
      <c r="H1194" t="s">
        <v>18</v>
      </c>
    </row>
    <row r="1195" spans="1:8" x14ac:dyDescent="0.3">
      <c r="A1195" t="s">
        <v>1162</v>
      </c>
      <c r="B1195">
        <v>94</v>
      </c>
      <c r="C1195" t="s">
        <v>45</v>
      </c>
      <c r="D1195">
        <v>58</v>
      </c>
      <c r="E1195">
        <v>78</v>
      </c>
      <c r="F1195">
        <v>22</v>
      </c>
      <c r="G1195" t="s">
        <v>18</v>
      </c>
      <c r="H1195" t="s">
        <v>18</v>
      </c>
    </row>
    <row r="1196" spans="1:8" x14ac:dyDescent="0.3">
      <c r="A1196" t="s">
        <v>130</v>
      </c>
      <c r="B1196">
        <v>94</v>
      </c>
      <c r="C1196" t="s">
        <v>45</v>
      </c>
      <c r="D1196">
        <v>60</v>
      </c>
      <c r="E1196">
        <v>78</v>
      </c>
      <c r="F1196">
        <v>5.86</v>
      </c>
      <c r="G1196" t="s">
        <v>18</v>
      </c>
      <c r="H1196" t="s">
        <v>9</v>
      </c>
    </row>
    <row r="1197" spans="1:8" x14ac:dyDescent="0.3">
      <c r="A1197" t="s">
        <v>1163</v>
      </c>
      <c r="B1197">
        <v>94</v>
      </c>
      <c r="C1197" t="s">
        <v>45</v>
      </c>
      <c r="D1197">
        <v>60</v>
      </c>
      <c r="E1197">
        <v>78</v>
      </c>
      <c r="F1197">
        <v>5.51</v>
      </c>
      <c r="G1197" t="s">
        <v>18</v>
      </c>
      <c r="H1197" t="s">
        <v>9</v>
      </c>
    </row>
    <row r="1198" spans="1:8" x14ac:dyDescent="0.3">
      <c r="A1198" t="s">
        <v>1164</v>
      </c>
      <c r="B1198">
        <v>94</v>
      </c>
      <c r="C1198" t="s">
        <v>45</v>
      </c>
      <c r="D1198">
        <v>54</v>
      </c>
      <c r="E1198">
        <v>70</v>
      </c>
      <c r="F1198">
        <v>250</v>
      </c>
      <c r="G1198" t="s">
        <v>2</v>
      </c>
      <c r="H1198" t="s">
        <v>21</v>
      </c>
    </row>
    <row r="1199" spans="1:8" x14ac:dyDescent="0.3">
      <c r="A1199" t="s">
        <v>1165</v>
      </c>
      <c r="B1199">
        <v>95</v>
      </c>
      <c r="C1199" t="s">
        <v>45</v>
      </c>
      <c r="D1199">
        <v>58</v>
      </c>
      <c r="E1199">
        <v>72</v>
      </c>
      <c r="F1199">
        <v>7.33</v>
      </c>
      <c r="G1199" t="s">
        <v>18</v>
      </c>
      <c r="H1199" t="s">
        <v>9</v>
      </c>
    </row>
    <row r="1200" spans="1:8" x14ac:dyDescent="0.3">
      <c r="A1200" t="s">
        <v>1166</v>
      </c>
      <c r="B1200">
        <v>94</v>
      </c>
      <c r="C1200" t="s">
        <v>45</v>
      </c>
      <c r="D1200">
        <v>54</v>
      </c>
      <c r="E1200">
        <v>70</v>
      </c>
      <c r="F1200">
        <v>114.64</v>
      </c>
      <c r="G1200" t="s">
        <v>2</v>
      </c>
      <c r="H1200" t="s">
        <v>9</v>
      </c>
    </row>
    <row r="1201" spans="1:8" x14ac:dyDescent="0.3">
      <c r="A1201" t="s">
        <v>1167</v>
      </c>
      <c r="B1201">
        <v>94</v>
      </c>
      <c r="C1201" t="s">
        <v>45</v>
      </c>
      <c r="D1201">
        <v>58</v>
      </c>
      <c r="E1201">
        <v>78</v>
      </c>
      <c r="F1201">
        <v>200</v>
      </c>
      <c r="G1201" t="s">
        <v>2</v>
      </c>
      <c r="H1201" t="s">
        <v>16</v>
      </c>
    </row>
    <row r="1202" spans="1:8" x14ac:dyDescent="0.3">
      <c r="A1202" t="s">
        <v>1168</v>
      </c>
      <c r="B1202">
        <v>94</v>
      </c>
      <c r="C1202" t="s">
        <v>45</v>
      </c>
      <c r="D1202">
        <v>58</v>
      </c>
      <c r="E1202">
        <v>76</v>
      </c>
      <c r="F1202">
        <v>6.47</v>
      </c>
      <c r="G1202" t="s">
        <v>18</v>
      </c>
      <c r="H1202" t="s">
        <v>9</v>
      </c>
    </row>
    <row r="1203" spans="1:8" x14ac:dyDescent="0.3">
      <c r="A1203" t="s">
        <v>1169</v>
      </c>
      <c r="B1203">
        <v>94</v>
      </c>
      <c r="C1203" t="s">
        <v>45</v>
      </c>
      <c r="D1203">
        <v>58</v>
      </c>
      <c r="E1203">
        <v>76</v>
      </c>
      <c r="F1203">
        <v>7.05</v>
      </c>
      <c r="G1203" t="s">
        <v>18</v>
      </c>
      <c r="H1203" t="s">
        <v>12</v>
      </c>
    </row>
    <row r="1204" spans="1:8" x14ac:dyDescent="0.3">
      <c r="A1204" t="s">
        <v>1170</v>
      </c>
      <c r="B1204">
        <v>94</v>
      </c>
      <c r="C1204" t="s">
        <v>45</v>
      </c>
      <c r="D1204">
        <v>60</v>
      </c>
      <c r="E1204">
        <v>76</v>
      </c>
      <c r="F1204">
        <v>8.81</v>
      </c>
      <c r="G1204" t="s">
        <v>18</v>
      </c>
      <c r="H1204" t="s">
        <v>14</v>
      </c>
    </row>
    <row r="1205" spans="1:8" x14ac:dyDescent="0.3">
      <c r="A1205" t="s">
        <v>1171</v>
      </c>
      <c r="B1205">
        <v>95</v>
      </c>
      <c r="C1205" t="s">
        <v>45</v>
      </c>
      <c r="D1205">
        <v>56</v>
      </c>
      <c r="E1205">
        <v>74</v>
      </c>
      <c r="F1205">
        <v>6.17</v>
      </c>
      <c r="G1205" t="s">
        <v>18</v>
      </c>
      <c r="H1205" t="s">
        <v>12</v>
      </c>
    </row>
    <row r="1206" spans="1:8" x14ac:dyDescent="0.3">
      <c r="A1206" t="s">
        <v>1172</v>
      </c>
      <c r="B1206">
        <v>95</v>
      </c>
      <c r="C1206" t="s">
        <v>45</v>
      </c>
      <c r="D1206">
        <v>58</v>
      </c>
      <c r="E1206">
        <v>78</v>
      </c>
      <c r="F1206">
        <v>6.47</v>
      </c>
      <c r="G1206" t="s">
        <v>18</v>
      </c>
      <c r="H1206" t="s">
        <v>14</v>
      </c>
    </row>
    <row r="1207" spans="1:8" x14ac:dyDescent="0.3">
      <c r="A1207" t="s">
        <v>1173</v>
      </c>
      <c r="B1207">
        <v>94</v>
      </c>
      <c r="C1207" t="s">
        <v>45</v>
      </c>
      <c r="D1207">
        <v>55</v>
      </c>
      <c r="E1207">
        <v>73</v>
      </c>
      <c r="F1207">
        <v>6.17</v>
      </c>
      <c r="G1207" t="s">
        <v>18</v>
      </c>
      <c r="H1207" t="s">
        <v>12</v>
      </c>
    </row>
    <row r="1208" spans="1:8" x14ac:dyDescent="0.3">
      <c r="A1208" t="s">
        <v>1037</v>
      </c>
      <c r="B1208">
        <v>94</v>
      </c>
      <c r="C1208" t="s">
        <v>45</v>
      </c>
      <c r="D1208">
        <v>58</v>
      </c>
      <c r="E1208">
        <v>80</v>
      </c>
      <c r="F1208">
        <v>5.44</v>
      </c>
      <c r="G1208" t="s">
        <v>18</v>
      </c>
      <c r="H1208" t="s">
        <v>9</v>
      </c>
    </row>
    <row r="1209" spans="1:8" x14ac:dyDescent="0.3">
      <c r="A1209" t="s">
        <v>1174</v>
      </c>
      <c r="B1209">
        <v>94</v>
      </c>
      <c r="C1209" t="s">
        <v>45</v>
      </c>
      <c r="D1209">
        <v>58</v>
      </c>
      <c r="E1209">
        <v>78</v>
      </c>
      <c r="F1209">
        <v>6.91</v>
      </c>
      <c r="G1209" t="s">
        <v>18</v>
      </c>
      <c r="H1209" t="s">
        <v>12</v>
      </c>
    </row>
    <row r="1210" spans="1:8" x14ac:dyDescent="0.3">
      <c r="A1210" t="s">
        <v>1175</v>
      </c>
      <c r="B1210">
        <v>94</v>
      </c>
      <c r="C1210" t="s">
        <v>41</v>
      </c>
      <c r="D1210">
        <v>64</v>
      </c>
      <c r="E1210">
        <v>92</v>
      </c>
      <c r="F1210">
        <v>5.58</v>
      </c>
      <c r="G1210" t="s">
        <v>18</v>
      </c>
      <c r="H1210" t="s">
        <v>9</v>
      </c>
    </row>
    <row r="1211" spans="1:8" x14ac:dyDescent="0.3">
      <c r="A1211" t="s">
        <v>1176</v>
      </c>
      <c r="B1211">
        <v>94</v>
      </c>
      <c r="C1211" t="s">
        <v>41</v>
      </c>
      <c r="D1211">
        <v>62</v>
      </c>
      <c r="E1211">
        <v>88</v>
      </c>
      <c r="F1211">
        <v>5.44</v>
      </c>
      <c r="G1211" t="s">
        <v>18</v>
      </c>
      <c r="H1211" t="s">
        <v>9</v>
      </c>
    </row>
    <row r="1212" spans="1:8" x14ac:dyDescent="0.3">
      <c r="A1212" t="s">
        <v>365</v>
      </c>
      <c r="B1212">
        <v>95</v>
      </c>
      <c r="C1212" t="s">
        <v>45</v>
      </c>
      <c r="D1212">
        <v>60</v>
      </c>
      <c r="E1212">
        <v>76</v>
      </c>
      <c r="F1212">
        <v>4.7</v>
      </c>
      <c r="G1212" t="s">
        <v>18</v>
      </c>
      <c r="H1212" t="s">
        <v>9</v>
      </c>
    </row>
    <row r="1213" spans="1:8" x14ac:dyDescent="0.3">
      <c r="A1213" t="s">
        <v>1177</v>
      </c>
      <c r="B1213">
        <v>96</v>
      </c>
      <c r="C1213" t="s">
        <v>45</v>
      </c>
      <c r="D1213">
        <v>58</v>
      </c>
      <c r="E1213">
        <v>78</v>
      </c>
      <c r="F1213">
        <v>176.37</v>
      </c>
      <c r="G1213" t="s">
        <v>2</v>
      </c>
      <c r="H1213" t="s">
        <v>12</v>
      </c>
    </row>
    <row r="1214" spans="1:8" x14ac:dyDescent="0.3">
      <c r="A1214" t="s">
        <v>1178</v>
      </c>
      <c r="B1214">
        <v>94</v>
      </c>
      <c r="C1214" t="s">
        <v>45</v>
      </c>
      <c r="D1214">
        <v>58</v>
      </c>
      <c r="E1214">
        <v>76</v>
      </c>
      <c r="F1214">
        <v>127.87</v>
      </c>
      <c r="G1214" t="s">
        <v>2</v>
      </c>
      <c r="H1214" t="s">
        <v>9</v>
      </c>
    </row>
    <row r="1215" spans="1:8" x14ac:dyDescent="0.3">
      <c r="A1215" t="s">
        <v>1179</v>
      </c>
      <c r="B1215">
        <v>94</v>
      </c>
      <c r="C1215" t="s">
        <v>41</v>
      </c>
      <c r="D1215">
        <v>62</v>
      </c>
      <c r="E1215">
        <v>80</v>
      </c>
      <c r="F1215">
        <v>5.88</v>
      </c>
      <c r="G1215" t="s">
        <v>18</v>
      </c>
      <c r="H1215" t="s">
        <v>9</v>
      </c>
    </row>
    <row r="1216" spans="1:8" x14ac:dyDescent="0.3">
      <c r="A1216" t="s">
        <v>1180</v>
      </c>
      <c r="B1216">
        <v>94</v>
      </c>
      <c r="C1216" t="s">
        <v>45</v>
      </c>
      <c r="D1216">
        <v>58</v>
      </c>
      <c r="E1216">
        <v>78</v>
      </c>
      <c r="F1216">
        <v>14.7</v>
      </c>
      <c r="G1216" t="s">
        <v>18</v>
      </c>
      <c r="H1216" t="s">
        <v>18</v>
      </c>
    </row>
    <row r="1217" spans="1:8" x14ac:dyDescent="0.3">
      <c r="A1217" t="s">
        <v>1181</v>
      </c>
      <c r="B1217">
        <v>95</v>
      </c>
      <c r="C1217" t="s">
        <v>45</v>
      </c>
      <c r="D1217">
        <v>60</v>
      </c>
      <c r="E1217">
        <v>74</v>
      </c>
      <c r="F1217">
        <v>5.29</v>
      </c>
      <c r="G1217" t="s">
        <v>18</v>
      </c>
      <c r="H1217" t="s">
        <v>9</v>
      </c>
    </row>
    <row r="1218" spans="1:8" x14ac:dyDescent="0.3">
      <c r="A1218" t="s">
        <v>1182</v>
      </c>
      <c r="B1218">
        <v>95</v>
      </c>
      <c r="C1218" t="s">
        <v>45</v>
      </c>
      <c r="D1218">
        <v>60</v>
      </c>
      <c r="E1218">
        <v>76</v>
      </c>
      <c r="F1218">
        <v>5.88</v>
      </c>
      <c r="G1218" t="s">
        <v>18</v>
      </c>
      <c r="H1218" t="s">
        <v>24</v>
      </c>
    </row>
    <row r="1219" spans="1:8" x14ac:dyDescent="0.3">
      <c r="A1219" t="s">
        <v>1183</v>
      </c>
      <c r="B1219">
        <v>94</v>
      </c>
      <c r="C1219" t="s">
        <v>41</v>
      </c>
      <c r="D1219">
        <v>64</v>
      </c>
      <c r="E1219">
        <v>83</v>
      </c>
      <c r="F1219">
        <v>5.29</v>
      </c>
      <c r="G1219" t="s">
        <v>18</v>
      </c>
      <c r="H1219" t="s">
        <v>9</v>
      </c>
    </row>
    <row r="1220" spans="1:8" x14ac:dyDescent="0.3">
      <c r="A1220" t="s">
        <v>1184</v>
      </c>
      <c r="B1220">
        <v>94</v>
      </c>
      <c r="C1220" t="s">
        <v>41</v>
      </c>
      <c r="D1220">
        <v>67</v>
      </c>
      <c r="E1220">
        <v>96</v>
      </c>
      <c r="F1220">
        <v>4.7</v>
      </c>
      <c r="G1220" t="s">
        <v>18</v>
      </c>
      <c r="H1220" t="s">
        <v>9</v>
      </c>
    </row>
    <row r="1221" spans="1:8" x14ac:dyDescent="0.3">
      <c r="A1221" t="s">
        <v>1185</v>
      </c>
      <c r="B1221">
        <v>94</v>
      </c>
      <c r="C1221" t="s">
        <v>45</v>
      </c>
      <c r="D1221">
        <v>60</v>
      </c>
      <c r="E1221">
        <v>79</v>
      </c>
      <c r="F1221">
        <v>6.61</v>
      </c>
      <c r="G1221" t="s">
        <v>18</v>
      </c>
      <c r="H1221" t="s">
        <v>22</v>
      </c>
    </row>
    <row r="1222" spans="1:8" x14ac:dyDescent="0.3">
      <c r="A1222" t="s">
        <v>1186</v>
      </c>
      <c r="B1222">
        <v>94</v>
      </c>
      <c r="C1222" t="s">
        <v>41</v>
      </c>
      <c r="D1222">
        <v>66</v>
      </c>
      <c r="E1222">
        <v>85</v>
      </c>
      <c r="F1222">
        <v>4.12</v>
      </c>
      <c r="G1222" t="s">
        <v>18</v>
      </c>
      <c r="H1222" t="s">
        <v>9</v>
      </c>
    </row>
    <row r="1223" spans="1:8" x14ac:dyDescent="0.3">
      <c r="A1223" t="s">
        <v>1187</v>
      </c>
      <c r="B1223">
        <v>94</v>
      </c>
      <c r="C1223" t="s">
        <v>45</v>
      </c>
      <c r="D1223">
        <v>60</v>
      </c>
      <c r="E1223">
        <v>76</v>
      </c>
      <c r="F1223">
        <v>4.8499999999999996</v>
      </c>
      <c r="G1223" t="s">
        <v>18</v>
      </c>
      <c r="H1223" t="s">
        <v>14</v>
      </c>
    </row>
    <row r="1224" spans="1:8" x14ac:dyDescent="0.3">
      <c r="A1224" t="s">
        <v>300</v>
      </c>
      <c r="B1224">
        <v>94</v>
      </c>
      <c r="C1224" t="s">
        <v>45</v>
      </c>
      <c r="D1224">
        <v>58</v>
      </c>
      <c r="E1224">
        <v>74</v>
      </c>
      <c r="F1224">
        <v>5.59</v>
      </c>
      <c r="G1224" t="s">
        <v>18</v>
      </c>
      <c r="H1224" t="s">
        <v>7</v>
      </c>
    </row>
    <row r="1225" spans="1:8" x14ac:dyDescent="0.3">
      <c r="A1225" t="s">
        <v>1188</v>
      </c>
      <c r="B1225">
        <v>94</v>
      </c>
      <c r="C1225" t="s">
        <v>45</v>
      </c>
      <c r="D1225">
        <v>54</v>
      </c>
      <c r="E1225">
        <v>70</v>
      </c>
      <c r="F1225">
        <v>4.12</v>
      </c>
      <c r="G1225" t="s">
        <v>18</v>
      </c>
      <c r="H1225" t="s">
        <v>9</v>
      </c>
    </row>
    <row r="1226" spans="1:8" x14ac:dyDescent="0.3">
      <c r="A1226" t="s">
        <v>1189</v>
      </c>
      <c r="B1226">
        <v>95</v>
      </c>
      <c r="C1226" t="s">
        <v>41</v>
      </c>
      <c r="D1226">
        <v>64</v>
      </c>
      <c r="E1226">
        <v>80</v>
      </c>
      <c r="F1226">
        <v>26.41</v>
      </c>
      <c r="G1226" t="s">
        <v>18</v>
      </c>
      <c r="H1226" t="s">
        <v>150</v>
      </c>
    </row>
    <row r="1227" spans="1:8" x14ac:dyDescent="0.3">
      <c r="A1227" t="s">
        <v>1190</v>
      </c>
      <c r="B1227">
        <v>94</v>
      </c>
      <c r="C1227" t="s">
        <v>41</v>
      </c>
      <c r="D1227">
        <v>62</v>
      </c>
      <c r="E1227">
        <v>80</v>
      </c>
      <c r="F1227">
        <v>11.73</v>
      </c>
      <c r="G1227" t="s">
        <v>18</v>
      </c>
      <c r="H1227" t="s">
        <v>22</v>
      </c>
    </row>
    <row r="1228" spans="1:8" x14ac:dyDescent="0.3">
      <c r="A1228" t="s">
        <v>1191</v>
      </c>
      <c r="B1228">
        <v>94</v>
      </c>
      <c r="C1228" t="s">
        <v>41</v>
      </c>
      <c r="D1228">
        <v>62</v>
      </c>
      <c r="E1228">
        <v>82</v>
      </c>
      <c r="F1228">
        <v>17.62</v>
      </c>
      <c r="G1228" t="s">
        <v>18</v>
      </c>
      <c r="H1228" t="s">
        <v>14</v>
      </c>
    </row>
    <row r="1229" spans="1:8" x14ac:dyDescent="0.3">
      <c r="A1229" t="s">
        <v>1192</v>
      </c>
      <c r="B1229">
        <v>94</v>
      </c>
      <c r="C1229" t="s">
        <v>41</v>
      </c>
      <c r="D1229">
        <v>62</v>
      </c>
      <c r="E1229">
        <v>80</v>
      </c>
      <c r="F1229">
        <v>176.37</v>
      </c>
      <c r="G1229" t="s">
        <v>2</v>
      </c>
      <c r="H1229" t="s">
        <v>9</v>
      </c>
    </row>
    <row r="1230" spans="1:8" x14ac:dyDescent="0.3">
      <c r="A1230" t="s">
        <v>1193</v>
      </c>
      <c r="B1230">
        <v>95</v>
      </c>
      <c r="C1230" t="s">
        <v>45</v>
      </c>
      <c r="D1230">
        <v>60</v>
      </c>
      <c r="E1230">
        <v>78</v>
      </c>
      <c r="F1230">
        <v>264.55</v>
      </c>
      <c r="G1230" t="s">
        <v>2</v>
      </c>
      <c r="H1230" t="s">
        <v>12</v>
      </c>
    </row>
    <row r="1231" spans="1:8" x14ac:dyDescent="0.3">
      <c r="A1231" t="s">
        <v>1194</v>
      </c>
      <c r="B1231">
        <v>94</v>
      </c>
      <c r="C1231" t="s">
        <v>45</v>
      </c>
      <c r="D1231">
        <v>62</v>
      </c>
      <c r="E1231">
        <v>76</v>
      </c>
      <c r="F1231">
        <v>308.64</v>
      </c>
      <c r="G1231" t="s">
        <v>2</v>
      </c>
      <c r="H1231" t="s">
        <v>14</v>
      </c>
    </row>
    <row r="1232" spans="1:8" x14ac:dyDescent="0.3">
      <c r="A1232" t="s">
        <v>1195</v>
      </c>
      <c r="B1232">
        <v>96</v>
      </c>
      <c r="C1232" t="s">
        <v>45</v>
      </c>
      <c r="D1232">
        <v>58</v>
      </c>
      <c r="E1232">
        <v>76</v>
      </c>
      <c r="F1232">
        <v>6.17</v>
      </c>
      <c r="G1232" t="s">
        <v>18</v>
      </c>
      <c r="H1232" t="s">
        <v>12</v>
      </c>
    </row>
    <row r="1233" spans="1:8" x14ac:dyDescent="0.3">
      <c r="A1233" t="s">
        <v>1196</v>
      </c>
      <c r="B1233">
        <v>95</v>
      </c>
      <c r="C1233" t="s">
        <v>45</v>
      </c>
      <c r="D1233">
        <v>58</v>
      </c>
      <c r="E1233">
        <v>76</v>
      </c>
      <c r="F1233">
        <v>6.17</v>
      </c>
      <c r="G1233" t="s">
        <v>18</v>
      </c>
      <c r="H1233" t="s">
        <v>12</v>
      </c>
    </row>
    <row r="1234" spans="1:8" x14ac:dyDescent="0.3">
      <c r="A1234" t="s">
        <v>1197</v>
      </c>
      <c r="B1234">
        <v>94</v>
      </c>
      <c r="C1234" t="s">
        <v>45</v>
      </c>
      <c r="D1234">
        <v>56</v>
      </c>
      <c r="E1234">
        <v>72</v>
      </c>
      <c r="F1234">
        <v>5.59</v>
      </c>
      <c r="G1234" t="s">
        <v>18</v>
      </c>
      <c r="H1234" t="s">
        <v>14</v>
      </c>
    </row>
    <row r="1235" spans="1:8" x14ac:dyDescent="0.3">
      <c r="A1235" t="s">
        <v>1198</v>
      </c>
      <c r="B1235">
        <v>94</v>
      </c>
      <c r="C1235" t="s">
        <v>45</v>
      </c>
      <c r="D1235">
        <v>58</v>
      </c>
      <c r="E1235">
        <v>76</v>
      </c>
      <c r="F1235">
        <v>6.17</v>
      </c>
      <c r="G1235" t="s">
        <v>18</v>
      </c>
      <c r="H1235" t="s">
        <v>23</v>
      </c>
    </row>
    <row r="1236" spans="1:8" x14ac:dyDescent="0.3">
      <c r="A1236" t="s">
        <v>1199</v>
      </c>
      <c r="B1236">
        <v>95</v>
      </c>
      <c r="C1236" t="s">
        <v>45</v>
      </c>
      <c r="D1236">
        <v>59</v>
      </c>
      <c r="E1236">
        <v>77</v>
      </c>
      <c r="F1236">
        <v>6.17</v>
      </c>
      <c r="G1236" t="s">
        <v>18</v>
      </c>
      <c r="H1236" t="s">
        <v>14</v>
      </c>
    </row>
    <row r="1237" spans="1:8" x14ac:dyDescent="0.3">
      <c r="A1237" t="s">
        <v>1200</v>
      </c>
      <c r="B1237">
        <v>94</v>
      </c>
      <c r="C1237" t="s">
        <v>45</v>
      </c>
      <c r="D1237">
        <v>58</v>
      </c>
      <c r="E1237">
        <v>74</v>
      </c>
      <c r="F1237">
        <v>9.9600000000000009</v>
      </c>
      <c r="G1237" t="s">
        <v>18</v>
      </c>
      <c r="H1237" t="s">
        <v>21</v>
      </c>
    </row>
    <row r="1238" spans="1:8" x14ac:dyDescent="0.3">
      <c r="A1238" t="s">
        <v>1201</v>
      </c>
      <c r="B1238">
        <v>95</v>
      </c>
      <c r="C1238" t="s">
        <v>45</v>
      </c>
      <c r="D1238">
        <v>58</v>
      </c>
      <c r="E1238">
        <v>76</v>
      </c>
      <c r="F1238">
        <v>121.25</v>
      </c>
      <c r="G1238" t="s">
        <v>2</v>
      </c>
      <c r="H1238" t="s">
        <v>9</v>
      </c>
    </row>
    <row r="1239" spans="1:8" x14ac:dyDescent="0.3">
      <c r="A1239" t="s">
        <v>1202</v>
      </c>
      <c r="B1239">
        <v>94</v>
      </c>
      <c r="C1239" t="s">
        <v>45</v>
      </c>
      <c r="D1239">
        <v>56</v>
      </c>
      <c r="E1239">
        <v>72</v>
      </c>
      <c r="F1239">
        <v>0.88</v>
      </c>
      <c r="G1239" t="s">
        <v>2</v>
      </c>
      <c r="H1239" t="s">
        <v>2</v>
      </c>
    </row>
    <row r="1240" spans="1:8" x14ac:dyDescent="0.3">
      <c r="A1240" t="s">
        <v>1203</v>
      </c>
      <c r="B1240">
        <v>94</v>
      </c>
      <c r="C1240" t="s">
        <v>45</v>
      </c>
      <c r="D1240">
        <v>54</v>
      </c>
      <c r="E1240">
        <v>72</v>
      </c>
      <c r="F1240">
        <v>5.88</v>
      </c>
      <c r="G1240" t="s">
        <v>18</v>
      </c>
      <c r="H1240" t="s">
        <v>23</v>
      </c>
    </row>
    <row r="1241" spans="1:8" x14ac:dyDescent="0.3">
      <c r="A1241" t="s">
        <v>1204</v>
      </c>
      <c r="B1241">
        <v>94</v>
      </c>
      <c r="C1241" t="s">
        <v>45</v>
      </c>
      <c r="D1241">
        <v>52</v>
      </c>
      <c r="E1241">
        <v>70</v>
      </c>
      <c r="F1241">
        <v>204.55</v>
      </c>
      <c r="G1241" t="s">
        <v>2</v>
      </c>
      <c r="H1241" t="s">
        <v>15</v>
      </c>
    </row>
    <row r="1242" spans="1:8" x14ac:dyDescent="0.3">
      <c r="A1242" t="s">
        <v>952</v>
      </c>
      <c r="B1242">
        <v>94</v>
      </c>
      <c r="C1242" t="s">
        <v>41</v>
      </c>
      <c r="D1242">
        <v>62</v>
      </c>
      <c r="E1242">
        <v>80</v>
      </c>
      <c r="F1242">
        <v>17.64</v>
      </c>
      <c r="G1242" t="s">
        <v>18</v>
      </c>
      <c r="H1242" t="s">
        <v>14</v>
      </c>
    </row>
    <row r="1243" spans="1:8" x14ac:dyDescent="0.3">
      <c r="A1243" t="s">
        <v>1205</v>
      </c>
      <c r="B1243">
        <v>94</v>
      </c>
      <c r="C1243" t="s">
        <v>45</v>
      </c>
      <c r="D1243">
        <v>60</v>
      </c>
      <c r="E1243">
        <v>76</v>
      </c>
      <c r="F1243">
        <v>7.35</v>
      </c>
      <c r="G1243" t="s">
        <v>18</v>
      </c>
      <c r="H1243" t="s">
        <v>9</v>
      </c>
    </row>
    <row r="1244" spans="1:8" x14ac:dyDescent="0.3">
      <c r="A1244" t="s">
        <v>1206</v>
      </c>
      <c r="B1244">
        <v>95</v>
      </c>
      <c r="C1244" t="s">
        <v>45</v>
      </c>
      <c r="D1244">
        <v>58</v>
      </c>
      <c r="E1244">
        <v>76</v>
      </c>
      <c r="F1244">
        <v>16.75</v>
      </c>
      <c r="G1244" t="s">
        <v>18</v>
      </c>
      <c r="H1244" t="s">
        <v>18</v>
      </c>
    </row>
    <row r="1245" spans="1:8" x14ac:dyDescent="0.3">
      <c r="A1245" t="s">
        <v>1207</v>
      </c>
      <c r="B1245">
        <v>94</v>
      </c>
      <c r="C1245" t="s">
        <v>82</v>
      </c>
      <c r="D1245">
        <v>52</v>
      </c>
      <c r="E1245">
        <v>68</v>
      </c>
      <c r="F1245">
        <v>6.17</v>
      </c>
      <c r="G1245" t="s">
        <v>18</v>
      </c>
      <c r="H1245" t="s">
        <v>9</v>
      </c>
    </row>
    <row r="1246" spans="1:8" x14ac:dyDescent="0.3">
      <c r="A1246" t="s">
        <v>390</v>
      </c>
      <c r="B1246">
        <v>94</v>
      </c>
      <c r="C1246" t="s">
        <v>45</v>
      </c>
      <c r="D1246">
        <v>58</v>
      </c>
      <c r="E1246">
        <v>74</v>
      </c>
      <c r="F1246">
        <v>6.17</v>
      </c>
      <c r="G1246" t="s">
        <v>18</v>
      </c>
      <c r="H1246" t="s">
        <v>16</v>
      </c>
    </row>
    <row r="1247" spans="1:8" x14ac:dyDescent="0.3">
      <c r="A1247" t="s">
        <v>1208</v>
      </c>
      <c r="B1247">
        <v>94</v>
      </c>
      <c r="C1247" t="s">
        <v>82</v>
      </c>
      <c r="D1247">
        <v>52</v>
      </c>
      <c r="E1247">
        <v>68</v>
      </c>
      <c r="F1247">
        <v>16.71</v>
      </c>
      <c r="G1247" t="s">
        <v>18</v>
      </c>
      <c r="H1247" t="s">
        <v>18</v>
      </c>
    </row>
    <row r="1248" spans="1:8" x14ac:dyDescent="0.3">
      <c r="A1248" t="s">
        <v>1209</v>
      </c>
      <c r="B1248">
        <v>94</v>
      </c>
      <c r="C1248" t="s">
        <v>45</v>
      </c>
      <c r="D1248">
        <v>58</v>
      </c>
      <c r="E1248">
        <v>76</v>
      </c>
      <c r="F1248">
        <v>5.88</v>
      </c>
      <c r="G1248" t="s">
        <v>18</v>
      </c>
      <c r="H1248" t="s">
        <v>9</v>
      </c>
    </row>
    <row r="1249" spans="1:8" x14ac:dyDescent="0.3">
      <c r="A1249" t="s">
        <v>1210</v>
      </c>
      <c r="B1249">
        <v>94</v>
      </c>
      <c r="C1249" t="s">
        <v>45</v>
      </c>
      <c r="D1249">
        <v>60</v>
      </c>
      <c r="E1249">
        <v>78</v>
      </c>
      <c r="F1249">
        <v>5.29</v>
      </c>
      <c r="G1249" t="s">
        <v>18</v>
      </c>
      <c r="H1249" t="s">
        <v>14</v>
      </c>
    </row>
    <row r="1250" spans="1:8" x14ac:dyDescent="0.3">
      <c r="A1250" t="s">
        <v>390</v>
      </c>
      <c r="B1250">
        <v>94</v>
      </c>
      <c r="C1250" t="s">
        <v>45</v>
      </c>
      <c r="D1250">
        <v>54</v>
      </c>
      <c r="E1250">
        <v>72</v>
      </c>
      <c r="F1250">
        <v>7.33</v>
      </c>
      <c r="G1250" t="s">
        <v>18</v>
      </c>
      <c r="H1250" t="s">
        <v>16</v>
      </c>
    </row>
    <row r="1251" spans="1:8" x14ac:dyDescent="0.3">
      <c r="A1251" t="s">
        <v>1211</v>
      </c>
      <c r="B1251">
        <v>94</v>
      </c>
      <c r="C1251" t="s">
        <v>45</v>
      </c>
      <c r="D1251">
        <v>56</v>
      </c>
      <c r="E1251">
        <v>74</v>
      </c>
      <c r="F1251">
        <v>99.21</v>
      </c>
      <c r="G1251" t="s">
        <v>2</v>
      </c>
      <c r="H1251" t="s">
        <v>16</v>
      </c>
    </row>
    <row r="1252" spans="1:8" x14ac:dyDescent="0.3">
      <c r="A1252" t="s">
        <v>1212</v>
      </c>
      <c r="B1252">
        <v>96</v>
      </c>
      <c r="C1252" t="s">
        <v>45</v>
      </c>
      <c r="D1252">
        <v>56</v>
      </c>
      <c r="E1252">
        <v>74</v>
      </c>
      <c r="F1252">
        <v>5.51</v>
      </c>
      <c r="G1252" t="s">
        <v>18</v>
      </c>
      <c r="H1252" t="s">
        <v>9</v>
      </c>
    </row>
    <row r="1253" spans="1:8" x14ac:dyDescent="0.3">
      <c r="A1253" t="s">
        <v>1213</v>
      </c>
      <c r="B1253">
        <v>95</v>
      </c>
      <c r="C1253" t="s">
        <v>45</v>
      </c>
      <c r="D1253">
        <v>58</v>
      </c>
      <c r="E1253">
        <v>78</v>
      </c>
      <c r="F1253">
        <v>5.29</v>
      </c>
      <c r="G1253" t="s">
        <v>18</v>
      </c>
      <c r="H1253" t="s">
        <v>14</v>
      </c>
    </row>
    <row r="1254" spans="1:8" x14ac:dyDescent="0.3">
      <c r="A1254" t="s">
        <v>76</v>
      </c>
      <c r="B1254">
        <v>94</v>
      </c>
      <c r="C1254" t="s">
        <v>45</v>
      </c>
      <c r="D1254">
        <v>54</v>
      </c>
      <c r="E1254">
        <v>68</v>
      </c>
      <c r="F1254">
        <v>12.35</v>
      </c>
      <c r="G1254" t="s">
        <v>18</v>
      </c>
      <c r="H1254" t="s">
        <v>18</v>
      </c>
    </row>
    <row r="1255" spans="1:8" x14ac:dyDescent="0.3">
      <c r="A1255" t="s">
        <v>1214</v>
      </c>
      <c r="B1255">
        <v>94</v>
      </c>
      <c r="C1255" t="s">
        <v>45</v>
      </c>
      <c r="D1255">
        <v>58</v>
      </c>
      <c r="E1255">
        <v>74</v>
      </c>
      <c r="F1255">
        <v>6.75</v>
      </c>
      <c r="G1255" t="s">
        <v>18</v>
      </c>
      <c r="H1255" t="s">
        <v>9</v>
      </c>
    </row>
    <row r="1256" spans="1:8" x14ac:dyDescent="0.3">
      <c r="A1256" t="s">
        <v>1215</v>
      </c>
      <c r="B1256">
        <v>94</v>
      </c>
      <c r="C1256" t="s">
        <v>45</v>
      </c>
      <c r="D1256">
        <v>58</v>
      </c>
      <c r="E1256">
        <v>78</v>
      </c>
      <c r="F1256">
        <v>5.23</v>
      </c>
      <c r="G1256" t="s">
        <v>18</v>
      </c>
      <c r="H1256" t="s">
        <v>16</v>
      </c>
    </row>
    <row r="1257" spans="1:8" x14ac:dyDescent="0.3">
      <c r="A1257" t="s">
        <v>1216</v>
      </c>
      <c r="B1257">
        <v>95</v>
      </c>
      <c r="C1257" t="s">
        <v>45</v>
      </c>
      <c r="D1257">
        <v>58</v>
      </c>
      <c r="E1257">
        <v>74</v>
      </c>
      <c r="F1257">
        <v>290</v>
      </c>
      <c r="G1257" t="s">
        <v>2</v>
      </c>
      <c r="H1257" t="s">
        <v>12</v>
      </c>
    </row>
    <row r="1258" spans="1:8" x14ac:dyDescent="0.3">
      <c r="A1258" t="s">
        <v>1217</v>
      </c>
      <c r="B1258">
        <v>94</v>
      </c>
      <c r="C1258" t="s">
        <v>41</v>
      </c>
      <c r="D1258">
        <v>62</v>
      </c>
      <c r="E1258">
        <v>80</v>
      </c>
      <c r="F1258">
        <v>7.33</v>
      </c>
      <c r="G1258" t="s">
        <v>18</v>
      </c>
      <c r="H1258" t="s">
        <v>14</v>
      </c>
    </row>
    <row r="1259" spans="1:8" x14ac:dyDescent="0.3">
      <c r="A1259" t="s">
        <v>1218</v>
      </c>
      <c r="B1259">
        <v>96</v>
      </c>
      <c r="C1259" t="s">
        <v>82</v>
      </c>
      <c r="D1259">
        <v>52</v>
      </c>
      <c r="E1259">
        <v>68</v>
      </c>
      <c r="F1259">
        <v>4.26</v>
      </c>
      <c r="G1259" t="s">
        <v>18</v>
      </c>
      <c r="H1259" t="s">
        <v>9</v>
      </c>
    </row>
    <row r="1260" spans="1:8" x14ac:dyDescent="0.3">
      <c r="A1260" t="s">
        <v>466</v>
      </c>
      <c r="B1260">
        <v>96</v>
      </c>
      <c r="C1260" t="s">
        <v>45</v>
      </c>
      <c r="D1260">
        <v>60</v>
      </c>
      <c r="E1260">
        <v>78</v>
      </c>
      <c r="F1260">
        <v>6.17</v>
      </c>
      <c r="G1260" t="s">
        <v>18</v>
      </c>
      <c r="H1260" t="s">
        <v>9</v>
      </c>
    </row>
    <row r="1261" spans="1:8" x14ac:dyDescent="0.3">
      <c r="A1261" t="s">
        <v>1219</v>
      </c>
      <c r="B1261">
        <v>95</v>
      </c>
      <c r="C1261" t="s">
        <v>45</v>
      </c>
      <c r="D1261">
        <v>56</v>
      </c>
      <c r="E1261">
        <v>74</v>
      </c>
      <c r="F1261">
        <v>5.59</v>
      </c>
      <c r="G1261" t="s">
        <v>18</v>
      </c>
      <c r="H1261" t="s">
        <v>9</v>
      </c>
    </row>
    <row r="1262" spans="1:8" x14ac:dyDescent="0.3">
      <c r="A1262" t="s">
        <v>1220</v>
      </c>
      <c r="B1262">
        <v>95</v>
      </c>
      <c r="C1262" t="s">
        <v>45</v>
      </c>
      <c r="D1262">
        <v>56</v>
      </c>
      <c r="E1262">
        <v>72</v>
      </c>
      <c r="F1262">
        <v>132.28</v>
      </c>
      <c r="G1262" t="s">
        <v>2</v>
      </c>
      <c r="H1262" t="s">
        <v>12</v>
      </c>
    </row>
    <row r="1263" spans="1:8" x14ac:dyDescent="0.3">
      <c r="A1263" t="s">
        <v>439</v>
      </c>
      <c r="B1263">
        <v>94</v>
      </c>
      <c r="C1263" t="s">
        <v>45</v>
      </c>
      <c r="D1263">
        <v>58</v>
      </c>
      <c r="E1263">
        <v>80</v>
      </c>
      <c r="F1263">
        <v>4.41</v>
      </c>
      <c r="G1263" t="s">
        <v>18</v>
      </c>
      <c r="H1263" t="s">
        <v>18</v>
      </c>
    </row>
    <row r="1264" spans="1:8" x14ac:dyDescent="0.3">
      <c r="A1264" t="s">
        <v>1221</v>
      </c>
      <c r="B1264">
        <v>94</v>
      </c>
      <c r="C1264" t="s">
        <v>45</v>
      </c>
      <c r="D1264">
        <v>58</v>
      </c>
      <c r="E1264">
        <v>78</v>
      </c>
      <c r="F1264">
        <v>20.55</v>
      </c>
      <c r="G1264" t="s">
        <v>18</v>
      </c>
      <c r="H1264" t="s">
        <v>5</v>
      </c>
    </row>
    <row r="1265" spans="1:8" x14ac:dyDescent="0.3">
      <c r="A1265" t="s">
        <v>1222</v>
      </c>
      <c r="B1265">
        <v>94</v>
      </c>
      <c r="C1265" t="s">
        <v>45</v>
      </c>
      <c r="D1265">
        <v>55</v>
      </c>
      <c r="E1265">
        <v>73</v>
      </c>
      <c r="F1265">
        <v>17.64</v>
      </c>
      <c r="G1265" t="s">
        <v>18</v>
      </c>
      <c r="H1265" t="s">
        <v>14</v>
      </c>
    </row>
    <row r="1266" spans="1:8" x14ac:dyDescent="0.3">
      <c r="A1266" t="s">
        <v>1223</v>
      </c>
      <c r="B1266">
        <v>94</v>
      </c>
      <c r="C1266" t="s">
        <v>45</v>
      </c>
      <c r="D1266">
        <v>60</v>
      </c>
      <c r="E1266">
        <v>78</v>
      </c>
      <c r="F1266">
        <v>8.8000000000000007</v>
      </c>
      <c r="G1266" t="s">
        <v>18</v>
      </c>
      <c r="H1266" t="s">
        <v>4</v>
      </c>
    </row>
    <row r="1267" spans="1:8" x14ac:dyDescent="0.3">
      <c r="A1267" t="s">
        <v>1224</v>
      </c>
      <c r="B1267">
        <v>94</v>
      </c>
      <c r="C1267" t="s">
        <v>45</v>
      </c>
      <c r="D1267">
        <v>58</v>
      </c>
      <c r="E1267">
        <v>74</v>
      </c>
      <c r="F1267">
        <v>13.23</v>
      </c>
      <c r="G1267" t="s">
        <v>11</v>
      </c>
      <c r="H1267" t="s">
        <v>9</v>
      </c>
    </row>
    <row r="1268" spans="1:8" x14ac:dyDescent="0.3">
      <c r="A1268" t="s">
        <v>1225</v>
      </c>
      <c r="B1268">
        <v>94</v>
      </c>
      <c r="C1268" t="s">
        <v>45</v>
      </c>
      <c r="D1268">
        <v>58</v>
      </c>
      <c r="E1268">
        <v>74</v>
      </c>
      <c r="F1268">
        <v>8.52</v>
      </c>
      <c r="G1268" t="s">
        <v>18</v>
      </c>
      <c r="H1268" t="s">
        <v>14</v>
      </c>
    </row>
    <row r="1269" spans="1:8" x14ac:dyDescent="0.3">
      <c r="A1269" t="s">
        <v>1226</v>
      </c>
      <c r="B1269">
        <v>94</v>
      </c>
      <c r="C1269" t="s">
        <v>45</v>
      </c>
      <c r="D1269">
        <v>57</v>
      </c>
      <c r="E1269">
        <v>73</v>
      </c>
      <c r="F1269">
        <v>8.52</v>
      </c>
      <c r="G1269" t="s">
        <v>18</v>
      </c>
      <c r="H1269" t="s">
        <v>14</v>
      </c>
    </row>
    <row r="1270" spans="1:8" x14ac:dyDescent="0.3">
      <c r="A1270" t="s">
        <v>1227</v>
      </c>
      <c r="B1270">
        <v>94</v>
      </c>
      <c r="C1270" t="s">
        <v>82</v>
      </c>
      <c r="D1270">
        <v>46</v>
      </c>
      <c r="E1270">
        <v>64</v>
      </c>
      <c r="F1270">
        <v>9.8699999999999992</v>
      </c>
      <c r="G1270" t="s">
        <v>18</v>
      </c>
      <c r="H1270" t="s">
        <v>150</v>
      </c>
    </row>
    <row r="1271" spans="1:8" x14ac:dyDescent="0.3">
      <c r="A1271" t="s">
        <v>1228</v>
      </c>
      <c r="B1271">
        <v>95</v>
      </c>
      <c r="C1271" t="s">
        <v>45</v>
      </c>
      <c r="D1271">
        <v>54</v>
      </c>
      <c r="E1271">
        <v>72</v>
      </c>
      <c r="F1271">
        <v>44.05</v>
      </c>
      <c r="G1271" t="s">
        <v>18</v>
      </c>
      <c r="H1271" t="s">
        <v>8</v>
      </c>
    </row>
    <row r="1272" spans="1:8" x14ac:dyDescent="0.3">
      <c r="A1272" t="s">
        <v>1229</v>
      </c>
      <c r="B1272">
        <v>94</v>
      </c>
      <c r="C1272" t="s">
        <v>45</v>
      </c>
      <c r="D1272">
        <v>57</v>
      </c>
      <c r="E1272">
        <v>73</v>
      </c>
      <c r="F1272">
        <v>6.75</v>
      </c>
      <c r="G1272" t="s">
        <v>18</v>
      </c>
      <c r="H1272" t="s">
        <v>4</v>
      </c>
    </row>
    <row r="1273" spans="1:8" x14ac:dyDescent="0.3">
      <c r="A1273" t="s">
        <v>1230</v>
      </c>
      <c r="B1273">
        <v>94</v>
      </c>
      <c r="C1273" t="s">
        <v>45</v>
      </c>
      <c r="D1273">
        <v>56</v>
      </c>
      <c r="E1273">
        <v>76</v>
      </c>
      <c r="F1273">
        <v>132.28</v>
      </c>
      <c r="G1273" t="s">
        <v>2</v>
      </c>
      <c r="H1273" t="s">
        <v>9</v>
      </c>
    </row>
    <row r="1274" spans="1:8" x14ac:dyDescent="0.3">
      <c r="A1274" t="s">
        <v>1231</v>
      </c>
      <c r="B1274">
        <v>96</v>
      </c>
      <c r="C1274" t="s">
        <v>41</v>
      </c>
      <c r="D1274">
        <v>62</v>
      </c>
      <c r="E1274">
        <v>80</v>
      </c>
      <c r="F1274">
        <v>9.6999999999999993</v>
      </c>
      <c r="G1274" t="s">
        <v>18</v>
      </c>
      <c r="H1274" t="s">
        <v>9</v>
      </c>
    </row>
    <row r="1275" spans="1:8" x14ac:dyDescent="0.3">
      <c r="A1275" t="s">
        <v>1232</v>
      </c>
      <c r="B1275">
        <v>94</v>
      </c>
      <c r="C1275" t="s">
        <v>45</v>
      </c>
      <c r="D1275">
        <v>58</v>
      </c>
      <c r="E1275">
        <v>74</v>
      </c>
      <c r="F1275">
        <v>6.61</v>
      </c>
      <c r="G1275" t="s">
        <v>18</v>
      </c>
      <c r="H1275" t="s">
        <v>9</v>
      </c>
    </row>
    <row r="1276" spans="1:8" x14ac:dyDescent="0.3">
      <c r="A1276" t="s">
        <v>1233</v>
      </c>
      <c r="B1276">
        <v>94</v>
      </c>
      <c r="C1276" t="s">
        <v>45</v>
      </c>
      <c r="D1276">
        <v>58</v>
      </c>
      <c r="E1276">
        <v>76</v>
      </c>
      <c r="F1276">
        <v>6.76</v>
      </c>
      <c r="G1276" t="s">
        <v>18</v>
      </c>
      <c r="H1276" t="s">
        <v>15</v>
      </c>
    </row>
    <row r="1277" spans="1:8" x14ac:dyDescent="0.3">
      <c r="A1277" t="s">
        <v>1234</v>
      </c>
      <c r="B1277">
        <v>94</v>
      </c>
      <c r="C1277" t="s">
        <v>45</v>
      </c>
      <c r="D1277">
        <v>60</v>
      </c>
      <c r="E1277">
        <v>74</v>
      </c>
      <c r="F1277">
        <v>6.91</v>
      </c>
      <c r="G1277" t="s">
        <v>18</v>
      </c>
      <c r="H1277" t="s">
        <v>14</v>
      </c>
    </row>
    <row r="1278" spans="1:8" x14ac:dyDescent="0.3">
      <c r="A1278" t="s">
        <v>1235</v>
      </c>
      <c r="B1278">
        <v>94</v>
      </c>
      <c r="C1278" t="s">
        <v>45</v>
      </c>
      <c r="D1278">
        <v>58</v>
      </c>
      <c r="E1278">
        <v>76</v>
      </c>
      <c r="F1278">
        <v>4.8499999999999996</v>
      </c>
      <c r="G1278" t="s">
        <v>18</v>
      </c>
      <c r="H1278" t="s">
        <v>14</v>
      </c>
    </row>
    <row r="1279" spans="1:8" x14ac:dyDescent="0.3">
      <c r="A1279" t="s">
        <v>1236</v>
      </c>
      <c r="B1279">
        <v>94</v>
      </c>
      <c r="C1279" t="s">
        <v>45</v>
      </c>
      <c r="D1279">
        <v>58</v>
      </c>
      <c r="E1279">
        <v>76</v>
      </c>
      <c r="F1279">
        <v>132.28</v>
      </c>
      <c r="G1279" t="s">
        <v>2</v>
      </c>
      <c r="H1279" t="s">
        <v>12</v>
      </c>
    </row>
    <row r="1280" spans="1:8" x14ac:dyDescent="0.3">
      <c r="A1280" t="s">
        <v>1237</v>
      </c>
      <c r="B1280">
        <v>95</v>
      </c>
      <c r="C1280" t="s">
        <v>45</v>
      </c>
      <c r="D1280">
        <v>54</v>
      </c>
      <c r="E1280">
        <v>70</v>
      </c>
      <c r="F1280">
        <v>5.88</v>
      </c>
      <c r="G1280" t="s">
        <v>18</v>
      </c>
      <c r="H1280" t="s">
        <v>5</v>
      </c>
    </row>
    <row r="1281" spans="1:8" x14ac:dyDescent="0.3">
      <c r="A1281" t="s">
        <v>1238</v>
      </c>
      <c r="B1281">
        <v>94</v>
      </c>
      <c r="C1281" t="s">
        <v>45</v>
      </c>
      <c r="D1281">
        <v>56</v>
      </c>
      <c r="E1281">
        <v>70</v>
      </c>
      <c r="F1281">
        <v>25.2</v>
      </c>
      <c r="G1281" t="s">
        <v>18</v>
      </c>
      <c r="H1281" t="s">
        <v>18</v>
      </c>
    </row>
    <row r="1282" spans="1:8" x14ac:dyDescent="0.3">
      <c r="A1282" t="s">
        <v>1239</v>
      </c>
      <c r="B1282">
        <v>94</v>
      </c>
      <c r="C1282" t="s">
        <v>82</v>
      </c>
      <c r="D1282">
        <v>52</v>
      </c>
      <c r="E1282">
        <v>68</v>
      </c>
      <c r="F1282">
        <v>175</v>
      </c>
      <c r="G1282" t="s">
        <v>2</v>
      </c>
      <c r="H1282" t="s">
        <v>7</v>
      </c>
    </row>
    <row r="1283" spans="1:8" x14ac:dyDescent="0.3">
      <c r="A1283" t="s">
        <v>1240</v>
      </c>
      <c r="B1283">
        <v>95</v>
      </c>
      <c r="C1283" t="s">
        <v>45</v>
      </c>
      <c r="D1283">
        <v>58</v>
      </c>
      <c r="E1283">
        <v>82</v>
      </c>
      <c r="F1283">
        <v>6.17</v>
      </c>
      <c r="G1283" t="s">
        <v>18</v>
      </c>
      <c r="H1283" t="s">
        <v>9</v>
      </c>
    </row>
    <row r="1284" spans="1:8" x14ac:dyDescent="0.3">
      <c r="A1284" t="s">
        <v>1241</v>
      </c>
      <c r="B1284">
        <v>94</v>
      </c>
      <c r="C1284" t="s">
        <v>45</v>
      </c>
      <c r="D1284">
        <v>58</v>
      </c>
      <c r="E1284">
        <v>78</v>
      </c>
      <c r="F1284">
        <v>5.81</v>
      </c>
      <c r="G1284" t="s">
        <v>18</v>
      </c>
      <c r="H1284" t="s">
        <v>9</v>
      </c>
    </row>
    <row r="1285" spans="1:8" x14ac:dyDescent="0.3">
      <c r="A1285" t="s">
        <v>1242</v>
      </c>
      <c r="B1285">
        <v>94</v>
      </c>
      <c r="C1285" t="s">
        <v>45</v>
      </c>
      <c r="D1285">
        <v>56</v>
      </c>
      <c r="E1285">
        <v>74</v>
      </c>
      <c r="F1285">
        <v>5.59</v>
      </c>
      <c r="G1285" t="s">
        <v>18</v>
      </c>
      <c r="H1285" t="s">
        <v>12</v>
      </c>
    </row>
    <row r="1286" spans="1:8" x14ac:dyDescent="0.3">
      <c r="A1286" t="s">
        <v>1243</v>
      </c>
      <c r="B1286">
        <v>94</v>
      </c>
      <c r="C1286" t="s">
        <v>82</v>
      </c>
      <c r="D1286">
        <v>48</v>
      </c>
      <c r="E1286">
        <v>66</v>
      </c>
      <c r="F1286">
        <v>300</v>
      </c>
      <c r="G1286" t="s">
        <v>2</v>
      </c>
      <c r="H1286" t="s">
        <v>9</v>
      </c>
    </row>
    <row r="1287" spans="1:8" x14ac:dyDescent="0.3">
      <c r="A1287" t="s">
        <v>1244</v>
      </c>
      <c r="B1287">
        <v>95</v>
      </c>
      <c r="C1287" t="s">
        <v>45</v>
      </c>
      <c r="D1287">
        <v>52</v>
      </c>
      <c r="E1287">
        <v>78</v>
      </c>
      <c r="F1287">
        <v>143.30000000000001</v>
      </c>
      <c r="G1287" t="s">
        <v>2</v>
      </c>
      <c r="H1287" t="s">
        <v>12</v>
      </c>
    </row>
    <row r="1288" spans="1:8" x14ac:dyDescent="0.3">
      <c r="A1288" t="s">
        <v>1245</v>
      </c>
      <c r="B1288">
        <v>95</v>
      </c>
      <c r="C1288" t="s">
        <v>82</v>
      </c>
      <c r="D1288">
        <v>50</v>
      </c>
      <c r="E1288">
        <v>68</v>
      </c>
      <c r="F1288">
        <v>88.18</v>
      </c>
      <c r="G1288" t="s">
        <v>2</v>
      </c>
      <c r="H1288" t="s">
        <v>15</v>
      </c>
    </row>
    <row r="1289" spans="1:8" x14ac:dyDescent="0.3">
      <c r="A1289" t="s">
        <v>890</v>
      </c>
      <c r="B1289">
        <v>95</v>
      </c>
      <c r="C1289" t="s">
        <v>45</v>
      </c>
      <c r="D1289">
        <v>53</v>
      </c>
      <c r="E1289">
        <v>75</v>
      </c>
      <c r="F1289">
        <v>27.76</v>
      </c>
      <c r="G1289" t="s">
        <v>18</v>
      </c>
      <c r="H1289" t="s">
        <v>18</v>
      </c>
    </row>
    <row r="1290" spans="1:8" x14ac:dyDescent="0.3">
      <c r="A1290" t="s">
        <v>1246</v>
      </c>
      <c r="B1290">
        <v>94</v>
      </c>
      <c r="C1290" t="s">
        <v>45</v>
      </c>
      <c r="D1290">
        <v>54</v>
      </c>
      <c r="E1290">
        <v>72</v>
      </c>
      <c r="F1290">
        <v>1410.93</v>
      </c>
      <c r="G1290" t="s">
        <v>2</v>
      </c>
      <c r="H1290" t="s">
        <v>5</v>
      </c>
    </row>
    <row r="1291" spans="1:8" x14ac:dyDescent="0.3">
      <c r="A1291" t="s">
        <v>1247</v>
      </c>
      <c r="B1291">
        <v>94</v>
      </c>
      <c r="C1291" t="s">
        <v>45</v>
      </c>
      <c r="D1291">
        <v>58</v>
      </c>
      <c r="E1291">
        <v>78</v>
      </c>
      <c r="F1291">
        <v>6.76</v>
      </c>
      <c r="G1291" t="s">
        <v>18</v>
      </c>
      <c r="H1291" t="s">
        <v>21</v>
      </c>
    </row>
    <row r="1292" spans="1:8" x14ac:dyDescent="0.3">
      <c r="A1292" t="s">
        <v>1248</v>
      </c>
      <c r="B1292">
        <v>94</v>
      </c>
      <c r="C1292" t="s">
        <v>45</v>
      </c>
      <c r="D1292">
        <v>57</v>
      </c>
      <c r="E1292">
        <v>77</v>
      </c>
      <c r="F1292">
        <v>5.26</v>
      </c>
      <c r="G1292" t="s">
        <v>18</v>
      </c>
      <c r="H1292" t="s">
        <v>9</v>
      </c>
    </row>
    <row r="1293" spans="1:8" x14ac:dyDescent="0.3">
      <c r="A1293" t="s">
        <v>1249</v>
      </c>
      <c r="B1293">
        <v>94</v>
      </c>
      <c r="C1293" t="s">
        <v>82</v>
      </c>
      <c r="D1293">
        <v>48</v>
      </c>
      <c r="E1293">
        <v>60</v>
      </c>
      <c r="F1293">
        <v>4.1900000000000004</v>
      </c>
      <c r="G1293" t="s">
        <v>18</v>
      </c>
      <c r="H1293" t="s">
        <v>150</v>
      </c>
    </row>
    <row r="1294" spans="1:8" x14ac:dyDescent="0.3">
      <c r="A1294" t="s">
        <v>1250</v>
      </c>
      <c r="B1294">
        <v>95</v>
      </c>
      <c r="C1294" t="s">
        <v>45</v>
      </c>
      <c r="D1294">
        <v>60</v>
      </c>
      <c r="E1294">
        <v>78</v>
      </c>
      <c r="F1294">
        <v>275</v>
      </c>
      <c r="G1294" t="s">
        <v>2</v>
      </c>
      <c r="H1294" t="s">
        <v>9</v>
      </c>
    </row>
    <row r="1295" spans="1:8" x14ac:dyDescent="0.3">
      <c r="A1295" t="s">
        <v>1251</v>
      </c>
      <c r="B1295">
        <v>94</v>
      </c>
      <c r="C1295" t="s">
        <v>45</v>
      </c>
      <c r="D1295">
        <v>59</v>
      </c>
      <c r="E1295">
        <v>77</v>
      </c>
      <c r="F1295">
        <v>500</v>
      </c>
      <c r="G1295" t="s">
        <v>2</v>
      </c>
      <c r="H1295" t="s">
        <v>9</v>
      </c>
    </row>
    <row r="1296" spans="1:8" x14ac:dyDescent="0.3">
      <c r="A1296" t="s">
        <v>1252</v>
      </c>
      <c r="B1296">
        <v>94</v>
      </c>
      <c r="C1296" t="s">
        <v>45</v>
      </c>
      <c r="D1296">
        <v>55</v>
      </c>
      <c r="E1296">
        <v>73</v>
      </c>
      <c r="F1296">
        <v>10.29</v>
      </c>
      <c r="G1296" t="s">
        <v>18</v>
      </c>
      <c r="H1296" t="s">
        <v>4</v>
      </c>
    </row>
    <row r="1297" spans="1:8" x14ac:dyDescent="0.3">
      <c r="A1297" t="s">
        <v>1253</v>
      </c>
      <c r="B1297">
        <v>96</v>
      </c>
      <c r="C1297" t="s">
        <v>45</v>
      </c>
      <c r="D1297">
        <v>56</v>
      </c>
      <c r="E1297">
        <v>74</v>
      </c>
      <c r="F1297">
        <v>17.59</v>
      </c>
      <c r="G1297" t="s">
        <v>18</v>
      </c>
      <c r="H1297" t="s">
        <v>5</v>
      </c>
    </row>
    <row r="1298" spans="1:8" x14ac:dyDescent="0.3">
      <c r="A1298" t="s">
        <v>1254</v>
      </c>
      <c r="B1298">
        <v>95</v>
      </c>
      <c r="C1298" t="s">
        <v>45</v>
      </c>
      <c r="D1298">
        <v>52</v>
      </c>
      <c r="E1298">
        <v>70</v>
      </c>
      <c r="F1298">
        <v>5.81</v>
      </c>
      <c r="G1298" t="s">
        <v>18</v>
      </c>
      <c r="H1298" t="s">
        <v>9</v>
      </c>
    </row>
    <row r="1299" spans="1:8" x14ac:dyDescent="0.3">
      <c r="A1299" t="s">
        <v>1255</v>
      </c>
      <c r="B1299">
        <v>94</v>
      </c>
      <c r="C1299" t="s">
        <v>82</v>
      </c>
      <c r="D1299">
        <v>50</v>
      </c>
      <c r="E1299">
        <v>67</v>
      </c>
      <c r="F1299">
        <v>1</v>
      </c>
      <c r="G1299" t="s">
        <v>2</v>
      </c>
      <c r="H1299" t="s">
        <v>12</v>
      </c>
    </row>
    <row r="1300" spans="1:8" x14ac:dyDescent="0.3">
      <c r="A1300" t="s">
        <v>1256</v>
      </c>
      <c r="B1300">
        <v>94</v>
      </c>
      <c r="C1300" t="s">
        <v>45</v>
      </c>
      <c r="D1300">
        <v>54</v>
      </c>
      <c r="E1300">
        <v>72</v>
      </c>
      <c r="F1300">
        <v>60</v>
      </c>
      <c r="G1300" t="s">
        <v>16</v>
      </c>
      <c r="H1300" t="s">
        <v>16</v>
      </c>
    </row>
    <row r="1301" spans="1:8" x14ac:dyDescent="0.3">
      <c r="A1301" t="s">
        <v>1257</v>
      </c>
      <c r="B1301">
        <v>94</v>
      </c>
      <c r="C1301" t="s">
        <v>82</v>
      </c>
      <c r="D1301">
        <v>50</v>
      </c>
      <c r="E1301">
        <v>66</v>
      </c>
      <c r="F1301">
        <v>60</v>
      </c>
      <c r="G1301" t="s">
        <v>16</v>
      </c>
      <c r="H1301" t="s">
        <v>16</v>
      </c>
    </row>
    <row r="1302" spans="1:8" x14ac:dyDescent="0.3">
      <c r="A1302" t="s">
        <v>1258</v>
      </c>
      <c r="B1302">
        <v>94</v>
      </c>
      <c r="C1302" t="s">
        <v>45</v>
      </c>
      <c r="D1302">
        <v>54</v>
      </c>
      <c r="E1302">
        <v>74</v>
      </c>
      <c r="F1302">
        <v>8</v>
      </c>
      <c r="G1302" t="s">
        <v>11</v>
      </c>
      <c r="H1302" t="s">
        <v>9</v>
      </c>
    </row>
    <row r="1303" spans="1:8" x14ac:dyDescent="0.3">
      <c r="A1303" t="s">
        <v>1259</v>
      </c>
      <c r="B1303">
        <v>94</v>
      </c>
      <c r="C1303" t="s">
        <v>82</v>
      </c>
      <c r="D1303">
        <v>47</v>
      </c>
      <c r="E1303">
        <v>67</v>
      </c>
      <c r="F1303">
        <v>5.51</v>
      </c>
      <c r="G1303" t="s">
        <v>18</v>
      </c>
      <c r="H1303" t="s">
        <v>7</v>
      </c>
    </row>
    <row r="1304" spans="1:8" x14ac:dyDescent="0.3">
      <c r="A1304" t="s">
        <v>1260</v>
      </c>
      <c r="B1304">
        <v>95</v>
      </c>
      <c r="C1304" t="s">
        <v>45</v>
      </c>
      <c r="D1304">
        <v>56</v>
      </c>
      <c r="E1304">
        <v>74</v>
      </c>
      <c r="F1304">
        <v>285</v>
      </c>
      <c r="G1304" t="s">
        <v>2</v>
      </c>
      <c r="H1304" t="s">
        <v>12</v>
      </c>
    </row>
    <row r="1305" spans="1:8" x14ac:dyDescent="0.3">
      <c r="A1305" t="s">
        <v>1261</v>
      </c>
      <c r="B1305">
        <v>96</v>
      </c>
      <c r="C1305" t="s">
        <v>82</v>
      </c>
      <c r="D1305">
        <v>44</v>
      </c>
      <c r="E1305">
        <v>61</v>
      </c>
      <c r="F1305">
        <v>121.25</v>
      </c>
      <c r="G1305" t="s">
        <v>2</v>
      </c>
      <c r="H1305" t="s">
        <v>16</v>
      </c>
    </row>
    <row r="1306" spans="1:8" x14ac:dyDescent="0.3">
      <c r="A1306" t="s">
        <v>1262</v>
      </c>
      <c r="B1306">
        <v>94</v>
      </c>
      <c r="C1306" t="s">
        <v>45</v>
      </c>
      <c r="D1306">
        <v>59</v>
      </c>
      <c r="E1306">
        <v>77</v>
      </c>
      <c r="F1306">
        <v>41.12</v>
      </c>
      <c r="G1306" t="s">
        <v>18</v>
      </c>
      <c r="H1306" t="s">
        <v>5</v>
      </c>
    </row>
    <row r="1307" spans="1:8" x14ac:dyDescent="0.3">
      <c r="A1307" t="s">
        <v>1263</v>
      </c>
      <c r="B1307">
        <v>94</v>
      </c>
      <c r="C1307" t="s">
        <v>82</v>
      </c>
      <c r="D1307">
        <v>50</v>
      </c>
      <c r="E1307">
        <v>68</v>
      </c>
      <c r="F1307">
        <v>132.28</v>
      </c>
      <c r="G1307" t="s">
        <v>2</v>
      </c>
      <c r="H1307" t="s">
        <v>12</v>
      </c>
    </row>
    <row r="1308" spans="1:8" x14ac:dyDescent="0.3">
      <c r="A1308" t="s">
        <v>1264</v>
      </c>
      <c r="B1308">
        <v>94</v>
      </c>
      <c r="C1308" t="s">
        <v>45</v>
      </c>
      <c r="D1308">
        <v>52</v>
      </c>
      <c r="E1308">
        <v>70</v>
      </c>
      <c r="F1308">
        <v>132.28</v>
      </c>
      <c r="G1308" t="s">
        <v>2</v>
      </c>
      <c r="H1308" t="s">
        <v>12</v>
      </c>
    </row>
    <row r="1309" spans="1:8" x14ac:dyDescent="0.3">
      <c r="A1309" t="s">
        <v>1265</v>
      </c>
      <c r="B1309">
        <v>94</v>
      </c>
      <c r="C1309" t="s">
        <v>45</v>
      </c>
      <c r="D1309">
        <v>56</v>
      </c>
      <c r="E1309">
        <v>78</v>
      </c>
      <c r="F1309">
        <v>132.28</v>
      </c>
      <c r="G1309" t="s">
        <v>2</v>
      </c>
      <c r="H1309" t="s">
        <v>9</v>
      </c>
    </row>
    <row r="1310" spans="1:8" x14ac:dyDescent="0.3">
      <c r="A1310" t="s">
        <v>1266</v>
      </c>
      <c r="B1310">
        <v>95</v>
      </c>
      <c r="C1310" t="s">
        <v>45</v>
      </c>
      <c r="D1310">
        <v>56</v>
      </c>
      <c r="E1310">
        <v>74</v>
      </c>
      <c r="F1310">
        <v>6.17</v>
      </c>
      <c r="G1310" t="s">
        <v>18</v>
      </c>
      <c r="H1310" t="s">
        <v>9</v>
      </c>
    </row>
    <row r="1311" spans="1:8" x14ac:dyDescent="0.3">
      <c r="A1311" t="s">
        <v>1267</v>
      </c>
      <c r="B1311">
        <v>97</v>
      </c>
      <c r="C1311" t="s">
        <v>45</v>
      </c>
      <c r="D1311">
        <v>54</v>
      </c>
      <c r="E1311">
        <v>74</v>
      </c>
      <c r="F1311">
        <v>555.55999999999995</v>
      </c>
      <c r="G1311" t="s">
        <v>18</v>
      </c>
      <c r="H1311" t="s">
        <v>5</v>
      </c>
    </row>
    <row r="1312" spans="1:8" x14ac:dyDescent="0.3">
      <c r="A1312" t="s">
        <v>1268</v>
      </c>
      <c r="B1312">
        <v>97</v>
      </c>
      <c r="C1312" t="s">
        <v>82</v>
      </c>
      <c r="D1312">
        <v>44</v>
      </c>
      <c r="E1312">
        <v>58</v>
      </c>
      <c r="F1312">
        <v>60</v>
      </c>
      <c r="G1312" t="s">
        <v>11</v>
      </c>
      <c r="H1312" t="s">
        <v>8</v>
      </c>
    </row>
    <row r="1313" spans="1:8" x14ac:dyDescent="0.3">
      <c r="A1313" t="s">
        <v>1269</v>
      </c>
      <c r="B1313">
        <v>95</v>
      </c>
      <c r="C1313" t="s">
        <v>45</v>
      </c>
      <c r="D1313">
        <v>58</v>
      </c>
      <c r="E1313">
        <v>78</v>
      </c>
      <c r="F1313">
        <v>6.45</v>
      </c>
      <c r="G1313" t="s">
        <v>18</v>
      </c>
      <c r="H1313" t="s">
        <v>5</v>
      </c>
    </row>
    <row r="1314" spans="1:8" x14ac:dyDescent="0.3">
      <c r="A1314" t="s">
        <v>1270</v>
      </c>
      <c r="B1314">
        <v>95</v>
      </c>
      <c r="C1314" t="s">
        <v>45</v>
      </c>
      <c r="D1314">
        <v>52</v>
      </c>
      <c r="E1314">
        <v>70</v>
      </c>
      <c r="F1314">
        <v>100</v>
      </c>
      <c r="G1314" t="s">
        <v>2</v>
      </c>
      <c r="H1314" t="s">
        <v>9</v>
      </c>
    </row>
    <row r="1315" spans="1:8" x14ac:dyDescent="0.3">
      <c r="A1315" t="s">
        <v>1056</v>
      </c>
      <c r="B1315">
        <v>96</v>
      </c>
      <c r="C1315" t="s">
        <v>45</v>
      </c>
      <c r="D1315">
        <v>52</v>
      </c>
      <c r="E1315">
        <v>70</v>
      </c>
      <c r="F1315">
        <v>5.0599999999999996</v>
      </c>
      <c r="G1315" t="s">
        <v>18</v>
      </c>
      <c r="H1315" t="s">
        <v>16</v>
      </c>
    </row>
    <row r="1316" spans="1:8" x14ac:dyDescent="0.3">
      <c r="A1316" t="s">
        <v>1271</v>
      </c>
      <c r="B1316">
        <v>94</v>
      </c>
      <c r="C1316" t="s">
        <v>45</v>
      </c>
      <c r="D1316">
        <v>56</v>
      </c>
      <c r="E1316">
        <v>72</v>
      </c>
      <c r="F1316">
        <v>5.64</v>
      </c>
      <c r="G1316" t="s">
        <v>18</v>
      </c>
      <c r="H1316" t="s">
        <v>12</v>
      </c>
    </row>
    <row r="1317" spans="1:8" x14ac:dyDescent="0.3">
      <c r="A1317" t="s">
        <v>1272</v>
      </c>
      <c r="B1317">
        <v>95</v>
      </c>
      <c r="C1317" t="s">
        <v>82</v>
      </c>
      <c r="D1317">
        <v>44</v>
      </c>
      <c r="E1317">
        <v>60</v>
      </c>
      <c r="F1317">
        <v>0.44</v>
      </c>
      <c r="G1317" t="s">
        <v>2</v>
      </c>
      <c r="H1317" t="s">
        <v>9</v>
      </c>
    </row>
    <row r="1318" spans="1:8" x14ac:dyDescent="0.3">
      <c r="A1318" t="s">
        <v>1273</v>
      </c>
      <c r="B1318">
        <v>95</v>
      </c>
      <c r="C1318" t="s">
        <v>541</v>
      </c>
      <c r="D1318">
        <v>38</v>
      </c>
      <c r="E1318">
        <v>46</v>
      </c>
      <c r="F1318">
        <v>0.44</v>
      </c>
      <c r="G1318" t="s">
        <v>2</v>
      </c>
      <c r="H1318" t="s">
        <v>15</v>
      </c>
    </row>
    <row r="1319" spans="1:8" x14ac:dyDescent="0.3">
      <c r="A1319" t="s">
        <v>1274</v>
      </c>
      <c r="B1319">
        <v>97</v>
      </c>
      <c r="C1319" t="s">
        <v>45</v>
      </c>
      <c r="D1319">
        <v>56</v>
      </c>
      <c r="E1319">
        <v>76</v>
      </c>
      <c r="F1319">
        <v>110.23</v>
      </c>
      <c r="G1319" t="s">
        <v>18</v>
      </c>
      <c r="H1319" t="s">
        <v>5</v>
      </c>
    </row>
    <row r="1320" spans="1:8" x14ac:dyDescent="0.3">
      <c r="A1320" t="s">
        <v>1275</v>
      </c>
      <c r="B1320">
        <v>96</v>
      </c>
      <c r="C1320" t="s">
        <v>45</v>
      </c>
      <c r="D1320">
        <v>52</v>
      </c>
      <c r="E1320">
        <v>72</v>
      </c>
      <c r="F1320">
        <v>26.46</v>
      </c>
      <c r="G1320" t="s">
        <v>18</v>
      </c>
      <c r="H1320" t="s">
        <v>5</v>
      </c>
    </row>
    <row r="1321" spans="1:8" x14ac:dyDescent="0.3">
      <c r="A1321" t="s">
        <v>1276</v>
      </c>
      <c r="B1321">
        <v>98</v>
      </c>
      <c r="C1321" t="s">
        <v>45</v>
      </c>
      <c r="D1321">
        <v>54</v>
      </c>
      <c r="E1321">
        <v>78</v>
      </c>
      <c r="F1321">
        <v>476.19</v>
      </c>
      <c r="G1321" t="s">
        <v>18</v>
      </c>
      <c r="H1321" t="s">
        <v>5</v>
      </c>
    </row>
    <row r="1322" spans="1:8" x14ac:dyDescent="0.3">
      <c r="A1322" t="s">
        <v>1277</v>
      </c>
      <c r="B1322">
        <v>95</v>
      </c>
      <c r="C1322" t="s">
        <v>82</v>
      </c>
      <c r="D1322">
        <v>47</v>
      </c>
      <c r="E1322">
        <v>67</v>
      </c>
      <c r="F1322">
        <v>244.44</v>
      </c>
      <c r="G1322" t="s">
        <v>2</v>
      </c>
      <c r="H1322" t="s">
        <v>12</v>
      </c>
    </row>
    <row r="1323" spans="1:8" x14ac:dyDescent="0.3">
      <c r="A1323" t="s">
        <v>1278</v>
      </c>
      <c r="B1323">
        <v>96</v>
      </c>
      <c r="C1323" t="s">
        <v>45</v>
      </c>
      <c r="D1323">
        <v>54</v>
      </c>
      <c r="E1323">
        <v>78</v>
      </c>
      <c r="F1323">
        <v>100</v>
      </c>
      <c r="G1323" t="s">
        <v>29</v>
      </c>
      <c r="H1323" t="s">
        <v>5</v>
      </c>
    </row>
    <row r="1324" spans="1:8" x14ac:dyDescent="0.3">
      <c r="A1324" t="s">
        <v>1279</v>
      </c>
      <c r="B1324">
        <v>94</v>
      </c>
      <c r="C1324" t="s">
        <v>45</v>
      </c>
      <c r="D1324">
        <v>56</v>
      </c>
      <c r="E1324">
        <v>78</v>
      </c>
      <c r="F1324">
        <v>6.17</v>
      </c>
      <c r="G1324" t="s">
        <v>31</v>
      </c>
      <c r="H1324" t="s">
        <v>12</v>
      </c>
    </row>
    <row r="1325" spans="1:8" x14ac:dyDescent="0.3">
      <c r="A1325" t="s">
        <v>1280</v>
      </c>
      <c r="B1325">
        <v>94</v>
      </c>
      <c r="C1325" t="s">
        <v>45</v>
      </c>
      <c r="D1325">
        <v>58</v>
      </c>
      <c r="E1325">
        <v>80</v>
      </c>
      <c r="F1325">
        <v>6</v>
      </c>
      <c r="G1325" t="s">
        <v>18</v>
      </c>
      <c r="H1325" t="s">
        <v>12</v>
      </c>
    </row>
    <row r="1326" spans="1:8" x14ac:dyDescent="0.3">
      <c r="A1326" t="s">
        <v>1281</v>
      </c>
      <c r="B1326">
        <v>95</v>
      </c>
      <c r="C1326" t="s">
        <v>45</v>
      </c>
      <c r="D1326">
        <v>54</v>
      </c>
      <c r="E1326">
        <v>72</v>
      </c>
      <c r="F1326">
        <v>17.61</v>
      </c>
      <c r="G1326" t="s">
        <v>18</v>
      </c>
      <c r="H1326" t="s">
        <v>9</v>
      </c>
    </row>
    <row r="1327" spans="1:8" x14ac:dyDescent="0.3">
      <c r="A1327" t="s">
        <v>1282</v>
      </c>
      <c r="B1327">
        <v>94</v>
      </c>
      <c r="C1327" t="s">
        <v>45</v>
      </c>
      <c r="D1327">
        <v>52</v>
      </c>
      <c r="E1327">
        <v>70</v>
      </c>
      <c r="F1327">
        <v>143.30000000000001</v>
      </c>
      <c r="G1327" t="s">
        <v>2</v>
      </c>
      <c r="H1327" t="s">
        <v>9</v>
      </c>
    </row>
    <row r="1328" spans="1:8" x14ac:dyDescent="0.3">
      <c r="A1328" t="s">
        <v>1283</v>
      </c>
      <c r="B1328">
        <v>94</v>
      </c>
      <c r="C1328" t="s">
        <v>545</v>
      </c>
      <c r="D1328">
        <v>36</v>
      </c>
      <c r="E1328">
        <v>44</v>
      </c>
      <c r="F1328">
        <v>264.56</v>
      </c>
      <c r="G1328" t="s">
        <v>2</v>
      </c>
      <c r="H1328" t="s">
        <v>16</v>
      </c>
    </row>
    <row r="1329" spans="1:8" x14ac:dyDescent="0.3">
      <c r="A1329" t="s">
        <v>1284</v>
      </c>
      <c r="B1329">
        <v>94</v>
      </c>
      <c r="C1329" t="s">
        <v>45</v>
      </c>
      <c r="D1329">
        <v>54</v>
      </c>
      <c r="E1329">
        <v>74</v>
      </c>
      <c r="F1329">
        <v>5.73</v>
      </c>
      <c r="G1329" t="s">
        <v>18</v>
      </c>
      <c r="H1329" t="s">
        <v>9</v>
      </c>
    </row>
    <row r="1330" spans="1:8" x14ac:dyDescent="0.3">
      <c r="A1330" t="s">
        <v>1285</v>
      </c>
      <c r="B1330">
        <v>97</v>
      </c>
      <c r="C1330" t="s">
        <v>45</v>
      </c>
      <c r="D1330">
        <v>55</v>
      </c>
      <c r="E1330">
        <v>73</v>
      </c>
      <c r="F1330">
        <v>188.88</v>
      </c>
      <c r="G1330" t="s">
        <v>18</v>
      </c>
      <c r="H1330" t="s">
        <v>5</v>
      </c>
    </row>
    <row r="1331" spans="1:8" x14ac:dyDescent="0.3">
      <c r="A1331" t="s">
        <v>1286</v>
      </c>
      <c r="B1331">
        <v>96</v>
      </c>
      <c r="C1331" t="s">
        <v>82</v>
      </c>
      <c r="D1331">
        <v>54</v>
      </c>
      <c r="E1331">
        <v>62</v>
      </c>
      <c r="F1331">
        <v>26.46</v>
      </c>
      <c r="G1331" t="s">
        <v>18</v>
      </c>
      <c r="H1331" t="s">
        <v>14</v>
      </c>
    </row>
    <row r="1332" spans="1:8" x14ac:dyDescent="0.3">
      <c r="A1332" t="s">
        <v>1287</v>
      </c>
      <c r="B1332">
        <v>96</v>
      </c>
      <c r="C1332" t="s">
        <v>45</v>
      </c>
      <c r="D1332">
        <v>57</v>
      </c>
      <c r="E1332">
        <v>74</v>
      </c>
      <c r="F1332">
        <v>32.299999999999997</v>
      </c>
      <c r="G1332" t="s">
        <v>18</v>
      </c>
      <c r="H1332" t="s">
        <v>14</v>
      </c>
    </row>
    <row r="1333" spans="1:8" x14ac:dyDescent="0.3">
      <c r="A1333" t="s">
        <v>1288</v>
      </c>
      <c r="B1333">
        <v>96</v>
      </c>
      <c r="C1333" t="s">
        <v>45</v>
      </c>
      <c r="D1333">
        <v>55</v>
      </c>
      <c r="E1333">
        <v>79</v>
      </c>
      <c r="F1333">
        <v>661.38</v>
      </c>
      <c r="G1333" t="s">
        <v>2</v>
      </c>
      <c r="H1333" t="s">
        <v>5</v>
      </c>
    </row>
    <row r="1334" spans="1:8" x14ac:dyDescent="0.3">
      <c r="A1334" t="s">
        <v>1289</v>
      </c>
      <c r="B1334">
        <v>95</v>
      </c>
      <c r="C1334" t="s">
        <v>45</v>
      </c>
      <c r="D1334">
        <v>51</v>
      </c>
      <c r="E1334">
        <v>71</v>
      </c>
      <c r="F1334">
        <v>26.46</v>
      </c>
      <c r="G1334" t="s">
        <v>18</v>
      </c>
      <c r="H1334" t="s">
        <v>5</v>
      </c>
    </row>
    <row r="1335" spans="1:8" x14ac:dyDescent="0.3">
      <c r="A1335" t="s">
        <v>1290</v>
      </c>
      <c r="B1335">
        <v>94</v>
      </c>
      <c r="C1335" t="s">
        <v>45</v>
      </c>
      <c r="D1335">
        <v>53</v>
      </c>
      <c r="E1335">
        <v>71</v>
      </c>
      <c r="F1335">
        <v>35.270000000000003</v>
      </c>
      <c r="G1335" t="s">
        <v>18</v>
      </c>
      <c r="H1335" t="s">
        <v>5</v>
      </c>
    </row>
    <row r="1336" spans="1:8" x14ac:dyDescent="0.3">
      <c r="A1336" t="s">
        <v>1291</v>
      </c>
      <c r="B1336">
        <v>94</v>
      </c>
      <c r="C1336" t="s">
        <v>45</v>
      </c>
      <c r="D1336">
        <v>52</v>
      </c>
      <c r="E1336">
        <v>70</v>
      </c>
      <c r="F1336">
        <v>586.96</v>
      </c>
      <c r="G1336" t="s">
        <v>2</v>
      </c>
      <c r="H1336" t="s">
        <v>14</v>
      </c>
    </row>
    <row r="1337" spans="1:8" x14ac:dyDescent="0.3">
      <c r="A1337" t="s">
        <v>1292</v>
      </c>
      <c r="B1337">
        <v>94</v>
      </c>
      <c r="C1337" t="s">
        <v>45</v>
      </c>
      <c r="D1337">
        <v>58</v>
      </c>
      <c r="E1337">
        <v>80</v>
      </c>
      <c r="F1337">
        <v>1200</v>
      </c>
      <c r="G1337" t="s">
        <v>2</v>
      </c>
      <c r="H1337" t="s">
        <v>9</v>
      </c>
    </row>
    <row r="1338" spans="1:8" x14ac:dyDescent="0.3">
      <c r="A1338" t="s">
        <v>1293</v>
      </c>
      <c r="B1338">
        <v>94</v>
      </c>
      <c r="C1338" t="s">
        <v>45</v>
      </c>
      <c r="D1338">
        <v>60</v>
      </c>
      <c r="E1338">
        <v>78</v>
      </c>
      <c r="F1338">
        <v>22.05</v>
      </c>
      <c r="G1338" t="s">
        <v>18</v>
      </c>
      <c r="H1338" t="s">
        <v>9</v>
      </c>
    </row>
    <row r="1339" spans="1:8" x14ac:dyDescent="0.3">
      <c r="A1339" t="s">
        <v>1294</v>
      </c>
      <c r="B1339">
        <v>94</v>
      </c>
      <c r="C1339" t="s">
        <v>45</v>
      </c>
      <c r="D1339">
        <v>59</v>
      </c>
      <c r="E1339">
        <v>72</v>
      </c>
      <c r="F1339">
        <v>5.59</v>
      </c>
      <c r="G1339" t="s">
        <v>18</v>
      </c>
      <c r="H1339" t="s">
        <v>9</v>
      </c>
    </row>
    <row r="1340" spans="1:8" x14ac:dyDescent="0.3">
      <c r="A1340" t="s">
        <v>1295</v>
      </c>
      <c r="B1340">
        <v>94</v>
      </c>
      <c r="C1340" t="s">
        <v>45</v>
      </c>
      <c r="D1340">
        <v>52</v>
      </c>
      <c r="E1340">
        <v>70</v>
      </c>
      <c r="F1340">
        <v>5.03</v>
      </c>
      <c r="G1340" t="s">
        <v>18</v>
      </c>
      <c r="H1340" t="s">
        <v>9</v>
      </c>
    </row>
    <row r="1341" spans="1:8" x14ac:dyDescent="0.3">
      <c r="A1341" t="s">
        <v>1296</v>
      </c>
      <c r="B1341">
        <v>94</v>
      </c>
      <c r="C1341" t="s">
        <v>45</v>
      </c>
      <c r="D1341">
        <v>53</v>
      </c>
      <c r="E1341">
        <v>71</v>
      </c>
      <c r="F1341">
        <v>3.53</v>
      </c>
      <c r="G1341" t="s">
        <v>18</v>
      </c>
      <c r="H1341" t="s">
        <v>5</v>
      </c>
    </row>
    <row r="1342" spans="1:8" x14ac:dyDescent="0.3">
      <c r="A1342" t="s">
        <v>1297</v>
      </c>
      <c r="B1342">
        <v>94</v>
      </c>
      <c r="C1342" t="s">
        <v>41</v>
      </c>
      <c r="D1342">
        <v>62</v>
      </c>
      <c r="E1342">
        <v>83</v>
      </c>
      <c r="F1342">
        <v>154.32</v>
      </c>
      <c r="G1342" t="s">
        <v>2</v>
      </c>
      <c r="H1342" t="s">
        <v>9</v>
      </c>
    </row>
    <row r="1343" spans="1:8" x14ac:dyDescent="0.3">
      <c r="A1343" t="s">
        <v>1298</v>
      </c>
      <c r="B1343">
        <v>95</v>
      </c>
      <c r="C1343" t="s">
        <v>82</v>
      </c>
      <c r="D1343">
        <v>52</v>
      </c>
      <c r="E1343">
        <v>68</v>
      </c>
      <c r="F1343">
        <v>154.32</v>
      </c>
      <c r="G1343" t="s">
        <v>2</v>
      </c>
      <c r="H1343" t="s">
        <v>12</v>
      </c>
    </row>
    <row r="1344" spans="1:8" x14ac:dyDescent="0.3">
      <c r="A1344" t="s">
        <v>1299</v>
      </c>
      <c r="B1344">
        <v>94</v>
      </c>
      <c r="C1344" t="s">
        <v>45</v>
      </c>
      <c r="D1344">
        <v>53</v>
      </c>
      <c r="E1344">
        <v>71</v>
      </c>
      <c r="F1344">
        <v>114.64</v>
      </c>
      <c r="G1344" t="s">
        <v>2</v>
      </c>
      <c r="H1344" t="s">
        <v>9</v>
      </c>
    </row>
    <row r="1345" spans="1:8" x14ac:dyDescent="0.3">
      <c r="A1345" t="s">
        <v>1300</v>
      </c>
      <c r="B1345">
        <v>94</v>
      </c>
      <c r="C1345" t="s">
        <v>45</v>
      </c>
      <c r="D1345">
        <v>55</v>
      </c>
      <c r="E1345">
        <v>77</v>
      </c>
      <c r="F1345">
        <v>121.25</v>
      </c>
      <c r="G1345" t="s">
        <v>2</v>
      </c>
      <c r="H1345" t="s">
        <v>9</v>
      </c>
    </row>
    <row r="1346" spans="1:8" x14ac:dyDescent="0.3">
      <c r="A1346" t="s">
        <v>21</v>
      </c>
      <c r="B1346">
        <v>94</v>
      </c>
      <c r="C1346" t="s">
        <v>82</v>
      </c>
      <c r="D1346">
        <v>47</v>
      </c>
      <c r="E1346">
        <v>59</v>
      </c>
      <c r="F1346">
        <v>8.66</v>
      </c>
      <c r="G1346" t="s">
        <v>11</v>
      </c>
      <c r="H1346" t="s">
        <v>21</v>
      </c>
    </row>
    <row r="1347" spans="1:8" x14ac:dyDescent="0.3">
      <c r="A1347" t="s">
        <v>1301</v>
      </c>
      <c r="B1347">
        <v>94</v>
      </c>
      <c r="C1347" t="s">
        <v>82</v>
      </c>
      <c r="D1347">
        <v>50</v>
      </c>
      <c r="E1347">
        <v>70</v>
      </c>
      <c r="F1347">
        <v>6.17</v>
      </c>
      <c r="G1347" t="s">
        <v>18</v>
      </c>
      <c r="H1347" t="s">
        <v>9</v>
      </c>
    </row>
    <row r="1348" spans="1:8" x14ac:dyDescent="0.3">
      <c r="A1348" t="s">
        <v>1302</v>
      </c>
      <c r="B1348">
        <v>94</v>
      </c>
      <c r="C1348" t="s">
        <v>45</v>
      </c>
      <c r="D1348">
        <v>57</v>
      </c>
      <c r="E1348">
        <v>75</v>
      </c>
      <c r="F1348">
        <v>132.28</v>
      </c>
      <c r="G1348" t="s">
        <v>2</v>
      </c>
      <c r="H1348" t="s">
        <v>9</v>
      </c>
    </row>
    <row r="1349" spans="1:8" x14ac:dyDescent="0.3">
      <c r="A1349" t="s">
        <v>1303</v>
      </c>
      <c r="B1349">
        <v>94</v>
      </c>
      <c r="C1349" t="s">
        <v>45</v>
      </c>
      <c r="D1349">
        <v>52</v>
      </c>
      <c r="E1349">
        <v>75</v>
      </c>
      <c r="F1349">
        <v>22.71</v>
      </c>
      <c r="G1349" t="s">
        <v>18</v>
      </c>
      <c r="H1349" t="s">
        <v>9</v>
      </c>
    </row>
    <row r="1350" spans="1:8" x14ac:dyDescent="0.3">
      <c r="A1350" t="s">
        <v>1304</v>
      </c>
      <c r="B1350">
        <v>96</v>
      </c>
      <c r="C1350" t="s">
        <v>45</v>
      </c>
      <c r="D1350">
        <v>58</v>
      </c>
      <c r="E1350">
        <v>82</v>
      </c>
      <c r="F1350">
        <v>5.29</v>
      </c>
      <c r="G1350" t="s">
        <v>18</v>
      </c>
      <c r="H1350" t="s">
        <v>9</v>
      </c>
    </row>
    <row r="1351" spans="1:8" x14ac:dyDescent="0.3">
      <c r="A1351" t="s">
        <v>1305</v>
      </c>
      <c r="B1351">
        <v>94</v>
      </c>
      <c r="C1351" t="s">
        <v>45</v>
      </c>
      <c r="D1351">
        <v>54</v>
      </c>
      <c r="E1351">
        <v>72</v>
      </c>
      <c r="F1351">
        <v>6.76</v>
      </c>
      <c r="G1351" t="s">
        <v>18</v>
      </c>
      <c r="H1351" t="s">
        <v>12</v>
      </c>
    </row>
    <row r="1352" spans="1:8" x14ac:dyDescent="0.3">
      <c r="A1352" t="s">
        <v>1306</v>
      </c>
      <c r="B1352">
        <v>94</v>
      </c>
      <c r="C1352" t="s">
        <v>82</v>
      </c>
      <c r="D1352">
        <v>53</v>
      </c>
      <c r="E1352">
        <v>65</v>
      </c>
      <c r="F1352">
        <v>5.59</v>
      </c>
      <c r="G1352" t="s">
        <v>18</v>
      </c>
      <c r="H1352" t="s">
        <v>12</v>
      </c>
    </row>
    <row r="1353" spans="1:8" x14ac:dyDescent="0.3">
      <c r="A1353" t="s">
        <v>1307</v>
      </c>
      <c r="B1353">
        <v>96</v>
      </c>
      <c r="C1353" t="s">
        <v>82</v>
      </c>
      <c r="D1353">
        <v>48</v>
      </c>
      <c r="E1353">
        <v>67</v>
      </c>
      <c r="F1353">
        <v>16.670000000000002</v>
      </c>
      <c r="G1353" t="s">
        <v>18</v>
      </c>
      <c r="H1353" t="s">
        <v>14</v>
      </c>
    </row>
    <row r="1354" spans="1:8" x14ac:dyDescent="0.3">
      <c r="A1354" t="s">
        <v>1308</v>
      </c>
      <c r="B1354">
        <v>94</v>
      </c>
      <c r="C1354" t="s">
        <v>45</v>
      </c>
      <c r="D1354">
        <v>56</v>
      </c>
      <c r="E1354">
        <v>78</v>
      </c>
      <c r="F1354">
        <v>15.43</v>
      </c>
      <c r="G1354" t="s">
        <v>10</v>
      </c>
      <c r="H1354" t="s">
        <v>10</v>
      </c>
    </row>
    <row r="1355" spans="1:8" x14ac:dyDescent="0.3">
      <c r="A1355" t="s">
        <v>1309</v>
      </c>
      <c r="B1355">
        <v>94</v>
      </c>
      <c r="C1355" t="s">
        <v>45</v>
      </c>
      <c r="D1355">
        <v>53</v>
      </c>
      <c r="E1355">
        <v>75</v>
      </c>
      <c r="F1355">
        <v>11.76</v>
      </c>
      <c r="G1355" t="s">
        <v>18</v>
      </c>
      <c r="H1355" t="s">
        <v>12</v>
      </c>
    </row>
    <row r="1356" spans="1:8" x14ac:dyDescent="0.3">
      <c r="A1356" t="s">
        <v>1310</v>
      </c>
      <c r="B1356">
        <v>97</v>
      </c>
      <c r="C1356" t="s">
        <v>45</v>
      </c>
      <c r="D1356">
        <v>54</v>
      </c>
      <c r="E1356">
        <v>78</v>
      </c>
      <c r="F1356">
        <v>6.23</v>
      </c>
      <c r="G1356" t="s">
        <v>18</v>
      </c>
      <c r="H1356" t="s">
        <v>12</v>
      </c>
    </row>
    <row r="1357" spans="1:8" x14ac:dyDescent="0.3">
      <c r="A1357" t="s">
        <v>1311</v>
      </c>
      <c r="B1357">
        <v>97</v>
      </c>
      <c r="C1357" t="s">
        <v>45</v>
      </c>
      <c r="D1357">
        <v>54</v>
      </c>
      <c r="E1357">
        <v>78</v>
      </c>
      <c r="F1357">
        <v>6.23</v>
      </c>
      <c r="G1357" t="s">
        <v>18</v>
      </c>
      <c r="H1357" t="s">
        <v>12</v>
      </c>
    </row>
    <row r="1358" spans="1:8" x14ac:dyDescent="0.3">
      <c r="A1358" t="s">
        <v>1312</v>
      </c>
      <c r="B1358">
        <v>94</v>
      </c>
      <c r="C1358" t="s">
        <v>82</v>
      </c>
      <c r="D1358">
        <v>45</v>
      </c>
      <c r="E1358">
        <v>67</v>
      </c>
      <c r="F1358">
        <v>5.07</v>
      </c>
      <c r="G1358" t="s">
        <v>18</v>
      </c>
      <c r="H1358" t="s">
        <v>150</v>
      </c>
    </row>
    <row r="1359" spans="1:8" x14ac:dyDescent="0.3">
      <c r="A1359" t="s">
        <v>1313</v>
      </c>
      <c r="B1359">
        <v>94</v>
      </c>
      <c r="C1359" t="s">
        <v>82</v>
      </c>
      <c r="D1359">
        <v>46</v>
      </c>
      <c r="E1359">
        <v>68</v>
      </c>
      <c r="F1359">
        <v>4.9800000000000004</v>
      </c>
      <c r="G1359" t="s">
        <v>18</v>
      </c>
      <c r="H1359" t="s">
        <v>9</v>
      </c>
    </row>
    <row r="1360" spans="1:8" x14ac:dyDescent="0.3">
      <c r="A1360" t="s">
        <v>1314</v>
      </c>
      <c r="B1360">
        <v>94</v>
      </c>
      <c r="C1360" t="s">
        <v>82</v>
      </c>
      <c r="D1360">
        <v>46</v>
      </c>
      <c r="E1360">
        <v>68</v>
      </c>
      <c r="F1360">
        <v>5.57</v>
      </c>
      <c r="G1360" t="s">
        <v>18</v>
      </c>
      <c r="H1360" t="s">
        <v>14</v>
      </c>
    </row>
    <row r="1361" spans="1:8" x14ac:dyDescent="0.3">
      <c r="A1361" t="s">
        <v>1315</v>
      </c>
      <c r="B1361">
        <v>95</v>
      </c>
      <c r="C1361" t="s">
        <v>45</v>
      </c>
      <c r="D1361">
        <v>60</v>
      </c>
      <c r="E1361">
        <v>78</v>
      </c>
      <c r="F1361">
        <v>293.33</v>
      </c>
      <c r="G1361" t="s">
        <v>2</v>
      </c>
      <c r="H1361" t="s">
        <v>9</v>
      </c>
    </row>
    <row r="1362" spans="1:8" x14ac:dyDescent="0.3">
      <c r="A1362" t="s">
        <v>1316</v>
      </c>
      <c r="B1362">
        <v>94</v>
      </c>
      <c r="C1362" t="s">
        <v>45</v>
      </c>
      <c r="D1362">
        <v>57</v>
      </c>
      <c r="E1362">
        <v>79</v>
      </c>
      <c r="F1362">
        <v>5.73</v>
      </c>
      <c r="G1362" t="s">
        <v>18</v>
      </c>
      <c r="H1362" t="s">
        <v>14</v>
      </c>
    </row>
    <row r="1363" spans="1:8" x14ac:dyDescent="0.3">
      <c r="A1363" t="s">
        <v>603</v>
      </c>
      <c r="B1363">
        <v>94</v>
      </c>
      <c r="C1363" t="s">
        <v>45</v>
      </c>
      <c r="D1363">
        <v>56</v>
      </c>
      <c r="E1363">
        <v>74</v>
      </c>
      <c r="F1363">
        <v>7.33</v>
      </c>
      <c r="G1363" t="s">
        <v>18</v>
      </c>
      <c r="H1363" t="s">
        <v>14</v>
      </c>
    </row>
    <row r="1364" spans="1:8" x14ac:dyDescent="0.3">
      <c r="A1364" t="s">
        <v>1317</v>
      </c>
      <c r="B1364">
        <v>94</v>
      </c>
      <c r="C1364" t="s">
        <v>45</v>
      </c>
      <c r="D1364">
        <v>60</v>
      </c>
      <c r="E1364">
        <v>78</v>
      </c>
      <c r="F1364">
        <v>5.88</v>
      </c>
      <c r="G1364" t="s">
        <v>18</v>
      </c>
      <c r="H1364" t="s">
        <v>14</v>
      </c>
    </row>
    <row r="1365" spans="1:8" x14ac:dyDescent="0.3">
      <c r="A1365" t="s">
        <v>1318</v>
      </c>
      <c r="B1365">
        <v>94</v>
      </c>
      <c r="C1365" t="s">
        <v>45</v>
      </c>
      <c r="D1365">
        <v>55</v>
      </c>
      <c r="E1365">
        <v>75</v>
      </c>
      <c r="F1365">
        <v>158.72999999999999</v>
      </c>
      <c r="G1365" t="s">
        <v>2</v>
      </c>
      <c r="H1365" t="s">
        <v>12</v>
      </c>
    </row>
    <row r="1366" spans="1:8" x14ac:dyDescent="0.3">
      <c r="A1366" t="s">
        <v>1319</v>
      </c>
      <c r="B1366">
        <v>94</v>
      </c>
      <c r="C1366" t="s">
        <v>45</v>
      </c>
      <c r="D1366">
        <v>55</v>
      </c>
      <c r="E1366">
        <v>74</v>
      </c>
      <c r="F1366">
        <v>43.65</v>
      </c>
      <c r="G1366" t="s">
        <v>18</v>
      </c>
      <c r="H1366" t="s">
        <v>5</v>
      </c>
    </row>
    <row r="1367" spans="1:8" x14ac:dyDescent="0.3">
      <c r="A1367" t="s">
        <v>1320</v>
      </c>
      <c r="B1367">
        <v>96</v>
      </c>
      <c r="C1367" t="s">
        <v>45</v>
      </c>
      <c r="D1367">
        <v>57</v>
      </c>
      <c r="E1367">
        <v>83</v>
      </c>
      <c r="F1367">
        <v>26.46</v>
      </c>
      <c r="G1367" t="s">
        <v>18</v>
      </c>
      <c r="H1367" t="s">
        <v>14</v>
      </c>
    </row>
    <row r="1368" spans="1:8" x14ac:dyDescent="0.3">
      <c r="A1368" t="s">
        <v>1321</v>
      </c>
      <c r="B1368">
        <v>94</v>
      </c>
      <c r="C1368" t="s">
        <v>41</v>
      </c>
      <c r="D1368">
        <v>58</v>
      </c>
      <c r="E1368">
        <v>84</v>
      </c>
      <c r="F1368">
        <v>17.59</v>
      </c>
      <c r="G1368" t="s">
        <v>18</v>
      </c>
      <c r="H1368" t="s">
        <v>18</v>
      </c>
    </row>
    <row r="1369" spans="1:8" x14ac:dyDescent="0.3">
      <c r="A1369" t="s">
        <v>1322</v>
      </c>
      <c r="B1369">
        <v>94</v>
      </c>
      <c r="C1369" t="s">
        <v>45</v>
      </c>
      <c r="D1369">
        <v>51</v>
      </c>
      <c r="E1369">
        <v>73</v>
      </c>
      <c r="F1369">
        <v>37.04</v>
      </c>
      <c r="G1369" t="s">
        <v>18</v>
      </c>
      <c r="H1369" t="s">
        <v>150</v>
      </c>
    </row>
    <row r="1370" spans="1:8" x14ac:dyDescent="0.3">
      <c r="A1370" t="s">
        <v>1323</v>
      </c>
      <c r="B1370">
        <v>95</v>
      </c>
      <c r="C1370" t="s">
        <v>45</v>
      </c>
      <c r="D1370">
        <v>51</v>
      </c>
      <c r="E1370">
        <v>73</v>
      </c>
      <c r="F1370">
        <v>9.5</v>
      </c>
      <c r="G1370" t="s">
        <v>11</v>
      </c>
      <c r="H1370" t="s">
        <v>9</v>
      </c>
    </row>
    <row r="1371" spans="1:8" x14ac:dyDescent="0.3">
      <c r="A1371" t="s">
        <v>1324</v>
      </c>
      <c r="B1371">
        <v>94</v>
      </c>
      <c r="C1371" t="s">
        <v>82</v>
      </c>
      <c r="D1371">
        <v>53</v>
      </c>
      <c r="E1371">
        <v>64</v>
      </c>
      <c r="F1371">
        <v>533.33000000000004</v>
      </c>
      <c r="G1371" t="s">
        <v>2</v>
      </c>
      <c r="H1371" t="s">
        <v>14</v>
      </c>
    </row>
    <row r="1372" spans="1:8" x14ac:dyDescent="0.3">
      <c r="A1372" t="s">
        <v>1325</v>
      </c>
      <c r="B1372">
        <v>94</v>
      </c>
      <c r="C1372" t="s">
        <v>45</v>
      </c>
      <c r="D1372">
        <v>60</v>
      </c>
      <c r="E1372">
        <v>79</v>
      </c>
      <c r="F1372">
        <v>266.67</v>
      </c>
      <c r="G1372" t="s">
        <v>2</v>
      </c>
      <c r="H1372" t="s">
        <v>9</v>
      </c>
    </row>
    <row r="1373" spans="1:8" x14ac:dyDescent="0.3">
      <c r="A1373" t="s">
        <v>1326</v>
      </c>
      <c r="B1373">
        <v>94</v>
      </c>
      <c r="C1373" t="s">
        <v>45</v>
      </c>
      <c r="D1373">
        <v>53</v>
      </c>
      <c r="E1373">
        <v>75</v>
      </c>
      <c r="F1373">
        <v>5.95</v>
      </c>
      <c r="G1373" t="s">
        <v>2</v>
      </c>
      <c r="H1373" t="s">
        <v>12</v>
      </c>
    </row>
    <row r="1374" spans="1:8" x14ac:dyDescent="0.3">
      <c r="A1374" t="s">
        <v>1327</v>
      </c>
      <c r="B1374">
        <v>95</v>
      </c>
      <c r="C1374" t="s">
        <v>45</v>
      </c>
      <c r="D1374">
        <v>58</v>
      </c>
      <c r="E1374">
        <v>82</v>
      </c>
      <c r="F1374">
        <v>5.59</v>
      </c>
      <c r="G1374" t="s">
        <v>18</v>
      </c>
      <c r="H1374" t="s">
        <v>9</v>
      </c>
    </row>
    <row r="1375" spans="1:8" x14ac:dyDescent="0.3">
      <c r="A1375" t="s">
        <v>1328</v>
      </c>
      <c r="B1375">
        <v>95</v>
      </c>
      <c r="C1375" t="s">
        <v>45</v>
      </c>
      <c r="D1375">
        <v>58</v>
      </c>
      <c r="E1375">
        <v>80</v>
      </c>
      <c r="F1375">
        <v>154.32</v>
      </c>
      <c r="G1375" t="s">
        <v>2</v>
      </c>
      <c r="H1375" t="s">
        <v>9</v>
      </c>
    </row>
    <row r="1376" spans="1:8" x14ac:dyDescent="0.3">
      <c r="A1376" t="s">
        <v>1329</v>
      </c>
      <c r="B1376">
        <v>95</v>
      </c>
      <c r="C1376" t="s">
        <v>82</v>
      </c>
      <c r="D1376">
        <v>51</v>
      </c>
      <c r="E1376">
        <v>69</v>
      </c>
      <c r="F1376">
        <v>16.53</v>
      </c>
      <c r="G1376" t="s">
        <v>18</v>
      </c>
      <c r="H1376" t="s">
        <v>14</v>
      </c>
    </row>
    <row r="1377" spans="1:8" x14ac:dyDescent="0.3">
      <c r="A1377" t="s">
        <v>1330</v>
      </c>
      <c r="B1377">
        <v>94</v>
      </c>
      <c r="C1377" t="s">
        <v>45</v>
      </c>
      <c r="D1377">
        <v>53</v>
      </c>
      <c r="E1377">
        <v>75</v>
      </c>
      <c r="F1377">
        <v>5.29</v>
      </c>
      <c r="G1377" t="s">
        <v>31</v>
      </c>
      <c r="H1377" t="s">
        <v>16</v>
      </c>
    </row>
    <row r="1378" spans="1:8" x14ac:dyDescent="0.3">
      <c r="A1378" t="s">
        <v>1331</v>
      </c>
      <c r="B1378">
        <v>94</v>
      </c>
      <c r="C1378" t="s">
        <v>45</v>
      </c>
      <c r="D1378">
        <v>55</v>
      </c>
      <c r="E1378">
        <v>68</v>
      </c>
      <c r="F1378">
        <v>5.29</v>
      </c>
      <c r="G1378" t="s">
        <v>18</v>
      </c>
      <c r="H1378" t="s">
        <v>16</v>
      </c>
    </row>
    <row r="1379" spans="1:8" x14ac:dyDescent="0.3">
      <c r="A1379" t="s">
        <v>1332</v>
      </c>
      <c r="B1379">
        <v>95</v>
      </c>
      <c r="C1379" t="s">
        <v>82</v>
      </c>
      <c r="D1379">
        <v>51</v>
      </c>
      <c r="E1379">
        <v>68</v>
      </c>
      <c r="F1379">
        <v>5</v>
      </c>
      <c r="G1379" t="s">
        <v>18</v>
      </c>
      <c r="H1379" t="s">
        <v>16</v>
      </c>
    </row>
    <row r="1380" spans="1:8" x14ac:dyDescent="0.3">
      <c r="A1380" t="s">
        <v>1333</v>
      </c>
      <c r="B1380">
        <v>95</v>
      </c>
      <c r="C1380" t="s">
        <v>45</v>
      </c>
      <c r="D1380">
        <v>51</v>
      </c>
      <c r="E1380">
        <v>73</v>
      </c>
      <c r="F1380">
        <v>143.30000000000001</v>
      </c>
      <c r="G1380" t="s">
        <v>2</v>
      </c>
      <c r="H1380" t="s">
        <v>9</v>
      </c>
    </row>
    <row r="1381" spans="1:8" x14ac:dyDescent="0.3">
      <c r="A1381" t="s">
        <v>1334</v>
      </c>
      <c r="B1381">
        <v>94</v>
      </c>
      <c r="C1381" t="s">
        <v>45</v>
      </c>
      <c r="D1381">
        <v>56</v>
      </c>
      <c r="E1381">
        <v>80</v>
      </c>
      <c r="F1381">
        <v>5</v>
      </c>
      <c r="G1381" t="s">
        <v>18</v>
      </c>
      <c r="H1381" t="s">
        <v>20</v>
      </c>
    </row>
    <row r="1382" spans="1:8" x14ac:dyDescent="0.3">
      <c r="A1382" t="s">
        <v>1335</v>
      </c>
      <c r="B1382">
        <v>94</v>
      </c>
      <c r="C1382" t="s">
        <v>45</v>
      </c>
      <c r="D1382">
        <v>50</v>
      </c>
      <c r="E1382">
        <v>74</v>
      </c>
      <c r="F1382">
        <v>79.37</v>
      </c>
      <c r="G1382" t="s">
        <v>2</v>
      </c>
      <c r="H1382" t="s">
        <v>21</v>
      </c>
    </row>
    <row r="1383" spans="1:8" x14ac:dyDescent="0.3">
      <c r="A1383" t="s">
        <v>1336</v>
      </c>
      <c r="B1383">
        <v>94</v>
      </c>
      <c r="C1383" t="s">
        <v>45</v>
      </c>
      <c r="D1383">
        <v>52</v>
      </c>
      <c r="E1383">
        <v>74</v>
      </c>
      <c r="F1383">
        <v>485.01</v>
      </c>
      <c r="G1383" t="s">
        <v>2</v>
      </c>
      <c r="H1383" t="s">
        <v>5</v>
      </c>
    </row>
    <row r="1384" spans="1:8" x14ac:dyDescent="0.3">
      <c r="A1384" t="s">
        <v>1037</v>
      </c>
      <c r="B1384">
        <v>94</v>
      </c>
      <c r="C1384" t="s">
        <v>45</v>
      </c>
      <c r="D1384">
        <v>54</v>
      </c>
      <c r="E1384">
        <v>78</v>
      </c>
      <c r="F1384">
        <v>5.29</v>
      </c>
      <c r="G1384" t="s">
        <v>18</v>
      </c>
      <c r="H1384" t="s">
        <v>9</v>
      </c>
    </row>
    <row r="1385" spans="1:8" x14ac:dyDescent="0.3">
      <c r="A1385" t="s">
        <v>1337</v>
      </c>
      <c r="B1385">
        <v>94</v>
      </c>
      <c r="C1385" t="s">
        <v>45</v>
      </c>
      <c r="D1385">
        <v>52</v>
      </c>
      <c r="E1385">
        <v>76</v>
      </c>
      <c r="F1385">
        <v>5.59</v>
      </c>
      <c r="G1385" t="s">
        <v>18</v>
      </c>
      <c r="H1385" t="s">
        <v>12</v>
      </c>
    </row>
    <row r="1386" spans="1:8" x14ac:dyDescent="0.3">
      <c r="A1386" t="s">
        <v>582</v>
      </c>
      <c r="B1386">
        <v>94</v>
      </c>
      <c r="C1386" t="s">
        <v>45</v>
      </c>
      <c r="D1386">
        <v>54</v>
      </c>
      <c r="E1386">
        <v>78</v>
      </c>
      <c r="F1386">
        <v>5.29</v>
      </c>
      <c r="G1386" t="s">
        <v>18</v>
      </c>
      <c r="H1386" t="s">
        <v>9</v>
      </c>
    </row>
    <row r="1387" spans="1:8" x14ac:dyDescent="0.3">
      <c r="A1387" t="s">
        <v>1338</v>
      </c>
      <c r="B1387">
        <v>94</v>
      </c>
      <c r="C1387" t="s">
        <v>41</v>
      </c>
      <c r="D1387">
        <v>58</v>
      </c>
      <c r="E1387">
        <v>84</v>
      </c>
      <c r="F1387">
        <v>111.11</v>
      </c>
      <c r="G1387" t="s">
        <v>2</v>
      </c>
      <c r="H1387" t="s">
        <v>9</v>
      </c>
    </row>
    <row r="1388" spans="1:8" x14ac:dyDescent="0.3">
      <c r="A1388" t="s">
        <v>1339</v>
      </c>
      <c r="B1388">
        <v>97</v>
      </c>
      <c r="C1388" t="s">
        <v>45</v>
      </c>
      <c r="D1388">
        <v>54</v>
      </c>
      <c r="E1388">
        <v>78</v>
      </c>
      <c r="F1388">
        <v>5.29</v>
      </c>
      <c r="G1388" t="s">
        <v>18</v>
      </c>
      <c r="H1388" t="s">
        <v>12</v>
      </c>
    </row>
    <row r="1389" spans="1:8" x14ac:dyDescent="0.3">
      <c r="A1389" t="s">
        <v>1340</v>
      </c>
      <c r="B1389">
        <v>94</v>
      </c>
      <c r="C1389" t="s">
        <v>45</v>
      </c>
      <c r="D1389">
        <v>55</v>
      </c>
      <c r="E1389">
        <v>77</v>
      </c>
      <c r="F1389">
        <v>7.05</v>
      </c>
      <c r="G1389" t="s">
        <v>18</v>
      </c>
      <c r="H1389" t="s">
        <v>17</v>
      </c>
    </row>
    <row r="1390" spans="1:8" x14ac:dyDescent="0.3">
      <c r="A1390" t="s">
        <v>1341</v>
      </c>
      <c r="B1390">
        <v>94</v>
      </c>
      <c r="C1390" t="s">
        <v>45</v>
      </c>
      <c r="D1390">
        <v>52</v>
      </c>
      <c r="E1390">
        <v>74</v>
      </c>
      <c r="F1390">
        <v>5.29</v>
      </c>
      <c r="G1390" t="s">
        <v>18</v>
      </c>
      <c r="H1390" t="s">
        <v>9</v>
      </c>
    </row>
    <row r="1391" spans="1:8" x14ac:dyDescent="0.3">
      <c r="A1391" t="s">
        <v>1342</v>
      </c>
      <c r="B1391">
        <v>94</v>
      </c>
      <c r="C1391" t="s">
        <v>82</v>
      </c>
      <c r="D1391">
        <v>42</v>
      </c>
      <c r="E1391">
        <v>64</v>
      </c>
      <c r="F1391">
        <v>6.47</v>
      </c>
      <c r="G1391" t="s">
        <v>18</v>
      </c>
      <c r="H1391" t="s">
        <v>12</v>
      </c>
    </row>
    <row r="1392" spans="1:8" x14ac:dyDescent="0.3">
      <c r="A1392" t="s">
        <v>1331</v>
      </c>
      <c r="B1392">
        <v>95</v>
      </c>
      <c r="C1392" t="s">
        <v>45</v>
      </c>
      <c r="D1392">
        <v>54</v>
      </c>
      <c r="E1392">
        <v>76</v>
      </c>
      <c r="F1392">
        <v>6.17</v>
      </c>
      <c r="G1392" t="s">
        <v>18</v>
      </c>
      <c r="H1392" t="s">
        <v>16</v>
      </c>
    </row>
    <row r="1393" spans="1:8" x14ac:dyDescent="0.3">
      <c r="A1393" t="s">
        <v>1343</v>
      </c>
      <c r="B1393">
        <v>94</v>
      </c>
      <c r="C1393" t="s">
        <v>45</v>
      </c>
      <c r="D1393">
        <v>54</v>
      </c>
      <c r="E1393">
        <v>78</v>
      </c>
      <c r="F1393">
        <v>8.8000000000000007</v>
      </c>
      <c r="G1393" t="s">
        <v>18</v>
      </c>
      <c r="H1393" t="s">
        <v>17</v>
      </c>
    </row>
    <row r="1394" spans="1:8" x14ac:dyDescent="0.3">
      <c r="A1394" t="s">
        <v>1344</v>
      </c>
      <c r="B1394">
        <v>94</v>
      </c>
      <c r="C1394" t="s">
        <v>45</v>
      </c>
      <c r="D1394">
        <v>52</v>
      </c>
      <c r="E1394">
        <v>76</v>
      </c>
      <c r="F1394">
        <v>4.41</v>
      </c>
      <c r="G1394" t="s">
        <v>18</v>
      </c>
      <c r="H1394" t="s">
        <v>9</v>
      </c>
    </row>
    <row r="1395" spans="1:8" x14ac:dyDescent="0.3">
      <c r="A1395" t="s">
        <v>701</v>
      </c>
      <c r="B1395">
        <v>94</v>
      </c>
      <c r="C1395" t="s">
        <v>82</v>
      </c>
      <c r="D1395">
        <v>47</v>
      </c>
      <c r="E1395">
        <v>69</v>
      </c>
      <c r="F1395">
        <v>5.29</v>
      </c>
      <c r="G1395" t="s">
        <v>18</v>
      </c>
      <c r="H1395" t="s">
        <v>12</v>
      </c>
    </row>
    <row r="1396" spans="1:8" x14ac:dyDescent="0.3">
      <c r="A1396" t="s">
        <v>1345</v>
      </c>
      <c r="B1396">
        <v>95</v>
      </c>
      <c r="C1396" t="s">
        <v>45</v>
      </c>
      <c r="D1396">
        <v>55</v>
      </c>
      <c r="E1396">
        <v>79</v>
      </c>
      <c r="F1396">
        <v>4.7</v>
      </c>
      <c r="G1396" t="s">
        <v>18</v>
      </c>
      <c r="H1396" t="s">
        <v>20</v>
      </c>
    </row>
    <row r="1397" spans="1:8" x14ac:dyDescent="0.3">
      <c r="A1397" t="s">
        <v>890</v>
      </c>
      <c r="B1397">
        <v>95</v>
      </c>
      <c r="C1397" t="s">
        <v>45</v>
      </c>
      <c r="D1397">
        <v>52</v>
      </c>
      <c r="E1397">
        <v>74</v>
      </c>
      <c r="F1397">
        <v>19.82</v>
      </c>
      <c r="G1397" t="s">
        <v>18</v>
      </c>
      <c r="H1397" t="s">
        <v>18</v>
      </c>
    </row>
    <row r="1398" spans="1:8" x14ac:dyDescent="0.3">
      <c r="A1398" t="s">
        <v>1346</v>
      </c>
      <c r="B1398">
        <v>94</v>
      </c>
      <c r="C1398" t="s">
        <v>45</v>
      </c>
      <c r="D1398">
        <v>50</v>
      </c>
      <c r="E1398">
        <v>72</v>
      </c>
      <c r="F1398">
        <v>6.61</v>
      </c>
      <c r="G1398" t="s">
        <v>18</v>
      </c>
      <c r="H1398" t="s">
        <v>9</v>
      </c>
    </row>
    <row r="1399" spans="1:8" x14ac:dyDescent="0.3">
      <c r="A1399" t="s">
        <v>1347</v>
      </c>
      <c r="B1399">
        <v>94</v>
      </c>
      <c r="C1399" t="s">
        <v>45</v>
      </c>
      <c r="D1399">
        <v>53</v>
      </c>
      <c r="E1399">
        <v>75</v>
      </c>
      <c r="F1399">
        <v>5.44</v>
      </c>
      <c r="G1399" t="s">
        <v>18</v>
      </c>
      <c r="H1399" t="s">
        <v>9</v>
      </c>
    </row>
    <row r="1400" spans="1:8" x14ac:dyDescent="0.3">
      <c r="A1400" t="s">
        <v>1348</v>
      </c>
      <c r="B1400">
        <v>95</v>
      </c>
      <c r="C1400" t="s">
        <v>82</v>
      </c>
      <c r="D1400">
        <v>48</v>
      </c>
      <c r="E1400">
        <v>72</v>
      </c>
      <c r="F1400">
        <v>5.59</v>
      </c>
      <c r="G1400" t="s">
        <v>18</v>
      </c>
      <c r="H1400" t="s">
        <v>12</v>
      </c>
    </row>
    <row r="1401" spans="1:8" x14ac:dyDescent="0.3">
      <c r="A1401" t="s">
        <v>1349</v>
      </c>
      <c r="B1401">
        <v>94</v>
      </c>
      <c r="C1401" t="s">
        <v>45</v>
      </c>
      <c r="D1401">
        <v>56</v>
      </c>
      <c r="E1401">
        <v>80</v>
      </c>
      <c r="F1401">
        <v>6.47</v>
      </c>
      <c r="G1401" t="s">
        <v>18</v>
      </c>
      <c r="H1401" t="s">
        <v>13</v>
      </c>
    </row>
    <row r="1402" spans="1:8" x14ac:dyDescent="0.3">
      <c r="A1402" t="s">
        <v>1350</v>
      </c>
      <c r="B1402">
        <v>94</v>
      </c>
      <c r="C1402" t="s">
        <v>45</v>
      </c>
      <c r="D1402">
        <v>56</v>
      </c>
      <c r="E1402">
        <v>78</v>
      </c>
      <c r="F1402">
        <v>4.97</v>
      </c>
      <c r="G1402" t="s">
        <v>18</v>
      </c>
      <c r="H1402" t="s">
        <v>23</v>
      </c>
    </row>
    <row r="1403" spans="1:8" x14ac:dyDescent="0.3">
      <c r="A1403" t="s">
        <v>1351</v>
      </c>
      <c r="B1403">
        <v>97</v>
      </c>
      <c r="C1403" t="s">
        <v>45</v>
      </c>
      <c r="D1403">
        <v>50</v>
      </c>
      <c r="E1403">
        <v>74</v>
      </c>
      <c r="F1403">
        <v>26.46</v>
      </c>
      <c r="G1403" t="s">
        <v>18</v>
      </c>
      <c r="H1403" t="s">
        <v>5</v>
      </c>
    </row>
    <row r="1404" spans="1:8" x14ac:dyDescent="0.3">
      <c r="A1404" t="s">
        <v>1352</v>
      </c>
      <c r="B1404">
        <v>94</v>
      </c>
      <c r="C1404" t="s">
        <v>45</v>
      </c>
      <c r="D1404">
        <v>58</v>
      </c>
      <c r="E1404">
        <v>80</v>
      </c>
      <c r="F1404">
        <v>6.61</v>
      </c>
      <c r="G1404" t="s">
        <v>2</v>
      </c>
      <c r="H1404" t="s">
        <v>14</v>
      </c>
    </row>
    <row r="1405" spans="1:8" x14ac:dyDescent="0.3">
      <c r="A1405" t="s">
        <v>717</v>
      </c>
      <c r="B1405">
        <v>94</v>
      </c>
      <c r="C1405" t="s">
        <v>45</v>
      </c>
      <c r="D1405">
        <v>53</v>
      </c>
      <c r="E1405">
        <v>77</v>
      </c>
      <c r="F1405">
        <v>7.61</v>
      </c>
      <c r="G1405" t="s">
        <v>18</v>
      </c>
      <c r="H1405" t="s">
        <v>14</v>
      </c>
    </row>
    <row r="1406" spans="1:8" x14ac:dyDescent="0.3">
      <c r="A1406" t="s">
        <v>1353</v>
      </c>
      <c r="B1406">
        <v>94</v>
      </c>
      <c r="C1406" t="s">
        <v>45</v>
      </c>
      <c r="D1406">
        <v>54</v>
      </c>
      <c r="E1406">
        <v>76</v>
      </c>
      <c r="F1406">
        <v>7.05</v>
      </c>
      <c r="G1406" t="s">
        <v>2</v>
      </c>
      <c r="H1406" t="s">
        <v>12</v>
      </c>
    </row>
    <row r="1407" spans="1:8" x14ac:dyDescent="0.3">
      <c r="A1407" t="s">
        <v>1354</v>
      </c>
      <c r="B1407">
        <v>94</v>
      </c>
      <c r="C1407" t="s">
        <v>45</v>
      </c>
      <c r="D1407">
        <v>60</v>
      </c>
      <c r="E1407">
        <v>80</v>
      </c>
      <c r="F1407">
        <v>5.29</v>
      </c>
      <c r="G1407" t="s">
        <v>18</v>
      </c>
      <c r="H1407" t="s">
        <v>9</v>
      </c>
    </row>
    <row r="1408" spans="1:8" x14ac:dyDescent="0.3">
      <c r="A1408" t="s">
        <v>1355</v>
      </c>
      <c r="B1408">
        <v>94</v>
      </c>
      <c r="C1408" t="s">
        <v>41</v>
      </c>
      <c r="D1408">
        <v>62</v>
      </c>
      <c r="E1408">
        <v>82</v>
      </c>
      <c r="F1408">
        <v>5.29</v>
      </c>
      <c r="G1408" t="s">
        <v>18</v>
      </c>
      <c r="H1408" t="s">
        <v>9</v>
      </c>
    </row>
    <row r="1409" spans="1:8" x14ac:dyDescent="0.3">
      <c r="A1409" t="s">
        <v>1356</v>
      </c>
      <c r="B1409">
        <v>95</v>
      </c>
      <c r="C1409" t="s">
        <v>45</v>
      </c>
      <c r="D1409">
        <v>56</v>
      </c>
      <c r="E1409">
        <v>72</v>
      </c>
      <c r="F1409">
        <v>6</v>
      </c>
      <c r="G1409" t="s">
        <v>18</v>
      </c>
      <c r="H1409" t="s">
        <v>12</v>
      </c>
    </row>
    <row r="1410" spans="1:8" x14ac:dyDescent="0.3">
      <c r="A1410" t="s">
        <v>1357</v>
      </c>
      <c r="B1410">
        <v>94</v>
      </c>
      <c r="C1410" t="s">
        <v>45</v>
      </c>
      <c r="D1410">
        <v>57</v>
      </c>
      <c r="E1410">
        <v>79</v>
      </c>
      <c r="F1410">
        <v>132.28</v>
      </c>
      <c r="G1410" t="s">
        <v>2</v>
      </c>
      <c r="H1410" t="s">
        <v>12</v>
      </c>
    </row>
    <row r="1411" spans="1:8" x14ac:dyDescent="0.3">
      <c r="A1411" t="s">
        <v>1358</v>
      </c>
      <c r="B1411">
        <v>95</v>
      </c>
      <c r="C1411" t="s">
        <v>45</v>
      </c>
      <c r="D1411">
        <v>57</v>
      </c>
      <c r="E1411">
        <v>79</v>
      </c>
      <c r="F1411">
        <v>127.87</v>
      </c>
      <c r="G1411" t="s">
        <v>2</v>
      </c>
      <c r="H1411" t="s">
        <v>9</v>
      </c>
    </row>
    <row r="1412" spans="1:8" x14ac:dyDescent="0.3">
      <c r="A1412" t="s">
        <v>1359</v>
      </c>
      <c r="B1412">
        <v>94</v>
      </c>
      <c r="C1412" t="s">
        <v>45</v>
      </c>
      <c r="D1412">
        <v>57</v>
      </c>
      <c r="E1412">
        <v>79</v>
      </c>
      <c r="F1412">
        <v>132.28</v>
      </c>
      <c r="G1412" t="s">
        <v>2</v>
      </c>
      <c r="H1412" t="s">
        <v>9</v>
      </c>
    </row>
    <row r="1413" spans="1:8" x14ac:dyDescent="0.3">
      <c r="A1413" t="s">
        <v>1360</v>
      </c>
      <c r="B1413">
        <v>94</v>
      </c>
      <c r="C1413" t="s">
        <v>45</v>
      </c>
      <c r="D1413">
        <v>54</v>
      </c>
      <c r="E1413">
        <v>76</v>
      </c>
      <c r="F1413">
        <v>4.99</v>
      </c>
      <c r="G1413" t="s">
        <v>18</v>
      </c>
      <c r="H1413" t="s">
        <v>14</v>
      </c>
    </row>
    <row r="1414" spans="1:8" x14ac:dyDescent="0.3">
      <c r="A1414" t="s">
        <v>1361</v>
      </c>
      <c r="B1414">
        <v>94</v>
      </c>
      <c r="C1414" t="s">
        <v>45</v>
      </c>
      <c r="D1414">
        <v>54</v>
      </c>
      <c r="E1414">
        <v>74</v>
      </c>
      <c r="F1414">
        <v>14.11</v>
      </c>
      <c r="G1414" t="s">
        <v>18</v>
      </c>
      <c r="H1414" t="s">
        <v>14</v>
      </c>
    </row>
    <row r="1415" spans="1:8" x14ac:dyDescent="0.3">
      <c r="A1415" t="s">
        <v>1362</v>
      </c>
      <c r="B1415">
        <v>95</v>
      </c>
      <c r="C1415" t="s">
        <v>45</v>
      </c>
      <c r="D1415">
        <v>60</v>
      </c>
      <c r="E1415">
        <v>80</v>
      </c>
      <c r="F1415">
        <v>7.94</v>
      </c>
      <c r="G1415" t="s">
        <v>2</v>
      </c>
      <c r="H1415" t="s">
        <v>9</v>
      </c>
    </row>
    <row r="1416" spans="1:8" x14ac:dyDescent="0.3">
      <c r="A1416" t="s">
        <v>1363</v>
      </c>
      <c r="B1416">
        <v>96</v>
      </c>
      <c r="C1416" t="s">
        <v>45</v>
      </c>
      <c r="D1416">
        <v>55</v>
      </c>
      <c r="E1416">
        <v>75</v>
      </c>
      <c r="F1416">
        <v>12</v>
      </c>
      <c r="G1416" t="s">
        <v>18</v>
      </c>
      <c r="H1416" t="s">
        <v>5</v>
      </c>
    </row>
    <row r="1417" spans="1:8" x14ac:dyDescent="0.3">
      <c r="A1417" t="s">
        <v>1125</v>
      </c>
      <c r="B1417">
        <v>94</v>
      </c>
      <c r="C1417" t="s">
        <v>45</v>
      </c>
      <c r="D1417">
        <v>54</v>
      </c>
      <c r="E1417">
        <v>78</v>
      </c>
      <c r="F1417">
        <v>19.84</v>
      </c>
      <c r="G1417" t="s">
        <v>18</v>
      </c>
      <c r="H1417" t="s">
        <v>5</v>
      </c>
    </row>
    <row r="1418" spans="1:8" x14ac:dyDescent="0.3">
      <c r="A1418" t="s">
        <v>1364</v>
      </c>
      <c r="B1418">
        <v>94</v>
      </c>
      <c r="C1418" t="s">
        <v>45</v>
      </c>
      <c r="D1418">
        <v>56</v>
      </c>
      <c r="E1418">
        <v>84</v>
      </c>
      <c r="F1418">
        <v>15.87</v>
      </c>
      <c r="G1418" t="s">
        <v>18</v>
      </c>
      <c r="H1418" t="s">
        <v>5</v>
      </c>
    </row>
    <row r="1419" spans="1:8" x14ac:dyDescent="0.3">
      <c r="A1419" t="s">
        <v>1365</v>
      </c>
      <c r="B1419">
        <v>94</v>
      </c>
      <c r="C1419" t="s">
        <v>45</v>
      </c>
      <c r="D1419">
        <v>55</v>
      </c>
      <c r="E1419">
        <v>72</v>
      </c>
      <c r="F1419">
        <v>132.28</v>
      </c>
      <c r="G1419" t="s">
        <v>2</v>
      </c>
      <c r="H1419" t="s">
        <v>12</v>
      </c>
    </row>
    <row r="1420" spans="1:8" x14ac:dyDescent="0.3">
      <c r="A1420" t="s">
        <v>1366</v>
      </c>
      <c r="B1420">
        <v>94</v>
      </c>
      <c r="C1420" t="s">
        <v>45</v>
      </c>
      <c r="D1420">
        <v>52</v>
      </c>
      <c r="E1420">
        <v>76</v>
      </c>
      <c r="F1420">
        <v>7.64</v>
      </c>
      <c r="G1420" t="s">
        <v>18</v>
      </c>
      <c r="H1420" t="s">
        <v>12</v>
      </c>
    </row>
    <row r="1421" spans="1:8" x14ac:dyDescent="0.3">
      <c r="A1421" t="s">
        <v>467</v>
      </c>
      <c r="B1421">
        <v>96</v>
      </c>
      <c r="C1421" t="s">
        <v>82</v>
      </c>
      <c r="D1421">
        <v>46</v>
      </c>
      <c r="E1421">
        <v>64</v>
      </c>
      <c r="F1421">
        <v>19.82</v>
      </c>
      <c r="G1421" t="s">
        <v>18</v>
      </c>
      <c r="H1421" t="s">
        <v>18</v>
      </c>
    </row>
    <row r="1422" spans="1:8" x14ac:dyDescent="0.3">
      <c r="A1422" t="s">
        <v>1367</v>
      </c>
      <c r="B1422">
        <v>95</v>
      </c>
      <c r="C1422" t="s">
        <v>45</v>
      </c>
      <c r="D1422">
        <v>54</v>
      </c>
      <c r="E1422">
        <v>74</v>
      </c>
      <c r="F1422">
        <v>5.86</v>
      </c>
      <c r="G1422" t="s">
        <v>18</v>
      </c>
      <c r="H1422" t="s">
        <v>12</v>
      </c>
    </row>
    <row r="1423" spans="1:8" x14ac:dyDescent="0.3">
      <c r="A1423" t="s">
        <v>1368</v>
      </c>
      <c r="B1423">
        <v>95</v>
      </c>
      <c r="C1423" t="s">
        <v>45</v>
      </c>
      <c r="D1423">
        <v>52</v>
      </c>
      <c r="E1423">
        <v>74</v>
      </c>
      <c r="F1423">
        <v>132.16</v>
      </c>
      <c r="G1423" t="s">
        <v>2</v>
      </c>
      <c r="H1423" t="s">
        <v>150</v>
      </c>
    </row>
    <row r="1424" spans="1:8" x14ac:dyDescent="0.3">
      <c r="A1424" t="s">
        <v>1369</v>
      </c>
      <c r="B1424">
        <v>94</v>
      </c>
      <c r="C1424" t="s">
        <v>45</v>
      </c>
      <c r="D1424">
        <v>56</v>
      </c>
      <c r="E1424">
        <v>74</v>
      </c>
      <c r="F1424">
        <v>5.73</v>
      </c>
      <c r="G1424" t="s">
        <v>18</v>
      </c>
      <c r="H1424" t="s">
        <v>12</v>
      </c>
    </row>
    <row r="1425" spans="1:8" x14ac:dyDescent="0.3">
      <c r="A1425" t="s">
        <v>1370</v>
      </c>
      <c r="B1425">
        <v>95</v>
      </c>
      <c r="C1425" t="s">
        <v>45</v>
      </c>
      <c r="D1425">
        <v>54</v>
      </c>
      <c r="E1425">
        <v>78</v>
      </c>
      <c r="F1425">
        <v>30.86</v>
      </c>
      <c r="G1425" t="s">
        <v>18</v>
      </c>
      <c r="H1425" t="s">
        <v>5</v>
      </c>
    </row>
    <row r="1426" spans="1:8" x14ac:dyDescent="0.3">
      <c r="A1426" t="s">
        <v>1371</v>
      </c>
      <c r="B1426">
        <v>94</v>
      </c>
      <c r="C1426" t="s">
        <v>45</v>
      </c>
      <c r="D1426">
        <v>50</v>
      </c>
      <c r="E1426">
        <v>76</v>
      </c>
      <c r="F1426">
        <v>19.84</v>
      </c>
      <c r="G1426" t="s">
        <v>18</v>
      </c>
      <c r="H1426" t="s">
        <v>15</v>
      </c>
    </row>
    <row r="1427" spans="1:8" x14ac:dyDescent="0.3">
      <c r="A1427" t="s">
        <v>1372</v>
      </c>
      <c r="B1427">
        <v>95</v>
      </c>
      <c r="C1427" t="s">
        <v>45</v>
      </c>
      <c r="D1427">
        <v>57</v>
      </c>
      <c r="E1427">
        <v>77</v>
      </c>
      <c r="F1427">
        <v>639.33000000000004</v>
      </c>
      <c r="G1427" t="s">
        <v>2</v>
      </c>
      <c r="H1427" t="s">
        <v>7</v>
      </c>
    </row>
    <row r="1428" spans="1:8" x14ac:dyDescent="0.3">
      <c r="A1428" t="s">
        <v>1373</v>
      </c>
      <c r="B1428">
        <v>94</v>
      </c>
      <c r="C1428" t="s">
        <v>45</v>
      </c>
      <c r="D1428">
        <v>56</v>
      </c>
      <c r="E1428">
        <v>78</v>
      </c>
      <c r="F1428">
        <v>6.17</v>
      </c>
      <c r="G1428" t="s">
        <v>18</v>
      </c>
      <c r="H1428" t="s">
        <v>7</v>
      </c>
    </row>
    <row r="1429" spans="1:8" x14ac:dyDescent="0.3">
      <c r="A1429" t="s">
        <v>1374</v>
      </c>
      <c r="B1429">
        <v>94</v>
      </c>
      <c r="C1429" t="s">
        <v>45</v>
      </c>
      <c r="D1429">
        <v>58</v>
      </c>
      <c r="E1429">
        <v>80</v>
      </c>
      <c r="F1429">
        <v>5.86</v>
      </c>
      <c r="G1429" t="s">
        <v>18</v>
      </c>
      <c r="H1429" t="s">
        <v>12</v>
      </c>
    </row>
    <row r="1430" spans="1:8" x14ac:dyDescent="0.3">
      <c r="A1430" t="s">
        <v>1375</v>
      </c>
      <c r="B1430">
        <v>95</v>
      </c>
      <c r="C1430" t="s">
        <v>45</v>
      </c>
      <c r="D1430">
        <v>57</v>
      </c>
      <c r="E1430">
        <v>81</v>
      </c>
      <c r="F1430">
        <v>5.73</v>
      </c>
      <c r="G1430" t="s">
        <v>18</v>
      </c>
      <c r="H1430" t="s">
        <v>12</v>
      </c>
    </row>
    <row r="1431" spans="1:8" x14ac:dyDescent="0.3">
      <c r="A1431" t="s">
        <v>1376</v>
      </c>
      <c r="B1431">
        <v>95</v>
      </c>
      <c r="C1431" t="s">
        <v>45</v>
      </c>
      <c r="D1431">
        <v>57</v>
      </c>
      <c r="E1431">
        <v>83</v>
      </c>
      <c r="F1431">
        <v>33.07</v>
      </c>
      <c r="G1431" t="s">
        <v>18</v>
      </c>
      <c r="H1431" t="s">
        <v>5</v>
      </c>
    </row>
    <row r="1432" spans="1:8" x14ac:dyDescent="0.3">
      <c r="A1432" t="s">
        <v>1377</v>
      </c>
      <c r="B1432">
        <v>96</v>
      </c>
      <c r="C1432" t="s">
        <v>45</v>
      </c>
      <c r="D1432">
        <v>56</v>
      </c>
      <c r="E1432">
        <v>76</v>
      </c>
      <c r="F1432">
        <v>19.84</v>
      </c>
      <c r="G1432" t="s">
        <v>18</v>
      </c>
      <c r="H1432" t="s">
        <v>5</v>
      </c>
    </row>
    <row r="1433" spans="1:8" x14ac:dyDescent="0.3">
      <c r="A1433" t="s">
        <v>1378</v>
      </c>
      <c r="B1433">
        <v>96</v>
      </c>
      <c r="C1433" t="s">
        <v>45</v>
      </c>
      <c r="D1433">
        <v>50</v>
      </c>
      <c r="E1433">
        <v>74</v>
      </c>
      <c r="F1433">
        <v>4.25</v>
      </c>
      <c r="G1433" t="s">
        <v>18</v>
      </c>
      <c r="H1433" t="s">
        <v>7</v>
      </c>
    </row>
    <row r="1434" spans="1:8" x14ac:dyDescent="0.3">
      <c r="A1434" t="s">
        <v>1379</v>
      </c>
      <c r="B1434">
        <v>94</v>
      </c>
      <c r="C1434" t="s">
        <v>45</v>
      </c>
      <c r="D1434">
        <v>55</v>
      </c>
      <c r="E1434">
        <v>75</v>
      </c>
      <c r="F1434">
        <v>5.73</v>
      </c>
      <c r="G1434" t="s">
        <v>18</v>
      </c>
      <c r="H1434" t="s">
        <v>12</v>
      </c>
    </row>
    <row r="1435" spans="1:8" x14ac:dyDescent="0.3">
      <c r="A1435" t="s">
        <v>1380</v>
      </c>
      <c r="B1435">
        <v>94</v>
      </c>
      <c r="C1435" t="s">
        <v>45</v>
      </c>
      <c r="D1435">
        <v>52</v>
      </c>
      <c r="E1435">
        <v>74</v>
      </c>
      <c r="F1435">
        <v>5.73</v>
      </c>
      <c r="G1435" t="s">
        <v>18</v>
      </c>
      <c r="H1435" t="s">
        <v>12</v>
      </c>
    </row>
    <row r="1436" spans="1:8" x14ac:dyDescent="0.3">
      <c r="A1436" t="s">
        <v>1381</v>
      </c>
      <c r="B1436">
        <v>94</v>
      </c>
      <c r="C1436" t="s">
        <v>45</v>
      </c>
      <c r="D1436">
        <v>56</v>
      </c>
      <c r="E1436">
        <v>75</v>
      </c>
      <c r="F1436">
        <v>5.73</v>
      </c>
      <c r="G1436" t="s">
        <v>18</v>
      </c>
      <c r="H1436" t="s">
        <v>12</v>
      </c>
    </row>
    <row r="1437" spans="1:8" x14ac:dyDescent="0.3">
      <c r="A1437" t="s">
        <v>1382</v>
      </c>
      <c r="B1437">
        <v>96</v>
      </c>
      <c r="C1437" t="s">
        <v>45</v>
      </c>
      <c r="D1437">
        <v>56</v>
      </c>
      <c r="E1437">
        <v>84</v>
      </c>
      <c r="F1437">
        <v>33.07</v>
      </c>
      <c r="G1437" t="s">
        <v>18</v>
      </c>
      <c r="H1437" t="s">
        <v>5</v>
      </c>
    </row>
    <row r="1438" spans="1:8" x14ac:dyDescent="0.3">
      <c r="A1438" t="s">
        <v>1383</v>
      </c>
      <c r="B1438">
        <v>94</v>
      </c>
      <c r="C1438" t="s">
        <v>45</v>
      </c>
      <c r="D1438">
        <v>53</v>
      </c>
      <c r="E1438">
        <v>81</v>
      </c>
      <c r="F1438">
        <v>4.92</v>
      </c>
      <c r="G1438" t="s">
        <v>18</v>
      </c>
      <c r="H1438" t="s">
        <v>12</v>
      </c>
    </row>
    <row r="1439" spans="1:8" x14ac:dyDescent="0.3">
      <c r="A1439" t="s">
        <v>1384</v>
      </c>
      <c r="B1439">
        <v>95</v>
      </c>
      <c r="C1439" t="s">
        <v>541</v>
      </c>
      <c r="D1439">
        <v>40</v>
      </c>
      <c r="E1439">
        <v>48</v>
      </c>
      <c r="F1439">
        <v>308.64999999999998</v>
      </c>
      <c r="G1439" t="s">
        <v>2</v>
      </c>
      <c r="H1439" t="s">
        <v>9</v>
      </c>
    </row>
    <row r="1440" spans="1:8" x14ac:dyDescent="0.3">
      <c r="A1440" t="s">
        <v>1385</v>
      </c>
      <c r="B1440">
        <v>94</v>
      </c>
      <c r="C1440" t="s">
        <v>541</v>
      </c>
      <c r="D1440">
        <v>39</v>
      </c>
      <c r="E1440">
        <v>45</v>
      </c>
      <c r="F1440">
        <v>330.7</v>
      </c>
      <c r="G1440" t="s">
        <v>2</v>
      </c>
      <c r="H1440" t="s">
        <v>12</v>
      </c>
    </row>
    <row r="1441" spans="1:8" x14ac:dyDescent="0.3">
      <c r="A1441" t="s">
        <v>1386</v>
      </c>
      <c r="B1441">
        <v>96</v>
      </c>
      <c r="C1441" t="s">
        <v>45</v>
      </c>
      <c r="D1441">
        <v>53</v>
      </c>
      <c r="E1441">
        <v>81</v>
      </c>
      <c r="F1441">
        <v>165.34</v>
      </c>
      <c r="G1441" t="s">
        <v>2</v>
      </c>
      <c r="H1441" t="s">
        <v>12</v>
      </c>
    </row>
    <row r="1442" spans="1:8" x14ac:dyDescent="0.3">
      <c r="A1442" t="s">
        <v>1387</v>
      </c>
      <c r="B1442">
        <v>95</v>
      </c>
      <c r="C1442" t="s">
        <v>41</v>
      </c>
      <c r="D1442">
        <v>56</v>
      </c>
      <c r="E1442">
        <v>86</v>
      </c>
      <c r="F1442">
        <v>127.87</v>
      </c>
      <c r="G1442" t="s">
        <v>2</v>
      </c>
      <c r="H1442" t="s">
        <v>9</v>
      </c>
    </row>
    <row r="1443" spans="1:8" x14ac:dyDescent="0.3">
      <c r="A1443" t="s">
        <v>1388</v>
      </c>
      <c r="B1443">
        <v>94</v>
      </c>
      <c r="C1443" t="s">
        <v>45</v>
      </c>
      <c r="D1443">
        <v>56</v>
      </c>
      <c r="E1443">
        <v>82</v>
      </c>
      <c r="F1443">
        <v>5.29</v>
      </c>
      <c r="G1443" t="s">
        <v>18</v>
      </c>
      <c r="H1443" t="s">
        <v>9</v>
      </c>
    </row>
    <row r="1444" spans="1:8" x14ac:dyDescent="0.3">
      <c r="A1444" t="s">
        <v>1389</v>
      </c>
      <c r="B1444">
        <v>94</v>
      </c>
      <c r="C1444" t="s">
        <v>45</v>
      </c>
      <c r="D1444">
        <v>58</v>
      </c>
      <c r="E1444">
        <v>82</v>
      </c>
      <c r="F1444">
        <v>5.14</v>
      </c>
      <c r="G1444" t="s">
        <v>18</v>
      </c>
      <c r="H1444" t="s">
        <v>9</v>
      </c>
    </row>
    <row r="1445" spans="1:8" x14ac:dyDescent="0.3">
      <c r="A1445" t="s">
        <v>1390</v>
      </c>
      <c r="B1445">
        <v>94</v>
      </c>
      <c r="C1445" t="s">
        <v>45</v>
      </c>
      <c r="D1445">
        <v>54</v>
      </c>
      <c r="E1445">
        <v>80</v>
      </c>
      <c r="F1445">
        <v>6.03</v>
      </c>
      <c r="G1445" t="s">
        <v>18</v>
      </c>
      <c r="H1445" t="s">
        <v>12</v>
      </c>
    </row>
    <row r="1446" spans="1:8" x14ac:dyDescent="0.3">
      <c r="A1446" t="s">
        <v>1391</v>
      </c>
      <c r="B1446">
        <v>95</v>
      </c>
      <c r="C1446" t="s">
        <v>45</v>
      </c>
      <c r="D1446">
        <v>56</v>
      </c>
      <c r="E1446">
        <v>80</v>
      </c>
      <c r="F1446">
        <v>5.51</v>
      </c>
      <c r="G1446" t="s">
        <v>18</v>
      </c>
      <c r="H1446" t="s">
        <v>9</v>
      </c>
    </row>
    <row r="1447" spans="1:8" x14ac:dyDescent="0.3">
      <c r="A1447" t="s">
        <v>1392</v>
      </c>
      <c r="B1447">
        <v>95</v>
      </c>
      <c r="C1447" t="s">
        <v>45</v>
      </c>
      <c r="D1447">
        <v>58</v>
      </c>
      <c r="E1447">
        <v>82</v>
      </c>
      <c r="F1447">
        <v>4.34</v>
      </c>
      <c r="G1447" t="s">
        <v>18</v>
      </c>
      <c r="H1447" t="s">
        <v>20</v>
      </c>
    </row>
    <row r="1448" spans="1:8" x14ac:dyDescent="0.3">
      <c r="A1448" t="s">
        <v>1393</v>
      </c>
      <c r="B1448">
        <v>96</v>
      </c>
      <c r="C1448" t="s">
        <v>45</v>
      </c>
      <c r="D1448">
        <v>56</v>
      </c>
      <c r="E1448">
        <v>84</v>
      </c>
      <c r="F1448">
        <v>11.76</v>
      </c>
      <c r="G1448" t="s">
        <v>18</v>
      </c>
      <c r="H1448" t="s">
        <v>5</v>
      </c>
    </row>
    <row r="1449" spans="1:8" x14ac:dyDescent="0.3">
      <c r="A1449" t="s">
        <v>1394</v>
      </c>
      <c r="B1449">
        <v>95</v>
      </c>
      <c r="C1449" t="s">
        <v>41</v>
      </c>
      <c r="D1449">
        <v>58</v>
      </c>
      <c r="E1449">
        <v>86</v>
      </c>
      <c r="F1449">
        <v>11.76</v>
      </c>
      <c r="G1449" t="s">
        <v>18</v>
      </c>
      <c r="H1449" t="s">
        <v>12</v>
      </c>
    </row>
    <row r="1450" spans="1:8" x14ac:dyDescent="0.3">
      <c r="A1450" t="s">
        <v>1395</v>
      </c>
      <c r="B1450">
        <v>94</v>
      </c>
      <c r="C1450" t="s">
        <v>45</v>
      </c>
      <c r="D1450">
        <v>51</v>
      </c>
      <c r="E1450">
        <v>74</v>
      </c>
      <c r="F1450">
        <v>5.29</v>
      </c>
      <c r="G1450" t="s">
        <v>18</v>
      </c>
      <c r="H1450" t="s">
        <v>9</v>
      </c>
    </row>
    <row r="1451" spans="1:8" x14ac:dyDescent="0.3">
      <c r="A1451" t="s">
        <v>1396</v>
      </c>
      <c r="B1451">
        <v>94</v>
      </c>
      <c r="C1451" t="s">
        <v>45</v>
      </c>
      <c r="D1451">
        <v>55</v>
      </c>
      <c r="E1451">
        <v>80</v>
      </c>
      <c r="F1451">
        <v>5.29</v>
      </c>
      <c r="G1451" t="s">
        <v>18</v>
      </c>
      <c r="H1451" t="s">
        <v>9</v>
      </c>
    </row>
    <row r="1452" spans="1:8" x14ac:dyDescent="0.3">
      <c r="A1452" t="s">
        <v>1397</v>
      </c>
      <c r="B1452">
        <v>94</v>
      </c>
      <c r="C1452" t="s">
        <v>45</v>
      </c>
      <c r="D1452">
        <v>52</v>
      </c>
      <c r="E1452">
        <v>74</v>
      </c>
      <c r="F1452">
        <v>121.25</v>
      </c>
      <c r="G1452" t="s">
        <v>2</v>
      </c>
      <c r="H1452" t="s">
        <v>7</v>
      </c>
    </row>
    <row r="1453" spans="1:8" x14ac:dyDescent="0.3">
      <c r="A1453" t="s">
        <v>1398</v>
      </c>
      <c r="B1453">
        <v>94</v>
      </c>
      <c r="C1453" t="s">
        <v>45</v>
      </c>
      <c r="D1453">
        <v>50</v>
      </c>
      <c r="E1453">
        <v>74</v>
      </c>
      <c r="F1453">
        <v>105.82</v>
      </c>
      <c r="G1453" t="s">
        <v>2</v>
      </c>
      <c r="H1453" t="s">
        <v>150</v>
      </c>
    </row>
    <row r="1454" spans="1:8" x14ac:dyDescent="0.3">
      <c r="A1454" t="s">
        <v>1399</v>
      </c>
      <c r="B1454">
        <v>95</v>
      </c>
      <c r="C1454" t="s">
        <v>45</v>
      </c>
      <c r="D1454">
        <v>52</v>
      </c>
      <c r="E1454">
        <v>78</v>
      </c>
      <c r="F1454">
        <v>6.61</v>
      </c>
      <c r="G1454" t="s">
        <v>18</v>
      </c>
      <c r="H1454" t="s">
        <v>7</v>
      </c>
    </row>
    <row r="1455" spans="1:8" x14ac:dyDescent="0.3">
      <c r="A1455" t="s">
        <v>1400</v>
      </c>
      <c r="B1455">
        <v>94</v>
      </c>
      <c r="C1455" t="s">
        <v>45</v>
      </c>
      <c r="D1455">
        <v>57</v>
      </c>
      <c r="E1455">
        <v>83</v>
      </c>
      <c r="F1455">
        <v>121.25</v>
      </c>
      <c r="G1455" t="s">
        <v>2</v>
      </c>
      <c r="H1455" t="s">
        <v>9</v>
      </c>
    </row>
    <row r="1456" spans="1:8" x14ac:dyDescent="0.3">
      <c r="A1456" t="s">
        <v>1401</v>
      </c>
      <c r="B1456">
        <v>95</v>
      </c>
      <c r="C1456" t="s">
        <v>82</v>
      </c>
      <c r="D1456">
        <v>46</v>
      </c>
      <c r="E1456">
        <v>72</v>
      </c>
      <c r="F1456">
        <v>255.73</v>
      </c>
      <c r="G1456" t="s">
        <v>2</v>
      </c>
      <c r="H1456" t="s">
        <v>9</v>
      </c>
    </row>
    <row r="1457" spans="1:8" x14ac:dyDescent="0.3">
      <c r="A1457" t="s">
        <v>1402</v>
      </c>
      <c r="B1457">
        <v>94</v>
      </c>
      <c r="C1457" t="s">
        <v>45</v>
      </c>
      <c r="D1457">
        <v>49</v>
      </c>
      <c r="E1457">
        <v>74</v>
      </c>
      <c r="F1457">
        <v>177.78</v>
      </c>
      <c r="G1457" t="s">
        <v>2</v>
      </c>
      <c r="H1457" t="s">
        <v>12</v>
      </c>
    </row>
    <row r="1458" spans="1:8" x14ac:dyDescent="0.3">
      <c r="A1458" t="s">
        <v>1403</v>
      </c>
      <c r="B1458">
        <v>94</v>
      </c>
      <c r="C1458" t="s">
        <v>45</v>
      </c>
      <c r="D1458">
        <v>56</v>
      </c>
      <c r="E1458">
        <v>80</v>
      </c>
      <c r="F1458">
        <v>6.17</v>
      </c>
      <c r="G1458" t="s">
        <v>31</v>
      </c>
      <c r="H1458" t="s">
        <v>9</v>
      </c>
    </row>
    <row r="1459" spans="1:8" x14ac:dyDescent="0.3">
      <c r="A1459" t="s">
        <v>1404</v>
      </c>
      <c r="B1459">
        <v>94</v>
      </c>
      <c r="C1459" t="s">
        <v>45</v>
      </c>
      <c r="D1459">
        <v>51</v>
      </c>
      <c r="E1459">
        <v>73</v>
      </c>
      <c r="F1459">
        <v>5.73</v>
      </c>
      <c r="G1459" t="s">
        <v>18</v>
      </c>
      <c r="H1459" t="s">
        <v>12</v>
      </c>
    </row>
    <row r="1460" spans="1:8" x14ac:dyDescent="0.3">
      <c r="A1460" t="s">
        <v>1405</v>
      </c>
      <c r="B1460">
        <v>94</v>
      </c>
      <c r="C1460" t="s">
        <v>45</v>
      </c>
      <c r="D1460">
        <v>54</v>
      </c>
      <c r="E1460">
        <v>73</v>
      </c>
      <c r="F1460">
        <v>5.22</v>
      </c>
      <c r="G1460" t="s">
        <v>18</v>
      </c>
      <c r="H1460" t="s">
        <v>9</v>
      </c>
    </row>
    <row r="1461" spans="1:8" x14ac:dyDescent="0.3">
      <c r="A1461" t="s">
        <v>1406</v>
      </c>
      <c r="B1461">
        <v>94</v>
      </c>
      <c r="C1461" t="s">
        <v>45</v>
      </c>
      <c r="D1461">
        <v>59</v>
      </c>
      <c r="E1461">
        <v>79</v>
      </c>
      <c r="F1461">
        <v>5.29</v>
      </c>
      <c r="G1461" t="s">
        <v>18</v>
      </c>
      <c r="H1461" t="s">
        <v>15</v>
      </c>
    </row>
    <row r="1462" spans="1:8" x14ac:dyDescent="0.3">
      <c r="A1462" t="s">
        <v>1407</v>
      </c>
      <c r="B1462">
        <v>94</v>
      </c>
      <c r="C1462" t="s">
        <v>41</v>
      </c>
      <c r="D1462">
        <v>59</v>
      </c>
      <c r="E1462">
        <v>85</v>
      </c>
      <c r="F1462">
        <v>114.64</v>
      </c>
      <c r="G1462" t="s">
        <v>2</v>
      </c>
      <c r="H1462" t="s">
        <v>9</v>
      </c>
    </row>
    <row r="1463" spans="1:8" x14ac:dyDescent="0.3">
      <c r="A1463" t="s">
        <v>210</v>
      </c>
      <c r="B1463">
        <v>94</v>
      </c>
      <c r="C1463" t="s">
        <v>45</v>
      </c>
      <c r="D1463">
        <v>55</v>
      </c>
      <c r="E1463">
        <v>75</v>
      </c>
      <c r="F1463">
        <v>10.29</v>
      </c>
      <c r="G1463" t="s">
        <v>18</v>
      </c>
      <c r="H1463" t="s">
        <v>8</v>
      </c>
    </row>
    <row r="1464" spans="1:8" x14ac:dyDescent="0.3">
      <c r="A1464" t="s">
        <v>1408</v>
      </c>
      <c r="B1464">
        <v>95</v>
      </c>
      <c r="C1464" t="s">
        <v>541</v>
      </c>
      <c r="D1464">
        <v>41</v>
      </c>
      <c r="E1464">
        <v>53</v>
      </c>
      <c r="F1464">
        <v>187.39</v>
      </c>
      <c r="G1464" t="s">
        <v>2</v>
      </c>
      <c r="H1464" t="s">
        <v>9</v>
      </c>
    </row>
    <row r="1465" spans="1:8" x14ac:dyDescent="0.3">
      <c r="A1465" t="s">
        <v>1409</v>
      </c>
      <c r="B1465">
        <v>95</v>
      </c>
      <c r="C1465" t="s">
        <v>45</v>
      </c>
      <c r="D1465">
        <v>52</v>
      </c>
      <c r="E1465">
        <v>75</v>
      </c>
      <c r="F1465">
        <v>661.38</v>
      </c>
      <c r="G1465" t="s">
        <v>2</v>
      </c>
      <c r="H1465" t="s">
        <v>9</v>
      </c>
    </row>
    <row r="1466" spans="1:8" x14ac:dyDescent="0.3">
      <c r="A1466" t="s">
        <v>1410</v>
      </c>
      <c r="B1466">
        <v>95</v>
      </c>
      <c r="C1466" t="s">
        <v>82</v>
      </c>
      <c r="D1466">
        <v>50</v>
      </c>
      <c r="E1466">
        <v>65</v>
      </c>
      <c r="F1466">
        <v>4.9800000000000004</v>
      </c>
      <c r="G1466" t="s">
        <v>18</v>
      </c>
      <c r="H1466" t="s">
        <v>15</v>
      </c>
    </row>
    <row r="1467" spans="1:8" x14ac:dyDescent="0.3">
      <c r="A1467" t="s">
        <v>1411</v>
      </c>
      <c r="B1467">
        <v>94</v>
      </c>
      <c r="C1467" t="s">
        <v>82</v>
      </c>
      <c r="D1467">
        <v>50</v>
      </c>
      <c r="E1467">
        <v>70</v>
      </c>
      <c r="F1467">
        <v>5.29</v>
      </c>
      <c r="G1467" t="s">
        <v>18</v>
      </c>
      <c r="H1467" t="s">
        <v>9</v>
      </c>
    </row>
    <row r="1468" spans="1:8" x14ac:dyDescent="0.3">
      <c r="A1468" t="s">
        <v>130</v>
      </c>
      <c r="B1468">
        <v>94</v>
      </c>
      <c r="C1468" t="s">
        <v>41</v>
      </c>
      <c r="D1468">
        <v>60</v>
      </c>
      <c r="E1468">
        <v>88</v>
      </c>
      <c r="F1468">
        <v>5.58</v>
      </c>
      <c r="G1468" t="s">
        <v>18</v>
      </c>
      <c r="H1468" t="s">
        <v>9</v>
      </c>
    </row>
    <row r="1469" spans="1:8" x14ac:dyDescent="0.3">
      <c r="A1469" t="s">
        <v>1412</v>
      </c>
      <c r="B1469">
        <v>94</v>
      </c>
      <c r="C1469" t="s">
        <v>45</v>
      </c>
      <c r="D1469">
        <v>58</v>
      </c>
      <c r="E1469">
        <v>75</v>
      </c>
      <c r="F1469">
        <v>5.44</v>
      </c>
      <c r="G1469" t="s">
        <v>18</v>
      </c>
      <c r="H1469" t="s">
        <v>16</v>
      </c>
    </row>
    <row r="1470" spans="1:8" x14ac:dyDescent="0.3">
      <c r="A1470" t="s">
        <v>1413</v>
      </c>
      <c r="B1470">
        <v>95</v>
      </c>
      <c r="C1470" t="s">
        <v>82</v>
      </c>
      <c r="D1470">
        <v>47</v>
      </c>
      <c r="E1470">
        <v>69</v>
      </c>
      <c r="F1470">
        <v>198.41</v>
      </c>
      <c r="G1470" t="s">
        <v>2</v>
      </c>
      <c r="H1470" t="s">
        <v>7</v>
      </c>
    </row>
    <row r="1471" spans="1:8" x14ac:dyDescent="0.3">
      <c r="A1471" t="s">
        <v>1414</v>
      </c>
      <c r="B1471">
        <v>94</v>
      </c>
      <c r="C1471" t="s">
        <v>45</v>
      </c>
      <c r="D1471">
        <v>56</v>
      </c>
      <c r="E1471">
        <v>80</v>
      </c>
      <c r="F1471">
        <v>154.32</v>
      </c>
      <c r="G1471" t="s">
        <v>2</v>
      </c>
      <c r="H1471" t="s">
        <v>12</v>
      </c>
    </row>
    <row r="1472" spans="1:8" x14ac:dyDescent="0.3">
      <c r="A1472" t="s">
        <v>1415</v>
      </c>
      <c r="B1472">
        <v>94</v>
      </c>
      <c r="C1472" t="s">
        <v>45</v>
      </c>
      <c r="D1472">
        <v>50</v>
      </c>
      <c r="E1472">
        <v>74</v>
      </c>
      <c r="F1472">
        <v>5.29</v>
      </c>
      <c r="G1472" t="s">
        <v>18</v>
      </c>
      <c r="H1472" t="s">
        <v>23</v>
      </c>
    </row>
    <row r="1473" spans="1:8" x14ac:dyDescent="0.3">
      <c r="A1473" t="s">
        <v>1392</v>
      </c>
      <c r="B1473">
        <v>95</v>
      </c>
      <c r="C1473" t="s">
        <v>45</v>
      </c>
      <c r="D1473">
        <v>56</v>
      </c>
      <c r="E1473">
        <v>80</v>
      </c>
      <c r="F1473">
        <v>5.64</v>
      </c>
      <c r="G1473" t="s">
        <v>18</v>
      </c>
      <c r="H1473" t="s">
        <v>20</v>
      </c>
    </row>
    <row r="1474" spans="1:8" x14ac:dyDescent="0.3">
      <c r="A1474" t="s">
        <v>1416</v>
      </c>
      <c r="B1474">
        <v>95</v>
      </c>
      <c r="C1474" t="s">
        <v>45</v>
      </c>
      <c r="D1474">
        <v>54</v>
      </c>
      <c r="E1474">
        <v>78</v>
      </c>
      <c r="F1474">
        <v>5.17</v>
      </c>
      <c r="G1474" t="s">
        <v>18</v>
      </c>
      <c r="H1474" t="s">
        <v>150</v>
      </c>
    </row>
    <row r="1475" spans="1:8" x14ac:dyDescent="0.3">
      <c r="A1475" t="s">
        <v>1417</v>
      </c>
      <c r="B1475">
        <v>95</v>
      </c>
      <c r="C1475" t="s">
        <v>45</v>
      </c>
      <c r="D1475">
        <v>52</v>
      </c>
      <c r="E1475">
        <v>78</v>
      </c>
      <c r="F1475">
        <v>15.43</v>
      </c>
      <c r="G1475" t="s">
        <v>18</v>
      </c>
      <c r="H1475" t="s">
        <v>14</v>
      </c>
    </row>
    <row r="1476" spans="1:8" x14ac:dyDescent="0.3">
      <c r="A1476" t="s">
        <v>1418</v>
      </c>
      <c r="B1476">
        <v>94</v>
      </c>
      <c r="C1476" t="s">
        <v>45</v>
      </c>
      <c r="D1476">
        <v>55</v>
      </c>
      <c r="E1476">
        <v>77</v>
      </c>
      <c r="F1476">
        <v>121.25</v>
      </c>
      <c r="G1476" t="s">
        <v>2</v>
      </c>
      <c r="H1476" t="s">
        <v>16</v>
      </c>
    </row>
    <row r="1477" spans="1:8" x14ac:dyDescent="0.3">
      <c r="A1477" t="s">
        <v>1419</v>
      </c>
      <c r="B1477">
        <v>94</v>
      </c>
      <c r="C1477" t="s">
        <v>41</v>
      </c>
      <c r="D1477">
        <v>60</v>
      </c>
      <c r="E1477">
        <v>84</v>
      </c>
      <c r="F1477">
        <v>154.32</v>
      </c>
      <c r="G1477" t="s">
        <v>2</v>
      </c>
      <c r="H1477" t="s">
        <v>9</v>
      </c>
    </row>
    <row r="1478" spans="1:8" x14ac:dyDescent="0.3">
      <c r="A1478" t="s">
        <v>1420</v>
      </c>
      <c r="B1478">
        <v>96</v>
      </c>
      <c r="C1478" t="s">
        <v>41</v>
      </c>
      <c r="D1478">
        <v>58</v>
      </c>
      <c r="E1478">
        <v>84</v>
      </c>
      <c r="F1478">
        <v>33.07</v>
      </c>
      <c r="G1478" t="s">
        <v>18</v>
      </c>
      <c r="H1478" t="s">
        <v>8</v>
      </c>
    </row>
    <row r="1479" spans="1:8" x14ac:dyDescent="0.3">
      <c r="A1479" t="s">
        <v>1421</v>
      </c>
      <c r="B1479">
        <v>95</v>
      </c>
      <c r="C1479" t="s">
        <v>45</v>
      </c>
      <c r="D1479">
        <v>54</v>
      </c>
      <c r="E1479">
        <v>78</v>
      </c>
      <c r="F1479">
        <v>33.07</v>
      </c>
      <c r="G1479" t="s">
        <v>18</v>
      </c>
      <c r="H1479" t="s">
        <v>5</v>
      </c>
    </row>
    <row r="1480" spans="1:8" x14ac:dyDescent="0.3">
      <c r="A1480" t="s">
        <v>1422</v>
      </c>
      <c r="B1480">
        <v>95</v>
      </c>
      <c r="C1480" t="s">
        <v>45</v>
      </c>
      <c r="D1480">
        <v>52</v>
      </c>
      <c r="E1480">
        <v>72</v>
      </c>
      <c r="F1480">
        <v>63.93</v>
      </c>
      <c r="G1480" t="s">
        <v>18</v>
      </c>
      <c r="H1480" t="s">
        <v>5</v>
      </c>
    </row>
    <row r="1481" spans="1:8" x14ac:dyDescent="0.3">
      <c r="A1481" t="s">
        <v>1423</v>
      </c>
      <c r="B1481">
        <v>94</v>
      </c>
      <c r="C1481" t="s">
        <v>45</v>
      </c>
      <c r="D1481">
        <v>58</v>
      </c>
      <c r="E1481">
        <v>80</v>
      </c>
      <c r="F1481">
        <v>20.260000000000002</v>
      </c>
      <c r="G1481" t="s">
        <v>18</v>
      </c>
      <c r="H1481" t="s">
        <v>18</v>
      </c>
    </row>
    <row r="1482" spans="1:8" x14ac:dyDescent="0.3">
      <c r="A1482" t="s">
        <v>1424</v>
      </c>
      <c r="B1482">
        <v>94</v>
      </c>
      <c r="C1482" t="s">
        <v>82</v>
      </c>
      <c r="D1482">
        <v>45</v>
      </c>
      <c r="E1482">
        <v>75</v>
      </c>
      <c r="F1482">
        <v>5.28</v>
      </c>
      <c r="G1482" t="s">
        <v>18</v>
      </c>
      <c r="H1482" t="s">
        <v>12</v>
      </c>
    </row>
    <row r="1483" spans="1:8" x14ac:dyDescent="0.3">
      <c r="A1483" t="s">
        <v>1425</v>
      </c>
      <c r="B1483">
        <v>94</v>
      </c>
      <c r="C1483" t="s">
        <v>45</v>
      </c>
      <c r="D1483">
        <v>56</v>
      </c>
      <c r="E1483">
        <v>78</v>
      </c>
      <c r="F1483">
        <v>202.82</v>
      </c>
      <c r="G1483" t="s">
        <v>2</v>
      </c>
      <c r="H1483" t="s">
        <v>12</v>
      </c>
    </row>
    <row r="1484" spans="1:8" x14ac:dyDescent="0.3">
      <c r="A1484" t="s">
        <v>1331</v>
      </c>
      <c r="B1484">
        <v>94</v>
      </c>
      <c r="C1484" t="s">
        <v>45</v>
      </c>
      <c r="D1484">
        <v>53</v>
      </c>
      <c r="E1484">
        <v>77</v>
      </c>
      <c r="F1484">
        <v>6.17</v>
      </c>
      <c r="G1484" t="s">
        <v>18</v>
      </c>
      <c r="H1484" t="s">
        <v>16</v>
      </c>
    </row>
    <row r="1485" spans="1:8" x14ac:dyDescent="0.3">
      <c r="A1485" t="s">
        <v>1331</v>
      </c>
      <c r="B1485">
        <v>94</v>
      </c>
      <c r="C1485" t="s">
        <v>45</v>
      </c>
      <c r="D1485">
        <v>55</v>
      </c>
      <c r="E1485">
        <v>77</v>
      </c>
      <c r="F1485">
        <v>5</v>
      </c>
      <c r="G1485" t="s">
        <v>18</v>
      </c>
      <c r="H1485" t="s">
        <v>16</v>
      </c>
    </row>
    <row r="1486" spans="1:8" x14ac:dyDescent="0.3">
      <c r="A1486" t="s">
        <v>1426</v>
      </c>
      <c r="B1486">
        <v>94</v>
      </c>
      <c r="C1486" t="s">
        <v>45</v>
      </c>
      <c r="D1486">
        <v>50</v>
      </c>
      <c r="E1486">
        <v>76</v>
      </c>
      <c r="F1486">
        <v>26.9</v>
      </c>
      <c r="G1486" t="s">
        <v>18</v>
      </c>
      <c r="H1486" t="s">
        <v>8</v>
      </c>
    </row>
    <row r="1487" spans="1:8" x14ac:dyDescent="0.3">
      <c r="A1487" t="s">
        <v>1075</v>
      </c>
      <c r="B1487">
        <v>95</v>
      </c>
      <c r="C1487" t="s">
        <v>45</v>
      </c>
      <c r="D1487">
        <v>55</v>
      </c>
      <c r="E1487">
        <v>79</v>
      </c>
      <c r="F1487">
        <v>22.49</v>
      </c>
      <c r="G1487" t="s">
        <v>18</v>
      </c>
      <c r="H1487" t="s">
        <v>14</v>
      </c>
    </row>
    <row r="1488" spans="1:8" x14ac:dyDescent="0.3">
      <c r="A1488" t="s">
        <v>1427</v>
      </c>
      <c r="B1488">
        <v>94</v>
      </c>
      <c r="C1488" t="s">
        <v>41</v>
      </c>
      <c r="D1488">
        <v>60</v>
      </c>
      <c r="E1488">
        <v>84</v>
      </c>
      <c r="F1488">
        <v>202.82</v>
      </c>
      <c r="G1488" t="s">
        <v>2</v>
      </c>
      <c r="H1488" t="s">
        <v>9</v>
      </c>
    </row>
    <row r="1489" spans="1:8" x14ac:dyDescent="0.3">
      <c r="A1489" t="s">
        <v>1428</v>
      </c>
      <c r="B1489">
        <v>95</v>
      </c>
      <c r="C1489" t="s">
        <v>82</v>
      </c>
      <c r="D1489">
        <v>50</v>
      </c>
      <c r="E1489">
        <v>70</v>
      </c>
      <c r="F1489">
        <v>16.53</v>
      </c>
      <c r="G1489" t="s">
        <v>18</v>
      </c>
      <c r="H1489" t="s">
        <v>14</v>
      </c>
    </row>
    <row r="1490" spans="1:8" x14ac:dyDescent="0.3">
      <c r="A1490" t="s">
        <v>1429</v>
      </c>
      <c r="B1490">
        <v>94</v>
      </c>
      <c r="C1490" t="s">
        <v>45</v>
      </c>
      <c r="D1490">
        <v>51</v>
      </c>
      <c r="E1490">
        <v>74</v>
      </c>
      <c r="F1490">
        <v>5.51</v>
      </c>
      <c r="G1490" t="s">
        <v>18</v>
      </c>
      <c r="H1490" t="s">
        <v>9</v>
      </c>
    </row>
    <row r="1491" spans="1:8" x14ac:dyDescent="0.3">
      <c r="A1491" t="s">
        <v>1430</v>
      </c>
      <c r="B1491">
        <v>94</v>
      </c>
      <c r="C1491" t="s">
        <v>45</v>
      </c>
      <c r="D1491">
        <v>56</v>
      </c>
      <c r="E1491">
        <v>78</v>
      </c>
      <c r="F1491">
        <v>396.83</v>
      </c>
      <c r="G1491" t="s">
        <v>2</v>
      </c>
      <c r="H1491" t="s">
        <v>5</v>
      </c>
    </row>
    <row r="1492" spans="1:8" x14ac:dyDescent="0.3">
      <c r="A1492" t="s">
        <v>1431</v>
      </c>
      <c r="B1492">
        <v>94</v>
      </c>
      <c r="C1492" t="s">
        <v>45</v>
      </c>
      <c r="D1492">
        <v>58</v>
      </c>
      <c r="E1492">
        <v>80</v>
      </c>
      <c r="F1492">
        <v>418.87</v>
      </c>
      <c r="G1492" t="s">
        <v>2</v>
      </c>
      <c r="H1492" t="s">
        <v>5</v>
      </c>
    </row>
    <row r="1493" spans="1:8" x14ac:dyDescent="0.3">
      <c r="A1493" t="s">
        <v>1432</v>
      </c>
      <c r="B1493">
        <v>94</v>
      </c>
      <c r="C1493" t="s">
        <v>45</v>
      </c>
      <c r="D1493">
        <v>54</v>
      </c>
      <c r="E1493">
        <v>78</v>
      </c>
      <c r="F1493">
        <v>4.41</v>
      </c>
      <c r="G1493" t="s">
        <v>18</v>
      </c>
      <c r="H1493" t="s">
        <v>24</v>
      </c>
    </row>
    <row r="1494" spans="1:8" x14ac:dyDescent="0.3">
      <c r="A1494" t="s">
        <v>1433</v>
      </c>
      <c r="B1494">
        <v>96</v>
      </c>
      <c r="C1494" t="s">
        <v>41</v>
      </c>
      <c r="D1494">
        <v>60</v>
      </c>
      <c r="E1494">
        <v>84</v>
      </c>
      <c r="F1494">
        <v>8.77</v>
      </c>
      <c r="G1494" t="s">
        <v>18</v>
      </c>
      <c r="H1494" t="s">
        <v>9</v>
      </c>
    </row>
    <row r="1495" spans="1:8" x14ac:dyDescent="0.3">
      <c r="A1495" t="s">
        <v>1434</v>
      </c>
      <c r="B1495">
        <v>94</v>
      </c>
      <c r="C1495" t="s">
        <v>45</v>
      </c>
      <c r="D1495">
        <v>58</v>
      </c>
      <c r="E1495">
        <v>82</v>
      </c>
      <c r="F1495">
        <v>110.23</v>
      </c>
      <c r="G1495" t="s">
        <v>2</v>
      </c>
      <c r="H1495" t="s">
        <v>9</v>
      </c>
    </row>
    <row r="1496" spans="1:8" x14ac:dyDescent="0.3">
      <c r="A1496" t="s">
        <v>109</v>
      </c>
      <c r="B1496">
        <v>94</v>
      </c>
      <c r="C1496" t="s">
        <v>41</v>
      </c>
      <c r="D1496">
        <v>65</v>
      </c>
      <c r="E1496">
        <v>91</v>
      </c>
      <c r="F1496">
        <v>4.41</v>
      </c>
      <c r="G1496" t="s">
        <v>18</v>
      </c>
      <c r="H1496" t="s">
        <v>12</v>
      </c>
    </row>
    <row r="1497" spans="1:8" x14ac:dyDescent="0.3">
      <c r="A1497" t="s">
        <v>1435</v>
      </c>
      <c r="B1497">
        <v>94</v>
      </c>
      <c r="C1497" t="s">
        <v>82</v>
      </c>
      <c r="D1497">
        <v>49</v>
      </c>
      <c r="E1497">
        <v>71</v>
      </c>
      <c r="F1497">
        <v>4.3899999999999997</v>
      </c>
      <c r="G1497" t="s">
        <v>18</v>
      </c>
      <c r="H1497" t="s">
        <v>16</v>
      </c>
    </row>
    <row r="1498" spans="1:8" x14ac:dyDescent="0.3">
      <c r="A1498" t="s">
        <v>1436</v>
      </c>
      <c r="B1498">
        <v>94</v>
      </c>
      <c r="C1498" t="s">
        <v>45</v>
      </c>
      <c r="D1498">
        <v>52</v>
      </c>
      <c r="E1498">
        <v>73</v>
      </c>
      <c r="F1498">
        <v>4.1100000000000003</v>
      </c>
      <c r="G1498" t="s">
        <v>18</v>
      </c>
      <c r="H1498" t="s">
        <v>12</v>
      </c>
    </row>
    <row r="1499" spans="1:8" x14ac:dyDescent="0.3">
      <c r="A1499" t="s">
        <v>1437</v>
      </c>
      <c r="B1499">
        <v>95</v>
      </c>
      <c r="C1499" t="s">
        <v>45</v>
      </c>
      <c r="D1499">
        <v>52</v>
      </c>
      <c r="E1499">
        <v>78</v>
      </c>
      <c r="F1499">
        <v>5.17</v>
      </c>
      <c r="G1499" t="s">
        <v>18</v>
      </c>
      <c r="H1499" t="s">
        <v>24</v>
      </c>
    </row>
    <row r="1500" spans="1:8" x14ac:dyDescent="0.3">
      <c r="A1500" t="s">
        <v>467</v>
      </c>
      <c r="B1500">
        <v>95</v>
      </c>
      <c r="C1500" t="s">
        <v>82</v>
      </c>
      <c r="D1500">
        <v>46</v>
      </c>
      <c r="E1500">
        <v>62</v>
      </c>
      <c r="F1500">
        <v>19.82</v>
      </c>
      <c r="G1500" t="s">
        <v>18</v>
      </c>
      <c r="H1500" t="s">
        <v>18</v>
      </c>
    </row>
    <row r="1501" spans="1:8" x14ac:dyDescent="0.3">
      <c r="A1501" t="s">
        <v>1254</v>
      </c>
      <c r="B1501">
        <v>94</v>
      </c>
      <c r="C1501" t="s">
        <v>45</v>
      </c>
      <c r="D1501">
        <v>58</v>
      </c>
      <c r="E1501">
        <v>82</v>
      </c>
      <c r="F1501">
        <v>5.28</v>
      </c>
      <c r="G1501" t="s">
        <v>18</v>
      </c>
      <c r="H1501" t="s">
        <v>9</v>
      </c>
    </row>
    <row r="1502" spans="1:8" x14ac:dyDescent="0.3">
      <c r="A1502" t="s">
        <v>1438</v>
      </c>
      <c r="B1502">
        <v>94</v>
      </c>
      <c r="C1502" t="s">
        <v>541</v>
      </c>
      <c r="D1502">
        <v>42</v>
      </c>
      <c r="E1502">
        <v>57</v>
      </c>
      <c r="F1502">
        <v>121.25</v>
      </c>
      <c r="G1502" t="s">
        <v>2</v>
      </c>
      <c r="H1502" t="s">
        <v>9</v>
      </c>
    </row>
    <row r="1503" spans="1:8" x14ac:dyDescent="0.3">
      <c r="A1503" t="s">
        <v>1419</v>
      </c>
      <c r="B1503">
        <v>94</v>
      </c>
      <c r="C1503" t="s">
        <v>41</v>
      </c>
      <c r="D1503">
        <v>60</v>
      </c>
      <c r="E1503">
        <v>88</v>
      </c>
      <c r="F1503">
        <v>143.30000000000001</v>
      </c>
      <c r="G1503" t="s">
        <v>2</v>
      </c>
      <c r="H1503" t="s">
        <v>9</v>
      </c>
    </row>
    <row r="1504" spans="1:8" x14ac:dyDescent="0.3">
      <c r="A1504" t="s">
        <v>1439</v>
      </c>
      <c r="B1504">
        <v>94</v>
      </c>
      <c r="C1504" t="s">
        <v>45</v>
      </c>
      <c r="D1504">
        <v>56</v>
      </c>
      <c r="E1504">
        <v>82</v>
      </c>
      <c r="F1504">
        <v>4.12</v>
      </c>
      <c r="G1504" t="s">
        <v>18</v>
      </c>
      <c r="H1504" t="s">
        <v>16</v>
      </c>
    </row>
    <row r="1505" spans="1:8" x14ac:dyDescent="0.3">
      <c r="A1505" t="s">
        <v>1440</v>
      </c>
      <c r="B1505">
        <v>94</v>
      </c>
      <c r="C1505" t="s">
        <v>45</v>
      </c>
      <c r="D1505">
        <v>57</v>
      </c>
      <c r="E1505">
        <v>70</v>
      </c>
      <c r="F1505">
        <v>4.63</v>
      </c>
      <c r="G1505" t="s">
        <v>18</v>
      </c>
      <c r="H1505" t="s">
        <v>7</v>
      </c>
    </row>
    <row r="1506" spans="1:8" x14ac:dyDescent="0.3">
      <c r="A1506" t="s">
        <v>1441</v>
      </c>
      <c r="B1506">
        <v>94</v>
      </c>
      <c r="C1506" t="s">
        <v>45</v>
      </c>
      <c r="D1506">
        <v>53</v>
      </c>
      <c r="E1506">
        <v>85</v>
      </c>
      <c r="F1506">
        <v>35</v>
      </c>
      <c r="G1506" t="s">
        <v>2</v>
      </c>
      <c r="H1506" t="s">
        <v>12</v>
      </c>
    </row>
    <row r="1507" spans="1:8" x14ac:dyDescent="0.3">
      <c r="A1507" t="s">
        <v>1442</v>
      </c>
      <c r="B1507">
        <v>95</v>
      </c>
      <c r="C1507" t="s">
        <v>45</v>
      </c>
      <c r="D1507">
        <v>58</v>
      </c>
      <c r="E1507">
        <v>82</v>
      </c>
      <c r="F1507">
        <v>5.51</v>
      </c>
      <c r="G1507" t="s">
        <v>18</v>
      </c>
      <c r="H1507" t="s">
        <v>9</v>
      </c>
    </row>
    <row r="1508" spans="1:8" x14ac:dyDescent="0.3">
      <c r="A1508" t="s">
        <v>1443</v>
      </c>
      <c r="B1508">
        <v>95</v>
      </c>
      <c r="C1508" t="s">
        <v>45</v>
      </c>
      <c r="D1508">
        <v>56</v>
      </c>
      <c r="E1508">
        <v>75</v>
      </c>
      <c r="F1508">
        <v>35</v>
      </c>
      <c r="G1508" t="s">
        <v>2</v>
      </c>
      <c r="H1508" t="s">
        <v>9</v>
      </c>
    </row>
    <row r="1509" spans="1:8" x14ac:dyDescent="0.3">
      <c r="A1509" t="s">
        <v>427</v>
      </c>
      <c r="B1509">
        <v>94</v>
      </c>
      <c r="C1509" t="s">
        <v>41</v>
      </c>
      <c r="D1509">
        <v>65</v>
      </c>
      <c r="E1509">
        <v>93</v>
      </c>
      <c r="F1509">
        <v>4.99</v>
      </c>
      <c r="G1509" t="s">
        <v>18</v>
      </c>
      <c r="H1509" t="s">
        <v>9</v>
      </c>
    </row>
    <row r="1510" spans="1:8" x14ac:dyDescent="0.3">
      <c r="A1510" t="s">
        <v>1444</v>
      </c>
      <c r="B1510">
        <v>95</v>
      </c>
      <c r="C1510" t="s">
        <v>45</v>
      </c>
      <c r="D1510">
        <v>53</v>
      </c>
      <c r="E1510">
        <v>81</v>
      </c>
      <c r="F1510">
        <v>22.49</v>
      </c>
      <c r="G1510" t="s">
        <v>18</v>
      </c>
      <c r="H1510" t="s">
        <v>5</v>
      </c>
    </row>
    <row r="1511" spans="1:8" x14ac:dyDescent="0.3">
      <c r="A1511" t="s">
        <v>1445</v>
      </c>
      <c r="B1511">
        <v>95</v>
      </c>
      <c r="C1511" t="s">
        <v>41</v>
      </c>
      <c r="D1511">
        <v>60</v>
      </c>
      <c r="E1511">
        <v>84</v>
      </c>
      <c r="F1511">
        <v>23.81</v>
      </c>
      <c r="G1511" t="s">
        <v>18</v>
      </c>
      <c r="H1511" t="s">
        <v>5</v>
      </c>
    </row>
    <row r="1512" spans="1:8" x14ac:dyDescent="0.3">
      <c r="A1512" t="s">
        <v>1446</v>
      </c>
      <c r="B1512">
        <v>95</v>
      </c>
      <c r="C1512" t="s">
        <v>541</v>
      </c>
      <c r="D1512">
        <v>40</v>
      </c>
      <c r="E1512">
        <v>60</v>
      </c>
      <c r="F1512">
        <v>286.60000000000002</v>
      </c>
      <c r="G1512" t="s">
        <v>2</v>
      </c>
      <c r="H1512" t="s">
        <v>9</v>
      </c>
    </row>
    <row r="1513" spans="1:8" x14ac:dyDescent="0.3">
      <c r="A1513" t="s">
        <v>1447</v>
      </c>
      <c r="B1513">
        <v>94</v>
      </c>
      <c r="C1513" t="s">
        <v>45</v>
      </c>
      <c r="D1513">
        <v>56</v>
      </c>
      <c r="E1513">
        <v>72</v>
      </c>
      <c r="F1513">
        <v>4.12</v>
      </c>
      <c r="G1513" t="s">
        <v>18</v>
      </c>
      <c r="H1513" t="s">
        <v>150</v>
      </c>
    </row>
    <row r="1514" spans="1:8" x14ac:dyDescent="0.3">
      <c r="A1514" t="s">
        <v>1448</v>
      </c>
      <c r="B1514">
        <v>96</v>
      </c>
      <c r="C1514" t="s">
        <v>45</v>
      </c>
      <c r="D1514">
        <v>54</v>
      </c>
      <c r="E1514">
        <v>76</v>
      </c>
      <c r="F1514">
        <v>5.57</v>
      </c>
      <c r="G1514" t="s">
        <v>18</v>
      </c>
      <c r="H1514" t="s">
        <v>16</v>
      </c>
    </row>
    <row r="1515" spans="1:8" x14ac:dyDescent="0.3">
      <c r="A1515" t="s">
        <v>1449</v>
      </c>
      <c r="B1515">
        <v>95</v>
      </c>
      <c r="C1515" t="s">
        <v>45</v>
      </c>
      <c r="D1515">
        <v>53</v>
      </c>
      <c r="E1515">
        <v>85</v>
      </c>
      <c r="F1515">
        <v>26.46</v>
      </c>
      <c r="G1515" t="s">
        <v>18</v>
      </c>
      <c r="H1515" t="s">
        <v>5</v>
      </c>
    </row>
    <row r="1516" spans="1:8" x14ac:dyDescent="0.3">
      <c r="A1516" t="s">
        <v>1450</v>
      </c>
      <c r="B1516">
        <v>96</v>
      </c>
      <c r="C1516" t="s">
        <v>41</v>
      </c>
      <c r="D1516">
        <v>58</v>
      </c>
      <c r="E1516">
        <v>84</v>
      </c>
      <c r="F1516">
        <v>6</v>
      </c>
      <c r="G1516" t="s">
        <v>18</v>
      </c>
      <c r="H1516" t="s">
        <v>12</v>
      </c>
    </row>
    <row r="1517" spans="1:8" x14ac:dyDescent="0.3">
      <c r="A1517" t="s">
        <v>1451</v>
      </c>
      <c r="B1517">
        <v>94</v>
      </c>
      <c r="C1517" t="s">
        <v>41</v>
      </c>
      <c r="D1517">
        <v>61</v>
      </c>
      <c r="E1517">
        <v>93</v>
      </c>
      <c r="F1517">
        <v>5.28</v>
      </c>
      <c r="G1517" t="s">
        <v>18</v>
      </c>
      <c r="H1517" t="s">
        <v>22</v>
      </c>
    </row>
    <row r="1518" spans="1:8" x14ac:dyDescent="0.3">
      <c r="A1518" t="s">
        <v>1452</v>
      </c>
      <c r="B1518">
        <v>95</v>
      </c>
      <c r="C1518" t="s">
        <v>45</v>
      </c>
      <c r="D1518">
        <v>50</v>
      </c>
      <c r="E1518">
        <v>76</v>
      </c>
      <c r="F1518">
        <v>5.88</v>
      </c>
      <c r="G1518" t="s">
        <v>18</v>
      </c>
      <c r="H1518" t="s">
        <v>12</v>
      </c>
    </row>
    <row r="1519" spans="1:8" x14ac:dyDescent="0.3">
      <c r="A1519" t="s">
        <v>1453</v>
      </c>
      <c r="B1519">
        <v>95</v>
      </c>
      <c r="C1519" t="s">
        <v>45</v>
      </c>
      <c r="D1519">
        <v>55</v>
      </c>
      <c r="E1519">
        <v>77</v>
      </c>
      <c r="F1519">
        <v>5.6</v>
      </c>
      <c r="G1519" t="s">
        <v>18</v>
      </c>
      <c r="H1519" t="s">
        <v>12</v>
      </c>
    </row>
    <row r="1520" spans="1:8" x14ac:dyDescent="0.3">
      <c r="A1520" t="s">
        <v>1454</v>
      </c>
      <c r="B1520">
        <v>94</v>
      </c>
      <c r="C1520" t="s">
        <v>45</v>
      </c>
      <c r="D1520">
        <v>56</v>
      </c>
      <c r="E1520">
        <v>80</v>
      </c>
      <c r="F1520">
        <v>4.41</v>
      </c>
      <c r="G1520" t="s">
        <v>18</v>
      </c>
      <c r="H1520" t="s">
        <v>12</v>
      </c>
    </row>
    <row r="1521" spans="1:8" x14ac:dyDescent="0.3">
      <c r="A1521" t="s">
        <v>1455</v>
      </c>
      <c r="B1521">
        <v>95</v>
      </c>
      <c r="C1521" t="s">
        <v>45</v>
      </c>
      <c r="D1521">
        <v>54</v>
      </c>
      <c r="E1521">
        <v>78</v>
      </c>
      <c r="F1521">
        <v>6.47</v>
      </c>
      <c r="G1521" t="s">
        <v>18</v>
      </c>
      <c r="H1521" t="s">
        <v>12</v>
      </c>
    </row>
    <row r="1522" spans="1:8" x14ac:dyDescent="0.3">
      <c r="A1522" t="s">
        <v>1456</v>
      </c>
      <c r="B1522">
        <v>94</v>
      </c>
      <c r="C1522" t="s">
        <v>41</v>
      </c>
      <c r="D1522">
        <v>58</v>
      </c>
      <c r="E1522">
        <v>86</v>
      </c>
      <c r="F1522">
        <v>263.64</v>
      </c>
      <c r="G1522" t="s">
        <v>2</v>
      </c>
      <c r="H1522" t="s">
        <v>9</v>
      </c>
    </row>
    <row r="1523" spans="1:8" x14ac:dyDescent="0.3">
      <c r="A1523" t="s">
        <v>1457</v>
      </c>
      <c r="B1523">
        <v>96</v>
      </c>
      <c r="C1523" t="s">
        <v>45</v>
      </c>
      <c r="D1523">
        <v>56</v>
      </c>
      <c r="E1523">
        <v>80</v>
      </c>
      <c r="F1523">
        <v>16.170000000000002</v>
      </c>
      <c r="G1523" t="s">
        <v>18</v>
      </c>
      <c r="H1523" t="s">
        <v>5</v>
      </c>
    </row>
    <row r="1524" spans="1:8" x14ac:dyDescent="0.3">
      <c r="A1524" t="s">
        <v>1458</v>
      </c>
      <c r="B1524">
        <v>95</v>
      </c>
      <c r="C1524" t="s">
        <v>45</v>
      </c>
      <c r="D1524">
        <v>56</v>
      </c>
      <c r="E1524">
        <v>80</v>
      </c>
      <c r="F1524">
        <v>7.35</v>
      </c>
      <c r="G1524" t="s">
        <v>18</v>
      </c>
      <c r="H1524" t="s">
        <v>21</v>
      </c>
    </row>
    <row r="1525" spans="1:8" x14ac:dyDescent="0.3">
      <c r="A1525" t="s">
        <v>1459</v>
      </c>
      <c r="B1525">
        <v>94</v>
      </c>
      <c r="C1525" t="s">
        <v>45</v>
      </c>
      <c r="D1525">
        <v>53</v>
      </c>
      <c r="E1525">
        <v>77</v>
      </c>
      <c r="F1525">
        <v>32.630000000000003</v>
      </c>
      <c r="G1525" t="s">
        <v>18</v>
      </c>
      <c r="H1525" t="s">
        <v>5</v>
      </c>
    </row>
    <row r="1526" spans="1:8" x14ac:dyDescent="0.3">
      <c r="A1526" t="s">
        <v>1460</v>
      </c>
      <c r="B1526">
        <v>96</v>
      </c>
      <c r="C1526" t="s">
        <v>45</v>
      </c>
      <c r="D1526">
        <v>55</v>
      </c>
      <c r="E1526">
        <v>76</v>
      </c>
      <c r="F1526">
        <v>5.66</v>
      </c>
      <c r="G1526" t="s">
        <v>18</v>
      </c>
      <c r="H1526" t="s">
        <v>12</v>
      </c>
    </row>
    <row r="1527" spans="1:8" x14ac:dyDescent="0.3">
      <c r="A1527" t="s">
        <v>1461</v>
      </c>
      <c r="B1527">
        <v>95</v>
      </c>
      <c r="C1527" t="s">
        <v>45</v>
      </c>
      <c r="D1527">
        <v>56</v>
      </c>
      <c r="E1527">
        <v>80</v>
      </c>
      <c r="F1527">
        <v>11.02</v>
      </c>
      <c r="G1527" t="s">
        <v>18</v>
      </c>
      <c r="H1527" t="s">
        <v>5</v>
      </c>
    </row>
    <row r="1528" spans="1:8" x14ac:dyDescent="0.3">
      <c r="A1528" t="s">
        <v>890</v>
      </c>
      <c r="B1528">
        <v>95</v>
      </c>
      <c r="C1528" t="s">
        <v>45</v>
      </c>
      <c r="D1528">
        <v>52</v>
      </c>
      <c r="E1528">
        <v>76</v>
      </c>
      <c r="F1528">
        <v>19.82</v>
      </c>
      <c r="G1528" t="s">
        <v>18</v>
      </c>
      <c r="H1528" t="s">
        <v>18</v>
      </c>
    </row>
    <row r="1529" spans="1:8" x14ac:dyDescent="0.3">
      <c r="A1529" t="s">
        <v>1462</v>
      </c>
      <c r="B1529">
        <v>95</v>
      </c>
      <c r="C1529" t="s">
        <v>45</v>
      </c>
      <c r="D1529">
        <v>55</v>
      </c>
      <c r="E1529">
        <v>75</v>
      </c>
      <c r="F1529">
        <v>5.86</v>
      </c>
      <c r="G1529" t="s">
        <v>18</v>
      </c>
      <c r="H1529" t="s">
        <v>12</v>
      </c>
    </row>
    <row r="1530" spans="1:8" x14ac:dyDescent="0.3">
      <c r="A1530" t="s">
        <v>1463</v>
      </c>
      <c r="B1530">
        <v>95</v>
      </c>
      <c r="C1530" t="s">
        <v>45</v>
      </c>
      <c r="D1530">
        <v>54</v>
      </c>
      <c r="E1530">
        <v>78</v>
      </c>
      <c r="F1530">
        <v>24</v>
      </c>
      <c r="G1530" t="s">
        <v>29</v>
      </c>
      <c r="H1530" t="s">
        <v>5</v>
      </c>
    </row>
    <row r="1531" spans="1:8" x14ac:dyDescent="0.3">
      <c r="A1531" t="s">
        <v>1464</v>
      </c>
      <c r="B1531">
        <v>97</v>
      </c>
      <c r="C1531" t="s">
        <v>45</v>
      </c>
      <c r="D1531">
        <v>56</v>
      </c>
      <c r="E1531">
        <v>78</v>
      </c>
      <c r="F1531">
        <v>33.049999999999997</v>
      </c>
      <c r="G1531" t="s">
        <v>18</v>
      </c>
      <c r="H1531" t="s">
        <v>18</v>
      </c>
    </row>
    <row r="1532" spans="1:8" x14ac:dyDescent="0.3">
      <c r="A1532" t="s">
        <v>1465</v>
      </c>
      <c r="B1532">
        <v>95</v>
      </c>
      <c r="C1532" t="s">
        <v>45</v>
      </c>
      <c r="D1532">
        <v>54</v>
      </c>
      <c r="E1532">
        <v>76</v>
      </c>
      <c r="F1532">
        <v>143.30000000000001</v>
      </c>
      <c r="G1532" t="s">
        <v>2</v>
      </c>
      <c r="H1532" t="s">
        <v>12</v>
      </c>
    </row>
    <row r="1533" spans="1:8" x14ac:dyDescent="0.3">
      <c r="A1533" t="s">
        <v>1466</v>
      </c>
      <c r="B1533">
        <v>95</v>
      </c>
      <c r="C1533" t="s">
        <v>45</v>
      </c>
      <c r="D1533">
        <v>56</v>
      </c>
      <c r="E1533">
        <v>78</v>
      </c>
      <c r="F1533">
        <v>121.25</v>
      </c>
      <c r="G1533" t="s">
        <v>2</v>
      </c>
      <c r="H1533" t="s">
        <v>9</v>
      </c>
    </row>
    <row r="1534" spans="1:8" x14ac:dyDescent="0.3">
      <c r="A1534" t="s">
        <v>1467</v>
      </c>
      <c r="B1534">
        <v>94</v>
      </c>
      <c r="C1534" t="s">
        <v>45</v>
      </c>
      <c r="D1534">
        <v>52</v>
      </c>
      <c r="E1534">
        <v>74</v>
      </c>
      <c r="F1534">
        <v>5.29</v>
      </c>
      <c r="G1534" t="s">
        <v>31</v>
      </c>
      <c r="H1534" t="s">
        <v>9</v>
      </c>
    </row>
    <row r="1535" spans="1:8" x14ac:dyDescent="0.3">
      <c r="A1535" t="s">
        <v>1468</v>
      </c>
      <c r="B1535">
        <v>94</v>
      </c>
      <c r="C1535" t="s">
        <v>45</v>
      </c>
      <c r="D1535">
        <v>54</v>
      </c>
      <c r="E1535">
        <v>80</v>
      </c>
      <c r="F1535">
        <v>6.17</v>
      </c>
      <c r="G1535" t="s">
        <v>31</v>
      </c>
      <c r="H1535" t="s">
        <v>12</v>
      </c>
    </row>
    <row r="1536" spans="1:8" x14ac:dyDescent="0.3">
      <c r="A1536" t="s">
        <v>1469</v>
      </c>
      <c r="B1536">
        <v>94</v>
      </c>
      <c r="C1536" t="s">
        <v>82</v>
      </c>
      <c r="D1536">
        <v>48</v>
      </c>
      <c r="E1536">
        <v>70</v>
      </c>
      <c r="F1536">
        <v>4.8499999999999996</v>
      </c>
      <c r="G1536" t="s">
        <v>18</v>
      </c>
      <c r="H1536" t="s">
        <v>9</v>
      </c>
    </row>
    <row r="1537" spans="1:8" x14ac:dyDescent="0.3">
      <c r="A1537" t="s">
        <v>1470</v>
      </c>
      <c r="B1537">
        <v>94</v>
      </c>
      <c r="C1537" t="s">
        <v>82</v>
      </c>
      <c r="D1537">
        <v>47</v>
      </c>
      <c r="E1537">
        <v>72</v>
      </c>
      <c r="F1537">
        <v>5</v>
      </c>
      <c r="G1537" t="s">
        <v>31</v>
      </c>
      <c r="H1537" t="s">
        <v>9</v>
      </c>
    </row>
    <row r="1538" spans="1:8" x14ac:dyDescent="0.3">
      <c r="A1538" t="s">
        <v>1471</v>
      </c>
      <c r="B1538">
        <v>95</v>
      </c>
      <c r="C1538" t="s">
        <v>82</v>
      </c>
      <c r="D1538">
        <v>47</v>
      </c>
      <c r="E1538">
        <v>65</v>
      </c>
      <c r="F1538">
        <v>7.2</v>
      </c>
      <c r="G1538" t="s">
        <v>18</v>
      </c>
      <c r="H1538" t="s">
        <v>12</v>
      </c>
    </row>
    <row r="1539" spans="1:8" x14ac:dyDescent="0.3">
      <c r="A1539" t="s">
        <v>1472</v>
      </c>
      <c r="B1539">
        <v>94</v>
      </c>
      <c r="C1539" t="s">
        <v>45</v>
      </c>
      <c r="D1539">
        <v>54</v>
      </c>
      <c r="E1539">
        <v>77</v>
      </c>
      <c r="F1539">
        <v>69.599999999999994</v>
      </c>
      <c r="G1539" t="s">
        <v>11</v>
      </c>
      <c r="H1539" t="s">
        <v>150</v>
      </c>
    </row>
    <row r="1540" spans="1:8" x14ac:dyDescent="0.3">
      <c r="A1540" t="s">
        <v>1473</v>
      </c>
      <c r="B1540">
        <v>95</v>
      </c>
      <c r="C1540" t="s">
        <v>45</v>
      </c>
      <c r="D1540">
        <v>50</v>
      </c>
      <c r="E1540">
        <v>73</v>
      </c>
      <c r="F1540">
        <v>110.13</v>
      </c>
      <c r="G1540" t="s">
        <v>11</v>
      </c>
      <c r="H1540" t="s">
        <v>9</v>
      </c>
    </row>
    <row r="1541" spans="1:8" x14ac:dyDescent="0.3">
      <c r="A1541" t="s">
        <v>1474</v>
      </c>
      <c r="B1541">
        <v>95</v>
      </c>
      <c r="C1541" t="s">
        <v>45</v>
      </c>
      <c r="D1541">
        <v>54</v>
      </c>
      <c r="E1541">
        <v>78</v>
      </c>
      <c r="F1541">
        <v>88.11</v>
      </c>
      <c r="G1541" t="s">
        <v>11</v>
      </c>
      <c r="H1541" t="s">
        <v>11</v>
      </c>
    </row>
    <row r="1542" spans="1:8" x14ac:dyDescent="0.3">
      <c r="A1542" t="s">
        <v>1475</v>
      </c>
      <c r="B1542">
        <v>94</v>
      </c>
      <c r="C1542" t="s">
        <v>45</v>
      </c>
      <c r="D1542">
        <v>54</v>
      </c>
      <c r="E1542">
        <v>75</v>
      </c>
      <c r="F1542">
        <v>5.26</v>
      </c>
      <c r="G1542" t="s">
        <v>18</v>
      </c>
      <c r="H1542" t="s">
        <v>21</v>
      </c>
    </row>
    <row r="1543" spans="1:8" x14ac:dyDescent="0.3">
      <c r="A1543" t="s">
        <v>1476</v>
      </c>
      <c r="B1543">
        <v>94</v>
      </c>
      <c r="C1543" t="s">
        <v>45</v>
      </c>
      <c r="D1543">
        <v>56</v>
      </c>
      <c r="E1543">
        <v>82</v>
      </c>
      <c r="F1543">
        <v>22.49</v>
      </c>
      <c r="G1543" t="s">
        <v>18</v>
      </c>
      <c r="H1543" t="s">
        <v>7</v>
      </c>
    </row>
    <row r="1544" spans="1:8" x14ac:dyDescent="0.3">
      <c r="A1544" t="s">
        <v>1477</v>
      </c>
      <c r="B1544">
        <v>94</v>
      </c>
      <c r="C1544" t="s">
        <v>45</v>
      </c>
      <c r="D1544">
        <v>56</v>
      </c>
      <c r="E1544">
        <v>76</v>
      </c>
      <c r="F1544">
        <v>5.29</v>
      </c>
      <c r="G1544" t="s">
        <v>18</v>
      </c>
      <c r="H1544" t="s">
        <v>12</v>
      </c>
    </row>
    <row r="1545" spans="1:8" x14ac:dyDescent="0.3">
      <c r="A1545" t="s">
        <v>1037</v>
      </c>
      <c r="B1545">
        <v>95</v>
      </c>
      <c r="C1545" t="s">
        <v>45</v>
      </c>
      <c r="D1545">
        <v>56</v>
      </c>
      <c r="E1545">
        <v>80</v>
      </c>
      <c r="F1545">
        <v>4.8499999999999996</v>
      </c>
      <c r="G1545" t="s">
        <v>18</v>
      </c>
      <c r="H1545" t="s">
        <v>12</v>
      </c>
    </row>
    <row r="1546" spans="1:8" x14ac:dyDescent="0.3">
      <c r="A1546" t="s">
        <v>1478</v>
      </c>
      <c r="B1546">
        <v>95</v>
      </c>
      <c r="C1546" t="s">
        <v>45</v>
      </c>
      <c r="D1546">
        <v>56</v>
      </c>
      <c r="E1546">
        <v>76</v>
      </c>
      <c r="F1546">
        <v>11.46</v>
      </c>
      <c r="G1546" t="s">
        <v>2</v>
      </c>
      <c r="H1546" t="s">
        <v>9</v>
      </c>
    </row>
    <row r="1547" spans="1:8" x14ac:dyDescent="0.3">
      <c r="A1547" t="s">
        <v>1479</v>
      </c>
      <c r="B1547">
        <v>94</v>
      </c>
      <c r="C1547" t="s">
        <v>45</v>
      </c>
      <c r="D1547">
        <v>55</v>
      </c>
      <c r="E1547">
        <v>79</v>
      </c>
      <c r="F1547">
        <v>5.29</v>
      </c>
      <c r="G1547" t="s">
        <v>18</v>
      </c>
      <c r="H1547" t="s">
        <v>12</v>
      </c>
    </row>
    <row r="1548" spans="1:8" x14ac:dyDescent="0.3">
      <c r="A1548" t="s">
        <v>1480</v>
      </c>
      <c r="B1548">
        <v>94</v>
      </c>
      <c r="C1548" t="s">
        <v>45</v>
      </c>
      <c r="D1548">
        <v>53</v>
      </c>
      <c r="E1548">
        <v>78</v>
      </c>
      <c r="F1548">
        <v>5.57</v>
      </c>
      <c r="G1548" t="s">
        <v>18</v>
      </c>
      <c r="H1548" t="s">
        <v>22</v>
      </c>
    </row>
    <row r="1549" spans="1:8" x14ac:dyDescent="0.3">
      <c r="A1549" t="s">
        <v>1481</v>
      </c>
      <c r="B1549">
        <v>94</v>
      </c>
      <c r="C1549" t="s">
        <v>45</v>
      </c>
      <c r="D1549">
        <v>56</v>
      </c>
      <c r="E1549">
        <v>81</v>
      </c>
      <c r="F1549">
        <v>4.99</v>
      </c>
      <c r="G1549" t="s">
        <v>18</v>
      </c>
      <c r="H1549" t="s">
        <v>22</v>
      </c>
    </row>
    <row r="1550" spans="1:8" x14ac:dyDescent="0.3">
      <c r="A1550" t="s">
        <v>1482</v>
      </c>
      <c r="B1550">
        <v>95</v>
      </c>
      <c r="C1550" t="s">
        <v>45</v>
      </c>
      <c r="D1550">
        <v>58</v>
      </c>
      <c r="E1550">
        <v>82</v>
      </c>
      <c r="F1550">
        <v>5.57</v>
      </c>
      <c r="G1550" t="s">
        <v>18</v>
      </c>
      <c r="H1550" t="s">
        <v>9</v>
      </c>
    </row>
    <row r="1551" spans="1:8" x14ac:dyDescent="0.3">
      <c r="A1551" t="s">
        <v>1483</v>
      </c>
      <c r="B1551">
        <v>94</v>
      </c>
      <c r="C1551" t="s">
        <v>45</v>
      </c>
      <c r="D1551">
        <v>53</v>
      </c>
      <c r="E1551">
        <v>77</v>
      </c>
      <c r="F1551">
        <v>5.26</v>
      </c>
      <c r="G1551" t="s">
        <v>18</v>
      </c>
      <c r="H1551" t="s">
        <v>9</v>
      </c>
    </row>
    <row r="1552" spans="1:8" x14ac:dyDescent="0.3">
      <c r="A1552" t="s">
        <v>1484</v>
      </c>
      <c r="B1552">
        <v>94</v>
      </c>
      <c r="C1552" t="s">
        <v>45</v>
      </c>
      <c r="D1552">
        <v>60</v>
      </c>
      <c r="E1552">
        <v>78</v>
      </c>
      <c r="F1552">
        <v>4.8499999999999996</v>
      </c>
      <c r="G1552" t="s">
        <v>18</v>
      </c>
      <c r="H1552" t="s">
        <v>9</v>
      </c>
    </row>
    <row r="1553" spans="1:8" x14ac:dyDescent="0.3">
      <c r="A1553" t="s">
        <v>1485</v>
      </c>
      <c r="B1553">
        <v>95</v>
      </c>
      <c r="C1553" t="s">
        <v>82</v>
      </c>
      <c r="D1553">
        <v>45</v>
      </c>
      <c r="E1553">
        <v>61</v>
      </c>
      <c r="F1553">
        <v>5</v>
      </c>
      <c r="G1553" t="s">
        <v>18</v>
      </c>
      <c r="H1553" t="s">
        <v>9</v>
      </c>
    </row>
    <row r="1554" spans="1:8" x14ac:dyDescent="0.3">
      <c r="A1554" t="s">
        <v>1486</v>
      </c>
      <c r="B1554">
        <v>94</v>
      </c>
      <c r="C1554" t="s">
        <v>45</v>
      </c>
      <c r="D1554">
        <v>54</v>
      </c>
      <c r="E1554">
        <v>68</v>
      </c>
      <c r="F1554">
        <v>4.3899999999999997</v>
      </c>
      <c r="G1554" t="s">
        <v>18</v>
      </c>
      <c r="H1554" t="s">
        <v>14</v>
      </c>
    </row>
    <row r="1555" spans="1:8" x14ac:dyDescent="0.3">
      <c r="A1555" t="s">
        <v>1487</v>
      </c>
      <c r="B1555">
        <v>94</v>
      </c>
      <c r="C1555" t="s">
        <v>41</v>
      </c>
      <c r="D1555">
        <v>61</v>
      </c>
      <c r="E1555">
        <v>84</v>
      </c>
      <c r="F1555">
        <v>217.78</v>
      </c>
      <c r="G1555" t="s">
        <v>2</v>
      </c>
      <c r="H1555" t="s">
        <v>21</v>
      </c>
    </row>
    <row r="1556" spans="1:8" x14ac:dyDescent="0.3">
      <c r="A1556" t="s">
        <v>1488</v>
      </c>
      <c r="B1556">
        <v>95</v>
      </c>
      <c r="C1556" t="s">
        <v>45</v>
      </c>
      <c r="D1556">
        <v>59</v>
      </c>
      <c r="E1556">
        <v>77</v>
      </c>
      <c r="F1556">
        <v>132.28</v>
      </c>
      <c r="G1556" t="s">
        <v>2</v>
      </c>
      <c r="H1556" t="s">
        <v>12</v>
      </c>
    </row>
    <row r="1557" spans="1:8" x14ac:dyDescent="0.3">
      <c r="A1557" t="s">
        <v>1489</v>
      </c>
      <c r="B1557">
        <v>94</v>
      </c>
      <c r="C1557" t="s">
        <v>45</v>
      </c>
      <c r="D1557">
        <v>56</v>
      </c>
      <c r="E1557">
        <v>76</v>
      </c>
      <c r="F1557">
        <v>121.25</v>
      </c>
      <c r="G1557" t="s">
        <v>2</v>
      </c>
      <c r="H1557" t="s">
        <v>7</v>
      </c>
    </row>
    <row r="1558" spans="1:8" x14ac:dyDescent="0.3">
      <c r="A1558" t="s">
        <v>1490</v>
      </c>
      <c r="B1558">
        <v>94</v>
      </c>
      <c r="C1558" t="s">
        <v>41</v>
      </c>
      <c r="D1558">
        <v>60</v>
      </c>
      <c r="E1558">
        <v>82</v>
      </c>
      <c r="F1558">
        <v>6.5</v>
      </c>
      <c r="G1558" t="s">
        <v>30</v>
      </c>
      <c r="H1558" t="s">
        <v>9</v>
      </c>
    </row>
    <row r="1559" spans="1:8" x14ac:dyDescent="0.3">
      <c r="A1559" t="s">
        <v>1491</v>
      </c>
      <c r="B1559">
        <v>94</v>
      </c>
      <c r="C1559" t="s">
        <v>45</v>
      </c>
      <c r="D1559">
        <v>53</v>
      </c>
      <c r="E1559">
        <v>76</v>
      </c>
      <c r="F1559">
        <v>4.7</v>
      </c>
      <c r="G1559" t="s">
        <v>18</v>
      </c>
      <c r="H1559" t="s">
        <v>12</v>
      </c>
    </row>
    <row r="1560" spans="1:8" x14ac:dyDescent="0.3">
      <c r="A1560" t="s">
        <v>1492</v>
      </c>
      <c r="B1560">
        <v>94</v>
      </c>
      <c r="C1560" t="s">
        <v>45</v>
      </c>
      <c r="D1560">
        <v>55</v>
      </c>
      <c r="E1560">
        <v>77</v>
      </c>
      <c r="F1560">
        <v>3.81</v>
      </c>
      <c r="G1560" t="s">
        <v>18</v>
      </c>
      <c r="H1560" t="s">
        <v>14</v>
      </c>
    </row>
    <row r="1561" spans="1:8" x14ac:dyDescent="0.3">
      <c r="A1561" t="s">
        <v>1493</v>
      </c>
      <c r="B1561">
        <v>94</v>
      </c>
      <c r="C1561" t="s">
        <v>45</v>
      </c>
      <c r="D1561">
        <v>54</v>
      </c>
      <c r="E1561">
        <v>76</v>
      </c>
      <c r="F1561">
        <v>4.99</v>
      </c>
      <c r="G1561" t="s">
        <v>18</v>
      </c>
      <c r="H1561" t="s">
        <v>12</v>
      </c>
    </row>
    <row r="1562" spans="1:8" x14ac:dyDescent="0.3">
      <c r="A1562" t="s">
        <v>941</v>
      </c>
      <c r="B1562">
        <v>94</v>
      </c>
      <c r="C1562" t="s">
        <v>541</v>
      </c>
      <c r="D1562">
        <v>34</v>
      </c>
      <c r="E1562">
        <v>52</v>
      </c>
      <c r="F1562">
        <v>8.82</v>
      </c>
      <c r="G1562" t="s">
        <v>18</v>
      </c>
      <c r="H1562" t="s">
        <v>5</v>
      </c>
    </row>
    <row r="1563" spans="1:8" x14ac:dyDescent="0.3">
      <c r="A1563" t="s">
        <v>1494</v>
      </c>
      <c r="B1563">
        <v>94</v>
      </c>
      <c r="C1563" t="s">
        <v>45</v>
      </c>
      <c r="D1563">
        <v>54</v>
      </c>
      <c r="E1563">
        <v>78</v>
      </c>
      <c r="F1563">
        <v>22.05</v>
      </c>
      <c r="G1563" t="s">
        <v>18</v>
      </c>
      <c r="H1563" t="s">
        <v>5</v>
      </c>
    </row>
    <row r="1564" spans="1:8" x14ac:dyDescent="0.3">
      <c r="A1564" t="s">
        <v>1495</v>
      </c>
      <c r="B1564">
        <v>95</v>
      </c>
      <c r="C1564" t="s">
        <v>45</v>
      </c>
      <c r="D1564">
        <v>54</v>
      </c>
      <c r="E1564">
        <v>78</v>
      </c>
      <c r="F1564">
        <v>33.07</v>
      </c>
      <c r="G1564" t="s">
        <v>18</v>
      </c>
      <c r="H1564" t="s">
        <v>9</v>
      </c>
    </row>
    <row r="1565" spans="1:8" x14ac:dyDescent="0.3">
      <c r="A1565" t="s">
        <v>1496</v>
      </c>
      <c r="B1565">
        <v>95</v>
      </c>
      <c r="C1565" t="s">
        <v>45</v>
      </c>
      <c r="D1565">
        <v>56</v>
      </c>
      <c r="E1565">
        <v>77</v>
      </c>
      <c r="F1565">
        <v>705.48</v>
      </c>
      <c r="G1565" t="s">
        <v>2</v>
      </c>
      <c r="H1565" t="s">
        <v>9</v>
      </c>
    </row>
    <row r="1566" spans="1:8" x14ac:dyDescent="0.3">
      <c r="A1566" t="s">
        <v>1497</v>
      </c>
      <c r="B1566">
        <v>95</v>
      </c>
      <c r="C1566" t="s">
        <v>41</v>
      </c>
      <c r="D1566">
        <v>64</v>
      </c>
      <c r="E1566">
        <v>86</v>
      </c>
      <c r="F1566">
        <v>32.630000000000003</v>
      </c>
      <c r="G1566" t="s">
        <v>2</v>
      </c>
      <c r="H1566" t="s">
        <v>9</v>
      </c>
    </row>
    <row r="1567" spans="1:8" x14ac:dyDescent="0.3">
      <c r="A1567" t="s">
        <v>1498</v>
      </c>
      <c r="B1567">
        <v>95</v>
      </c>
      <c r="C1567" t="s">
        <v>45</v>
      </c>
      <c r="D1567">
        <v>54</v>
      </c>
      <c r="E1567">
        <v>74</v>
      </c>
      <c r="F1567">
        <v>30</v>
      </c>
      <c r="G1567" t="s">
        <v>31</v>
      </c>
      <c r="H1567" t="s">
        <v>9</v>
      </c>
    </row>
    <row r="1568" spans="1:8" x14ac:dyDescent="0.3">
      <c r="A1568" t="s">
        <v>1499</v>
      </c>
      <c r="B1568">
        <v>96</v>
      </c>
      <c r="C1568" t="s">
        <v>45</v>
      </c>
      <c r="D1568">
        <v>54</v>
      </c>
      <c r="E1568">
        <v>78</v>
      </c>
      <c r="F1568">
        <v>22.05</v>
      </c>
      <c r="G1568" t="s">
        <v>18</v>
      </c>
      <c r="H1568" t="s">
        <v>5</v>
      </c>
    </row>
    <row r="1569" spans="1:8" x14ac:dyDescent="0.3">
      <c r="A1569" t="s">
        <v>1500</v>
      </c>
      <c r="B1569">
        <v>95</v>
      </c>
      <c r="C1569" t="s">
        <v>45</v>
      </c>
      <c r="D1569">
        <v>53</v>
      </c>
      <c r="E1569">
        <v>77</v>
      </c>
      <c r="F1569">
        <v>5.57</v>
      </c>
      <c r="G1569" t="s">
        <v>18</v>
      </c>
      <c r="H1569" t="s">
        <v>12</v>
      </c>
    </row>
    <row r="1570" spans="1:8" x14ac:dyDescent="0.3">
      <c r="A1570" t="s">
        <v>1501</v>
      </c>
      <c r="B1570">
        <v>94</v>
      </c>
      <c r="C1570" t="s">
        <v>45</v>
      </c>
      <c r="D1570">
        <v>51</v>
      </c>
      <c r="E1570">
        <v>73</v>
      </c>
      <c r="F1570">
        <v>5.07</v>
      </c>
      <c r="G1570" t="s">
        <v>18</v>
      </c>
      <c r="H1570" t="s">
        <v>9</v>
      </c>
    </row>
    <row r="1571" spans="1:8" x14ac:dyDescent="0.3">
      <c r="A1571" t="s">
        <v>1502</v>
      </c>
      <c r="B1571">
        <v>95</v>
      </c>
      <c r="C1571" t="s">
        <v>45</v>
      </c>
      <c r="D1571">
        <v>53</v>
      </c>
      <c r="E1571">
        <v>76</v>
      </c>
      <c r="F1571">
        <v>5.57</v>
      </c>
      <c r="G1571" t="s">
        <v>18</v>
      </c>
      <c r="H1571" t="s">
        <v>12</v>
      </c>
    </row>
    <row r="1572" spans="1:8" x14ac:dyDescent="0.3">
      <c r="A1572" t="s">
        <v>1503</v>
      </c>
      <c r="B1572">
        <v>95</v>
      </c>
      <c r="C1572" t="s">
        <v>82</v>
      </c>
      <c r="D1572">
        <v>46</v>
      </c>
      <c r="E1572">
        <v>64</v>
      </c>
      <c r="F1572">
        <v>17.61</v>
      </c>
      <c r="G1572" t="s">
        <v>18</v>
      </c>
      <c r="H1572" t="s">
        <v>14</v>
      </c>
    </row>
    <row r="1573" spans="1:8" x14ac:dyDescent="0.3">
      <c r="A1573" t="s">
        <v>1504</v>
      </c>
      <c r="B1573">
        <v>94</v>
      </c>
      <c r="C1573" t="s">
        <v>541</v>
      </c>
      <c r="D1573">
        <v>41</v>
      </c>
      <c r="E1573">
        <v>49</v>
      </c>
      <c r="F1573">
        <v>9.5</v>
      </c>
      <c r="G1573" t="s">
        <v>30</v>
      </c>
      <c r="H1573" t="s">
        <v>12</v>
      </c>
    </row>
    <row r="1574" spans="1:8" x14ac:dyDescent="0.3">
      <c r="A1574" t="s">
        <v>1505</v>
      </c>
      <c r="B1574">
        <v>95</v>
      </c>
      <c r="C1574" t="s">
        <v>45</v>
      </c>
      <c r="D1574">
        <v>58</v>
      </c>
      <c r="E1574">
        <v>82</v>
      </c>
      <c r="F1574">
        <v>242.5</v>
      </c>
      <c r="G1574" t="s">
        <v>2</v>
      </c>
      <c r="H1574" t="s">
        <v>9</v>
      </c>
    </row>
    <row r="1575" spans="1:8" x14ac:dyDescent="0.3">
      <c r="A1575" t="s">
        <v>1506</v>
      </c>
      <c r="B1575">
        <v>94</v>
      </c>
      <c r="C1575" t="s">
        <v>45</v>
      </c>
      <c r="D1575">
        <v>55</v>
      </c>
      <c r="E1575">
        <v>77</v>
      </c>
      <c r="F1575">
        <v>4.9800000000000004</v>
      </c>
      <c r="G1575" t="s">
        <v>18</v>
      </c>
      <c r="H1575" t="s">
        <v>16</v>
      </c>
    </row>
    <row r="1576" spans="1:8" x14ac:dyDescent="0.3">
      <c r="A1576" t="s">
        <v>1507</v>
      </c>
      <c r="B1576">
        <v>94</v>
      </c>
      <c r="C1576" t="s">
        <v>41</v>
      </c>
      <c r="D1576">
        <v>60</v>
      </c>
      <c r="E1576">
        <v>84</v>
      </c>
      <c r="F1576">
        <v>5.57</v>
      </c>
      <c r="G1576" t="s">
        <v>18</v>
      </c>
      <c r="H1576" t="s">
        <v>12</v>
      </c>
    </row>
    <row r="1577" spans="1:8" x14ac:dyDescent="0.3">
      <c r="A1577" t="s">
        <v>1508</v>
      </c>
      <c r="B1577">
        <v>95</v>
      </c>
      <c r="C1577" t="s">
        <v>45</v>
      </c>
      <c r="D1577">
        <v>58</v>
      </c>
      <c r="E1577">
        <v>80</v>
      </c>
      <c r="F1577">
        <v>121.25</v>
      </c>
      <c r="G1577" t="s">
        <v>2</v>
      </c>
      <c r="H1577" t="s">
        <v>9</v>
      </c>
    </row>
    <row r="1578" spans="1:8" x14ac:dyDescent="0.3">
      <c r="A1578" t="s">
        <v>1509</v>
      </c>
      <c r="B1578">
        <v>97</v>
      </c>
      <c r="C1578" t="s">
        <v>41</v>
      </c>
      <c r="D1578">
        <v>67</v>
      </c>
      <c r="E1578">
        <v>97</v>
      </c>
      <c r="F1578">
        <v>60.41</v>
      </c>
      <c r="G1578" t="s">
        <v>18</v>
      </c>
      <c r="H1578" t="s">
        <v>5</v>
      </c>
    </row>
    <row r="1579" spans="1:8" x14ac:dyDescent="0.3">
      <c r="A1579" t="s">
        <v>1412</v>
      </c>
      <c r="B1579">
        <v>95</v>
      </c>
      <c r="C1579" t="s">
        <v>45</v>
      </c>
      <c r="D1579">
        <v>54</v>
      </c>
      <c r="E1579">
        <v>80</v>
      </c>
      <c r="F1579">
        <v>4.8499999999999996</v>
      </c>
      <c r="G1579" t="s">
        <v>18</v>
      </c>
      <c r="H1579" t="s">
        <v>16</v>
      </c>
    </row>
    <row r="1580" spans="1:8" x14ac:dyDescent="0.3">
      <c r="A1580" t="s">
        <v>1510</v>
      </c>
      <c r="B1580">
        <v>94</v>
      </c>
      <c r="C1580" t="s">
        <v>41</v>
      </c>
      <c r="D1580">
        <v>62</v>
      </c>
      <c r="E1580">
        <v>84</v>
      </c>
      <c r="F1580">
        <v>4.12</v>
      </c>
      <c r="G1580" t="s">
        <v>18</v>
      </c>
      <c r="H1580" t="s">
        <v>12</v>
      </c>
    </row>
    <row r="1581" spans="1:8" x14ac:dyDescent="0.3">
      <c r="A1581" t="s">
        <v>1511</v>
      </c>
      <c r="B1581">
        <v>94</v>
      </c>
      <c r="C1581" t="s">
        <v>45</v>
      </c>
      <c r="D1581">
        <v>54</v>
      </c>
      <c r="E1581">
        <v>75</v>
      </c>
      <c r="F1581">
        <v>4.7</v>
      </c>
      <c r="G1581" t="s">
        <v>18</v>
      </c>
      <c r="H1581" t="s">
        <v>14</v>
      </c>
    </row>
    <row r="1582" spans="1:8" x14ac:dyDescent="0.3">
      <c r="A1582" t="s">
        <v>1512</v>
      </c>
      <c r="B1582">
        <v>94</v>
      </c>
      <c r="C1582" t="s">
        <v>45</v>
      </c>
      <c r="D1582">
        <v>54</v>
      </c>
      <c r="E1582">
        <v>76</v>
      </c>
      <c r="F1582">
        <v>5.88</v>
      </c>
      <c r="G1582" t="s">
        <v>18</v>
      </c>
      <c r="H1582" t="s">
        <v>12</v>
      </c>
    </row>
    <row r="1583" spans="1:8" x14ac:dyDescent="0.3">
      <c r="A1583" t="s">
        <v>1513</v>
      </c>
      <c r="B1583">
        <v>94</v>
      </c>
      <c r="C1583" t="s">
        <v>45</v>
      </c>
      <c r="D1583">
        <v>54</v>
      </c>
      <c r="E1583">
        <v>78</v>
      </c>
      <c r="F1583">
        <v>10.29</v>
      </c>
      <c r="G1583" t="s">
        <v>18</v>
      </c>
      <c r="H1583" t="s">
        <v>21</v>
      </c>
    </row>
    <row r="1584" spans="1:8" x14ac:dyDescent="0.3">
      <c r="A1584" t="s">
        <v>1514</v>
      </c>
      <c r="B1584">
        <v>96</v>
      </c>
      <c r="C1584" t="s">
        <v>45</v>
      </c>
      <c r="D1584">
        <v>53</v>
      </c>
      <c r="E1584">
        <v>76</v>
      </c>
      <c r="F1584">
        <v>6.14</v>
      </c>
      <c r="G1584" t="s">
        <v>18</v>
      </c>
      <c r="H1584" t="s">
        <v>12</v>
      </c>
    </row>
    <row r="1585" spans="1:8" x14ac:dyDescent="0.3">
      <c r="A1585" t="s">
        <v>1515</v>
      </c>
      <c r="B1585">
        <v>94</v>
      </c>
      <c r="C1585" t="s">
        <v>45</v>
      </c>
      <c r="D1585">
        <v>53</v>
      </c>
      <c r="E1585">
        <v>75</v>
      </c>
      <c r="F1585">
        <v>4.63</v>
      </c>
      <c r="G1585" t="s">
        <v>18</v>
      </c>
      <c r="H1585" t="s">
        <v>150</v>
      </c>
    </row>
    <row r="1586" spans="1:8" x14ac:dyDescent="0.3">
      <c r="A1586" t="s">
        <v>1516</v>
      </c>
      <c r="B1586">
        <v>95</v>
      </c>
      <c r="C1586" t="s">
        <v>82</v>
      </c>
      <c r="D1586">
        <v>50</v>
      </c>
      <c r="E1586">
        <v>71</v>
      </c>
      <c r="F1586">
        <v>10.29</v>
      </c>
      <c r="G1586" t="s">
        <v>18</v>
      </c>
      <c r="H1586" t="s">
        <v>21</v>
      </c>
    </row>
    <row r="1587" spans="1:8" x14ac:dyDescent="0.3">
      <c r="A1587" t="s">
        <v>1517</v>
      </c>
      <c r="B1587">
        <v>94</v>
      </c>
      <c r="C1587" t="s">
        <v>45</v>
      </c>
      <c r="D1587">
        <v>54</v>
      </c>
      <c r="E1587">
        <v>74</v>
      </c>
      <c r="F1587">
        <v>10.23</v>
      </c>
      <c r="G1587" t="s">
        <v>18</v>
      </c>
      <c r="H1587" t="s">
        <v>18</v>
      </c>
    </row>
    <row r="1588" spans="1:8" x14ac:dyDescent="0.3">
      <c r="A1588" t="s">
        <v>1518</v>
      </c>
      <c r="B1588">
        <v>94</v>
      </c>
      <c r="C1588" t="s">
        <v>41</v>
      </c>
      <c r="D1588">
        <v>62</v>
      </c>
      <c r="E1588">
        <v>84</v>
      </c>
      <c r="F1588">
        <v>58.24</v>
      </c>
      <c r="G1588" t="s">
        <v>18</v>
      </c>
      <c r="H1588" t="s">
        <v>14</v>
      </c>
    </row>
    <row r="1589" spans="1:8" x14ac:dyDescent="0.3">
      <c r="A1589" t="s">
        <v>1519</v>
      </c>
      <c r="B1589">
        <v>94</v>
      </c>
      <c r="C1589" t="s">
        <v>45</v>
      </c>
      <c r="D1589">
        <v>54</v>
      </c>
      <c r="E1589">
        <v>80</v>
      </c>
      <c r="F1589">
        <v>22.02</v>
      </c>
      <c r="G1589" t="s">
        <v>18</v>
      </c>
      <c r="H1589" t="s">
        <v>18</v>
      </c>
    </row>
    <row r="1590" spans="1:8" x14ac:dyDescent="0.3">
      <c r="A1590" t="s">
        <v>810</v>
      </c>
      <c r="B1590">
        <v>94</v>
      </c>
      <c r="C1590" t="s">
        <v>45</v>
      </c>
      <c r="D1590">
        <v>54</v>
      </c>
      <c r="E1590">
        <v>80</v>
      </c>
      <c r="F1590">
        <v>4.41</v>
      </c>
      <c r="G1590" t="s">
        <v>31</v>
      </c>
      <c r="H1590" t="s">
        <v>16</v>
      </c>
    </row>
    <row r="1591" spans="1:8" x14ac:dyDescent="0.3">
      <c r="A1591" t="s">
        <v>1520</v>
      </c>
      <c r="B1591">
        <v>95</v>
      </c>
      <c r="C1591" t="s">
        <v>45</v>
      </c>
      <c r="D1591">
        <v>55</v>
      </c>
      <c r="E1591">
        <v>78</v>
      </c>
      <c r="F1591">
        <v>15.43</v>
      </c>
      <c r="G1591" t="s">
        <v>18</v>
      </c>
      <c r="H1591" t="s">
        <v>9</v>
      </c>
    </row>
    <row r="1592" spans="1:8" x14ac:dyDescent="0.3">
      <c r="A1592" t="s">
        <v>1521</v>
      </c>
      <c r="B1592">
        <v>94</v>
      </c>
      <c r="C1592" t="s">
        <v>45</v>
      </c>
      <c r="D1592">
        <v>55</v>
      </c>
      <c r="E1592">
        <v>76</v>
      </c>
      <c r="F1592">
        <v>8.82</v>
      </c>
      <c r="G1592" t="s">
        <v>18</v>
      </c>
      <c r="H1592" t="s">
        <v>12</v>
      </c>
    </row>
    <row r="1593" spans="1:8" x14ac:dyDescent="0.3">
      <c r="A1593" t="s">
        <v>1522</v>
      </c>
      <c r="B1593">
        <v>94</v>
      </c>
      <c r="C1593" t="s">
        <v>45</v>
      </c>
      <c r="D1593">
        <v>53</v>
      </c>
      <c r="E1593">
        <v>73</v>
      </c>
      <c r="F1593">
        <v>5.29</v>
      </c>
      <c r="G1593" t="s">
        <v>18</v>
      </c>
      <c r="H1593" t="s">
        <v>16</v>
      </c>
    </row>
    <row r="1594" spans="1:8" x14ac:dyDescent="0.3">
      <c r="A1594" t="s">
        <v>1523</v>
      </c>
      <c r="B1594">
        <v>94</v>
      </c>
      <c r="C1594" t="s">
        <v>45</v>
      </c>
      <c r="D1594">
        <v>51</v>
      </c>
      <c r="E1594">
        <v>72</v>
      </c>
      <c r="F1594">
        <v>110.23</v>
      </c>
      <c r="G1594" t="s">
        <v>2</v>
      </c>
      <c r="H1594" t="s">
        <v>14</v>
      </c>
    </row>
    <row r="1595" spans="1:8" x14ac:dyDescent="0.3">
      <c r="A1595" t="s">
        <v>1037</v>
      </c>
      <c r="B1595">
        <v>94</v>
      </c>
      <c r="C1595" t="s">
        <v>45</v>
      </c>
      <c r="D1595">
        <v>56</v>
      </c>
      <c r="E1595">
        <v>80</v>
      </c>
      <c r="F1595">
        <v>4.26</v>
      </c>
      <c r="G1595" t="s">
        <v>18</v>
      </c>
      <c r="H1595" t="s">
        <v>9</v>
      </c>
    </row>
    <row r="1596" spans="1:8" x14ac:dyDescent="0.3">
      <c r="A1596" t="s">
        <v>1524</v>
      </c>
      <c r="B1596">
        <v>96</v>
      </c>
      <c r="C1596" t="s">
        <v>45</v>
      </c>
      <c r="D1596">
        <v>56</v>
      </c>
      <c r="E1596">
        <v>77</v>
      </c>
      <c r="F1596">
        <v>4.26</v>
      </c>
      <c r="G1596" t="s">
        <v>18</v>
      </c>
      <c r="H1596" t="s">
        <v>12</v>
      </c>
    </row>
    <row r="1597" spans="1:8" x14ac:dyDescent="0.3">
      <c r="A1597" t="s">
        <v>1525</v>
      </c>
      <c r="B1597">
        <v>94</v>
      </c>
      <c r="C1597" t="s">
        <v>45</v>
      </c>
      <c r="D1597">
        <v>56</v>
      </c>
      <c r="E1597">
        <v>77</v>
      </c>
      <c r="F1597">
        <v>38.799999999999997</v>
      </c>
      <c r="G1597" t="s">
        <v>18</v>
      </c>
      <c r="H1597" t="s">
        <v>9</v>
      </c>
    </row>
    <row r="1598" spans="1:8" x14ac:dyDescent="0.3">
      <c r="A1598" t="s">
        <v>1526</v>
      </c>
      <c r="B1598">
        <v>94</v>
      </c>
      <c r="C1598" t="s">
        <v>45</v>
      </c>
      <c r="D1598">
        <v>58</v>
      </c>
      <c r="E1598">
        <v>82</v>
      </c>
      <c r="F1598">
        <v>5.86</v>
      </c>
      <c r="G1598" t="s">
        <v>18</v>
      </c>
      <c r="H1598" t="s">
        <v>9</v>
      </c>
    </row>
    <row r="1599" spans="1:8" x14ac:dyDescent="0.3">
      <c r="A1599" t="s">
        <v>1527</v>
      </c>
      <c r="B1599">
        <v>95</v>
      </c>
      <c r="C1599" t="s">
        <v>45</v>
      </c>
      <c r="D1599">
        <v>50</v>
      </c>
      <c r="E1599">
        <v>74</v>
      </c>
      <c r="F1599">
        <v>99.21</v>
      </c>
      <c r="G1599" t="s">
        <v>2</v>
      </c>
      <c r="H1599" t="s">
        <v>7</v>
      </c>
    </row>
    <row r="1600" spans="1:8" x14ac:dyDescent="0.3">
      <c r="A1600" t="s">
        <v>1528</v>
      </c>
      <c r="B1600">
        <v>94</v>
      </c>
      <c r="C1600" t="s">
        <v>45</v>
      </c>
      <c r="D1600">
        <v>56</v>
      </c>
      <c r="E1600">
        <v>76</v>
      </c>
      <c r="F1600">
        <v>5.29</v>
      </c>
      <c r="G1600" t="s">
        <v>18</v>
      </c>
      <c r="H1600" t="s">
        <v>9</v>
      </c>
    </row>
    <row r="1601" spans="1:8" x14ac:dyDescent="0.3">
      <c r="A1601" t="s">
        <v>1529</v>
      </c>
      <c r="B1601">
        <v>94</v>
      </c>
      <c r="C1601" t="s">
        <v>45</v>
      </c>
      <c r="D1601">
        <v>56</v>
      </c>
      <c r="E1601">
        <v>76</v>
      </c>
      <c r="F1601">
        <v>4.5</v>
      </c>
      <c r="G1601" t="s">
        <v>18</v>
      </c>
      <c r="H1601" t="s">
        <v>12</v>
      </c>
    </row>
    <row r="1602" spans="1:8" x14ac:dyDescent="0.3">
      <c r="A1602" t="s">
        <v>890</v>
      </c>
      <c r="B1602">
        <v>96</v>
      </c>
      <c r="C1602" t="s">
        <v>45</v>
      </c>
      <c r="D1602">
        <v>56</v>
      </c>
      <c r="E1602">
        <v>76</v>
      </c>
      <c r="F1602">
        <v>22.02</v>
      </c>
      <c r="G1602" t="s">
        <v>18</v>
      </c>
      <c r="H1602" t="s">
        <v>18</v>
      </c>
    </row>
    <row r="1603" spans="1:8" x14ac:dyDescent="0.3">
      <c r="A1603" t="s">
        <v>1530</v>
      </c>
      <c r="B1603">
        <v>95</v>
      </c>
      <c r="C1603" t="s">
        <v>45</v>
      </c>
      <c r="D1603">
        <v>56</v>
      </c>
      <c r="E1603">
        <v>76</v>
      </c>
      <c r="F1603">
        <v>335.1</v>
      </c>
      <c r="G1603" t="s">
        <v>2</v>
      </c>
      <c r="H1603" t="s">
        <v>9</v>
      </c>
    </row>
    <row r="1604" spans="1:8" x14ac:dyDescent="0.3">
      <c r="A1604" t="s">
        <v>1531</v>
      </c>
      <c r="B1604">
        <v>97</v>
      </c>
      <c r="C1604" t="s">
        <v>82</v>
      </c>
      <c r="D1604">
        <v>47</v>
      </c>
      <c r="E1604">
        <v>68</v>
      </c>
      <c r="F1604">
        <v>37.479999999999997</v>
      </c>
      <c r="G1604" t="s">
        <v>18</v>
      </c>
      <c r="H1604" t="s">
        <v>8</v>
      </c>
    </row>
    <row r="1605" spans="1:8" x14ac:dyDescent="0.3">
      <c r="A1605" t="s">
        <v>1532</v>
      </c>
      <c r="B1605">
        <v>94</v>
      </c>
      <c r="C1605" t="s">
        <v>45</v>
      </c>
      <c r="D1605">
        <v>59</v>
      </c>
      <c r="E1605">
        <v>78</v>
      </c>
      <c r="F1605">
        <v>5.59</v>
      </c>
      <c r="G1605" t="s">
        <v>18</v>
      </c>
      <c r="H1605" t="s">
        <v>14</v>
      </c>
    </row>
    <row r="1606" spans="1:8" x14ac:dyDescent="0.3">
      <c r="A1606" t="s">
        <v>1533</v>
      </c>
      <c r="B1606">
        <v>94</v>
      </c>
      <c r="C1606" t="s">
        <v>45</v>
      </c>
      <c r="D1606">
        <v>56</v>
      </c>
      <c r="E1606">
        <v>70</v>
      </c>
      <c r="F1606">
        <v>3.86</v>
      </c>
      <c r="G1606" t="s">
        <v>18</v>
      </c>
      <c r="H1606" t="s">
        <v>19</v>
      </c>
    </row>
    <row r="1607" spans="1:8" x14ac:dyDescent="0.3">
      <c r="A1607" t="s">
        <v>1534</v>
      </c>
      <c r="B1607">
        <v>95</v>
      </c>
      <c r="C1607" t="s">
        <v>45</v>
      </c>
      <c r="D1607">
        <v>57</v>
      </c>
      <c r="E1607">
        <v>83</v>
      </c>
      <c r="F1607">
        <v>33.51</v>
      </c>
      <c r="G1607" t="s">
        <v>18</v>
      </c>
      <c r="H1607" t="s">
        <v>5</v>
      </c>
    </row>
    <row r="1608" spans="1:8" x14ac:dyDescent="0.3">
      <c r="A1608" t="s">
        <v>1535</v>
      </c>
      <c r="B1608">
        <v>95</v>
      </c>
      <c r="C1608" t="s">
        <v>45</v>
      </c>
      <c r="D1608">
        <v>54</v>
      </c>
      <c r="E1608">
        <v>78</v>
      </c>
      <c r="F1608">
        <v>5.07</v>
      </c>
      <c r="G1608" t="s">
        <v>18</v>
      </c>
      <c r="H1608" t="s">
        <v>17</v>
      </c>
    </row>
    <row r="1609" spans="1:8" x14ac:dyDescent="0.3">
      <c r="A1609" t="s">
        <v>1536</v>
      </c>
      <c r="B1609">
        <v>94</v>
      </c>
      <c r="C1609" t="s">
        <v>45</v>
      </c>
      <c r="D1609">
        <v>54</v>
      </c>
      <c r="E1609">
        <v>76</v>
      </c>
      <c r="F1609">
        <v>330.7</v>
      </c>
      <c r="G1609" t="s">
        <v>2</v>
      </c>
      <c r="H1609" t="s">
        <v>9</v>
      </c>
    </row>
    <row r="1610" spans="1:8" x14ac:dyDescent="0.3">
      <c r="A1610" t="s">
        <v>1537</v>
      </c>
      <c r="B1610">
        <v>97</v>
      </c>
      <c r="C1610" t="s">
        <v>45</v>
      </c>
      <c r="D1610">
        <v>57</v>
      </c>
      <c r="E1610">
        <v>76</v>
      </c>
      <c r="F1610">
        <v>5.47</v>
      </c>
      <c r="G1610" t="s">
        <v>18</v>
      </c>
      <c r="H1610" t="s">
        <v>16</v>
      </c>
    </row>
    <row r="1611" spans="1:8" x14ac:dyDescent="0.3">
      <c r="A1611" t="s">
        <v>1538</v>
      </c>
      <c r="B1611">
        <v>94</v>
      </c>
      <c r="C1611" t="s">
        <v>82</v>
      </c>
      <c r="D1611">
        <v>50</v>
      </c>
      <c r="E1611">
        <v>64</v>
      </c>
      <c r="F1611">
        <v>22.03</v>
      </c>
      <c r="G1611" t="s">
        <v>2</v>
      </c>
      <c r="H1611" t="s">
        <v>9</v>
      </c>
    </row>
    <row r="1612" spans="1:8" x14ac:dyDescent="0.3">
      <c r="A1612" t="s">
        <v>1539</v>
      </c>
      <c r="B1612">
        <v>95</v>
      </c>
      <c r="C1612" t="s">
        <v>45</v>
      </c>
      <c r="D1612">
        <v>56</v>
      </c>
      <c r="E1612">
        <v>78</v>
      </c>
      <c r="F1612">
        <v>12.79</v>
      </c>
      <c r="G1612" t="s">
        <v>18</v>
      </c>
      <c r="H1612" t="s">
        <v>5</v>
      </c>
    </row>
    <row r="1613" spans="1:8" x14ac:dyDescent="0.3">
      <c r="A1613" t="s">
        <v>1540</v>
      </c>
      <c r="B1613">
        <v>95</v>
      </c>
      <c r="C1613" t="s">
        <v>45</v>
      </c>
      <c r="D1613">
        <v>54</v>
      </c>
      <c r="E1613">
        <v>74</v>
      </c>
      <c r="F1613">
        <v>15.43</v>
      </c>
      <c r="G1613" t="s">
        <v>18</v>
      </c>
      <c r="H1613" t="s">
        <v>9</v>
      </c>
    </row>
    <row r="1614" spans="1:8" x14ac:dyDescent="0.3">
      <c r="A1614" t="s">
        <v>1541</v>
      </c>
      <c r="B1614">
        <v>94</v>
      </c>
      <c r="C1614" t="s">
        <v>45</v>
      </c>
      <c r="D1614">
        <v>58</v>
      </c>
      <c r="E1614">
        <v>78</v>
      </c>
      <c r="F1614">
        <v>4.1900000000000004</v>
      </c>
      <c r="G1614" t="s">
        <v>2</v>
      </c>
      <c r="H1614" t="s">
        <v>9</v>
      </c>
    </row>
    <row r="1615" spans="1:8" x14ac:dyDescent="0.3">
      <c r="A1615" t="s">
        <v>1542</v>
      </c>
      <c r="B1615">
        <v>94</v>
      </c>
      <c r="C1615" t="s">
        <v>45</v>
      </c>
      <c r="D1615">
        <v>58</v>
      </c>
      <c r="E1615">
        <v>78</v>
      </c>
      <c r="F1615">
        <v>22.02</v>
      </c>
      <c r="G1615" t="s">
        <v>18</v>
      </c>
      <c r="H1615" t="s">
        <v>5</v>
      </c>
    </row>
    <row r="1616" spans="1:8" x14ac:dyDescent="0.3">
      <c r="A1616" t="s">
        <v>1543</v>
      </c>
      <c r="B1616">
        <v>94</v>
      </c>
      <c r="C1616" t="s">
        <v>45</v>
      </c>
      <c r="D1616">
        <v>52</v>
      </c>
      <c r="E1616">
        <v>71</v>
      </c>
      <c r="F1616">
        <v>5.73</v>
      </c>
      <c r="G1616" t="s">
        <v>18</v>
      </c>
      <c r="H1616" t="s">
        <v>12</v>
      </c>
    </row>
    <row r="1617" spans="1:8" x14ac:dyDescent="0.3">
      <c r="A1617" t="s">
        <v>1544</v>
      </c>
      <c r="B1617">
        <v>96</v>
      </c>
      <c r="C1617" t="s">
        <v>45</v>
      </c>
      <c r="D1617">
        <v>59</v>
      </c>
      <c r="E1617">
        <v>82</v>
      </c>
      <c r="F1617">
        <v>21.16</v>
      </c>
      <c r="G1617" t="s">
        <v>18</v>
      </c>
      <c r="H1617" t="s">
        <v>18</v>
      </c>
    </row>
    <row r="1618" spans="1:8" x14ac:dyDescent="0.3">
      <c r="A1618" t="s">
        <v>1545</v>
      </c>
      <c r="B1618">
        <v>95</v>
      </c>
      <c r="C1618" t="s">
        <v>45</v>
      </c>
      <c r="D1618">
        <v>60</v>
      </c>
      <c r="E1618">
        <v>80</v>
      </c>
      <c r="F1618">
        <v>5.29</v>
      </c>
      <c r="G1618" t="s">
        <v>18</v>
      </c>
      <c r="H1618" t="s">
        <v>9</v>
      </c>
    </row>
    <row r="1619" spans="1:8" x14ac:dyDescent="0.3">
      <c r="A1619" t="s">
        <v>1461</v>
      </c>
      <c r="B1619">
        <v>95</v>
      </c>
      <c r="C1619" t="s">
        <v>41</v>
      </c>
      <c r="D1619">
        <v>65</v>
      </c>
      <c r="E1619">
        <v>82</v>
      </c>
      <c r="F1619">
        <v>11.02</v>
      </c>
      <c r="G1619" t="s">
        <v>18</v>
      </c>
      <c r="H1619" t="s">
        <v>5</v>
      </c>
    </row>
    <row r="1620" spans="1:8" x14ac:dyDescent="0.3">
      <c r="A1620" t="s">
        <v>1546</v>
      </c>
      <c r="B1620">
        <v>95</v>
      </c>
      <c r="C1620" t="s">
        <v>45</v>
      </c>
      <c r="D1620">
        <v>58</v>
      </c>
      <c r="E1620">
        <v>78</v>
      </c>
      <c r="F1620">
        <v>20.94</v>
      </c>
      <c r="G1620" t="s">
        <v>18</v>
      </c>
      <c r="H1620" t="s">
        <v>5</v>
      </c>
    </row>
    <row r="1621" spans="1:8" x14ac:dyDescent="0.3">
      <c r="A1621" t="s">
        <v>1547</v>
      </c>
      <c r="B1621">
        <v>94</v>
      </c>
      <c r="C1621" t="s">
        <v>41</v>
      </c>
      <c r="D1621">
        <v>62</v>
      </c>
      <c r="E1621">
        <v>84</v>
      </c>
      <c r="F1621">
        <v>8.82</v>
      </c>
      <c r="G1621" t="s">
        <v>18</v>
      </c>
      <c r="H1621" t="s">
        <v>12</v>
      </c>
    </row>
    <row r="1622" spans="1:8" x14ac:dyDescent="0.3">
      <c r="A1622" t="s">
        <v>1548</v>
      </c>
      <c r="B1622">
        <v>94</v>
      </c>
      <c r="C1622" t="s">
        <v>41</v>
      </c>
      <c r="D1622">
        <v>66</v>
      </c>
      <c r="E1622">
        <v>82</v>
      </c>
      <c r="F1622">
        <v>14.11</v>
      </c>
      <c r="G1622" t="s">
        <v>18</v>
      </c>
      <c r="H1622" t="s">
        <v>5</v>
      </c>
    </row>
    <row r="1623" spans="1:8" x14ac:dyDescent="0.3">
      <c r="A1623" t="s">
        <v>1549</v>
      </c>
      <c r="B1623">
        <v>94</v>
      </c>
      <c r="C1623" t="s">
        <v>541</v>
      </c>
      <c r="D1623">
        <v>43</v>
      </c>
      <c r="E1623">
        <v>52</v>
      </c>
      <c r="F1623">
        <v>220.46</v>
      </c>
      <c r="G1623" t="s">
        <v>2</v>
      </c>
      <c r="H1623" t="s">
        <v>10</v>
      </c>
    </row>
    <row r="1624" spans="1:8" x14ac:dyDescent="0.3">
      <c r="A1624" t="s">
        <v>1550</v>
      </c>
      <c r="B1624">
        <v>94</v>
      </c>
      <c r="C1624" t="s">
        <v>41</v>
      </c>
      <c r="D1624">
        <v>63</v>
      </c>
      <c r="E1624">
        <v>84</v>
      </c>
      <c r="F1624">
        <v>6.8</v>
      </c>
      <c r="G1624" t="s">
        <v>18</v>
      </c>
      <c r="H1624" t="s">
        <v>9</v>
      </c>
    </row>
    <row r="1625" spans="1:8" x14ac:dyDescent="0.3">
      <c r="A1625" t="s">
        <v>1551</v>
      </c>
      <c r="B1625">
        <v>95</v>
      </c>
      <c r="C1625" t="s">
        <v>82</v>
      </c>
      <c r="D1625">
        <v>47</v>
      </c>
      <c r="E1625">
        <v>70</v>
      </c>
      <c r="F1625">
        <v>308.64999999999998</v>
      </c>
      <c r="G1625" t="s">
        <v>2</v>
      </c>
      <c r="H1625" t="s">
        <v>9</v>
      </c>
    </row>
    <row r="1626" spans="1:8" x14ac:dyDescent="0.3">
      <c r="A1626" t="s">
        <v>1552</v>
      </c>
      <c r="B1626">
        <v>94</v>
      </c>
      <c r="C1626" t="s">
        <v>82</v>
      </c>
      <c r="D1626">
        <v>52</v>
      </c>
      <c r="E1626">
        <v>64</v>
      </c>
      <c r="F1626">
        <v>4.78</v>
      </c>
      <c r="G1626" t="s">
        <v>18</v>
      </c>
      <c r="H1626" t="s">
        <v>12</v>
      </c>
    </row>
    <row r="1627" spans="1:8" x14ac:dyDescent="0.3">
      <c r="A1627" t="s">
        <v>1553</v>
      </c>
      <c r="B1627">
        <v>95</v>
      </c>
      <c r="C1627" t="s">
        <v>45</v>
      </c>
      <c r="D1627">
        <v>52</v>
      </c>
      <c r="E1627">
        <v>74</v>
      </c>
      <c r="F1627">
        <v>286.60000000000002</v>
      </c>
      <c r="G1627" t="s">
        <v>2</v>
      </c>
      <c r="H1627" t="s">
        <v>9</v>
      </c>
    </row>
    <row r="1628" spans="1:8" x14ac:dyDescent="0.3">
      <c r="A1628" t="s">
        <v>1554</v>
      </c>
      <c r="B1628">
        <v>97</v>
      </c>
      <c r="C1628" t="s">
        <v>45</v>
      </c>
      <c r="D1628">
        <v>56</v>
      </c>
      <c r="E1628">
        <v>78</v>
      </c>
      <c r="F1628">
        <v>7.05</v>
      </c>
      <c r="G1628" t="s">
        <v>18</v>
      </c>
      <c r="H1628" t="s">
        <v>12</v>
      </c>
    </row>
    <row r="1629" spans="1:8" x14ac:dyDescent="0.3">
      <c r="A1629" t="s">
        <v>1331</v>
      </c>
      <c r="B1629">
        <v>95</v>
      </c>
      <c r="C1629" t="s">
        <v>45</v>
      </c>
      <c r="D1629">
        <v>55</v>
      </c>
      <c r="E1629">
        <v>77</v>
      </c>
      <c r="F1629">
        <v>6.17</v>
      </c>
      <c r="G1629" t="s">
        <v>18</v>
      </c>
      <c r="H1629" t="s">
        <v>16</v>
      </c>
    </row>
    <row r="1630" spans="1:8" x14ac:dyDescent="0.3">
      <c r="A1630" t="s">
        <v>1555</v>
      </c>
      <c r="B1630">
        <v>94</v>
      </c>
      <c r="C1630" t="s">
        <v>45</v>
      </c>
      <c r="D1630">
        <v>60</v>
      </c>
      <c r="E1630">
        <v>76</v>
      </c>
      <c r="F1630">
        <v>5.88</v>
      </c>
      <c r="G1630" t="s">
        <v>18</v>
      </c>
      <c r="H1630" t="s">
        <v>22</v>
      </c>
    </row>
    <row r="1631" spans="1:8" x14ac:dyDescent="0.3">
      <c r="A1631" t="s">
        <v>1367</v>
      </c>
      <c r="B1631">
        <v>94</v>
      </c>
      <c r="C1631" t="s">
        <v>45</v>
      </c>
      <c r="D1631">
        <v>60</v>
      </c>
      <c r="E1631">
        <v>78</v>
      </c>
      <c r="F1631">
        <v>5.28</v>
      </c>
      <c r="G1631" t="s">
        <v>18</v>
      </c>
      <c r="H1631" t="s">
        <v>12</v>
      </c>
    </row>
    <row r="1632" spans="1:8" x14ac:dyDescent="0.3">
      <c r="A1632" t="s">
        <v>1556</v>
      </c>
      <c r="B1632">
        <v>94</v>
      </c>
      <c r="C1632" t="s">
        <v>45</v>
      </c>
      <c r="D1632">
        <v>56</v>
      </c>
      <c r="E1632">
        <v>78</v>
      </c>
      <c r="F1632">
        <v>7.05</v>
      </c>
      <c r="G1632" t="s">
        <v>18</v>
      </c>
      <c r="H1632" t="s">
        <v>14</v>
      </c>
    </row>
    <row r="1633" spans="1:8" x14ac:dyDescent="0.3">
      <c r="A1633" t="s">
        <v>1557</v>
      </c>
      <c r="B1633">
        <v>95</v>
      </c>
      <c r="C1633" t="s">
        <v>45</v>
      </c>
      <c r="D1633">
        <v>54</v>
      </c>
      <c r="E1633">
        <v>76</v>
      </c>
      <c r="F1633">
        <v>17.61</v>
      </c>
      <c r="G1633" t="s">
        <v>18</v>
      </c>
      <c r="H1633" t="s">
        <v>18</v>
      </c>
    </row>
    <row r="1634" spans="1:8" x14ac:dyDescent="0.3">
      <c r="A1634" t="s">
        <v>1558</v>
      </c>
      <c r="B1634">
        <v>95</v>
      </c>
      <c r="C1634" t="s">
        <v>45</v>
      </c>
      <c r="D1634">
        <v>60</v>
      </c>
      <c r="E1634">
        <v>80</v>
      </c>
      <c r="F1634">
        <v>5.28</v>
      </c>
      <c r="G1634" t="s">
        <v>18</v>
      </c>
      <c r="H1634" t="s">
        <v>12</v>
      </c>
    </row>
    <row r="1635" spans="1:8" x14ac:dyDescent="0.3">
      <c r="A1635" t="s">
        <v>1559</v>
      </c>
      <c r="B1635">
        <v>94</v>
      </c>
      <c r="C1635" t="s">
        <v>45</v>
      </c>
      <c r="D1635">
        <v>55</v>
      </c>
      <c r="E1635">
        <v>78</v>
      </c>
      <c r="F1635">
        <v>5.73</v>
      </c>
      <c r="G1635" t="s">
        <v>18</v>
      </c>
      <c r="H1635" t="s">
        <v>21</v>
      </c>
    </row>
    <row r="1636" spans="1:8" x14ac:dyDescent="0.3">
      <c r="A1636" t="s">
        <v>1560</v>
      </c>
      <c r="B1636">
        <v>95</v>
      </c>
      <c r="C1636" t="s">
        <v>45</v>
      </c>
      <c r="D1636">
        <v>56</v>
      </c>
      <c r="E1636">
        <v>78</v>
      </c>
      <c r="F1636">
        <v>5.29</v>
      </c>
      <c r="G1636" t="s">
        <v>18</v>
      </c>
      <c r="H1636" t="s">
        <v>12</v>
      </c>
    </row>
    <row r="1637" spans="1:8" x14ac:dyDescent="0.3">
      <c r="A1637" t="s">
        <v>1561</v>
      </c>
      <c r="B1637">
        <v>96</v>
      </c>
      <c r="C1637" t="s">
        <v>45</v>
      </c>
      <c r="D1637">
        <v>57</v>
      </c>
      <c r="E1637">
        <v>80</v>
      </c>
      <c r="F1637">
        <v>22.05</v>
      </c>
      <c r="G1637" t="s">
        <v>18</v>
      </c>
      <c r="H1637" t="s">
        <v>5</v>
      </c>
    </row>
    <row r="1638" spans="1:8" x14ac:dyDescent="0.3">
      <c r="A1638" t="s">
        <v>1562</v>
      </c>
      <c r="B1638">
        <v>95</v>
      </c>
      <c r="C1638" t="s">
        <v>45</v>
      </c>
      <c r="D1638">
        <v>56</v>
      </c>
      <c r="E1638">
        <v>78</v>
      </c>
      <c r="F1638">
        <v>52.86</v>
      </c>
      <c r="G1638" t="s">
        <v>11</v>
      </c>
      <c r="H1638" t="s">
        <v>9</v>
      </c>
    </row>
    <row r="1639" spans="1:8" x14ac:dyDescent="0.3">
      <c r="A1639" t="s">
        <v>1563</v>
      </c>
      <c r="B1639">
        <v>94</v>
      </c>
      <c r="C1639" t="s">
        <v>45</v>
      </c>
      <c r="D1639">
        <v>57</v>
      </c>
      <c r="E1639">
        <v>77</v>
      </c>
      <c r="F1639">
        <v>4.7</v>
      </c>
      <c r="G1639" t="s">
        <v>18</v>
      </c>
      <c r="H1639" t="s">
        <v>12</v>
      </c>
    </row>
    <row r="1640" spans="1:8" x14ac:dyDescent="0.3">
      <c r="A1640" t="s">
        <v>1564</v>
      </c>
      <c r="B1640">
        <v>95</v>
      </c>
      <c r="C1640" t="s">
        <v>45</v>
      </c>
      <c r="D1640">
        <v>56</v>
      </c>
      <c r="E1640">
        <v>82</v>
      </c>
      <c r="F1640">
        <v>6.4</v>
      </c>
      <c r="G1640" t="s">
        <v>29</v>
      </c>
      <c r="H1640" t="s">
        <v>3</v>
      </c>
    </row>
    <row r="1641" spans="1:8" x14ac:dyDescent="0.3">
      <c r="A1641" t="s">
        <v>1565</v>
      </c>
      <c r="B1641">
        <v>96</v>
      </c>
      <c r="C1641" t="s">
        <v>45</v>
      </c>
      <c r="D1641">
        <v>56</v>
      </c>
      <c r="E1641">
        <v>82</v>
      </c>
      <c r="F1641">
        <v>19.82</v>
      </c>
      <c r="G1641" t="s">
        <v>18</v>
      </c>
      <c r="H1641" t="s">
        <v>18</v>
      </c>
    </row>
    <row r="1642" spans="1:8" x14ac:dyDescent="0.3">
      <c r="A1642" t="s">
        <v>1566</v>
      </c>
      <c r="B1642">
        <v>94</v>
      </c>
      <c r="C1642" t="s">
        <v>41</v>
      </c>
      <c r="D1642">
        <v>58</v>
      </c>
      <c r="E1642">
        <v>84</v>
      </c>
      <c r="F1642">
        <v>6.61</v>
      </c>
      <c r="G1642" t="s">
        <v>18</v>
      </c>
      <c r="H1642" t="s">
        <v>5</v>
      </c>
    </row>
    <row r="1643" spans="1:8" x14ac:dyDescent="0.3">
      <c r="A1643" t="s">
        <v>1567</v>
      </c>
      <c r="B1643">
        <v>96</v>
      </c>
      <c r="C1643" t="s">
        <v>45</v>
      </c>
      <c r="D1643">
        <v>56</v>
      </c>
      <c r="E1643">
        <v>78</v>
      </c>
      <c r="F1643">
        <v>6</v>
      </c>
      <c r="G1643" t="s">
        <v>18</v>
      </c>
      <c r="H1643" t="s">
        <v>12</v>
      </c>
    </row>
    <row r="1644" spans="1:8" x14ac:dyDescent="0.3">
      <c r="A1644" t="s">
        <v>1568</v>
      </c>
      <c r="B1644">
        <v>95</v>
      </c>
      <c r="C1644" t="s">
        <v>45</v>
      </c>
      <c r="D1644">
        <v>54</v>
      </c>
      <c r="E1644">
        <v>74</v>
      </c>
      <c r="F1644">
        <v>6</v>
      </c>
      <c r="G1644" t="s">
        <v>18</v>
      </c>
      <c r="H1644" t="s">
        <v>9</v>
      </c>
    </row>
    <row r="1645" spans="1:8" x14ac:dyDescent="0.3">
      <c r="A1645" t="s">
        <v>1569</v>
      </c>
      <c r="B1645">
        <v>94</v>
      </c>
      <c r="C1645" t="s">
        <v>45</v>
      </c>
      <c r="D1645">
        <v>54</v>
      </c>
      <c r="E1645">
        <v>68</v>
      </c>
      <c r="F1645">
        <v>11.02</v>
      </c>
      <c r="G1645" t="s">
        <v>18</v>
      </c>
      <c r="H1645" t="s">
        <v>15</v>
      </c>
    </row>
    <row r="1646" spans="1:8" x14ac:dyDescent="0.3">
      <c r="A1646" t="s">
        <v>1570</v>
      </c>
      <c r="B1646">
        <v>94</v>
      </c>
      <c r="C1646" t="s">
        <v>45</v>
      </c>
      <c r="D1646">
        <v>52</v>
      </c>
      <c r="E1646">
        <v>70</v>
      </c>
      <c r="F1646">
        <v>6.47</v>
      </c>
      <c r="G1646" t="s">
        <v>18</v>
      </c>
      <c r="H1646" t="s">
        <v>15</v>
      </c>
    </row>
    <row r="1647" spans="1:8" x14ac:dyDescent="0.3">
      <c r="A1647" t="s">
        <v>1571</v>
      </c>
      <c r="B1647">
        <v>96</v>
      </c>
      <c r="C1647" t="s">
        <v>82</v>
      </c>
      <c r="D1647">
        <v>45</v>
      </c>
      <c r="E1647">
        <v>58</v>
      </c>
      <c r="F1647">
        <v>1152.42</v>
      </c>
      <c r="G1647" t="s">
        <v>2</v>
      </c>
      <c r="H1647" t="s">
        <v>5</v>
      </c>
    </row>
    <row r="1648" spans="1:8" x14ac:dyDescent="0.3">
      <c r="A1648" t="s">
        <v>1572</v>
      </c>
      <c r="B1648">
        <v>94</v>
      </c>
      <c r="C1648" t="s">
        <v>541</v>
      </c>
      <c r="D1648">
        <v>44</v>
      </c>
      <c r="E1648">
        <v>54</v>
      </c>
      <c r="F1648">
        <v>509.25</v>
      </c>
      <c r="G1648" t="s">
        <v>2</v>
      </c>
      <c r="H1648" t="s">
        <v>15</v>
      </c>
    </row>
    <row r="1649" spans="1:8" x14ac:dyDescent="0.3">
      <c r="A1649" t="s">
        <v>1573</v>
      </c>
      <c r="B1649">
        <v>94</v>
      </c>
      <c r="C1649" t="s">
        <v>45</v>
      </c>
      <c r="D1649">
        <v>58</v>
      </c>
      <c r="E1649">
        <v>80</v>
      </c>
      <c r="F1649">
        <v>4.63</v>
      </c>
      <c r="G1649" t="s">
        <v>2</v>
      </c>
      <c r="H1649" t="s">
        <v>9</v>
      </c>
    </row>
    <row r="1650" spans="1:8" x14ac:dyDescent="0.3">
      <c r="A1650" t="s">
        <v>801</v>
      </c>
      <c r="B1650">
        <v>94</v>
      </c>
      <c r="C1650" t="s">
        <v>45</v>
      </c>
      <c r="D1650">
        <v>57</v>
      </c>
      <c r="E1650">
        <v>78</v>
      </c>
      <c r="F1650">
        <v>5.29</v>
      </c>
      <c r="G1650" t="s">
        <v>18</v>
      </c>
      <c r="H1650" t="s">
        <v>12</v>
      </c>
    </row>
    <row r="1651" spans="1:8" x14ac:dyDescent="0.3">
      <c r="A1651" t="s">
        <v>1574</v>
      </c>
      <c r="B1651">
        <v>94</v>
      </c>
      <c r="C1651" t="s">
        <v>45</v>
      </c>
      <c r="D1651">
        <v>58</v>
      </c>
      <c r="E1651">
        <v>77</v>
      </c>
      <c r="F1651">
        <v>5</v>
      </c>
      <c r="G1651" t="s">
        <v>18</v>
      </c>
      <c r="H1651" t="s">
        <v>9</v>
      </c>
    </row>
    <row r="1652" spans="1:8" x14ac:dyDescent="0.3">
      <c r="A1652" t="s">
        <v>1331</v>
      </c>
      <c r="B1652">
        <v>95</v>
      </c>
      <c r="C1652" t="s">
        <v>82</v>
      </c>
      <c r="D1652">
        <v>51</v>
      </c>
      <c r="E1652">
        <v>62</v>
      </c>
      <c r="F1652">
        <v>4.4800000000000004</v>
      </c>
      <c r="G1652" t="s">
        <v>18</v>
      </c>
      <c r="H1652" t="s">
        <v>16</v>
      </c>
    </row>
    <row r="1653" spans="1:8" x14ac:dyDescent="0.3">
      <c r="A1653" t="s">
        <v>1575</v>
      </c>
      <c r="B1653">
        <v>95</v>
      </c>
      <c r="C1653" t="s">
        <v>45</v>
      </c>
      <c r="D1653">
        <v>56</v>
      </c>
      <c r="E1653">
        <v>78</v>
      </c>
      <c r="F1653">
        <v>7.35</v>
      </c>
      <c r="G1653" t="s">
        <v>18</v>
      </c>
      <c r="H1653" t="s">
        <v>12</v>
      </c>
    </row>
    <row r="1654" spans="1:8" x14ac:dyDescent="0.3">
      <c r="A1654" t="s">
        <v>1576</v>
      </c>
      <c r="B1654">
        <v>96</v>
      </c>
      <c r="C1654" t="s">
        <v>41</v>
      </c>
      <c r="D1654">
        <v>58</v>
      </c>
      <c r="E1654">
        <v>84</v>
      </c>
      <c r="F1654">
        <v>6.17</v>
      </c>
      <c r="G1654" t="s">
        <v>18</v>
      </c>
      <c r="H1654" t="s">
        <v>12</v>
      </c>
    </row>
    <row r="1655" spans="1:8" x14ac:dyDescent="0.3">
      <c r="A1655" t="s">
        <v>1577</v>
      </c>
      <c r="B1655">
        <v>96</v>
      </c>
      <c r="C1655" t="s">
        <v>45</v>
      </c>
      <c r="D1655">
        <v>55</v>
      </c>
      <c r="E1655">
        <v>74</v>
      </c>
      <c r="F1655">
        <v>5.57</v>
      </c>
      <c r="G1655" t="s">
        <v>18</v>
      </c>
      <c r="H1655" t="s">
        <v>12</v>
      </c>
    </row>
    <row r="1656" spans="1:8" x14ac:dyDescent="0.3">
      <c r="A1656" t="s">
        <v>1237</v>
      </c>
      <c r="B1656">
        <v>94</v>
      </c>
      <c r="C1656" t="s">
        <v>45</v>
      </c>
      <c r="D1656">
        <v>55</v>
      </c>
      <c r="E1656">
        <v>75</v>
      </c>
      <c r="F1656">
        <v>5.29</v>
      </c>
      <c r="G1656" t="s">
        <v>18</v>
      </c>
      <c r="H1656" t="s">
        <v>5</v>
      </c>
    </row>
    <row r="1657" spans="1:8" x14ac:dyDescent="0.3">
      <c r="A1657" t="s">
        <v>1578</v>
      </c>
      <c r="B1657">
        <v>95</v>
      </c>
      <c r="C1657" t="s">
        <v>45</v>
      </c>
      <c r="D1657">
        <v>58</v>
      </c>
      <c r="E1657">
        <v>78</v>
      </c>
      <c r="F1657">
        <v>5.51</v>
      </c>
      <c r="G1657" t="s">
        <v>18</v>
      </c>
      <c r="H1657" t="s">
        <v>9</v>
      </c>
    </row>
    <row r="1658" spans="1:8" x14ac:dyDescent="0.3">
      <c r="A1658" t="s">
        <v>1579</v>
      </c>
      <c r="B1658">
        <v>94</v>
      </c>
      <c r="C1658" t="s">
        <v>45</v>
      </c>
      <c r="D1658">
        <v>52</v>
      </c>
      <c r="E1658">
        <v>74</v>
      </c>
      <c r="F1658">
        <v>6.17</v>
      </c>
      <c r="G1658" t="s">
        <v>18</v>
      </c>
      <c r="H1658" t="s">
        <v>16</v>
      </c>
    </row>
    <row r="1659" spans="1:8" x14ac:dyDescent="0.3">
      <c r="A1659" t="s">
        <v>1580</v>
      </c>
      <c r="B1659">
        <v>94</v>
      </c>
      <c r="C1659" t="s">
        <v>41</v>
      </c>
      <c r="D1659">
        <v>65</v>
      </c>
      <c r="E1659">
        <v>78</v>
      </c>
      <c r="F1659">
        <v>4.7</v>
      </c>
      <c r="G1659" t="s">
        <v>18</v>
      </c>
      <c r="H1659" t="s">
        <v>9</v>
      </c>
    </row>
    <row r="1660" spans="1:8" x14ac:dyDescent="0.3">
      <c r="A1660" t="s">
        <v>1581</v>
      </c>
      <c r="B1660">
        <v>96</v>
      </c>
      <c r="C1660" t="s">
        <v>45</v>
      </c>
      <c r="D1660">
        <v>56</v>
      </c>
      <c r="E1660">
        <v>80</v>
      </c>
      <c r="F1660">
        <v>4.8499999999999996</v>
      </c>
      <c r="G1660" t="s">
        <v>2</v>
      </c>
      <c r="H1660" t="s">
        <v>12</v>
      </c>
    </row>
    <row r="1661" spans="1:8" x14ac:dyDescent="0.3">
      <c r="A1661" t="s">
        <v>1582</v>
      </c>
      <c r="B1661">
        <v>95</v>
      </c>
      <c r="C1661" t="s">
        <v>45</v>
      </c>
      <c r="D1661">
        <v>56</v>
      </c>
      <c r="E1661">
        <v>78</v>
      </c>
      <c r="F1661">
        <v>5.29</v>
      </c>
      <c r="G1661" t="s">
        <v>18</v>
      </c>
      <c r="H1661" t="s">
        <v>12</v>
      </c>
    </row>
    <row r="1662" spans="1:8" x14ac:dyDescent="0.3">
      <c r="A1662" t="s">
        <v>1583</v>
      </c>
      <c r="B1662">
        <v>95</v>
      </c>
      <c r="C1662" t="s">
        <v>45</v>
      </c>
      <c r="D1662">
        <v>56</v>
      </c>
      <c r="E1662">
        <v>78</v>
      </c>
      <c r="F1662">
        <v>4.1900000000000004</v>
      </c>
      <c r="G1662" t="s">
        <v>2</v>
      </c>
      <c r="H1662" t="s">
        <v>9</v>
      </c>
    </row>
    <row r="1663" spans="1:8" x14ac:dyDescent="0.3">
      <c r="A1663" t="s">
        <v>1584</v>
      </c>
      <c r="B1663">
        <v>94</v>
      </c>
      <c r="C1663" t="s">
        <v>45</v>
      </c>
      <c r="D1663">
        <v>54</v>
      </c>
      <c r="E1663">
        <v>75</v>
      </c>
      <c r="F1663">
        <v>4.41</v>
      </c>
      <c r="G1663" t="s">
        <v>18</v>
      </c>
      <c r="H1663" t="s">
        <v>12</v>
      </c>
    </row>
    <row r="1664" spans="1:8" x14ac:dyDescent="0.3">
      <c r="A1664" t="s">
        <v>1585</v>
      </c>
      <c r="B1664">
        <v>94</v>
      </c>
      <c r="C1664" t="s">
        <v>41</v>
      </c>
      <c r="D1664">
        <v>69</v>
      </c>
      <c r="E1664">
        <v>84</v>
      </c>
      <c r="F1664">
        <v>2557.3200000000002</v>
      </c>
      <c r="G1664" t="s">
        <v>2</v>
      </c>
      <c r="H1664" t="s">
        <v>9</v>
      </c>
    </row>
    <row r="1665" spans="1:8" x14ac:dyDescent="0.3">
      <c r="A1665" t="s">
        <v>1586</v>
      </c>
      <c r="B1665">
        <v>94</v>
      </c>
      <c r="C1665" t="s">
        <v>45</v>
      </c>
      <c r="D1665">
        <v>54</v>
      </c>
      <c r="E1665">
        <v>73</v>
      </c>
      <c r="F1665">
        <v>4.7</v>
      </c>
      <c r="G1665" t="s">
        <v>18</v>
      </c>
      <c r="H1665" t="s">
        <v>12</v>
      </c>
    </row>
    <row r="1666" spans="1:8" x14ac:dyDescent="0.3">
      <c r="A1666" t="s">
        <v>1587</v>
      </c>
      <c r="B1666">
        <v>94</v>
      </c>
      <c r="C1666" t="s">
        <v>45</v>
      </c>
      <c r="D1666">
        <v>57</v>
      </c>
      <c r="E1666">
        <v>80</v>
      </c>
      <c r="F1666">
        <v>4.8499999999999996</v>
      </c>
      <c r="G1666" t="s">
        <v>18</v>
      </c>
      <c r="H1666" t="s">
        <v>9</v>
      </c>
    </row>
    <row r="1667" spans="1:8" x14ac:dyDescent="0.3">
      <c r="A1667" t="s">
        <v>1588</v>
      </c>
      <c r="B1667">
        <v>94</v>
      </c>
      <c r="C1667" t="s">
        <v>45</v>
      </c>
      <c r="D1667">
        <v>52</v>
      </c>
      <c r="E1667">
        <v>76</v>
      </c>
      <c r="F1667">
        <v>255.51</v>
      </c>
      <c r="G1667" t="s">
        <v>2</v>
      </c>
      <c r="H1667" t="s">
        <v>9</v>
      </c>
    </row>
    <row r="1668" spans="1:8" x14ac:dyDescent="0.3">
      <c r="A1668" t="s">
        <v>1589</v>
      </c>
      <c r="B1668">
        <v>94</v>
      </c>
      <c r="C1668" t="s">
        <v>82</v>
      </c>
      <c r="D1668">
        <v>50</v>
      </c>
      <c r="E1668">
        <v>69</v>
      </c>
      <c r="F1668">
        <v>4</v>
      </c>
      <c r="G1668" t="s">
        <v>30</v>
      </c>
      <c r="H1668" t="s">
        <v>16</v>
      </c>
    </row>
    <row r="1669" spans="1:8" x14ac:dyDescent="0.3">
      <c r="A1669" t="s">
        <v>1590</v>
      </c>
      <c r="B1669">
        <v>94</v>
      </c>
      <c r="C1669" t="s">
        <v>45</v>
      </c>
      <c r="D1669">
        <v>54</v>
      </c>
      <c r="E1669">
        <v>74</v>
      </c>
      <c r="F1669">
        <v>4.26</v>
      </c>
      <c r="G1669" t="s">
        <v>18</v>
      </c>
      <c r="H1669" t="s">
        <v>16</v>
      </c>
    </row>
    <row r="1670" spans="1:8" x14ac:dyDescent="0.3">
      <c r="A1670" t="s">
        <v>1591</v>
      </c>
      <c r="B1670">
        <v>94</v>
      </c>
      <c r="C1670" t="s">
        <v>41</v>
      </c>
      <c r="D1670">
        <v>58</v>
      </c>
      <c r="E1670">
        <v>90</v>
      </c>
      <c r="F1670">
        <v>5.28</v>
      </c>
      <c r="G1670" t="s">
        <v>18</v>
      </c>
      <c r="H1670" t="s">
        <v>9</v>
      </c>
    </row>
    <row r="1671" spans="1:8" x14ac:dyDescent="0.3">
      <c r="A1671" t="s">
        <v>1592</v>
      </c>
      <c r="B1671">
        <v>94</v>
      </c>
      <c r="C1671" t="s">
        <v>45</v>
      </c>
      <c r="D1671">
        <v>54</v>
      </c>
      <c r="E1671">
        <v>79</v>
      </c>
      <c r="F1671">
        <v>4.7</v>
      </c>
      <c r="G1671" t="s">
        <v>18</v>
      </c>
      <c r="H1671" t="s">
        <v>9</v>
      </c>
    </row>
    <row r="1672" spans="1:8" x14ac:dyDescent="0.3">
      <c r="A1672" t="s">
        <v>1593</v>
      </c>
      <c r="B1672">
        <v>96</v>
      </c>
      <c r="C1672" t="s">
        <v>45</v>
      </c>
      <c r="D1672">
        <v>56</v>
      </c>
      <c r="E1672">
        <v>78</v>
      </c>
      <c r="F1672">
        <v>4.9400000000000004</v>
      </c>
      <c r="G1672" t="s">
        <v>18</v>
      </c>
      <c r="H1672" t="s">
        <v>9</v>
      </c>
    </row>
    <row r="1673" spans="1:8" x14ac:dyDescent="0.3">
      <c r="A1673" t="s">
        <v>1594</v>
      </c>
      <c r="B1673">
        <v>95</v>
      </c>
      <c r="C1673" t="s">
        <v>41</v>
      </c>
      <c r="D1673">
        <v>58</v>
      </c>
      <c r="E1673">
        <v>84</v>
      </c>
      <c r="F1673">
        <v>21.83</v>
      </c>
      <c r="G1673" t="s">
        <v>18</v>
      </c>
      <c r="H1673" t="s">
        <v>5</v>
      </c>
    </row>
    <row r="1674" spans="1:8" x14ac:dyDescent="0.3">
      <c r="A1674" t="s">
        <v>1595</v>
      </c>
      <c r="B1674">
        <v>94</v>
      </c>
      <c r="C1674" t="s">
        <v>45</v>
      </c>
      <c r="D1674">
        <v>54</v>
      </c>
      <c r="E1674">
        <v>78</v>
      </c>
      <c r="F1674">
        <v>50</v>
      </c>
      <c r="G1674" t="s">
        <v>11</v>
      </c>
      <c r="H1674" t="s">
        <v>9</v>
      </c>
    </row>
    <row r="1675" spans="1:8" x14ac:dyDescent="0.3">
      <c r="A1675" t="s">
        <v>1596</v>
      </c>
      <c r="B1675">
        <v>94</v>
      </c>
      <c r="C1675" t="s">
        <v>45</v>
      </c>
      <c r="D1675">
        <v>56</v>
      </c>
      <c r="E1675">
        <v>80</v>
      </c>
      <c r="F1675">
        <v>4.9400000000000004</v>
      </c>
      <c r="G1675" t="s">
        <v>18</v>
      </c>
      <c r="H1675" t="s">
        <v>9</v>
      </c>
    </row>
    <row r="1676" spans="1:8" x14ac:dyDescent="0.3">
      <c r="A1676" t="s">
        <v>1597</v>
      </c>
      <c r="B1676">
        <v>94</v>
      </c>
      <c r="C1676" t="s">
        <v>45</v>
      </c>
      <c r="D1676">
        <v>56</v>
      </c>
      <c r="E1676">
        <v>80</v>
      </c>
      <c r="F1676">
        <v>5.28</v>
      </c>
      <c r="G1676" t="s">
        <v>18</v>
      </c>
      <c r="H1676" t="s">
        <v>7</v>
      </c>
    </row>
    <row r="1677" spans="1:8" x14ac:dyDescent="0.3">
      <c r="A1677" t="s">
        <v>1598</v>
      </c>
      <c r="B1677">
        <v>94</v>
      </c>
      <c r="C1677" t="s">
        <v>45</v>
      </c>
      <c r="D1677">
        <v>54</v>
      </c>
      <c r="E1677">
        <v>76</v>
      </c>
      <c r="F1677">
        <v>6.4</v>
      </c>
      <c r="G1677" t="s">
        <v>29</v>
      </c>
      <c r="H1677" t="s">
        <v>9</v>
      </c>
    </row>
    <row r="1678" spans="1:8" x14ac:dyDescent="0.3">
      <c r="A1678" t="s">
        <v>1417</v>
      </c>
      <c r="B1678">
        <v>95</v>
      </c>
      <c r="C1678" t="s">
        <v>45</v>
      </c>
      <c r="D1678">
        <v>50</v>
      </c>
      <c r="E1678">
        <v>73</v>
      </c>
      <c r="F1678">
        <v>9.41</v>
      </c>
      <c r="G1678" t="s">
        <v>18</v>
      </c>
      <c r="H1678" t="s">
        <v>14</v>
      </c>
    </row>
    <row r="1679" spans="1:8" x14ac:dyDescent="0.3">
      <c r="A1679" t="s">
        <v>1599</v>
      </c>
      <c r="B1679">
        <v>96</v>
      </c>
      <c r="C1679" t="s">
        <v>45</v>
      </c>
      <c r="D1679">
        <v>54</v>
      </c>
      <c r="E1679">
        <v>76</v>
      </c>
      <c r="F1679">
        <v>5.73</v>
      </c>
      <c r="G1679" t="s">
        <v>18</v>
      </c>
      <c r="H1679" t="s">
        <v>9</v>
      </c>
    </row>
    <row r="1680" spans="1:8" x14ac:dyDescent="0.3">
      <c r="A1680" t="s">
        <v>1600</v>
      </c>
      <c r="B1680">
        <v>95</v>
      </c>
      <c r="C1680" t="s">
        <v>45</v>
      </c>
      <c r="D1680">
        <v>60</v>
      </c>
      <c r="E1680">
        <v>80</v>
      </c>
      <c r="F1680">
        <v>6.03</v>
      </c>
      <c r="G1680" t="s">
        <v>18</v>
      </c>
      <c r="H1680" t="s">
        <v>15</v>
      </c>
    </row>
    <row r="1681" spans="1:8" x14ac:dyDescent="0.3">
      <c r="A1681" t="s">
        <v>1601</v>
      </c>
      <c r="B1681">
        <v>94</v>
      </c>
      <c r="C1681" t="s">
        <v>41</v>
      </c>
      <c r="D1681">
        <v>65</v>
      </c>
      <c r="E1681">
        <v>81</v>
      </c>
      <c r="F1681">
        <v>5</v>
      </c>
      <c r="G1681" t="s">
        <v>18</v>
      </c>
      <c r="H1681" t="s">
        <v>14</v>
      </c>
    </row>
    <row r="1682" spans="1:8" x14ac:dyDescent="0.3">
      <c r="A1682" t="s">
        <v>1565</v>
      </c>
      <c r="B1682">
        <v>94</v>
      </c>
      <c r="C1682" t="s">
        <v>45</v>
      </c>
      <c r="D1682">
        <v>58</v>
      </c>
      <c r="E1682">
        <v>83</v>
      </c>
      <c r="F1682">
        <v>17.61</v>
      </c>
      <c r="G1682" t="s">
        <v>18</v>
      </c>
      <c r="H1682" t="s">
        <v>18</v>
      </c>
    </row>
    <row r="1683" spans="1:8" x14ac:dyDescent="0.3">
      <c r="A1683" t="s">
        <v>1602</v>
      </c>
      <c r="B1683">
        <v>94</v>
      </c>
      <c r="C1683" t="s">
        <v>41</v>
      </c>
      <c r="D1683">
        <v>66</v>
      </c>
      <c r="E1683">
        <v>83</v>
      </c>
      <c r="F1683">
        <v>3.89</v>
      </c>
      <c r="G1683" t="s">
        <v>18</v>
      </c>
      <c r="H1683" t="s">
        <v>3</v>
      </c>
    </row>
    <row r="1684" spans="1:8" x14ac:dyDescent="0.3">
      <c r="A1684" t="s">
        <v>1603</v>
      </c>
      <c r="B1684">
        <v>94</v>
      </c>
      <c r="C1684" t="s">
        <v>45</v>
      </c>
      <c r="D1684">
        <v>55</v>
      </c>
      <c r="E1684">
        <v>81</v>
      </c>
      <c r="F1684">
        <v>3.08</v>
      </c>
      <c r="G1684" t="s">
        <v>18</v>
      </c>
      <c r="H1684" t="s">
        <v>3</v>
      </c>
    </row>
    <row r="1685" spans="1:8" x14ac:dyDescent="0.3">
      <c r="A1685" t="s">
        <v>1604</v>
      </c>
      <c r="B1685">
        <v>94</v>
      </c>
      <c r="C1685" t="s">
        <v>41</v>
      </c>
      <c r="D1685">
        <v>60</v>
      </c>
      <c r="E1685">
        <v>84</v>
      </c>
      <c r="F1685">
        <v>110.23</v>
      </c>
      <c r="G1685" t="s">
        <v>2</v>
      </c>
      <c r="H1685" t="s">
        <v>12</v>
      </c>
    </row>
    <row r="1686" spans="1:8" x14ac:dyDescent="0.3">
      <c r="A1686" t="s">
        <v>1605</v>
      </c>
      <c r="B1686">
        <v>95</v>
      </c>
      <c r="C1686" t="s">
        <v>45</v>
      </c>
      <c r="D1686">
        <v>53</v>
      </c>
      <c r="E1686">
        <v>80</v>
      </c>
      <c r="F1686">
        <v>22.05</v>
      </c>
      <c r="G1686" t="s">
        <v>18</v>
      </c>
      <c r="H1686" t="s">
        <v>5</v>
      </c>
    </row>
    <row r="1687" spans="1:8" x14ac:dyDescent="0.3">
      <c r="A1687" t="s">
        <v>1606</v>
      </c>
      <c r="B1687">
        <v>94</v>
      </c>
      <c r="C1687" t="s">
        <v>45</v>
      </c>
      <c r="D1687">
        <v>48</v>
      </c>
      <c r="E1687">
        <v>78</v>
      </c>
      <c r="F1687">
        <v>6.17</v>
      </c>
      <c r="G1687" t="s">
        <v>18</v>
      </c>
      <c r="H1687" t="s">
        <v>9</v>
      </c>
    </row>
    <row r="1688" spans="1:8" x14ac:dyDescent="0.3">
      <c r="A1688" t="s">
        <v>1607</v>
      </c>
      <c r="B1688">
        <v>94</v>
      </c>
      <c r="C1688" t="s">
        <v>45</v>
      </c>
      <c r="D1688">
        <v>52</v>
      </c>
      <c r="E1688">
        <v>80</v>
      </c>
      <c r="F1688">
        <v>5.57</v>
      </c>
      <c r="G1688" t="s">
        <v>18</v>
      </c>
      <c r="H1688" t="s">
        <v>4</v>
      </c>
    </row>
    <row r="1689" spans="1:8" x14ac:dyDescent="0.3">
      <c r="A1689" t="s">
        <v>1608</v>
      </c>
      <c r="B1689">
        <v>94</v>
      </c>
      <c r="C1689" t="s">
        <v>45</v>
      </c>
      <c r="D1689">
        <v>57</v>
      </c>
      <c r="E1689">
        <v>84</v>
      </c>
      <c r="F1689">
        <v>5.23</v>
      </c>
      <c r="G1689" t="s">
        <v>18</v>
      </c>
      <c r="H1689" t="s">
        <v>9</v>
      </c>
    </row>
    <row r="1690" spans="1:8" x14ac:dyDescent="0.3">
      <c r="A1690" t="s">
        <v>1609</v>
      </c>
      <c r="B1690">
        <v>94</v>
      </c>
      <c r="C1690" t="s">
        <v>45</v>
      </c>
      <c r="D1690">
        <v>54</v>
      </c>
      <c r="E1690">
        <v>74</v>
      </c>
      <c r="F1690">
        <v>5.28</v>
      </c>
      <c r="G1690" t="s">
        <v>18</v>
      </c>
      <c r="H1690" t="s">
        <v>23</v>
      </c>
    </row>
    <row r="1691" spans="1:8" x14ac:dyDescent="0.3">
      <c r="A1691" t="s">
        <v>1610</v>
      </c>
      <c r="B1691">
        <v>95</v>
      </c>
      <c r="C1691" t="s">
        <v>45</v>
      </c>
      <c r="D1691">
        <v>54</v>
      </c>
      <c r="E1691">
        <v>86</v>
      </c>
      <c r="F1691">
        <v>23.37</v>
      </c>
      <c r="G1691" t="s">
        <v>18</v>
      </c>
      <c r="H1691" t="s">
        <v>5</v>
      </c>
    </row>
    <row r="1692" spans="1:8" x14ac:dyDescent="0.3">
      <c r="A1692" t="s">
        <v>1611</v>
      </c>
      <c r="B1692">
        <v>94</v>
      </c>
      <c r="C1692" t="s">
        <v>41</v>
      </c>
      <c r="D1692">
        <v>62</v>
      </c>
      <c r="E1692">
        <v>84</v>
      </c>
      <c r="F1692">
        <v>4.99</v>
      </c>
      <c r="G1692" t="s">
        <v>18</v>
      </c>
      <c r="H1692" t="s">
        <v>9</v>
      </c>
    </row>
    <row r="1693" spans="1:8" x14ac:dyDescent="0.3">
      <c r="A1693" t="s">
        <v>1612</v>
      </c>
      <c r="B1693">
        <v>94</v>
      </c>
      <c r="C1693" t="s">
        <v>45</v>
      </c>
      <c r="D1693">
        <v>60</v>
      </c>
      <c r="E1693">
        <v>80</v>
      </c>
      <c r="F1693">
        <v>5.59</v>
      </c>
      <c r="G1693" t="s">
        <v>18</v>
      </c>
      <c r="H1693" t="s">
        <v>9</v>
      </c>
    </row>
    <row r="1694" spans="1:8" x14ac:dyDescent="0.3">
      <c r="A1694" t="s">
        <v>1613</v>
      </c>
      <c r="B1694">
        <v>96</v>
      </c>
      <c r="C1694" t="s">
        <v>45</v>
      </c>
      <c r="D1694">
        <v>57</v>
      </c>
      <c r="E1694">
        <v>82</v>
      </c>
      <c r="F1694">
        <v>5.13</v>
      </c>
      <c r="G1694" t="s">
        <v>18</v>
      </c>
      <c r="H1694" t="s">
        <v>9</v>
      </c>
    </row>
    <row r="1695" spans="1:8" x14ac:dyDescent="0.3">
      <c r="A1695" t="s">
        <v>1614</v>
      </c>
      <c r="B1695">
        <v>94</v>
      </c>
      <c r="C1695" t="s">
        <v>45</v>
      </c>
      <c r="D1695">
        <v>57</v>
      </c>
      <c r="E1695">
        <v>82</v>
      </c>
      <c r="F1695">
        <v>39.65</v>
      </c>
      <c r="G1695" t="s">
        <v>11</v>
      </c>
      <c r="H1695" t="s">
        <v>9</v>
      </c>
    </row>
    <row r="1696" spans="1:8" x14ac:dyDescent="0.3">
      <c r="A1696" t="s">
        <v>1615</v>
      </c>
      <c r="B1696">
        <v>94</v>
      </c>
      <c r="C1696" t="s">
        <v>41</v>
      </c>
      <c r="D1696">
        <v>64</v>
      </c>
      <c r="E1696">
        <v>78</v>
      </c>
      <c r="F1696">
        <v>8</v>
      </c>
      <c r="G1696" t="s">
        <v>18</v>
      </c>
      <c r="H1696" t="s">
        <v>4</v>
      </c>
    </row>
    <row r="1697" spans="1:8" x14ac:dyDescent="0.3">
      <c r="A1697" t="s">
        <v>1616</v>
      </c>
      <c r="B1697">
        <v>94</v>
      </c>
      <c r="C1697" t="s">
        <v>45</v>
      </c>
      <c r="D1697">
        <v>55</v>
      </c>
      <c r="E1697">
        <v>80</v>
      </c>
      <c r="F1697">
        <v>4.34</v>
      </c>
      <c r="G1697" t="s">
        <v>18</v>
      </c>
      <c r="H1697" t="s">
        <v>12</v>
      </c>
    </row>
    <row r="1698" spans="1:8" x14ac:dyDescent="0.3">
      <c r="A1698" t="s">
        <v>1617</v>
      </c>
      <c r="B1698">
        <v>94</v>
      </c>
      <c r="C1698" t="s">
        <v>41</v>
      </c>
      <c r="D1698">
        <v>64</v>
      </c>
      <c r="E1698">
        <v>84</v>
      </c>
      <c r="F1698">
        <v>5.22</v>
      </c>
      <c r="G1698" t="s">
        <v>18</v>
      </c>
      <c r="H1698" t="s">
        <v>9</v>
      </c>
    </row>
    <row r="1699" spans="1:8" x14ac:dyDescent="0.3">
      <c r="A1699" t="s">
        <v>1618</v>
      </c>
      <c r="B1699">
        <v>94</v>
      </c>
      <c r="C1699" t="s">
        <v>45</v>
      </c>
      <c r="D1699">
        <v>54</v>
      </c>
      <c r="E1699">
        <v>78</v>
      </c>
      <c r="F1699">
        <v>5.14</v>
      </c>
      <c r="G1699" t="s">
        <v>18</v>
      </c>
      <c r="H1699" t="s">
        <v>12</v>
      </c>
    </row>
    <row r="1700" spans="1:8" x14ac:dyDescent="0.3">
      <c r="A1700" t="s">
        <v>890</v>
      </c>
      <c r="B1700">
        <v>94</v>
      </c>
      <c r="C1700" t="s">
        <v>45</v>
      </c>
      <c r="D1700">
        <v>56</v>
      </c>
      <c r="E1700">
        <v>78</v>
      </c>
      <c r="F1700">
        <v>15.41</v>
      </c>
      <c r="G1700" t="s">
        <v>18</v>
      </c>
      <c r="H1700" t="s">
        <v>18</v>
      </c>
    </row>
    <row r="1701" spans="1:8" x14ac:dyDescent="0.3">
      <c r="A1701" t="s">
        <v>1619</v>
      </c>
      <c r="B1701">
        <v>95</v>
      </c>
      <c r="C1701" t="s">
        <v>41</v>
      </c>
      <c r="D1701">
        <v>60</v>
      </c>
      <c r="E1701">
        <v>82</v>
      </c>
      <c r="F1701">
        <v>5.44</v>
      </c>
      <c r="G1701" t="s">
        <v>18</v>
      </c>
      <c r="H1701" t="s">
        <v>15</v>
      </c>
    </row>
    <row r="1702" spans="1:8" x14ac:dyDescent="0.3">
      <c r="A1702" t="s">
        <v>1620</v>
      </c>
      <c r="B1702">
        <v>95</v>
      </c>
      <c r="C1702" t="s">
        <v>45</v>
      </c>
      <c r="D1702">
        <v>56</v>
      </c>
      <c r="E1702">
        <v>72</v>
      </c>
      <c r="F1702">
        <v>5.14</v>
      </c>
      <c r="G1702" t="s">
        <v>18</v>
      </c>
      <c r="H1702" t="s">
        <v>9</v>
      </c>
    </row>
    <row r="1703" spans="1:8" x14ac:dyDescent="0.3">
      <c r="A1703" t="s">
        <v>1621</v>
      </c>
      <c r="B1703">
        <v>94</v>
      </c>
      <c r="C1703" t="s">
        <v>45</v>
      </c>
      <c r="D1703">
        <v>60</v>
      </c>
      <c r="E1703">
        <v>80</v>
      </c>
      <c r="F1703">
        <v>4.63</v>
      </c>
      <c r="G1703" t="s">
        <v>21</v>
      </c>
      <c r="H1703" t="s">
        <v>21</v>
      </c>
    </row>
    <row r="1704" spans="1:8" x14ac:dyDescent="0.3">
      <c r="A1704" t="s">
        <v>1622</v>
      </c>
      <c r="B1704">
        <v>95</v>
      </c>
      <c r="C1704" t="s">
        <v>41</v>
      </c>
      <c r="D1704">
        <v>62</v>
      </c>
      <c r="E1704">
        <v>84</v>
      </c>
      <c r="F1704">
        <v>132.28</v>
      </c>
      <c r="G1704" t="s">
        <v>2</v>
      </c>
      <c r="H1704" t="s">
        <v>9</v>
      </c>
    </row>
    <row r="1705" spans="1:8" x14ac:dyDescent="0.3">
      <c r="A1705" t="s">
        <v>1623</v>
      </c>
      <c r="B1705">
        <v>94</v>
      </c>
      <c r="C1705" t="s">
        <v>45</v>
      </c>
      <c r="D1705">
        <v>53</v>
      </c>
      <c r="E1705">
        <v>81</v>
      </c>
      <c r="F1705">
        <v>110.23</v>
      </c>
      <c r="G1705" t="s">
        <v>2</v>
      </c>
      <c r="H1705" t="s">
        <v>9</v>
      </c>
    </row>
    <row r="1706" spans="1:8" x14ac:dyDescent="0.3">
      <c r="A1706" t="s">
        <v>1624</v>
      </c>
      <c r="B1706">
        <v>95</v>
      </c>
      <c r="C1706" t="s">
        <v>45</v>
      </c>
      <c r="D1706">
        <v>52</v>
      </c>
      <c r="E1706">
        <v>78</v>
      </c>
      <c r="F1706">
        <v>15.43</v>
      </c>
      <c r="G1706" t="s">
        <v>18</v>
      </c>
      <c r="H1706" t="s">
        <v>14</v>
      </c>
    </row>
    <row r="1707" spans="1:8" x14ac:dyDescent="0.3">
      <c r="A1707" t="s">
        <v>1625</v>
      </c>
      <c r="B1707">
        <v>94</v>
      </c>
      <c r="C1707" t="s">
        <v>45</v>
      </c>
      <c r="D1707">
        <v>54</v>
      </c>
      <c r="E1707">
        <v>82</v>
      </c>
      <c r="F1707">
        <v>5.14</v>
      </c>
      <c r="G1707" t="s">
        <v>18</v>
      </c>
      <c r="H1707" t="s">
        <v>9</v>
      </c>
    </row>
    <row r="1708" spans="1:8" x14ac:dyDescent="0.3">
      <c r="A1708" t="s">
        <v>748</v>
      </c>
      <c r="B1708">
        <v>94</v>
      </c>
      <c r="C1708" t="s">
        <v>45</v>
      </c>
      <c r="D1708">
        <v>55</v>
      </c>
      <c r="E1708">
        <v>78</v>
      </c>
      <c r="F1708">
        <v>4.5599999999999996</v>
      </c>
      <c r="G1708" t="s">
        <v>18</v>
      </c>
      <c r="H1708" t="s">
        <v>9</v>
      </c>
    </row>
    <row r="1709" spans="1:8" x14ac:dyDescent="0.3">
      <c r="A1709" t="s">
        <v>1626</v>
      </c>
      <c r="B1709">
        <v>95</v>
      </c>
      <c r="C1709" t="s">
        <v>45</v>
      </c>
      <c r="D1709">
        <v>58</v>
      </c>
      <c r="E1709">
        <v>80</v>
      </c>
      <c r="F1709">
        <v>5.14</v>
      </c>
      <c r="G1709" t="s">
        <v>18</v>
      </c>
      <c r="H1709" t="s">
        <v>5</v>
      </c>
    </row>
    <row r="1710" spans="1:8" x14ac:dyDescent="0.3">
      <c r="A1710" t="s">
        <v>1627</v>
      </c>
      <c r="B1710">
        <v>94</v>
      </c>
      <c r="C1710" t="s">
        <v>41</v>
      </c>
      <c r="D1710">
        <v>60</v>
      </c>
      <c r="E1710">
        <v>84</v>
      </c>
      <c r="F1710">
        <v>4.55</v>
      </c>
      <c r="G1710" t="s">
        <v>18</v>
      </c>
      <c r="H1710" t="s">
        <v>12</v>
      </c>
    </row>
    <row r="1711" spans="1:8" x14ac:dyDescent="0.3">
      <c r="A1711" t="s">
        <v>1628</v>
      </c>
      <c r="B1711">
        <v>94</v>
      </c>
      <c r="C1711" t="s">
        <v>45</v>
      </c>
      <c r="D1711">
        <v>53</v>
      </c>
      <c r="E1711">
        <v>77</v>
      </c>
      <c r="F1711">
        <v>4.8499999999999996</v>
      </c>
      <c r="G1711" t="s">
        <v>18</v>
      </c>
      <c r="H1711" t="s">
        <v>15</v>
      </c>
    </row>
    <row r="1712" spans="1:8" x14ac:dyDescent="0.3">
      <c r="A1712" t="s">
        <v>1629</v>
      </c>
      <c r="B1712">
        <v>95</v>
      </c>
      <c r="C1712" t="s">
        <v>45</v>
      </c>
      <c r="D1712">
        <v>60</v>
      </c>
      <c r="E1712">
        <v>76</v>
      </c>
      <c r="F1712">
        <v>616.74</v>
      </c>
      <c r="G1712" t="s">
        <v>2</v>
      </c>
      <c r="H1712" t="s">
        <v>5</v>
      </c>
    </row>
    <row r="1713" spans="1:8" x14ac:dyDescent="0.3">
      <c r="A1713" t="s">
        <v>1630</v>
      </c>
      <c r="B1713">
        <v>97</v>
      </c>
      <c r="C1713" t="s">
        <v>45</v>
      </c>
      <c r="D1713">
        <v>59</v>
      </c>
      <c r="E1713">
        <v>82</v>
      </c>
      <c r="F1713">
        <v>27.34</v>
      </c>
      <c r="G1713" t="s">
        <v>18</v>
      </c>
      <c r="H1713" t="s">
        <v>5</v>
      </c>
    </row>
    <row r="1714" spans="1:8" x14ac:dyDescent="0.3">
      <c r="A1714" t="s">
        <v>1631</v>
      </c>
      <c r="B1714">
        <v>95</v>
      </c>
      <c r="C1714" t="s">
        <v>45</v>
      </c>
      <c r="D1714">
        <v>54</v>
      </c>
      <c r="E1714">
        <v>76</v>
      </c>
      <c r="F1714">
        <v>5.23</v>
      </c>
      <c r="G1714" t="s">
        <v>18</v>
      </c>
      <c r="H1714" t="s">
        <v>9</v>
      </c>
    </row>
    <row r="1715" spans="1:8" x14ac:dyDescent="0.3">
      <c r="A1715" t="s">
        <v>1632</v>
      </c>
      <c r="B1715">
        <v>94</v>
      </c>
      <c r="C1715" t="s">
        <v>45</v>
      </c>
      <c r="D1715">
        <v>60</v>
      </c>
      <c r="E1715">
        <v>77</v>
      </c>
      <c r="F1715">
        <v>4.37</v>
      </c>
      <c r="G1715" t="s">
        <v>18</v>
      </c>
      <c r="H1715" t="s">
        <v>14</v>
      </c>
    </row>
    <row r="1716" spans="1:8" x14ac:dyDescent="0.3">
      <c r="A1716" t="s">
        <v>1633</v>
      </c>
      <c r="B1716">
        <v>95</v>
      </c>
      <c r="C1716" t="s">
        <v>45</v>
      </c>
      <c r="D1716">
        <v>59</v>
      </c>
      <c r="E1716">
        <v>78</v>
      </c>
      <c r="F1716">
        <v>5.8</v>
      </c>
      <c r="G1716" t="s">
        <v>18</v>
      </c>
      <c r="H1716" t="s">
        <v>7</v>
      </c>
    </row>
    <row r="1717" spans="1:8" x14ac:dyDescent="0.3">
      <c r="A1717" t="s">
        <v>1634</v>
      </c>
      <c r="B1717">
        <v>94</v>
      </c>
      <c r="C1717" t="s">
        <v>41</v>
      </c>
      <c r="D1717">
        <v>62</v>
      </c>
      <c r="E1717">
        <v>87</v>
      </c>
      <c r="F1717">
        <v>9</v>
      </c>
      <c r="G1717" t="s">
        <v>18</v>
      </c>
      <c r="H1717" t="s">
        <v>9</v>
      </c>
    </row>
    <row r="1718" spans="1:8" x14ac:dyDescent="0.3">
      <c r="A1718" t="s">
        <v>1635</v>
      </c>
      <c r="B1718">
        <v>94</v>
      </c>
      <c r="C1718" t="s">
        <v>45</v>
      </c>
      <c r="D1718">
        <v>50</v>
      </c>
      <c r="E1718">
        <v>79</v>
      </c>
      <c r="F1718">
        <v>5.62</v>
      </c>
      <c r="G1718" t="s">
        <v>18</v>
      </c>
      <c r="H1718" t="s">
        <v>9</v>
      </c>
    </row>
    <row r="1719" spans="1:8" x14ac:dyDescent="0.3">
      <c r="A1719" t="s">
        <v>1636</v>
      </c>
      <c r="B1719">
        <v>95</v>
      </c>
      <c r="C1719" t="s">
        <v>82</v>
      </c>
      <c r="D1719">
        <v>49</v>
      </c>
      <c r="E1719">
        <v>68</v>
      </c>
      <c r="F1719">
        <v>5.73</v>
      </c>
      <c r="G1719" t="s">
        <v>18</v>
      </c>
      <c r="H1719" t="s">
        <v>12</v>
      </c>
    </row>
    <row r="1720" spans="1:8" x14ac:dyDescent="0.3">
      <c r="A1720" t="s">
        <v>1637</v>
      </c>
      <c r="B1720">
        <v>94</v>
      </c>
      <c r="C1720" t="s">
        <v>45</v>
      </c>
      <c r="D1720">
        <v>54</v>
      </c>
      <c r="E1720">
        <v>68</v>
      </c>
      <c r="F1720">
        <v>5.29</v>
      </c>
      <c r="G1720" t="s">
        <v>18</v>
      </c>
      <c r="H1720" t="s">
        <v>12</v>
      </c>
    </row>
    <row r="1721" spans="1:8" x14ac:dyDescent="0.3">
      <c r="A1721" t="s">
        <v>1638</v>
      </c>
      <c r="B1721">
        <v>95</v>
      </c>
      <c r="C1721" t="s">
        <v>541</v>
      </c>
      <c r="D1721">
        <v>44</v>
      </c>
      <c r="E1721">
        <v>56</v>
      </c>
      <c r="F1721">
        <v>396.83</v>
      </c>
      <c r="G1721" t="s">
        <v>2</v>
      </c>
      <c r="H1721" t="s">
        <v>12</v>
      </c>
    </row>
    <row r="1722" spans="1:8" x14ac:dyDescent="0.3">
      <c r="A1722" t="s">
        <v>1639</v>
      </c>
      <c r="B1722">
        <v>94</v>
      </c>
      <c r="C1722" t="s">
        <v>82</v>
      </c>
      <c r="D1722">
        <v>48</v>
      </c>
      <c r="E1722">
        <v>60</v>
      </c>
      <c r="F1722">
        <v>352.73</v>
      </c>
      <c r="G1722" t="s">
        <v>2</v>
      </c>
      <c r="H1722" t="s">
        <v>9</v>
      </c>
    </row>
    <row r="1723" spans="1:8" x14ac:dyDescent="0.3">
      <c r="A1723" t="s">
        <v>1640</v>
      </c>
      <c r="B1723">
        <v>94</v>
      </c>
      <c r="C1723" t="s">
        <v>82</v>
      </c>
      <c r="D1723">
        <v>45</v>
      </c>
      <c r="E1723">
        <v>57</v>
      </c>
      <c r="F1723">
        <v>308.64</v>
      </c>
      <c r="G1723" t="s">
        <v>2</v>
      </c>
      <c r="H1723" t="s">
        <v>9</v>
      </c>
    </row>
    <row r="1724" spans="1:8" x14ac:dyDescent="0.3">
      <c r="A1724" t="s">
        <v>1641</v>
      </c>
      <c r="B1724">
        <v>94</v>
      </c>
      <c r="C1724" t="s">
        <v>541</v>
      </c>
      <c r="D1724">
        <v>44</v>
      </c>
      <c r="E1724">
        <v>56</v>
      </c>
      <c r="F1724">
        <v>308.64</v>
      </c>
      <c r="G1724" t="s">
        <v>2</v>
      </c>
      <c r="H1724" t="s">
        <v>16</v>
      </c>
    </row>
    <row r="1725" spans="1:8" x14ac:dyDescent="0.3">
      <c r="A1725" t="s">
        <v>1642</v>
      </c>
      <c r="B1725">
        <v>94</v>
      </c>
      <c r="C1725" t="s">
        <v>541</v>
      </c>
      <c r="D1725">
        <v>45</v>
      </c>
      <c r="E1725">
        <v>54</v>
      </c>
      <c r="F1725">
        <v>396.83</v>
      </c>
      <c r="G1725" t="s">
        <v>2</v>
      </c>
      <c r="H1725" t="s">
        <v>12</v>
      </c>
    </row>
    <row r="1726" spans="1:8" x14ac:dyDescent="0.3">
      <c r="A1726" t="s">
        <v>1643</v>
      </c>
      <c r="B1726">
        <v>95</v>
      </c>
      <c r="C1726" t="s">
        <v>41</v>
      </c>
      <c r="D1726">
        <v>63</v>
      </c>
      <c r="E1726">
        <v>86</v>
      </c>
      <c r="F1726">
        <v>8</v>
      </c>
      <c r="G1726" t="s">
        <v>18</v>
      </c>
      <c r="H1726" t="s">
        <v>5</v>
      </c>
    </row>
    <row r="1727" spans="1:8" x14ac:dyDescent="0.3">
      <c r="A1727" t="s">
        <v>1644</v>
      </c>
      <c r="B1727">
        <v>95</v>
      </c>
      <c r="C1727" t="s">
        <v>45</v>
      </c>
      <c r="D1727">
        <v>55</v>
      </c>
      <c r="E1727">
        <v>75</v>
      </c>
      <c r="F1727">
        <v>5.29</v>
      </c>
      <c r="G1727" t="s">
        <v>18</v>
      </c>
      <c r="H1727" t="s">
        <v>150</v>
      </c>
    </row>
    <row r="1728" spans="1:8" x14ac:dyDescent="0.3">
      <c r="A1728" t="s">
        <v>1645</v>
      </c>
      <c r="B1728">
        <v>94</v>
      </c>
      <c r="C1728" t="s">
        <v>41</v>
      </c>
      <c r="D1728">
        <v>61</v>
      </c>
      <c r="E1728">
        <v>85</v>
      </c>
      <c r="F1728">
        <v>8</v>
      </c>
      <c r="G1728" t="s">
        <v>18</v>
      </c>
      <c r="H1728" t="s">
        <v>15</v>
      </c>
    </row>
    <row r="1729" spans="1:8" x14ac:dyDescent="0.3">
      <c r="A1729" t="s">
        <v>1646</v>
      </c>
      <c r="B1729">
        <v>96</v>
      </c>
      <c r="C1729" t="s">
        <v>45</v>
      </c>
      <c r="D1729">
        <v>53</v>
      </c>
      <c r="E1729">
        <v>70</v>
      </c>
      <c r="F1729">
        <v>17.64</v>
      </c>
      <c r="G1729" t="s">
        <v>18</v>
      </c>
      <c r="H1729" t="s">
        <v>5</v>
      </c>
    </row>
    <row r="1730" spans="1:8" x14ac:dyDescent="0.3">
      <c r="A1730" t="s">
        <v>1647</v>
      </c>
      <c r="B1730">
        <v>95</v>
      </c>
      <c r="C1730" t="s">
        <v>45</v>
      </c>
      <c r="D1730">
        <v>55</v>
      </c>
      <c r="E1730">
        <v>75</v>
      </c>
      <c r="F1730">
        <v>13.8</v>
      </c>
      <c r="G1730" t="s">
        <v>18</v>
      </c>
      <c r="H1730" t="s">
        <v>5</v>
      </c>
    </row>
    <row r="1731" spans="1:8" x14ac:dyDescent="0.3">
      <c r="A1731" t="s">
        <v>1258</v>
      </c>
      <c r="B1731">
        <v>95</v>
      </c>
      <c r="C1731" t="s">
        <v>45</v>
      </c>
      <c r="D1731">
        <v>54</v>
      </c>
      <c r="E1731">
        <v>77</v>
      </c>
      <c r="F1731">
        <v>4.4800000000000004</v>
      </c>
      <c r="G1731" t="s">
        <v>18</v>
      </c>
      <c r="H1731" t="s">
        <v>150</v>
      </c>
    </row>
    <row r="1732" spans="1:8" x14ac:dyDescent="0.3">
      <c r="A1732" t="s">
        <v>1258</v>
      </c>
      <c r="B1732">
        <v>95</v>
      </c>
      <c r="C1732" t="s">
        <v>41</v>
      </c>
      <c r="D1732">
        <v>66</v>
      </c>
      <c r="E1732">
        <v>82</v>
      </c>
      <c r="F1732">
        <v>11.02</v>
      </c>
      <c r="G1732" t="s">
        <v>2</v>
      </c>
      <c r="H1732" t="s">
        <v>150</v>
      </c>
    </row>
    <row r="1733" spans="1:8" x14ac:dyDescent="0.3">
      <c r="A1733" t="s">
        <v>1648</v>
      </c>
      <c r="B1733">
        <v>95</v>
      </c>
      <c r="C1733" t="s">
        <v>41</v>
      </c>
      <c r="D1733">
        <v>68</v>
      </c>
      <c r="E1733">
        <v>82</v>
      </c>
      <c r="F1733">
        <v>8</v>
      </c>
      <c r="G1733" t="s">
        <v>18</v>
      </c>
      <c r="H1733" t="s">
        <v>22</v>
      </c>
    </row>
    <row r="1734" spans="1:8" x14ac:dyDescent="0.3">
      <c r="A1734" t="s">
        <v>1649</v>
      </c>
      <c r="B1734">
        <v>94</v>
      </c>
      <c r="C1734" t="s">
        <v>41</v>
      </c>
      <c r="D1734">
        <v>64</v>
      </c>
      <c r="E1734">
        <v>84</v>
      </c>
      <c r="F1734">
        <v>19.84</v>
      </c>
      <c r="G1734" t="s">
        <v>18</v>
      </c>
      <c r="H1734" t="s">
        <v>5</v>
      </c>
    </row>
    <row r="1735" spans="1:8" x14ac:dyDescent="0.3">
      <c r="A1735" t="s">
        <v>1258</v>
      </c>
      <c r="B1735">
        <v>94</v>
      </c>
      <c r="C1735" t="s">
        <v>45</v>
      </c>
      <c r="D1735">
        <v>59</v>
      </c>
      <c r="E1735">
        <v>70</v>
      </c>
      <c r="F1735">
        <v>5.56</v>
      </c>
      <c r="G1735" t="s">
        <v>18</v>
      </c>
      <c r="H1735" t="s">
        <v>9</v>
      </c>
    </row>
    <row r="1736" spans="1:8" x14ac:dyDescent="0.3">
      <c r="A1736" t="s">
        <v>1650</v>
      </c>
      <c r="B1736">
        <v>94</v>
      </c>
      <c r="C1736" t="s">
        <v>41</v>
      </c>
      <c r="D1736">
        <v>66</v>
      </c>
      <c r="E1736">
        <v>90</v>
      </c>
      <c r="F1736">
        <v>22.05</v>
      </c>
      <c r="G1736" t="s">
        <v>18</v>
      </c>
      <c r="H1736" t="s">
        <v>5</v>
      </c>
    </row>
    <row r="1737" spans="1:8" x14ac:dyDescent="0.3">
      <c r="A1737" t="s">
        <v>1651</v>
      </c>
      <c r="B1737">
        <v>94</v>
      </c>
      <c r="C1737" t="s">
        <v>45</v>
      </c>
      <c r="D1737">
        <v>58</v>
      </c>
      <c r="E1737">
        <v>77</v>
      </c>
      <c r="F1737">
        <v>5.51</v>
      </c>
      <c r="G1737" t="s">
        <v>18</v>
      </c>
      <c r="H1737" t="s">
        <v>21</v>
      </c>
    </row>
    <row r="1738" spans="1:8" x14ac:dyDescent="0.3">
      <c r="A1738" t="s">
        <v>1652</v>
      </c>
      <c r="B1738">
        <v>95</v>
      </c>
      <c r="C1738" t="s">
        <v>41</v>
      </c>
      <c r="D1738">
        <v>63</v>
      </c>
      <c r="E1738">
        <v>86</v>
      </c>
      <c r="F1738">
        <v>5.29</v>
      </c>
      <c r="G1738" t="s">
        <v>18</v>
      </c>
      <c r="H1738" t="s">
        <v>9</v>
      </c>
    </row>
    <row r="1739" spans="1:8" x14ac:dyDescent="0.3">
      <c r="A1739" t="s">
        <v>1653</v>
      </c>
      <c r="B1739">
        <v>94</v>
      </c>
      <c r="C1739" t="s">
        <v>41</v>
      </c>
      <c r="D1739">
        <v>65</v>
      </c>
      <c r="E1739">
        <v>88</v>
      </c>
      <c r="F1739">
        <v>8.82</v>
      </c>
      <c r="G1739" t="s">
        <v>18</v>
      </c>
      <c r="H1739" t="s">
        <v>5</v>
      </c>
    </row>
    <row r="1740" spans="1:8" x14ac:dyDescent="0.3">
      <c r="A1740" t="s">
        <v>1654</v>
      </c>
      <c r="B1740">
        <v>96</v>
      </c>
      <c r="C1740" t="s">
        <v>45</v>
      </c>
      <c r="D1740">
        <v>63</v>
      </c>
      <c r="E1740">
        <v>74</v>
      </c>
      <c r="F1740">
        <v>188</v>
      </c>
      <c r="G1740" t="s">
        <v>11</v>
      </c>
      <c r="H1740" t="s">
        <v>9</v>
      </c>
    </row>
    <row r="1741" spans="1:8" x14ac:dyDescent="0.3">
      <c r="A1741" t="s">
        <v>1655</v>
      </c>
      <c r="B1741">
        <v>94</v>
      </c>
      <c r="C1741" t="s">
        <v>41</v>
      </c>
      <c r="D1741">
        <v>64</v>
      </c>
      <c r="E1741">
        <v>85</v>
      </c>
      <c r="F1741">
        <v>21.16</v>
      </c>
      <c r="G1741" t="s">
        <v>18</v>
      </c>
      <c r="H1741" t="s">
        <v>5</v>
      </c>
    </row>
    <row r="1742" spans="1:8" x14ac:dyDescent="0.3">
      <c r="A1742" t="s">
        <v>1656</v>
      </c>
      <c r="B1742">
        <v>95</v>
      </c>
      <c r="C1742" t="s">
        <v>45</v>
      </c>
      <c r="D1742">
        <v>52</v>
      </c>
      <c r="E1742">
        <v>73</v>
      </c>
      <c r="F1742">
        <v>22.02</v>
      </c>
      <c r="G1742" t="s">
        <v>18</v>
      </c>
      <c r="H1742" t="s">
        <v>5</v>
      </c>
    </row>
    <row r="1743" spans="1:8" x14ac:dyDescent="0.3">
      <c r="A1743" t="s">
        <v>1657</v>
      </c>
      <c r="B1743">
        <v>94</v>
      </c>
      <c r="C1743" t="s">
        <v>45</v>
      </c>
      <c r="D1743">
        <v>59</v>
      </c>
      <c r="E1743">
        <v>79</v>
      </c>
      <c r="F1743">
        <v>5.51</v>
      </c>
      <c r="G1743" t="s">
        <v>18</v>
      </c>
      <c r="H1743" t="s">
        <v>21</v>
      </c>
    </row>
    <row r="1744" spans="1:8" x14ac:dyDescent="0.3">
      <c r="A1744" t="s">
        <v>1658</v>
      </c>
      <c r="B1744">
        <v>95</v>
      </c>
      <c r="C1744" t="s">
        <v>45</v>
      </c>
      <c r="D1744">
        <v>57</v>
      </c>
      <c r="E1744">
        <v>70</v>
      </c>
      <c r="F1744">
        <v>6.17</v>
      </c>
      <c r="G1744" t="s">
        <v>18</v>
      </c>
      <c r="H1744" t="s">
        <v>12</v>
      </c>
    </row>
    <row r="1745" spans="1:8" x14ac:dyDescent="0.3">
      <c r="A1745" t="s">
        <v>1659</v>
      </c>
      <c r="B1745">
        <v>94</v>
      </c>
      <c r="C1745" t="s">
        <v>41</v>
      </c>
      <c r="D1745">
        <v>63</v>
      </c>
      <c r="E1745">
        <v>85</v>
      </c>
      <c r="F1745">
        <v>5.44</v>
      </c>
      <c r="G1745" t="s">
        <v>18</v>
      </c>
      <c r="H1745" t="s">
        <v>15</v>
      </c>
    </row>
    <row r="1746" spans="1:8" x14ac:dyDescent="0.3">
      <c r="A1746" t="s">
        <v>1660</v>
      </c>
      <c r="B1746">
        <v>95</v>
      </c>
      <c r="C1746" t="s">
        <v>41</v>
      </c>
      <c r="D1746">
        <v>63</v>
      </c>
      <c r="E1746">
        <v>91</v>
      </c>
      <c r="F1746">
        <v>5.29</v>
      </c>
      <c r="G1746" t="s">
        <v>18</v>
      </c>
      <c r="H1746" t="s">
        <v>22</v>
      </c>
    </row>
    <row r="1747" spans="1:8" x14ac:dyDescent="0.3">
      <c r="A1747" t="s">
        <v>1661</v>
      </c>
      <c r="B1747">
        <v>94</v>
      </c>
      <c r="C1747" t="s">
        <v>45</v>
      </c>
      <c r="D1747">
        <v>60</v>
      </c>
      <c r="E1747">
        <v>78</v>
      </c>
      <c r="F1747">
        <v>5.28</v>
      </c>
      <c r="G1747" t="s">
        <v>18</v>
      </c>
      <c r="H1747" t="s">
        <v>12</v>
      </c>
    </row>
    <row r="1748" spans="1:8" x14ac:dyDescent="0.3">
      <c r="A1748" t="s">
        <v>1662</v>
      </c>
      <c r="B1748">
        <v>96</v>
      </c>
      <c r="C1748" t="s">
        <v>82</v>
      </c>
      <c r="D1748">
        <v>49</v>
      </c>
      <c r="E1748">
        <v>72</v>
      </c>
      <c r="F1748">
        <v>22.02</v>
      </c>
      <c r="G1748" t="s">
        <v>18</v>
      </c>
      <c r="H1748" t="s">
        <v>5</v>
      </c>
    </row>
    <row r="1749" spans="1:8" x14ac:dyDescent="0.3">
      <c r="A1749" t="s">
        <v>1663</v>
      </c>
      <c r="B1749">
        <v>94</v>
      </c>
      <c r="C1749" t="s">
        <v>82</v>
      </c>
      <c r="D1749">
        <v>52</v>
      </c>
      <c r="E1749">
        <v>60</v>
      </c>
      <c r="F1749">
        <v>4.41</v>
      </c>
      <c r="G1749" t="s">
        <v>18</v>
      </c>
      <c r="H1749" t="s">
        <v>150</v>
      </c>
    </row>
    <row r="1750" spans="1:8" x14ac:dyDescent="0.3">
      <c r="A1750" t="s">
        <v>1664</v>
      </c>
      <c r="B1750">
        <v>94</v>
      </c>
      <c r="C1750" t="s">
        <v>45</v>
      </c>
      <c r="D1750">
        <v>52</v>
      </c>
      <c r="E1750">
        <v>72</v>
      </c>
      <c r="F1750">
        <v>7.63</v>
      </c>
      <c r="G1750" t="s">
        <v>18</v>
      </c>
      <c r="H1750" t="s">
        <v>9</v>
      </c>
    </row>
    <row r="1751" spans="1:8" x14ac:dyDescent="0.3">
      <c r="A1751" t="s">
        <v>1665</v>
      </c>
      <c r="B1751">
        <v>94</v>
      </c>
      <c r="C1751" t="s">
        <v>45</v>
      </c>
      <c r="D1751">
        <v>58</v>
      </c>
      <c r="E1751">
        <v>76</v>
      </c>
      <c r="F1751">
        <v>4.9800000000000004</v>
      </c>
      <c r="G1751" t="s">
        <v>18</v>
      </c>
      <c r="H1751" t="s">
        <v>9</v>
      </c>
    </row>
    <row r="1752" spans="1:8" x14ac:dyDescent="0.3">
      <c r="A1752" t="s">
        <v>1666</v>
      </c>
      <c r="B1752">
        <v>96</v>
      </c>
      <c r="C1752" t="s">
        <v>82</v>
      </c>
      <c r="D1752">
        <v>48</v>
      </c>
      <c r="E1752">
        <v>59</v>
      </c>
      <c r="F1752">
        <v>5.73</v>
      </c>
      <c r="G1752" t="s">
        <v>18</v>
      </c>
      <c r="H1752" t="s">
        <v>5</v>
      </c>
    </row>
    <row r="1753" spans="1:8" x14ac:dyDescent="0.3">
      <c r="A1753" t="s">
        <v>474</v>
      </c>
      <c r="B1753">
        <v>94</v>
      </c>
      <c r="C1753" t="s">
        <v>45</v>
      </c>
      <c r="D1753">
        <v>56</v>
      </c>
      <c r="E1753">
        <v>74</v>
      </c>
      <c r="F1753">
        <v>4.7300000000000004</v>
      </c>
      <c r="G1753" t="s">
        <v>18</v>
      </c>
      <c r="H1753" t="s">
        <v>12</v>
      </c>
    </row>
    <row r="1754" spans="1:8" x14ac:dyDescent="0.3">
      <c r="A1754" t="s">
        <v>1667</v>
      </c>
      <c r="B1754">
        <v>95</v>
      </c>
      <c r="C1754" t="s">
        <v>45</v>
      </c>
      <c r="D1754">
        <v>57</v>
      </c>
      <c r="E1754">
        <v>78</v>
      </c>
      <c r="F1754">
        <v>4.6399999999999997</v>
      </c>
      <c r="G1754" t="s">
        <v>18</v>
      </c>
      <c r="H1754" t="s">
        <v>15</v>
      </c>
    </row>
    <row r="1755" spans="1:8" x14ac:dyDescent="0.3">
      <c r="A1755" t="s">
        <v>1668</v>
      </c>
      <c r="B1755">
        <v>94</v>
      </c>
      <c r="C1755" t="s">
        <v>41</v>
      </c>
      <c r="D1755">
        <v>62</v>
      </c>
      <c r="E1755">
        <v>87</v>
      </c>
      <c r="F1755">
        <v>8</v>
      </c>
      <c r="G1755" t="s">
        <v>30</v>
      </c>
      <c r="H1755" t="s">
        <v>21</v>
      </c>
    </row>
    <row r="1756" spans="1:8" x14ac:dyDescent="0.3">
      <c r="A1756" t="s">
        <v>1669</v>
      </c>
      <c r="B1756">
        <v>95</v>
      </c>
      <c r="C1756" t="s">
        <v>41</v>
      </c>
      <c r="D1756">
        <v>66</v>
      </c>
      <c r="E1756">
        <v>87</v>
      </c>
      <c r="F1756">
        <v>5.88</v>
      </c>
      <c r="G1756" t="s">
        <v>18</v>
      </c>
      <c r="H1756" t="s">
        <v>9</v>
      </c>
    </row>
    <row r="1757" spans="1:8" x14ac:dyDescent="0.3">
      <c r="A1757" t="s">
        <v>1670</v>
      </c>
      <c r="B1757">
        <v>95</v>
      </c>
      <c r="C1757" t="s">
        <v>541</v>
      </c>
      <c r="D1757">
        <v>43</v>
      </c>
      <c r="E1757">
        <v>52</v>
      </c>
      <c r="F1757">
        <v>0.22</v>
      </c>
      <c r="G1757" t="s">
        <v>2</v>
      </c>
      <c r="H1757" t="s">
        <v>17</v>
      </c>
    </row>
    <row r="1758" spans="1:8" x14ac:dyDescent="0.3">
      <c r="A1758" t="s">
        <v>1671</v>
      </c>
      <c r="B1758">
        <v>94</v>
      </c>
      <c r="C1758" t="s">
        <v>541</v>
      </c>
      <c r="D1758">
        <v>44</v>
      </c>
      <c r="E1758">
        <v>50</v>
      </c>
      <c r="F1758">
        <v>0.44</v>
      </c>
      <c r="G1758" t="s">
        <v>2</v>
      </c>
      <c r="H1758" t="s">
        <v>4</v>
      </c>
    </row>
    <row r="1759" spans="1:8" x14ac:dyDescent="0.3">
      <c r="A1759" t="s">
        <v>1672</v>
      </c>
      <c r="B1759">
        <v>94</v>
      </c>
      <c r="C1759" t="s">
        <v>45</v>
      </c>
      <c r="D1759">
        <v>55</v>
      </c>
      <c r="E1759">
        <v>78</v>
      </c>
      <c r="F1759">
        <v>5.57</v>
      </c>
      <c r="G1759" t="s">
        <v>18</v>
      </c>
      <c r="H1759" t="s">
        <v>9</v>
      </c>
    </row>
    <row r="1760" spans="1:8" x14ac:dyDescent="0.3">
      <c r="A1760" t="s">
        <v>1673</v>
      </c>
      <c r="B1760">
        <v>95</v>
      </c>
      <c r="C1760" t="s">
        <v>45</v>
      </c>
      <c r="D1760">
        <v>55</v>
      </c>
      <c r="E1760">
        <v>76</v>
      </c>
      <c r="F1760">
        <v>4.2300000000000004</v>
      </c>
      <c r="G1760" t="s">
        <v>18</v>
      </c>
      <c r="H1760" t="s">
        <v>12</v>
      </c>
    </row>
    <row r="1761" spans="1:8" x14ac:dyDescent="0.3">
      <c r="A1761" t="s">
        <v>1674</v>
      </c>
      <c r="B1761">
        <v>96</v>
      </c>
      <c r="C1761" t="s">
        <v>41</v>
      </c>
      <c r="D1761">
        <v>67</v>
      </c>
      <c r="E1761">
        <v>88</v>
      </c>
      <c r="F1761">
        <v>22.49</v>
      </c>
      <c r="G1761" t="s">
        <v>18</v>
      </c>
      <c r="H1761" t="s">
        <v>5</v>
      </c>
    </row>
    <row r="1762" spans="1:8" x14ac:dyDescent="0.3">
      <c r="A1762" t="s">
        <v>1675</v>
      </c>
      <c r="B1762">
        <v>94</v>
      </c>
      <c r="C1762" t="s">
        <v>45</v>
      </c>
      <c r="D1762">
        <v>58</v>
      </c>
      <c r="E1762">
        <v>71</v>
      </c>
      <c r="F1762">
        <v>16.41</v>
      </c>
      <c r="G1762" t="s">
        <v>18</v>
      </c>
      <c r="H1762" t="s">
        <v>9</v>
      </c>
    </row>
    <row r="1763" spans="1:8" x14ac:dyDescent="0.3">
      <c r="A1763" t="s">
        <v>1676</v>
      </c>
      <c r="B1763">
        <v>94</v>
      </c>
      <c r="C1763" t="s">
        <v>45</v>
      </c>
      <c r="D1763">
        <v>60</v>
      </c>
      <c r="E1763">
        <v>75</v>
      </c>
      <c r="F1763">
        <v>4.4800000000000004</v>
      </c>
      <c r="G1763" t="s">
        <v>18</v>
      </c>
      <c r="H1763" t="s">
        <v>12</v>
      </c>
    </row>
    <row r="1764" spans="1:8" x14ac:dyDescent="0.3">
      <c r="A1764" t="s">
        <v>1677</v>
      </c>
      <c r="B1764">
        <v>95</v>
      </c>
      <c r="C1764" t="s">
        <v>45</v>
      </c>
      <c r="D1764">
        <v>54</v>
      </c>
      <c r="E1764">
        <v>70</v>
      </c>
      <c r="F1764">
        <v>5.14</v>
      </c>
      <c r="G1764" t="s">
        <v>18</v>
      </c>
      <c r="H1764" t="s">
        <v>12</v>
      </c>
    </row>
    <row r="1765" spans="1:8" x14ac:dyDescent="0.3">
      <c r="A1765" t="s">
        <v>1678</v>
      </c>
      <c r="B1765">
        <v>95</v>
      </c>
      <c r="C1765" t="s">
        <v>45</v>
      </c>
      <c r="D1765">
        <v>59</v>
      </c>
      <c r="E1765">
        <v>75</v>
      </c>
      <c r="F1765">
        <v>3.97</v>
      </c>
      <c r="G1765" t="s">
        <v>18</v>
      </c>
      <c r="H1765" t="s">
        <v>12</v>
      </c>
    </row>
    <row r="1766" spans="1:8" x14ac:dyDescent="0.3">
      <c r="A1766" t="s">
        <v>1679</v>
      </c>
      <c r="B1766">
        <v>94</v>
      </c>
      <c r="C1766" t="s">
        <v>45</v>
      </c>
      <c r="D1766">
        <v>57</v>
      </c>
      <c r="E1766">
        <v>76</v>
      </c>
      <c r="F1766">
        <v>6.61</v>
      </c>
      <c r="G1766" t="s">
        <v>18</v>
      </c>
      <c r="H1766" t="s">
        <v>9</v>
      </c>
    </row>
    <row r="1767" spans="1:8" x14ac:dyDescent="0.3">
      <c r="A1767" t="s">
        <v>1680</v>
      </c>
      <c r="B1767">
        <v>96</v>
      </c>
      <c r="C1767" t="s">
        <v>45</v>
      </c>
      <c r="D1767">
        <v>58</v>
      </c>
      <c r="E1767">
        <v>72</v>
      </c>
      <c r="F1767">
        <v>17.64</v>
      </c>
      <c r="G1767" t="s">
        <v>18</v>
      </c>
      <c r="H1767" t="s">
        <v>5</v>
      </c>
    </row>
    <row r="1768" spans="1:8" x14ac:dyDescent="0.3">
      <c r="A1768" t="s">
        <v>1681</v>
      </c>
      <c r="B1768">
        <v>94</v>
      </c>
      <c r="C1768" t="s">
        <v>82</v>
      </c>
      <c r="D1768">
        <v>48</v>
      </c>
      <c r="E1768">
        <v>60</v>
      </c>
      <c r="F1768">
        <v>4.3899999999999997</v>
      </c>
      <c r="G1768" t="s">
        <v>18</v>
      </c>
      <c r="H1768" t="s">
        <v>150</v>
      </c>
    </row>
    <row r="1769" spans="1:8" x14ac:dyDescent="0.3">
      <c r="A1769" t="s">
        <v>1682</v>
      </c>
      <c r="B1769">
        <v>97</v>
      </c>
      <c r="C1769" t="s">
        <v>82</v>
      </c>
      <c r="D1769">
        <v>52</v>
      </c>
      <c r="E1769">
        <v>66</v>
      </c>
      <c r="F1769">
        <v>26.43</v>
      </c>
      <c r="G1769" t="s">
        <v>18</v>
      </c>
      <c r="H1769" t="s">
        <v>5</v>
      </c>
    </row>
    <row r="1770" spans="1:8" x14ac:dyDescent="0.3">
      <c r="A1770" t="s">
        <v>1683</v>
      </c>
      <c r="B1770">
        <v>94</v>
      </c>
      <c r="C1770" t="s">
        <v>82</v>
      </c>
      <c r="D1770">
        <v>47</v>
      </c>
      <c r="E1770">
        <v>60</v>
      </c>
      <c r="F1770">
        <v>3.81</v>
      </c>
      <c r="G1770" t="s">
        <v>18</v>
      </c>
      <c r="H1770" t="s">
        <v>3</v>
      </c>
    </row>
    <row r="1771" spans="1:8" x14ac:dyDescent="0.3">
      <c r="A1771" t="s">
        <v>1684</v>
      </c>
      <c r="B1771">
        <v>94</v>
      </c>
      <c r="C1771" t="s">
        <v>45</v>
      </c>
      <c r="D1771">
        <v>55</v>
      </c>
      <c r="E1771">
        <v>69</v>
      </c>
      <c r="F1771">
        <v>4.12</v>
      </c>
      <c r="G1771" t="s">
        <v>18</v>
      </c>
      <c r="H1771" t="s">
        <v>150</v>
      </c>
    </row>
    <row r="1772" spans="1:8" x14ac:dyDescent="0.3">
      <c r="A1772" t="s">
        <v>1685</v>
      </c>
      <c r="B1772">
        <v>96</v>
      </c>
      <c r="C1772" t="s">
        <v>45</v>
      </c>
      <c r="D1772">
        <v>54</v>
      </c>
      <c r="E1772">
        <v>76</v>
      </c>
      <c r="F1772">
        <v>7.33</v>
      </c>
      <c r="G1772" t="s">
        <v>18</v>
      </c>
      <c r="H1772" t="s">
        <v>12</v>
      </c>
    </row>
    <row r="1773" spans="1:8" x14ac:dyDescent="0.3">
      <c r="A1773" t="s">
        <v>1686</v>
      </c>
      <c r="B1773">
        <v>94</v>
      </c>
      <c r="C1773" t="s">
        <v>45</v>
      </c>
      <c r="D1773">
        <v>54</v>
      </c>
      <c r="E1773">
        <v>74</v>
      </c>
      <c r="F1773">
        <v>6.17</v>
      </c>
      <c r="G1773" t="s">
        <v>18</v>
      </c>
      <c r="H1773" t="s">
        <v>24</v>
      </c>
    </row>
    <row r="1774" spans="1:8" x14ac:dyDescent="0.3">
      <c r="A1774" t="s">
        <v>1687</v>
      </c>
      <c r="B1774">
        <v>94</v>
      </c>
      <c r="C1774" t="s">
        <v>41</v>
      </c>
      <c r="D1774">
        <v>65</v>
      </c>
      <c r="E1774">
        <v>87</v>
      </c>
      <c r="F1774">
        <v>4.41</v>
      </c>
      <c r="G1774" t="s">
        <v>18</v>
      </c>
      <c r="H1774" t="s">
        <v>9</v>
      </c>
    </row>
    <row r="1775" spans="1:8" x14ac:dyDescent="0.3">
      <c r="A1775" t="s">
        <v>1688</v>
      </c>
      <c r="B1775">
        <v>94</v>
      </c>
      <c r="C1775" t="s">
        <v>45</v>
      </c>
      <c r="D1775">
        <v>54</v>
      </c>
      <c r="E1775">
        <v>74</v>
      </c>
      <c r="F1775">
        <v>8.3800000000000008</v>
      </c>
      <c r="G1775" t="s">
        <v>18</v>
      </c>
      <c r="H1775" t="s">
        <v>8</v>
      </c>
    </row>
    <row r="1776" spans="1:8" x14ac:dyDescent="0.3">
      <c r="A1776" t="s">
        <v>1689</v>
      </c>
      <c r="B1776">
        <v>94</v>
      </c>
      <c r="C1776" t="s">
        <v>41</v>
      </c>
      <c r="D1776">
        <v>78</v>
      </c>
      <c r="E1776">
        <v>99</v>
      </c>
      <c r="F1776">
        <v>5.58</v>
      </c>
      <c r="G1776" t="s">
        <v>18</v>
      </c>
      <c r="H1776" t="s">
        <v>21</v>
      </c>
    </row>
    <row r="1777" spans="1:8" x14ac:dyDescent="0.3">
      <c r="A1777" t="s">
        <v>935</v>
      </c>
      <c r="B1777">
        <v>95</v>
      </c>
      <c r="C1777" t="s">
        <v>45</v>
      </c>
      <c r="D1777">
        <v>57</v>
      </c>
      <c r="E1777">
        <v>78</v>
      </c>
      <c r="F1777">
        <v>5.59</v>
      </c>
      <c r="G1777" t="s">
        <v>18</v>
      </c>
      <c r="H1777" t="s">
        <v>9</v>
      </c>
    </row>
    <row r="1778" spans="1:8" x14ac:dyDescent="0.3">
      <c r="A1778" t="s">
        <v>1690</v>
      </c>
      <c r="B1778">
        <v>94</v>
      </c>
      <c r="C1778" t="s">
        <v>45</v>
      </c>
      <c r="D1778">
        <v>61</v>
      </c>
      <c r="E1778">
        <v>79</v>
      </c>
      <c r="F1778">
        <v>3.75</v>
      </c>
      <c r="G1778" t="s">
        <v>2</v>
      </c>
      <c r="H1778" t="s">
        <v>9</v>
      </c>
    </row>
    <row r="1779" spans="1:8" x14ac:dyDescent="0.3">
      <c r="A1779" t="s">
        <v>1691</v>
      </c>
      <c r="B1779">
        <v>94</v>
      </c>
      <c r="C1779" t="s">
        <v>41</v>
      </c>
      <c r="D1779">
        <v>62</v>
      </c>
      <c r="E1779">
        <v>88</v>
      </c>
      <c r="F1779">
        <v>5.29</v>
      </c>
      <c r="G1779" t="s">
        <v>18</v>
      </c>
      <c r="H1779" t="s">
        <v>9</v>
      </c>
    </row>
    <row r="1780" spans="1:8" x14ac:dyDescent="0.3">
      <c r="A1780" t="s">
        <v>1467</v>
      </c>
      <c r="B1780">
        <v>94</v>
      </c>
      <c r="C1780" t="s">
        <v>45</v>
      </c>
      <c r="D1780">
        <v>55</v>
      </c>
      <c r="E1780">
        <v>72</v>
      </c>
      <c r="F1780">
        <v>3.53</v>
      </c>
      <c r="G1780" t="s">
        <v>31</v>
      </c>
      <c r="H1780" t="s">
        <v>150</v>
      </c>
    </row>
    <row r="1781" spans="1:8" x14ac:dyDescent="0.3">
      <c r="A1781" t="s">
        <v>1692</v>
      </c>
      <c r="B1781">
        <v>94</v>
      </c>
      <c r="C1781" t="s">
        <v>82</v>
      </c>
      <c r="D1781">
        <v>47</v>
      </c>
      <c r="E1781">
        <v>56</v>
      </c>
      <c r="F1781">
        <v>0.44</v>
      </c>
      <c r="G1781" t="s">
        <v>2</v>
      </c>
      <c r="H1781" t="s">
        <v>14</v>
      </c>
    </row>
    <row r="1782" spans="1:8" x14ac:dyDescent="0.3">
      <c r="A1782" t="s">
        <v>1693</v>
      </c>
      <c r="B1782">
        <v>94</v>
      </c>
      <c r="C1782" t="s">
        <v>41</v>
      </c>
      <c r="D1782">
        <v>68</v>
      </c>
      <c r="E1782">
        <v>92</v>
      </c>
      <c r="F1782">
        <v>5.59</v>
      </c>
      <c r="G1782" t="s">
        <v>18</v>
      </c>
      <c r="H1782" t="s">
        <v>15</v>
      </c>
    </row>
    <row r="1783" spans="1:8" x14ac:dyDescent="0.3">
      <c r="A1783" t="s">
        <v>1694</v>
      </c>
      <c r="B1783">
        <v>94</v>
      </c>
      <c r="C1783" t="s">
        <v>41</v>
      </c>
      <c r="D1783">
        <v>66</v>
      </c>
      <c r="E1783">
        <v>99</v>
      </c>
      <c r="F1783">
        <v>264.32</v>
      </c>
      <c r="G1783" t="s">
        <v>2</v>
      </c>
      <c r="H1783" t="s">
        <v>150</v>
      </c>
    </row>
    <row r="1784" spans="1:8" x14ac:dyDescent="0.3">
      <c r="A1784" t="s">
        <v>1695</v>
      </c>
      <c r="B1784">
        <v>95</v>
      </c>
      <c r="C1784" t="s">
        <v>41</v>
      </c>
      <c r="D1784">
        <v>63</v>
      </c>
      <c r="E1784">
        <v>81</v>
      </c>
      <c r="F1784">
        <v>5.14</v>
      </c>
      <c r="G1784" t="s">
        <v>18</v>
      </c>
      <c r="H1784" t="s">
        <v>5</v>
      </c>
    </row>
    <row r="1785" spans="1:8" x14ac:dyDescent="0.3">
      <c r="A1785" t="s">
        <v>1696</v>
      </c>
      <c r="B1785">
        <v>94</v>
      </c>
      <c r="C1785" t="s">
        <v>45</v>
      </c>
      <c r="D1785">
        <v>54</v>
      </c>
      <c r="E1785">
        <v>70</v>
      </c>
      <c r="F1785">
        <v>5.29</v>
      </c>
      <c r="G1785" t="s">
        <v>18</v>
      </c>
      <c r="H1785" t="s">
        <v>16</v>
      </c>
    </row>
    <row r="1786" spans="1:8" x14ac:dyDescent="0.3">
      <c r="A1786" t="s">
        <v>955</v>
      </c>
      <c r="B1786">
        <v>94</v>
      </c>
      <c r="C1786" t="s">
        <v>82</v>
      </c>
      <c r="D1786">
        <v>52</v>
      </c>
      <c r="E1786">
        <v>68</v>
      </c>
      <c r="F1786">
        <v>231.11</v>
      </c>
      <c r="G1786" t="s">
        <v>2</v>
      </c>
      <c r="H1786" t="s">
        <v>150</v>
      </c>
    </row>
    <row r="1787" spans="1:8" x14ac:dyDescent="0.3">
      <c r="A1787" t="s">
        <v>1697</v>
      </c>
      <c r="B1787">
        <v>96</v>
      </c>
      <c r="C1787" t="s">
        <v>45</v>
      </c>
      <c r="D1787">
        <v>59</v>
      </c>
      <c r="E1787">
        <v>80</v>
      </c>
      <c r="F1787">
        <v>466.67</v>
      </c>
      <c r="G1787" t="s">
        <v>11</v>
      </c>
      <c r="H1787" t="s">
        <v>150</v>
      </c>
    </row>
    <row r="1788" spans="1:8" x14ac:dyDescent="0.3">
      <c r="A1788" t="s">
        <v>1698</v>
      </c>
      <c r="B1788">
        <v>94</v>
      </c>
      <c r="C1788" t="s">
        <v>45</v>
      </c>
      <c r="D1788">
        <v>60</v>
      </c>
      <c r="E1788">
        <v>74</v>
      </c>
      <c r="F1788">
        <v>187.2</v>
      </c>
      <c r="G1788" t="s">
        <v>11</v>
      </c>
      <c r="H1788" t="s">
        <v>150</v>
      </c>
    </row>
    <row r="1789" spans="1:8" x14ac:dyDescent="0.3">
      <c r="A1789" t="s">
        <v>1699</v>
      </c>
      <c r="B1789">
        <v>95</v>
      </c>
      <c r="C1789" t="s">
        <v>45</v>
      </c>
      <c r="D1789">
        <v>60</v>
      </c>
      <c r="E1789">
        <v>79</v>
      </c>
      <c r="F1789">
        <v>5.42</v>
      </c>
      <c r="G1789" t="s">
        <v>18</v>
      </c>
      <c r="H1789" t="s">
        <v>12</v>
      </c>
    </row>
    <row r="1790" spans="1:8" x14ac:dyDescent="0.3">
      <c r="A1790" t="s">
        <v>1700</v>
      </c>
      <c r="B1790">
        <v>94</v>
      </c>
      <c r="C1790" t="s">
        <v>45</v>
      </c>
      <c r="D1790">
        <v>58</v>
      </c>
      <c r="E1790">
        <v>72</v>
      </c>
      <c r="F1790">
        <v>9.1</v>
      </c>
      <c r="G1790" t="s">
        <v>18</v>
      </c>
      <c r="H1790" t="s">
        <v>9</v>
      </c>
    </row>
    <row r="1791" spans="1:8" x14ac:dyDescent="0.3">
      <c r="A1791" t="s">
        <v>1701</v>
      </c>
      <c r="B1791">
        <v>95</v>
      </c>
      <c r="C1791" t="s">
        <v>41</v>
      </c>
      <c r="D1791">
        <v>64</v>
      </c>
      <c r="E1791">
        <v>94</v>
      </c>
      <c r="F1791">
        <v>4.26</v>
      </c>
      <c r="G1791" t="s">
        <v>18</v>
      </c>
      <c r="H1791" t="s">
        <v>9</v>
      </c>
    </row>
    <row r="1792" spans="1:8" x14ac:dyDescent="0.3">
      <c r="A1792" t="s">
        <v>1377</v>
      </c>
      <c r="B1792">
        <v>95</v>
      </c>
      <c r="C1792" t="s">
        <v>41</v>
      </c>
      <c r="D1792">
        <v>62</v>
      </c>
      <c r="E1792">
        <v>88</v>
      </c>
      <c r="F1792">
        <v>21.38</v>
      </c>
      <c r="G1792" t="s">
        <v>18</v>
      </c>
      <c r="H1792" t="s">
        <v>150</v>
      </c>
    </row>
    <row r="1793" spans="1:8" x14ac:dyDescent="0.3">
      <c r="A1793" t="s">
        <v>1702</v>
      </c>
      <c r="B1793">
        <v>94</v>
      </c>
      <c r="C1793" t="s">
        <v>82</v>
      </c>
      <c r="D1793">
        <v>47</v>
      </c>
      <c r="E1793">
        <v>65</v>
      </c>
      <c r="F1793">
        <v>5.29</v>
      </c>
      <c r="G1793" t="s">
        <v>18</v>
      </c>
      <c r="H1793" t="s">
        <v>16</v>
      </c>
    </row>
    <row r="1794" spans="1:8" x14ac:dyDescent="0.3">
      <c r="A1794" t="s">
        <v>1696</v>
      </c>
      <c r="B1794">
        <v>94</v>
      </c>
      <c r="C1794" t="s">
        <v>45</v>
      </c>
      <c r="D1794">
        <v>56</v>
      </c>
      <c r="E1794">
        <v>70</v>
      </c>
      <c r="F1794">
        <v>5.07</v>
      </c>
      <c r="G1794" t="s">
        <v>18</v>
      </c>
      <c r="H1794" t="s">
        <v>16</v>
      </c>
    </row>
    <row r="1795" spans="1:8" x14ac:dyDescent="0.3">
      <c r="A1795" t="s">
        <v>1703</v>
      </c>
      <c r="B1795">
        <v>94</v>
      </c>
      <c r="C1795" t="s">
        <v>82</v>
      </c>
      <c r="D1795">
        <v>49</v>
      </c>
      <c r="E1795">
        <v>62</v>
      </c>
      <c r="F1795">
        <v>2.65</v>
      </c>
      <c r="G1795" t="s">
        <v>2</v>
      </c>
      <c r="H1795" t="s">
        <v>9</v>
      </c>
    </row>
    <row r="1796" spans="1:8" x14ac:dyDescent="0.3">
      <c r="A1796" t="s">
        <v>1704</v>
      </c>
      <c r="B1796">
        <v>94</v>
      </c>
      <c r="C1796" t="s">
        <v>41</v>
      </c>
      <c r="D1796">
        <v>65</v>
      </c>
      <c r="E1796">
        <v>86</v>
      </c>
      <c r="F1796">
        <v>8.08</v>
      </c>
      <c r="G1796" t="s">
        <v>18</v>
      </c>
      <c r="H1796" t="s">
        <v>14</v>
      </c>
    </row>
    <row r="1797" spans="1:8" x14ac:dyDescent="0.3">
      <c r="A1797" t="s">
        <v>1705</v>
      </c>
      <c r="B1797">
        <v>96</v>
      </c>
      <c r="C1797" t="s">
        <v>45</v>
      </c>
      <c r="D1797">
        <v>57</v>
      </c>
      <c r="E1797">
        <v>83</v>
      </c>
      <c r="F1797">
        <v>16.23</v>
      </c>
      <c r="G1797" t="s">
        <v>18</v>
      </c>
      <c r="H1797" t="s">
        <v>5</v>
      </c>
    </row>
    <row r="1798" spans="1:8" x14ac:dyDescent="0.3">
      <c r="A1798" t="s">
        <v>1706</v>
      </c>
      <c r="B1798">
        <v>94</v>
      </c>
      <c r="C1798" t="s">
        <v>41</v>
      </c>
      <c r="D1798">
        <v>65</v>
      </c>
      <c r="E1798">
        <v>85</v>
      </c>
      <c r="F1798">
        <v>5.29</v>
      </c>
      <c r="G1798" t="s">
        <v>18</v>
      </c>
      <c r="H1798" t="s">
        <v>9</v>
      </c>
    </row>
    <row r="1799" spans="1:8" x14ac:dyDescent="0.3">
      <c r="A1799" t="s">
        <v>1682</v>
      </c>
      <c r="B1799">
        <v>96</v>
      </c>
      <c r="C1799" t="s">
        <v>45</v>
      </c>
      <c r="D1799">
        <v>57</v>
      </c>
      <c r="E1799">
        <v>81</v>
      </c>
      <c r="F1799">
        <v>21.72</v>
      </c>
      <c r="G1799" t="s">
        <v>18</v>
      </c>
      <c r="H1799" t="s">
        <v>5</v>
      </c>
    </row>
    <row r="1800" spans="1:8" x14ac:dyDescent="0.3">
      <c r="A1800" t="s">
        <v>1707</v>
      </c>
      <c r="B1800">
        <v>94</v>
      </c>
      <c r="C1800" t="s">
        <v>45</v>
      </c>
      <c r="D1800">
        <v>58</v>
      </c>
      <c r="E1800">
        <v>81</v>
      </c>
      <c r="F1800">
        <v>5.29</v>
      </c>
      <c r="G1800" t="s">
        <v>18</v>
      </c>
      <c r="H1800" t="s">
        <v>12</v>
      </c>
    </row>
    <row r="1801" spans="1:8" x14ac:dyDescent="0.3">
      <c r="A1801" t="s">
        <v>1708</v>
      </c>
      <c r="B1801">
        <v>95</v>
      </c>
      <c r="C1801" t="s">
        <v>45</v>
      </c>
      <c r="D1801">
        <v>56</v>
      </c>
      <c r="E1801">
        <v>77</v>
      </c>
      <c r="F1801">
        <v>5.14</v>
      </c>
      <c r="G1801" t="s">
        <v>18</v>
      </c>
      <c r="H1801" t="s">
        <v>12</v>
      </c>
    </row>
    <row r="1802" spans="1:8" x14ac:dyDescent="0.3">
      <c r="A1802" t="s">
        <v>1709</v>
      </c>
      <c r="B1802">
        <v>94</v>
      </c>
      <c r="C1802" t="s">
        <v>45</v>
      </c>
      <c r="D1802">
        <v>56</v>
      </c>
      <c r="E1802">
        <v>72</v>
      </c>
      <c r="F1802">
        <v>6</v>
      </c>
      <c r="G1802" t="s">
        <v>30</v>
      </c>
      <c r="H1802" t="s">
        <v>150</v>
      </c>
    </row>
    <row r="1803" spans="1:8" x14ac:dyDescent="0.3">
      <c r="A1803" t="s">
        <v>1710</v>
      </c>
      <c r="B1803">
        <v>94</v>
      </c>
      <c r="C1803" t="s">
        <v>82</v>
      </c>
      <c r="D1803">
        <v>50</v>
      </c>
      <c r="E1803">
        <v>62</v>
      </c>
      <c r="F1803">
        <v>110.23</v>
      </c>
      <c r="G1803" t="s">
        <v>2</v>
      </c>
      <c r="H1803" t="s">
        <v>150</v>
      </c>
    </row>
    <row r="1804" spans="1:8" x14ac:dyDescent="0.3">
      <c r="A1804" t="s">
        <v>1711</v>
      </c>
      <c r="B1804">
        <v>95</v>
      </c>
      <c r="C1804" t="s">
        <v>45</v>
      </c>
      <c r="D1804">
        <v>55</v>
      </c>
      <c r="E1804">
        <v>75</v>
      </c>
      <c r="F1804">
        <v>4.92</v>
      </c>
      <c r="G1804" t="s">
        <v>18</v>
      </c>
      <c r="H1804" t="s">
        <v>9</v>
      </c>
    </row>
    <row r="1805" spans="1:8" x14ac:dyDescent="0.3">
      <c r="A1805" t="s">
        <v>1712</v>
      </c>
      <c r="B1805">
        <v>94</v>
      </c>
      <c r="C1805" t="s">
        <v>41</v>
      </c>
      <c r="D1805">
        <v>60</v>
      </c>
      <c r="E1805">
        <v>83</v>
      </c>
      <c r="F1805">
        <v>5.22</v>
      </c>
      <c r="G1805" t="s">
        <v>18</v>
      </c>
      <c r="H1805" t="s">
        <v>9</v>
      </c>
    </row>
    <row r="1806" spans="1:8" x14ac:dyDescent="0.3">
      <c r="A1806" t="s">
        <v>1713</v>
      </c>
      <c r="B1806">
        <v>94</v>
      </c>
      <c r="C1806" t="s">
        <v>41</v>
      </c>
      <c r="D1806">
        <v>65</v>
      </c>
      <c r="E1806">
        <v>88</v>
      </c>
      <c r="F1806">
        <v>3.97</v>
      </c>
      <c r="G1806" t="s">
        <v>2</v>
      </c>
      <c r="H1806" t="s">
        <v>9</v>
      </c>
    </row>
    <row r="1807" spans="1:8" x14ac:dyDescent="0.3">
      <c r="A1807" t="s">
        <v>1714</v>
      </c>
      <c r="B1807">
        <v>94</v>
      </c>
      <c r="C1807" t="s">
        <v>82</v>
      </c>
      <c r="D1807">
        <v>53</v>
      </c>
      <c r="E1807">
        <v>68</v>
      </c>
      <c r="F1807">
        <v>5.29</v>
      </c>
      <c r="G1807" t="s">
        <v>18</v>
      </c>
      <c r="H1807" t="s">
        <v>12</v>
      </c>
    </row>
    <row r="1808" spans="1:8" x14ac:dyDescent="0.3">
      <c r="A1808" t="s">
        <v>1715</v>
      </c>
      <c r="B1808">
        <v>94</v>
      </c>
      <c r="C1808" t="s">
        <v>82</v>
      </c>
      <c r="D1808">
        <v>49</v>
      </c>
      <c r="E1808">
        <v>65</v>
      </c>
      <c r="F1808">
        <v>5.73</v>
      </c>
      <c r="G1808" t="s">
        <v>18</v>
      </c>
      <c r="H1808" t="s">
        <v>12</v>
      </c>
    </row>
    <row r="1809" spans="1:8" x14ac:dyDescent="0.3">
      <c r="A1809" t="s">
        <v>1716</v>
      </c>
      <c r="B1809">
        <v>94</v>
      </c>
      <c r="C1809" t="s">
        <v>45</v>
      </c>
      <c r="D1809">
        <v>58</v>
      </c>
      <c r="E1809">
        <v>83</v>
      </c>
      <c r="F1809">
        <v>5.29</v>
      </c>
      <c r="G1809" t="s">
        <v>18</v>
      </c>
      <c r="H1809" t="s">
        <v>9</v>
      </c>
    </row>
    <row r="1810" spans="1:8" x14ac:dyDescent="0.3">
      <c r="A1810" t="s">
        <v>1717</v>
      </c>
      <c r="B1810">
        <v>95</v>
      </c>
      <c r="C1810" t="s">
        <v>45</v>
      </c>
      <c r="D1810">
        <v>56</v>
      </c>
      <c r="E1810">
        <v>79</v>
      </c>
      <c r="F1810">
        <v>220.46</v>
      </c>
      <c r="G1810" t="s">
        <v>2</v>
      </c>
      <c r="H1810" t="s">
        <v>12</v>
      </c>
    </row>
    <row r="1811" spans="1:8" x14ac:dyDescent="0.3">
      <c r="A1811" t="s">
        <v>1718</v>
      </c>
      <c r="B1811">
        <v>95</v>
      </c>
      <c r="C1811" t="s">
        <v>82</v>
      </c>
      <c r="D1811">
        <v>52</v>
      </c>
      <c r="E1811">
        <v>65</v>
      </c>
      <c r="F1811">
        <v>4.3899999999999997</v>
      </c>
      <c r="G1811" t="s">
        <v>18</v>
      </c>
      <c r="H1811" t="s">
        <v>9</v>
      </c>
    </row>
    <row r="1812" spans="1:8" x14ac:dyDescent="0.3">
      <c r="A1812" t="s">
        <v>1719</v>
      </c>
      <c r="B1812">
        <v>94</v>
      </c>
      <c r="C1812" t="s">
        <v>82</v>
      </c>
      <c r="D1812">
        <v>48</v>
      </c>
      <c r="E1812">
        <v>54</v>
      </c>
      <c r="F1812">
        <v>127.87</v>
      </c>
      <c r="G1812" t="s">
        <v>2</v>
      </c>
      <c r="H1812" t="s">
        <v>150</v>
      </c>
    </row>
    <row r="1813" spans="1:8" x14ac:dyDescent="0.3">
      <c r="A1813" t="s">
        <v>1720</v>
      </c>
      <c r="B1813">
        <v>96</v>
      </c>
      <c r="C1813" t="s">
        <v>41</v>
      </c>
      <c r="D1813">
        <v>71</v>
      </c>
      <c r="E1813">
        <v>89</v>
      </c>
      <c r="F1813">
        <v>19.84</v>
      </c>
      <c r="G1813" t="s">
        <v>18</v>
      </c>
      <c r="H1813" t="s">
        <v>150</v>
      </c>
    </row>
    <row r="1814" spans="1:8" x14ac:dyDescent="0.3">
      <c r="A1814" t="s">
        <v>1721</v>
      </c>
      <c r="B1814">
        <v>94</v>
      </c>
      <c r="C1814" t="s">
        <v>82</v>
      </c>
      <c r="D1814">
        <v>53</v>
      </c>
      <c r="E1814">
        <v>66</v>
      </c>
      <c r="F1814">
        <v>5</v>
      </c>
      <c r="G1814" t="s">
        <v>18</v>
      </c>
      <c r="H1814" t="s">
        <v>9</v>
      </c>
    </row>
    <row r="1815" spans="1:8" x14ac:dyDescent="0.3">
      <c r="A1815" t="s">
        <v>1722</v>
      </c>
      <c r="B1815">
        <v>95</v>
      </c>
      <c r="C1815" t="s">
        <v>41</v>
      </c>
      <c r="D1815">
        <v>64</v>
      </c>
      <c r="E1815">
        <v>85</v>
      </c>
      <c r="F1815">
        <v>7.35</v>
      </c>
      <c r="G1815" t="s">
        <v>18</v>
      </c>
      <c r="H1815" t="s">
        <v>9</v>
      </c>
    </row>
    <row r="1816" spans="1:8" x14ac:dyDescent="0.3">
      <c r="A1816" t="s">
        <v>1565</v>
      </c>
      <c r="B1816">
        <v>94</v>
      </c>
      <c r="C1816" t="s">
        <v>82</v>
      </c>
      <c r="D1816">
        <v>53</v>
      </c>
      <c r="E1816">
        <v>68</v>
      </c>
      <c r="F1816">
        <v>15.85</v>
      </c>
      <c r="G1816" t="s">
        <v>18</v>
      </c>
      <c r="H1816" t="s">
        <v>150</v>
      </c>
    </row>
    <row r="1817" spans="1:8" x14ac:dyDescent="0.3">
      <c r="A1817" t="s">
        <v>1723</v>
      </c>
      <c r="B1817">
        <v>95</v>
      </c>
      <c r="C1817" t="s">
        <v>41</v>
      </c>
      <c r="D1817">
        <v>66</v>
      </c>
      <c r="E1817">
        <v>84</v>
      </c>
      <c r="F1817">
        <v>121.4</v>
      </c>
      <c r="G1817" t="s">
        <v>18</v>
      </c>
      <c r="H1817" t="s">
        <v>9</v>
      </c>
    </row>
    <row r="1818" spans="1:8" x14ac:dyDescent="0.3">
      <c r="A1818" t="s">
        <v>1724</v>
      </c>
      <c r="B1818">
        <v>95</v>
      </c>
      <c r="C1818" t="s">
        <v>82</v>
      </c>
      <c r="D1818">
        <v>49</v>
      </c>
      <c r="E1818">
        <v>66</v>
      </c>
      <c r="F1818">
        <v>4.41</v>
      </c>
      <c r="G1818" t="s">
        <v>2</v>
      </c>
      <c r="H1818" t="s">
        <v>12</v>
      </c>
    </row>
    <row r="1819" spans="1:8" x14ac:dyDescent="0.3">
      <c r="A1819" t="s">
        <v>1725</v>
      </c>
      <c r="B1819">
        <v>95</v>
      </c>
      <c r="C1819" t="s">
        <v>41</v>
      </c>
      <c r="D1819">
        <v>62</v>
      </c>
      <c r="E1819">
        <v>88</v>
      </c>
      <c r="F1819">
        <v>17.64</v>
      </c>
      <c r="G1819" t="s">
        <v>18</v>
      </c>
      <c r="H1819" t="s">
        <v>150</v>
      </c>
    </row>
    <row r="1820" spans="1:8" x14ac:dyDescent="0.3">
      <c r="A1820" t="s">
        <v>1258</v>
      </c>
      <c r="B1820">
        <v>95</v>
      </c>
      <c r="C1820" t="s">
        <v>45</v>
      </c>
      <c r="D1820">
        <v>59</v>
      </c>
      <c r="E1820">
        <v>78</v>
      </c>
      <c r="F1820">
        <v>5.07</v>
      </c>
      <c r="G1820" t="s">
        <v>18</v>
      </c>
      <c r="H1820" t="s">
        <v>150</v>
      </c>
    </row>
    <row r="1821" spans="1:8" x14ac:dyDescent="0.3">
      <c r="A1821" t="s">
        <v>1726</v>
      </c>
      <c r="B1821">
        <v>95</v>
      </c>
      <c r="C1821" t="s">
        <v>45</v>
      </c>
      <c r="D1821">
        <v>55</v>
      </c>
      <c r="E1821">
        <v>73</v>
      </c>
      <c r="F1821">
        <v>5.29</v>
      </c>
      <c r="G1821" t="s">
        <v>18</v>
      </c>
      <c r="H1821" t="s">
        <v>9</v>
      </c>
    </row>
    <row r="1822" spans="1:8" x14ac:dyDescent="0.3">
      <c r="A1822" t="s">
        <v>1727</v>
      </c>
      <c r="B1822">
        <v>95</v>
      </c>
      <c r="C1822" t="s">
        <v>41</v>
      </c>
      <c r="D1822">
        <v>67</v>
      </c>
      <c r="E1822">
        <v>88</v>
      </c>
      <c r="F1822">
        <v>16</v>
      </c>
      <c r="G1822" t="s">
        <v>18</v>
      </c>
      <c r="H1822" t="s">
        <v>5</v>
      </c>
    </row>
    <row r="1823" spans="1:8" x14ac:dyDescent="0.3">
      <c r="A1823" t="s">
        <v>1728</v>
      </c>
      <c r="B1823">
        <v>94</v>
      </c>
      <c r="C1823" t="s">
        <v>82</v>
      </c>
      <c r="D1823">
        <v>50</v>
      </c>
      <c r="E1823">
        <v>65</v>
      </c>
      <c r="F1823">
        <v>27.34</v>
      </c>
      <c r="G1823" t="s">
        <v>18</v>
      </c>
      <c r="H1823" t="s">
        <v>5</v>
      </c>
    </row>
    <row r="1824" spans="1:8" x14ac:dyDescent="0.3">
      <c r="A1824" t="s">
        <v>1729</v>
      </c>
      <c r="B1824">
        <v>94</v>
      </c>
      <c r="C1824" t="s">
        <v>82</v>
      </c>
      <c r="D1824">
        <v>46</v>
      </c>
      <c r="E1824">
        <v>64</v>
      </c>
      <c r="F1824">
        <v>3.67</v>
      </c>
      <c r="G1824" t="s">
        <v>18</v>
      </c>
      <c r="H1824" t="s">
        <v>150</v>
      </c>
    </row>
    <row r="1825" spans="1:8" x14ac:dyDescent="0.3">
      <c r="A1825" t="s">
        <v>1730</v>
      </c>
      <c r="B1825">
        <v>94</v>
      </c>
      <c r="C1825" t="s">
        <v>45</v>
      </c>
      <c r="D1825">
        <v>57</v>
      </c>
      <c r="E1825">
        <v>73</v>
      </c>
      <c r="F1825">
        <v>5.29</v>
      </c>
      <c r="G1825" t="s">
        <v>18</v>
      </c>
      <c r="H1825" t="s">
        <v>22</v>
      </c>
    </row>
    <row r="1826" spans="1:8" x14ac:dyDescent="0.3">
      <c r="A1826" t="s">
        <v>1731</v>
      </c>
      <c r="B1826">
        <v>94</v>
      </c>
      <c r="C1826" t="s">
        <v>82</v>
      </c>
      <c r="D1826">
        <v>49</v>
      </c>
      <c r="E1826">
        <v>64</v>
      </c>
      <c r="F1826">
        <v>10.67</v>
      </c>
      <c r="G1826" t="s">
        <v>18</v>
      </c>
      <c r="H1826" t="s">
        <v>12</v>
      </c>
    </row>
    <row r="1827" spans="1:8" x14ac:dyDescent="0.3">
      <c r="A1827" t="s">
        <v>1732</v>
      </c>
      <c r="B1827">
        <v>95</v>
      </c>
      <c r="C1827" t="s">
        <v>82</v>
      </c>
      <c r="D1827">
        <v>51</v>
      </c>
      <c r="E1827">
        <v>67</v>
      </c>
      <c r="F1827">
        <v>8.82</v>
      </c>
      <c r="G1827" t="s">
        <v>18</v>
      </c>
      <c r="H1827" t="s">
        <v>9</v>
      </c>
    </row>
    <row r="1828" spans="1:8" x14ac:dyDescent="0.3">
      <c r="A1828" t="s">
        <v>1733</v>
      </c>
      <c r="B1828">
        <v>95</v>
      </c>
      <c r="C1828" t="s">
        <v>41</v>
      </c>
      <c r="D1828">
        <v>74</v>
      </c>
      <c r="E1828">
        <v>101</v>
      </c>
      <c r="F1828">
        <v>21.3</v>
      </c>
      <c r="G1828" t="s">
        <v>18</v>
      </c>
      <c r="H1828" t="s">
        <v>5</v>
      </c>
    </row>
    <row r="1829" spans="1:8" x14ac:dyDescent="0.3">
      <c r="A1829" t="s">
        <v>1734</v>
      </c>
      <c r="B1829">
        <v>94</v>
      </c>
      <c r="C1829" t="s">
        <v>82</v>
      </c>
      <c r="D1829">
        <v>54</v>
      </c>
      <c r="E1829">
        <v>66</v>
      </c>
      <c r="F1829">
        <v>3.82</v>
      </c>
      <c r="G1829" t="s">
        <v>18</v>
      </c>
      <c r="H1829" t="s">
        <v>12</v>
      </c>
    </row>
    <row r="1830" spans="1:8" x14ac:dyDescent="0.3">
      <c r="A1830" t="s">
        <v>1735</v>
      </c>
      <c r="B1830">
        <v>94</v>
      </c>
      <c r="C1830" t="s">
        <v>41</v>
      </c>
      <c r="D1830">
        <v>64</v>
      </c>
      <c r="E1830">
        <v>89</v>
      </c>
      <c r="F1830">
        <v>9.1</v>
      </c>
      <c r="G1830" t="s">
        <v>18</v>
      </c>
      <c r="H1830" t="s">
        <v>9</v>
      </c>
    </row>
    <row r="1831" spans="1:8" x14ac:dyDescent="0.3">
      <c r="A1831" t="s">
        <v>1736</v>
      </c>
      <c r="B1831">
        <v>94</v>
      </c>
      <c r="C1831" t="s">
        <v>82</v>
      </c>
      <c r="D1831">
        <v>52</v>
      </c>
      <c r="E1831">
        <v>69</v>
      </c>
      <c r="F1831">
        <v>4.9800000000000004</v>
      </c>
      <c r="G1831" t="s">
        <v>18</v>
      </c>
      <c r="H1831" t="s">
        <v>9</v>
      </c>
    </row>
    <row r="1832" spans="1:8" x14ac:dyDescent="0.3">
      <c r="A1832" t="s">
        <v>1537</v>
      </c>
      <c r="B1832">
        <v>95</v>
      </c>
      <c r="C1832" t="s">
        <v>45</v>
      </c>
      <c r="D1832">
        <v>54</v>
      </c>
      <c r="E1832">
        <v>78</v>
      </c>
      <c r="F1832">
        <v>5.44</v>
      </c>
      <c r="G1832" t="s">
        <v>18</v>
      </c>
      <c r="H1832" t="s">
        <v>16</v>
      </c>
    </row>
    <row r="1833" spans="1:8" x14ac:dyDescent="0.3">
      <c r="A1833" t="s">
        <v>1737</v>
      </c>
      <c r="B1833">
        <v>94</v>
      </c>
      <c r="C1833" t="s">
        <v>45</v>
      </c>
      <c r="D1833">
        <v>56</v>
      </c>
      <c r="E1833">
        <v>76</v>
      </c>
      <c r="F1833">
        <v>4.9800000000000004</v>
      </c>
      <c r="G1833" t="s">
        <v>18</v>
      </c>
      <c r="H1833" t="s">
        <v>9</v>
      </c>
    </row>
    <row r="1834" spans="1:8" x14ac:dyDescent="0.3">
      <c r="A1834" t="s">
        <v>1738</v>
      </c>
      <c r="B1834">
        <v>95</v>
      </c>
      <c r="C1834" t="s">
        <v>82</v>
      </c>
      <c r="D1834">
        <v>47</v>
      </c>
      <c r="E1834">
        <v>62</v>
      </c>
      <c r="F1834">
        <v>352.74</v>
      </c>
      <c r="G1834" t="s">
        <v>2</v>
      </c>
      <c r="H1834" t="s">
        <v>12</v>
      </c>
    </row>
    <row r="1835" spans="1:8" x14ac:dyDescent="0.3">
      <c r="A1835" t="s">
        <v>1739</v>
      </c>
      <c r="B1835">
        <v>94</v>
      </c>
      <c r="C1835" t="s">
        <v>82</v>
      </c>
      <c r="D1835">
        <v>52</v>
      </c>
      <c r="E1835">
        <v>68</v>
      </c>
      <c r="F1835">
        <v>220.46</v>
      </c>
      <c r="G1835" t="s">
        <v>2</v>
      </c>
      <c r="H1835" t="s">
        <v>9</v>
      </c>
    </row>
    <row r="1836" spans="1:8" x14ac:dyDescent="0.3">
      <c r="A1836" t="s">
        <v>1740</v>
      </c>
      <c r="B1836">
        <v>95</v>
      </c>
      <c r="C1836" t="s">
        <v>82</v>
      </c>
      <c r="D1836">
        <v>42</v>
      </c>
      <c r="E1836">
        <v>63</v>
      </c>
      <c r="F1836">
        <v>9.98</v>
      </c>
      <c r="G1836" t="s">
        <v>18</v>
      </c>
      <c r="H1836" t="s">
        <v>5</v>
      </c>
    </row>
    <row r="1837" spans="1:8" x14ac:dyDescent="0.3">
      <c r="A1837" t="s">
        <v>1741</v>
      </c>
      <c r="B1837">
        <v>95</v>
      </c>
      <c r="C1837" t="s">
        <v>45</v>
      </c>
      <c r="D1837">
        <v>61</v>
      </c>
      <c r="E1837">
        <v>77</v>
      </c>
      <c r="F1837">
        <v>15.41</v>
      </c>
      <c r="G1837" t="s">
        <v>18</v>
      </c>
      <c r="H1837" t="s">
        <v>150</v>
      </c>
    </row>
    <row r="1838" spans="1:8" x14ac:dyDescent="0.3">
      <c r="A1838" t="s">
        <v>1730</v>
      </c>
      <c r="B1838">
        <v>94</v>
      </c>
      <c r="C1838" t="s">
        <v>45</v>
      </c>
      <c r="D1838">
        <v>56</v>
      </c>
      <c r="E1838">
        <v>73</v>
      </c>
      <c r="F1838">
        <v>5.29</v>
      </c>
      <c r="G1838" t="s">
        <v>18</v>
      </c>
      <c r="H1838" t="s">
        <v>22</v>
      </c>
    </row>
    <row r="1839" spans="1:8" x14ac:dyDescent="0.3">
      <c r="A1839" t="s">
        <v>1742</v>
      </c>
      <c r="B1839">
        <v>94</v>
      </c>
      <c r="C1839" t="s">
        <v>41</v>
      </c>
      <c r="D1839">
        <v>61</v>
      </c>
      <c r="E1839">
        <v>81</v>
      </c>
      <c r="F1839">
        <v>20.72</v>
      </c>
      <c r="G1839" t="s">
        <v>18</v>
      </c>
      <c r="H1839" t="s">
        <v>5</v>
      </c>
    </row>
    <row r="1840" spans="1:8" x14ac:dyDescent="0.3">
      <c r="A1840" t="s">
        <v>580</v>
      </c>
      <c r="B1840">
        <v>94</v>
      </c>
      <c r="C1840" t="s">
        <v>41</v>
      </c>
      <c r="D1840">
        <v>72</v>
      </c>
      <c r="E1840">
        <v>87</v>
      </c>
      <c r="F1840">
        <v>9.6999999999999993</v>
      </c>
      <c r="G1840" t="s">
        <v>18</v>
      </c>
      <c r="H1840" t="s">
        <v>7</v>
      </c>
    </row>
    <row r="1841" spans="1:8" x14ac:dyDescent="0.3">
      <c r="A1841" t="s">
        <v>1743</v>
      </c>
      <c r="B1841">
        <v>94</v>
      </c>
      <c r="C1841" t="s">
        <v>45</v>
      </c>
      <c r="D1841">
        <v>53</v>
      </c>
      <c r="E1841">
        <v>70</v>
      </c>
      <c r="F1841">
        <v>5.86</v>
      </c>
      <c r="G1841" t="s">
        <v>18</v>
      </c>
      <c r="H1841" t="s">
        <v>12</v>
      </c>
    </row>
    <row r="1842" spans="1:8" x14ac:dyDescent="0.3">
      <c r="A1842" t="s">
        <v>1744</v>
      </c>
      <c r="B1842">
        <v>95</v>
      </c>
      <c r="C1842" t="s">
        <v>45</v>
      </c>
      <c r="D1842">
        <v>62</v>
      </c>
      <c r="E1842">
        <v>75</v>
      </c>
      <c r="F1842">
        <v>217.47</v>
      </c>
      <c r="G1842" t="s">
        <v>18</v>
      </c>
      <c r="H1842" t="s">
        <v>9</v>
      </c>
    </row>
    <row r="1843" spans="1:8" x14ac:dyDescent="0.3">
      <c r="A1843" t="s">
        <v>1745</v>
      </c>
      <c r="B1843">
        <v>95</v>
      </c>
      <c r="C1843" t="s">
        <v>45</v>
      </c>
      <c r="D1843">
        <v>53</v>
      </c>
      <c r="E1843">
        <v>76</v>
      </c>
      <c r="F1843">
        <v>97.39</v>
      </c>
      <c r="G1843" t="s">
        <v>18</v>
      </c>
      <c r="H1843" t="s">
        <v>14</v>
      </c>
    </row>
    <row r="1844" spans="1:8" x14ac:dyDescent="0.3">
      <c r="A1844" t="s">
        <v>1746</v>
      </c>
      <c r="B1844">
        <v>94</v>
      </c>
      <c r="C1844" t="s">
        <v>45</v>
      </c>
      <c r="D1844">
        <v>61</v>
      </c>
      <c r="E1844">
        <v>79</v>
      </c>
      <c r="F1844">
        <v>5.28</v>
      </c>
      <c r="G1844" t="s">
        <v>18</v>
      </c>
      <c r="H1844" t="s">
        <v>12</v>
      </c>
    </row>
    <row r="1845" spans="1:8" x14ac:dyDescent="0.3">
      <c r="A1845" t="s">
        <v>1747</v>
      </c>
      <c r="B1845">
        <v>94</v>
      </c>
      <c r="C1845" t="s">
        <v>45</v>
      </c>
      <c r="D1845">
        <v>59</v>
      </c>
      <c r="E1845">
        <v>75</v>
      </c>
      <c r="F1845">
        <v>4.92</v>
      </c>
      <c r="G1845" t="s">
        <v>18</v>
      </c>
      <c r="H1845" t="s">
        <v>9</v>
      </c>
    </row>
    <row r="1846" spans="1:8" x14ac:dyDescent="0.3">
      <c r="A1846" t="s">
        <v>1054</v>
      </c>
      <c r="B1846">
        <v>94</v>
      </c>
      <c r="C1846" t="s">
        <v>82</v>
      </c>
      <c r="D1846">
        <v>52</v>
      </c>
      <c r="E1846">
        <v>62</v>
      </c>
      <c r="F1846">
        <v>5.29</v>
      </c>
      <c r="G1846" t="s">
        <v>18</v>
      </c>
      <c r="H1846" t="s">
        <v>12</v>
      </c>
    </row>
    <row r="1847" spans="1:8" x14ac:dyDescent="0.3">
      <c r="A1847" t="s">
        <v>1748</v>
      </c>
      <c r="B1847">
        <v>94</v>
      </c>
      <c r="C1847" t="s">
        <v>41</v>
      </c>
      <c r="D1847">
        <v>62</v>
      </c>
      <c r="E1847">
        <v>84</v>
      </c>
      <c r="F1847">
        <v>5.24</v>
      </c>
      <c r="G1847" t="s">
        <v>18</v>
      </c>
      <c r="H1847" t="s">
        <v>9</v>
      </c>
    </row>
    <row r="1848" spans="1:8" x14ac:dyDescent="0.3">
      <c r="A1848" t="s">
        <v>1749</v>
      </c>
      <c r="B1848">
        <v>94</v>
      </c>
      <c r="C1848" t="s">
        <v>45</v>
      </c>
      <c r="D1848">
        <v>53</v>
      </c>
      <c r="E1848">
        <v>71</v>
      </c>
      <c r="F1848">
        <v>43.82</v>
      </c>
      <c r="G1848" t="s">
        <v>18</v>
      </c>
      <c r="H1848" t="s">
        <v>12</v>
      </c>
    </row>
    <row r="1849" spans="1:8" x14ac:dyDescent="0.3">
      <c r="A1849" t="s">
        <v>1750</v>
      </c>
      <c r="B1849">
        <v>94</v>
      </c>
      <c r="C1849" t="s">
        <v>82</v>
      </c>
      <c r="D1849">
        <v>52</v>
      </c>
      <c r="E1849">
        <v>68</v>
      </c>
      <c r="F1849">
        <v>4.12</v>
      </c>
      <c r="G1849" t="s">
        <v>18</v>
      </c>
      <c r="H1849" t="s">
        <v>9</v>
      </c>
    </row>
    <row r="1850" spans="1:8" x14ac:dyDescent="0.3">
      <c r="A1850" t="s">
        <v>1751</v>
      </c>
      <c r="B1850">
        <v>94</v>
      </c>
      <c r="C1850" t="s">
        <v>45</v>
      </c>
      <c r="D1850">
        <v>56</v>
      </c>
      <c r="E1850">
        <v>66</v>
      </c>
      <c r="F1850">
        <v>5.14</v>
      </c>
      <c r="G1850" t="s">
        <v>18</v>
      </c>
      <c r="H1850" t="s">
        <v>9</v>
      </c>
    </row>
    <row r="1851" spans="1:8" x14ac:dyDescent="0.3">
      <c r="A1851" t="s">
        <v>1752</v>
      </c>
      <c r="B1851">
        <v>94</v>
      </c>
      <c r="C1851" t="s">
        <v>45</v>
      </c>
      <c r="D1851">
        <v>56</v>
      </c>
      <c r="E1851">
        <v>72</v>
      </c>
      <c r="F1851">
        <v>4.37</v>
      </c>
      <c r="G1851" t="s">
        <v>18</v>
      </c>
      <c r="H1851" t="s">
        <v>150</v>
      </c>
    </row>
    <row r="1852" spans="1:8" x14ac:dyDescent="0.3">
      <c r="A1852" t="s">
        <v>1753</v>
      </c>
      <c r="B1852">
        <v>95</v>
      </c>
      <c r="C1852" t="s">
        <v>82</v>
      </c>
      <c r="D1852">
        <v>50</v>
      </c>
      <c r="E1852">
        <v>55</v>
      </c>
      <c r="F1852">
        <v>6.17</v>
      </c>
      <c r="G1852" t="s">
        <v>18</v>
      </c>
      <c r="H1852" t="s">
        <v>12</v>
      </c>
    </row>
    <row r="1853" spans="1:8" x14ac:dyDescent="0.3">
      <c r="A1853" t="s">
        <v>1754</v>
      </c>
      <c r="B1853">
        <v>94</v>
      </c>
      <c r="C1853" t="s">
        <v>45</v>
      </c>
      <c r="D1853">
        <v>55</v>
      </c>
      <c r="E1853">
        <v>78</v>
      </c>
      <c r="F1853">
        <v>188</v>
      </c>
      <c r="G1853" t="s">
        <v>11</v>
      </c>
      <c r="H1853" t="s">
        <v>150</v>
      </c>
    </row>
    <row r="1854" spans="1:8" x14ac:dyDescent="0.3">
      <c r="A1854" t="s">
        <v>1755</v>
      </c>
      <c r="B1854">
        <v>94</v>
      </c>
      <c r="C1854" t="s">
        <v>45</v>
      </c>
      <c r="D1854">
        <v>59</v>
      </c>
      <c r="E1854">
        <v>74</v>
      </c>
      <c r="F1854">
        <v>10</v>
      </c>
      <c r="G1854" t="s">
        <v>30</v>
      </c>
      <c r="H1854" t="s">
        <v>9</v>
      </c>
    </row>
    <row r="1855" spans="1:8" x14ac:dyDescent="0.3">
      <c r="A1855" t="s">
        <v>1331</v>
      </c>
      <c r="B1855">
        <v>94</v>
      </c>
      <c r="C1855" t="s">
        <v>82</v>
      </c>
      <c r="D1855">
        <v>54</v>
      </c>
      <c r="E1855">
        <v>66</v>
      </c>
      <c r="F1855">
        <v>5.14</v>
      </c>
      <c r="G1855" t="s">
        <v>18</v>
      </c>
      <c r="H1855" t="s">
        <v>16</v>
      </c>
    </row>
    <row r="1856" spans="1:8" x14ac:dyDescent="0.3">
      <c r="A1856" t="s">
        <v>1756</v>
      </c>
      <c r="B1856">
        <v>97</v>
      </c>
      <c r="C1856" t="s">
        <v>45</v>
      </c>
      <c r="D1856">
        <v>58</v>
      </c>
      <c r="E1856">
        <v>80</v>
      </c>
      <c r="F1856">
        <v>22.02</v>
      </c>
      <c r="G1856" t="s">
        <v>18</v>
      </c>
      <c r="H1856" t="s">
        <v>5</v>
      </c>
    </row>
    <row r="1857" spans="1:8" x14ac:dyDescent="0.3">
      <c r="A1857" t="s">
        <v>1757</v>
      </c>
      <c r="B1857">
        <v>94</v>
      </c>
      <c r="C1857" t="s">
        <v>45</v>
      </c>
      <c r="D1857">
        <v>58</v>
      </c>
      <c r="E1857">
        <v>80</v>
      </c>
      <c r="F1857">
        <v>5.29</v>
      </c>
      <c r="G1857" t="s">
        <v>18</v>
      </c>
      <c r="H1857" t="s">
        <v>5</v>
      </c>
    </row>
    <row r="1858" spans="1:8" x14ac:dyDescent="0.3">
      <c r="A1858" t="s">
        <v>1758</v>
      </c>
      <c r="B1858">
        <v>94</v>
      </c>
      <c r="C1858" t="s">
        <v>41</v>
      </c>
      <c r="D1858">
        <v>64</v>
      </c>
      <c r="E1858">
        <v>80</v>
      </c>
      <c r="F1858">
        <v>4.8499999999999996</v>
      </c>
      <c r="G1858" t="s">
        <v>18</v>
      </c>
      <c r="H1858" t="s">
        <v>22</v>
      </c>
    </row>
    <row r="1859" spans="1:8" x14ac:dyDescent="0.3">
      <c r="A1859" t="s">
        <v>1759</v>
      </c>
      <c r="B1859">
        <v>94</v>
      </c>
      <c r="C1859" t="s">
        <v>41</v>
      </c>
      <c r="D1859">
        <v>72</v>
      </c>
      <c r="E1859">
        <v>87</v>
      </c>
      <c r="F1859">
        <v>7.94</v>
      </c>
      <c r="G1859" t="s">
        <v>18</v>
      </c>
      <c r="H1859" t="s">
        <v>5</v>
      </c>
    </row>
    <row r="1860" spans="1:8" x14ac:dyDescent="0.3">
      <c r="A1860" t="s">
        <v>1760</v>
      </c>
      <c r="B1860">
        <v>94</v>
      </c>
      <c r="C1860" t="s">
        <v>45</v>
      </c>
      <c r="D1860">
        <v>57</v>
      </c>
      <c r="E1860">
        <v>74</v>
      </c>
      <c r="F1860">
        <v>5.26</v>
      </c>
      <c r="G1860" t="s">
        <v>18</v>
      </c>
      <c r="H1860" t="s">
        <v>15</v>
      </c>
    </row>
    <row r="1861" spans="1:8" x14ac:dyDescent="0.3">
      <c r="A1861" t="s">
        <v>1761</v>
      </c>
      <c r="B1861">
        <v>94</v>
      </c>
      <c r="C1861" t="s">
        <v>45</v>
      </c>
      <c r="D1861">
        <v>56</v>
      </c>
      <c r="E1861">
        <v>76</v>
      </c>
      <c r="F1861">
        <v>211.64</v>
      </c>
      <c r="G1861" t="s">
        <v>2</v>
      </c>
      <c r="H1861" t="s">
        <v>5</v>
      </c>
    </row>
    <row r="1862" spans="1:8" x14ac:dyDescent="0.3">
      <c r="A1862" t="s">
        <v>1762</v>
      </c>
      <c r="B1862">
        <v>94</v>
      </c>
      <c r="C1862" t="s">
        <v>45</v>
      </c>
      <c r="D1862">
        <v>57</v>
      </c>
      <c r="E1862">
        <v>79</v>
      </c>
      <c r="F1862">
        <v>89</v>
      </c>
      <c r="G1862" t="s">
        <v>11</v>
      </c>
      <c r="H1862" t="s">
        <v>15</v>
      </c>
    </row>
    <row r="1863" spans="1:8" x14ac:dyDescent="0.3">
      <c r="A1863" t="s">
        <v>1763</v>
      </c>
      <c r="B1863">
        <v>94</v>
      </c>
      <c r="C1863" t="s">
        <v>45</v>
      </c>
      <c r="D1863">
        <v>59</v>
      </c>
      <c r="E1863">
        <v>77</v>
      </c>
      <c r="F1863">
        <v>25</v>
      </c>
      <c r="G1863" t="s">
        <v>30</v>
      </c>
      <c r="H1863" t="s">
        <v>5</v>
      </c>
    </row>
    <row r="1864" spans="1:8" x14ac:dyDescent="0.3">
      <c r="A1864" t="s">
        <v>1764</v>
      </c>
      <c r="B1864">
        <v>94</v>
      </c>
      <c r="C1864" t="s">
        <v>541</v>
      </c>
      <c r="D1864">
        <v>44</v>
      </c>
      <c r="E1864">
        <v>50</v>
      </c>
      <c r="F1864">
        <v>4.6900000000000004</v>
      </c>
      <c r="G1864" t="s">
        <v>18</v>
      </c>
      <c r="H1864" t="s">
        <v>21</v>
      </c>
    </row>
    <row r="1865" spans="1:8" x14ac:dyDescent="0.3">
      <c r="A1865" t="s">
        <v>1765</v>
      </c>
      <c r="B1865">
        <v>94</v>
      </c>
      <c r="C1865" t="s">
        <v>45</v>
      </c>
      <c r="D1865">
        <v>58</v>
      </c>
      <c r="E1865">
        <v>73</v>
      </c>
      <c r="F1865">
        <v>5.86</v>
      </c>
      <c r="G1865" t="s">
        <v>18</v>
      </c>
      <c r="H1865" t="s">
        <v>12</v>
      </c>
    </row>
    <row r="1866" spans="1:8" x14ac:dyDescent="0.3">
      <c r="A1866" t="s">
        <v>1766</v>
      </c>
      <c r="B1866">
        <v>95</v>
      </c>
      <c r="C1866" t="s">
        <v>45</v>
      </c>
      <c r="D1866">
        <v>57</v>
      </c>
      <c r="E1866">
        <v>82</v>
      </c>
      <c r="F1866">
        <v>5</v>
      </c>
      <c r="G1866" t="s">
        <v>18</v>
      </c>
      <c r="H1866" t="s">
        <v>9</v>
      </c>
    </row>
    <row r="1867" spans="1:8" x14ac:dyDescent="0.3">
      <c r="A1867" t="s">
        <v>1767</v>
      </c>
      <c r="B1867">
        <v>94</v>
      </c>
      <c r="C1867" t="s">
        <v>41</v>
      </c>
      <c r="D1867">
        <v>62</v>
      </c>
      <c r="E1867">
        <v>87</v>
      </c>
      <c r="F1867">
        <v>95</v>
      </c>
      <c r="G1867" t="s">
        <v>30</v>
      </c>
      <c r="H1867" t="s">
        <v>9</v>
      </c>
    </row>
    <row r="1868" spans="1:8" x14ac:dyDescent="0.3">
      <c r="A1868" t="s">
        <v>1768</v>
      </c>
      <c r="B1868">
        <v>94</v>
      </c>
      <c r="C1868" t="s">
        <v>45</v>
      </c>
      <c r="D1868">
        <v>56</v>
      </c>
      <c r="E1868">
        <v>74</v>
      </c>
      <c r="F1868">
        <v>5.44</v>
      </c>
      <c r="G1868" t="s">
        <v>18</v>
      </c>
      <c r="H1868" t="s">
        <v>12</v>
      </c>
    </row>
    <row r="1869" spans="1:8" x14ac:dyDescent="0.3">
      <c r="A1869" t="s">
        <v>1769</v>
      </c>
      <c r="B1869">
        <v>95</v>
      </c>
      <c r="C1869" t="s">
        <v>45</v>
      </c>
      <c r="D1869">
        <v>57</v>
      </c>
      <c r="E1869">
        <v>74</v>
      </c>
      <c r="F1869">
        <v>7.64</v>
      </c>
      <c r="G1869" t="s">
        <v>18</v>
      </c>
      <c r="H1869" t="s">
        <v>5</v>
      </c>
    </row>
    <row r="1870" spans="1:8" x14ac:dyDescent="0.3">
      <c r="A1870" t="s">
        <v>1770</v>
      </c>
      <c r="B1870">
        <v>94</v>
      </c>
      <c r="C1870" t="s">
        <v>82</v>
      </c>
      <c r="D1870">
        <v>49</v>
      </c>
      <c r="E1870">
        <v>71</v>
      </c>
      <c r="F1870">
        <v>4.26</v>
      </c>
      <c r="G1870" t="s">
        <v>18</v>
      </c>
      <c r="H1870" t="s">
        <v>12</v>
      </c>
    </row>
    <row r="1871" spans="1:8" x14ac:dyDescent="0.3">
      <c r="A1871" t="s">
        <v>1696</v>
      </c>
      <c r="B1871">
        <v>96</v>
      </c>
      <c r="C1871" t="s">
        <v>82</v>
      </c>
      <c r="D1871">
        <v>53</v>
      </c>
      <c r="E1871">
        <v>68</v>
      </c>
      <c r="F1871">
        <v>5.29</v>
      </c>
      <c r="G1871" t="s">
        <v>18</v>
      </c>
      <c r="H1871" t="s">
        <v>16</v>
      </c>
    </row>
    <row r="1872" spans="1:8" x14ac:dyDescent="0.3">
      <c r="A1872" t="s">
        <v>1771</v>
      </c>
      <c r="B1872">
        <v>94</v>
      </c>
      <c r="C1872" t="s">
        <v>45</v>
      </c>
      <c r="D1872">
        <v>54</v>
      </c>
      <c r="E1872">
        <v>76</v>
      </c>
      <c r="F1872">
        <v>5.58</v>
      </c>
      <c r="G1872" t="s">
        <v>18</v>
      </c>
      <c r="H1872" t="s">
        <v>9</v>
      </c>
    </row>
    <row r="1873" spans="1:8" x14ac:dyDescent="0.3">
      <c r="A1873" t="s">
        <v>1772</v>
      </c>
      <c r="B1873">
        <v>95</v>
      </c>
      <c r="C1873" t="s">
        <v>45</v>
      </c>
      <c r="D1873">
        <v>57</v>
      </c>
      <c r="E1873">
        <v>77</v>
      </c>
      <c r="F1873">
        <v>5.22</v>
      </c>
      <c r="G1873" t="s">
        <v>18</v>
      </c>
      <c r="H1873" t="s">
        <v>12</v>
      </c>
    </row>
    <row r="1874" spans="1:8" x14ac:dyDescent="0.3">
      <c r="A1874" t="s">
        <v>1773</v>
      </c>
      <c r="B1874">
        <v>94</v>
      </c>
      <c r="C1874" t="s">
        <v>45</v>
      </c>
      <c r="D1874">
        <v>59</v>
      </c>
      <c r="E1874">
        <v>76</v>
      </c>
      <c r="F1874">
        <v>4.26</v>
      </c>
      <c r="G1874" t="s">
        <v>18</v>
      </c>
      <c r="H1874" t="s">
        <v>9</v>
      </c>
    </row>
    <row r="1875" spans="1:8" x14ac:dyDescent="0.3">
      <c r="A1875" t="s">
        <v>1774</v>
      </c>
      <c r="B1875">
        <v>94</v>
      </c>
      <c r="C1875" t="s">
        <v>82</v>
      </c>
      <c r="D1875">
        <v>54</v>
      </c>
      <c r="E1875">
        <v>66</v>
      </c>
      <c r="F1875">
        <v>3.81</v>
      </c>
      <c r="G1875" t="s">
        <v>18</v>
      </c>
      <c r="H1875" t="s">
        <v>3</v>
      </c>
    </row>
    <row r="1876" spans="1:8" x14ac:dyDescent="0.3">
      <c r="A1876" t="s">
        <v>1775</v>
      </c>
      <c r="B1876">
        <v>94</v>
      </c>
      <c r="C1876" t="s">
        <v>41</v>
      </c>
      <c r="D1876">
        <v>64</v>
      </c>
      <c r="E1876">
        <v>82</v>
      </c>
      <c r="F1876">
        <v>4.8499999999999996</v>
      </c>
      <c r="G1876" t="s">
        <v>18</v>
      </c>
      <c r="H1876" t="s">
        <v>19</v>
      </c>
    </row>
    <row r="1877" spans="1:8" x14ac:dyDescent="0.3">
      <c r="A1877" t="s">
        <v>935</v>
      </c>
      <c r="B1877">
        <v>94</v>
      </c>
      <c r="C1877" t="s">
        <v>82</v>
      </c>
      <c r="D1877">
        <v>52</v>
      </c>
      <c r="E1877">
        <v>61</v>
      </c>
      <c r="F1877">
        <v>5</v>
      </c>
      <c r="G1877" t="s">
        <v>18</v>
      </c>
      <c r="H1877" t="s">
        <v>9</v>
      </c>
    </row>
    <row r="1878" spans="1:8" x14ac:dyDescent="0.3">
      <c r="A1878" t="s">
        <v>1776</v>
      </c>
      <c r="B1878">
        <v>94</v>
      </c>
      <c r="C1878" t="s">
        <v>45</v>
      </c>
      <c r="D1878">
        <v>57</v>
      </c>
      <c r="E1878">
        <v>73</v>
      </c>
      <c r="F1878">
        <v>4.8499999999999996</v>
      </c>
      <c r="G1878" t="s">
        <v>18</v>
      </c>
      <c r="H1878" t="s">
        <v>9</v>
      </c>
    </row>
    <row r="1879" spans="1:8" x14ac:dyDescent="0.3">
      <c r="A1879" t="s">
        <v>1777</v>
      </c>
      <c r="B1879">
        <v>95</v>
      </c>
      <c r="C1879" t="s">
        <v>45</v>
      </c>
      <c r="D1879">
        <v>57</v>
      </c>
      <c r="E1879">
        <v>73</v>
      </c>
      <c r="F1879">
        <v>4.8499999999999996</v>
      </c>
      <c r="G1879" t="s">
        <v>18</v>
      </c>
      <c r="H1879" t="s">
        <v>9</v>
      </c>
    </row>
    <row r="1880" spans="1:8" x14ac:dyDescent="0.3">
      <c r="A1880" t="s">
        <v>1778</v>
      </c>
      <c r="B1880">
        <v>94</v>
      </c>
      <c r="C1880" t="s">
        <v>45</v>
      </c>
      <c r="D1880">
        <v>57</v>
      </c>
      <c r="E1880">
        <v>77</v>
      </c>
      <c r="F1880">
        <v>5.73</v>
      </c>
      <c r="G1880" t="s">
        <v>18</v>
      </c>
      <c r="H1880" t="s">
        <v>9</v>
      </c>
    </row>
    <row r="1881" spans="1:8" x14ac:dyDescent="0.3">
      <c r="A1881" t="s">
        <v>1779</v>
      </c>
      <c r="B1881">
        <v>94</v>
      </c>
      <c r="C1881" t="s">
        <v>45</v>
      </c>
      <c r="D1881">
        <v>58</v>
      </c>
      <c r="E1881">
        <v>80</v>
      </c>
      <c r="F1881">
        <v>450</v>
      </c>
      <c r="G1881" t="s">
        <v>2</v>
      </c>
      <c r="H1881" t="s">
        <v>9</v>
      </c>
    </row>
    <row r="1882" spans="1:8" x14ac:dyDescent="0.3">
      <c r="A1882" t="s">
        <v>1780</v>
      </c>
      <c r="B1882">
        <v>94</v>
      </c>
      <c r="C1882" t="s">
        <v>41</v>
      </c>
      <c r="D1882">
        <v>65</v>
      </c>
      <c r="E1882">
        <v>90</v>
      </c>
      <c r="F1882">
        <v>5.07</v>
      </c>
      <c r="G1882" t="s">
        <v>2</v>
      </c>
      <c r="H1882" t="s">
        <v>9</v>
      </c>
    </row>
    <row r="1883" spans="1:8" x14ac:dyDescent="0.3">
      <c r="A1883" t="s">
        <v>1781</v>
      </c>
      <c r="B1883">
        <v>95</v>
      </c>
      <c r="C1883" t="s">
        <v>45</v>
      </c>
      <c r="D1883">
        <v>55</v>
      </c>
      <c r="E1883">
        <v>72</v>
      </c>
      <c r="F1883">
        <v>450</v>
      </c>
      <c r="G1883" t="s">
        <v>2</v>
      </c>
      <c r="H1883" t="s">
        <v>12</v>
      </c>
    </row>
    <row r="1884" spans="1:8" x14ac:dyDescent="0.3">
      <c r="A1884" t="s">
        <v>1782</v>
      </c>
      <c r="B1884">
        <v>95</v>
      </c>
      <c r="C1884" t="s">
        <v>45</v>
      </c>
      <c r="D1884">
        <v>59</v>
      </c>
      <c r="E1884">
        <v>77</v>
      </c>
      <c r="F1884">
        <v>5.29</v>
      </c>
      <c r="G1884" t="s">
        <v>18</v>
      </c>
      <c r="H1884" t="s">
        <v>9</v>
      </c>
    </row>
    <row r="1885" spans="1:8" x14ac:dyDescent="0.3">
      <c r="A1885" t="s">
        <v>643</v>
      </c>
      <c r="B1885">
        <v>95</v>
      </c>
      <c r="C1885" t="s">
        <v>82</v>
      </c>
      <c r="D1885">
        <v>52</v>
      </c>
      <c r="E1885">
        <v>63</v>
      </c>
      <c r="F1885">
        <v>13.33</v>
      </c>
      <c r="G1885" t="s">
        <v>18</v>
      </c>
      <c r="H1885" t="s">
        <v>14</v>
      </c>
    </row>
    <row r="1886" spans="1:8" x14ac:dyDescent="0.3">
      <c r="A1886" t="s">
        <v>690</v>
      </c>
      <c r="B1886">
        <v>94</v>
      </c>
      <c r="C1886" t="s">
        <v>45</v>
      </c>
      <c r="D1886">
        <v>60</v>
      </c>
      <c r="E1886">
        <v>79</v>
      </c>
      <c r="F1886">
        <v>4.51</v>
      </c>
      <c r="G1886" t="s">
        <v>18</v>
      </c>
      <c r="H1886" t="s">
        <v>14</v>
      </c>
    </row>
    <row r="1887" spans="1:8" x14ac:dyDescent="0.3">
      <c r="A1887" t="s">
        <v>1783</v>
      </c>
      <c r="B1887">
        <v>94</v>
      </c>
      <c r="C1887" t="s">
        <v>45</v>
      </c>
      <c r="D1887">
        <v>58</v>
      </c>
      <c r="E1887">
        <v>73</v>
      </c>
      <c r="F1887">
        <v>5.73</v>
      </c>
      <c r="G1887" t="s">
        <v>18</v>
      </c>
      <c r="H1887" t="s">
        <v>14</v>
      </c>
    </row>
    <row r="1888" spans="1:8" x14ac:dyDescent="0.3">
      <c r="A1888" t="s">
        <v>1784</v>
      </c>
      <c r="B1888">
        <v>94</v>
      </c>
      <c r="C1888" t="s">
        <v>82</v>
      </c>
      <c r="D1888">
        <v>50</v>
      </c>
      <c r="E1888">
        <v>60</v>
      </c>
      <c r="F1888">
        <v>4.63</v>
      </c>
      <c r="G1888" t="s">
        <v>18</v>
      </c>
      <c r="H1888" t="s">
        <v>150</v>
      </c>
    </row>
    <row r="1889" spans="1:8" x14ac:dyDescent="0.3">
      <c r="A1889" t="s">
        <v>1785</v>
      </c>
      <c r="B1889">
        <v>94</v>
      </c>
      <c r="C1889" t="s">
        <v>45</v>
      </c>
      <c r="D1889">
        <v>60</v>
      </c>
      <c r="E1889">
        <v>81</v>
      </c>
      <c r="F1889">
        <v>3.97</v>
      </c>
      <c r="G1889" t="s">
        <v>18</v>
      </c>
      <c r="H1889" t="s">
        <v>9</v>
      </c>
    </row>
    <row r="1890" spans="1:8" x14ac:dyDescent="0.3">
      <c r="A1890" t="s">
        <v>1786</v>
      </c>
      <c r="B1890">
        <v>94</v>
      </c>
      <c r="C1890" t="s">
        <v>41</v>
      </c>
      <c r="D1890">
        <v>63</v>
      </c>
      <c r="E1890">
        <v>85</v>
      </c>
      <c r="F1890">
        <v>4.04</v>
      </c>
      <c r="G1890" t="s">
        <v>18</v>
      </c>
      <c r="H1890" t="s">
        <v>9</v>
      </c>
    </row>
    <row r="1891" spans="1:8" x14ac:dyDescent="0.3">
      <c r="A1891" t="s">
        <v>1787</v>
      </c>
      <c r="B1891">
        <v>94</v>
      </c>
      <c r="C1891" t="s">
        <v>45</v>
      </c>
      <c r="D1891">
        <v>53</v>
      </c>
      <c r="E1891">
        <v>71</v>
      </c>
      <c r="F1891">
        <v>4.26</v>
      </c>
      <c r="G1891" t="s">
        <v>18</v>
      </c>
      <c r="H1891" t="s">
        <v>17</v>
      </c>
    </row>
    <row r="1892" spans="1:8" x14ac:dyDescent="0.3">
      <c r="A1892" t="s">
        <v>1788</v>
      </c>
      <c r="B1892">
        <v>96</v>
      </c>
      <c r="C1892" t="s">
        <v>41</v>
      </c>
      <c r="D1892">
        <v>63</v>
      </c>
      <c r="E1892">
        <v>81</v>
      </c>
      <c r="F1892">
        <v>5.66</v>
      </c>
      <c r="G1892" t="s">
        <v>18</v>
      </c>
      <c r="H1892" t="s">
        <v>9</v>
      </c>
    </row>
    <row r="1893" spans="1:8" x14ac:dyDescent="0.3">
      <c r="A1893" t="s">
        <v>1789</v>
      </c>
      <c r="B1893">
        <v>95</v>
      </c>
      <c r="C1893" t="s">
        <v>41</v>
      </c>
      <c r="D1893">
        <v>66</v>
      </c>
      <c r="E1893">
        <v>88</v>
      </c>
      <c r="F1893">
        <v>4.41</v>
      </c>
      <c r="G1893" t="s">
        <v>18</v>
      </c>
      <c r="H1893" t="s">
        <v>9</v>
      </c>
    </row>
    <row r="1894" spans="1:8" x14ac:dyDescent="0.3">
      <c r="A1894" t="s">
        <v>1790</v>
      </c>
      <c r="B1894">
        <v>96</v>
      </c>
      <c r="C1894" t="s">
        <v>82</v>
      </c>
      <c r="D1894">
        <v>54</v>
      </c>
      <c r="E1894">
        <v>67</v>
      </c>
      <c r="F1894">
        <v>4.9800000000000004</v>
      </c>
      <c r="G1894" t="s">
        <v>18</v>
      </c>
      <c r="H1894" t="s">
        <v>12</v>
      </c>
    </row>
    <row r="1895" spans="1:8" x14ac:dyDescent="0.3">
      <c r="A1895" t="s">
        <v>1791</v>
      </c>
      <c r="B1895">
        <v>95</v>
      </c>
      <c r="C1895" t="s">
        <v>41</v>
      </c>
      <c r="D1895">
        <v>64</v>
      </c>
      <c r="E1895">
        <v>84</v>
      </c>
      <c r="F1895">
        <v>4.26</v>
      </c>
      <c r="G1895" t="s">
        <v>18</v>
      </c>
      <c r="H1895" t="s">
        <v>12</v>
      </c>
    </row>
    <row r="1896" spans="1:8" x14ac:dyDescent="0.3">
      <c r="A1896" t="s">
        <v>1792</v>
      </c>
      <c r="B1896">
        <v>94</v>
      </c>
      <c r="C1896" t="s">
        <v>45</v>
      </c>
      <c r="D1896">
        <v>55</v>
      </c>
      <c r="E1896">
        <v>68</v>
      </c>
      <c r="F1896">
        <v>5.59</v>
      </c>
      <c r="G1896" t="s">
        <v>18</v>
      </c>
      <c r="H1896" t="s">
        <v>21</v>
      </c>
    </row>
    <row r="1897" spans="1:8" x14ac:dyDescent="0.3">
      <c r="A1897" t="s">
        <v>1790</v>
      </c>
      <c r="B1897">
        <v>95</v>
      </c>
      <c r="C1897" t="s">
        <v>82</v>
      </c>
      <c r="D1897">
        <v>51</v>
      </c>
      <c r="E1897">
        <v>59</v>
      </c>
      <c r="F1897">
        <v>4.7</v>
      </c>
      <c r="G1897" t="s">
        <v>18</v>
      </c>
      <c r="H1897" t="s">
        <v>12</v>
      </c>
    </row>
    <row r="1898" spans="1:8" x14ac:dyDescent="0.3">
      <c r="A1898" t="s">
        <v>1793</v>
      </c>
      <c r="B1898">
        <v>94</v>
      </c>
      <c r="C1898" t="s">
        <v>45</v>
      </c>
      <c r="D1898">
        <v>56</v>
      </c>
      <c r="E1898">
        <v>71</v>
      </c>
      <c r="F1898">
        <v>5</v>
      </c>
      <c r="G1898" t="s">
        <v>18</v>
      </c>
      <c r="H1898" t="s">
        <v>9</v>
      </c>
    </row>
    <row r="1899" spans="1:8" x14ac:dyDescent="0.3">
      <c r="A1899" t="s">
        <v>1794</v>
      </c>
      <c r="B1899">
        <v>95</v>
      </c>
      <c r="C1899" t="s">
        <v>41</v>
      </c>
      <c r="D1899">
        <v>66</v>
      </c>
      <c r="E1899">
        <v>85</v>
      </c>
      <c r="F1899">
        <v>15</v>
      </c>
      <c r="G1899" t="s">
        <v>30</v>
      </c>
      <c r="H1899" t="s">
        <v>9</v>
      </c>
    </row>
    <row r="1900" spans="1:8" x14ac:dyDescent="0.3">
      <c r="A1900" t="s">
        <v>1795</v>
      </c>
      <c r="B1900">
        <v>94</v>
      </c>
      <c r="C1900" t="s">
        <v>41</v>
      </c>
      <c r="D1900">
        <v>64</v>
      </c>
      <c r="E1900">
        <v>80</v>
      </c>
      <c r="F1900">
        <v>143.30000000000001</v>
      </c>
      <c r="G1900" t="s">
        <v>2</v>
      </c>
      <c r="H1900" t="s">
        <v>9</v>
      </c>
    </row>
    <row r="1901" spans="1:8" x14ac:dyDescent="0.3">
      <c r="A1901" t="s">
        <v>1796</v>
      </c>
      <c r="B1901">
        <v>96</v>
      </c>
      <c r="C1901" t="s">
        <v>82</v>
      </c>
      <c r="D1901">
        <v>50</v>
      </c>
      <c r="E1901">
        <v>65</v>
      </c>
      <c r="F1901">
        <v>220.46</v>
      </c>
      <c r="G1901" t="s">
        <v>2</v>
      </c>
      <c r="H1901" t="s">
        <v>9</v>
      </c>
    </row>
    <row r="1902" spans="1:8" x14ac:dyDescent="0.3">
      <c r="A1902" t="s">
        <v>1797</v>
      </c>
      <c r="B1902">
        <v>96</v>
      </c>
      <c r="C1902" t="s">
        <v>45</v>
      </c>
      <c r="D1902">
        <v>57</v>
      </c>
      <c r="E1902">
        <v>78</v>
      </c>
      <c r="F1902">
        <v>26.46</v>
      </c>
      <c r="G1902" t="s">
        <v>18</v>
      </c>
      <c r="H1902" t="s">
        <v>5</v>
      </c>
    </row>
    <row r="1903" spans="1:8" x14ac:dyDescent="0.3">
      <c r="A1903" t="s">
        <v>1798</v>
      </c>
      <c r="B1903">
        <v>95</v>
      </c>
      <c r="C1903" t="s">
        <v>82</v>
      </c>
      <c r="D1903">
        <v>52</v>
      </c>
      <c r="E1903">
        <v>62</v>
      </c>
      <c r="F1903">
        <v>4.26</v>
      </c>
      <c r="G1903" t="s">
        <v>18</v>
      </c>
      <c r="H1903" t="s">
        <v>12</v>
      </c>
    </row>
    <row r="1904" spans="1:8" x14ac:dyDescent="0.3">
      <c r="A1904" t="s">
        <v>1799</v>
      </c>
      <c r="B1904">
        <v>96</v>
      </c>
      <c r="C1904" t="s">
        <v>41</v>
      </c>
      <c r="D1904">
        <v>66</v>
      </c>
      <c r="E1904">
        <v>88</v>
      </c>
      <c r="F1904">
        <v>21.3</v>
      </c>
      <c r="G1904" t="s">
        <v>18</v>
      </c>
      <c r="H1904" t="s">
        <v>5</v>
      </c>
    </row>
    <row r="1905" spans="1:8" x14ac:dyDescent="0.3">
      <c r="A1905" t="s">
        <v>1800</v>
      </c>
      <c r="B1905">
        <v>94</v>
      </c>
      <c r="C1905" t="s">
        <v>45</v>
      </c>
      <c r="D1905">
        <v>59</v>
      </c>
      <c r="E1905">
        <v>74</v>
      </c>
      <c r="F1905">
        <v>4.63</v>
      </c>
      <c r="G1905" t="s">
        <v>18</v>
      </c>
      <c r="H1905" t="s">
        <v>9</v>
      </c>
    </row>
    <row r="1906" spans="1:8" x14ac:dyDescent="0.3">
      <c r="A1906" t="s">
        <v>1258</v>
      </c>
      <c r="B1906">
        <v>95</v>
      </c>
      <c r="C1906" t="s">
        <v>45</v>
      </c>
      <c r="D1906">
        <v>56</v>
      </c>
      <c r="E1906">
        <v>78</v>
      </c>
      <c r="F1906">
        <v>3.75</v>
      </c>
      <c r="G1906" t="s">
        <v>18</v>
      </c>
      <c r="H1906" t="s">
        <v>150</v>
      </c>
    </row>
    <row r="1907" spans="1:8" x14ac:dyDescent="0.3">
      <c r="A1907" t="s">
        <v>1801</v>
      </c>
      <c r="B1907">
        <v>94</v>
      </c>
      <c r="C1907" t="s">
        <v>45</v>
      </c>
      <c r="D1907">
        <v>60</v>
      </c>
      <c r="E1907">
        <v>75</v>
      </c>
      <c r="F1907">
        <v>22.02</v>
      </c>
      <c r="G1907" t="s">
        <v>18</v>
      </c>
      <c r="H1907" t="s">
        <v>5</v>
      </c>
    </row>
    <row r="1908" spans="1:8" x14ac:dyDescent="0.3">
      <c r="A1908" t="s">
        <v>492</v>
      </c>
      <c r="B1908">
        <v>94</v>
      </c>
      <c r="C1908" t="s">
        <v>45</v>
      </c>
      <c r="D1908">
        <v>56</v>
      </c>
      <c r="E1908">
        <v>72</v>
      </c>
      <c r="F1908">
        <v>5</v>
      </c>
      <c r="G1908" t="s">
        <v>18</v>
      </c>
      <c r="H1908" t="s">
        <v>12</v>
      </c>
    </row>
    <row r="1909" spans="1:8" x14ac:dyDescent="0.3">
      <c r="A1909" t="s">
        <v>1802</v>
      </c>
      <c r="B1909">
        <v>94</v>
      </c>
      <c r="C1909" t="s">
        <v>82</v>
      </c>
      <c r="D1909">
        <v>50</v>
      </c>
      <c r="E1909">
        <v>62</v>
      </c>
      <c r="F1909">
        <v>220.46</v>
      </c>
      <c r="G1909" t="s">
        <v>2</v>
      </c>
      <c r="H1909" t="s">
        <v>9</v>
      </c>
    </row>
    <row r="1910" spans="1:8" x14ac:dyDescent="0.3">
      <c r="A1910" t="s">
        <v>1803</v>
      </c>
      <c r="B1910">
        <v>94</v>
      </c>
      <c r="C1910" t="s">
        <v>45</v>
      </c>
      <c r="D1910">
        <v>59</v>
      </c>
      <c r="E1910">
        <v>73</v>
      </c>
      <c r="F1910">
        <v>4.1100000000000003</v>
      </c>
      <c r="G1910" t="s">
        <v>18</v>
      </c>
      <c r="H1910" t="s">
        <v>9</v>
      </c>
    </row>
    <row r="1911" spans="1:8" x14ac:dyDescent="0.3">
      <c r="A1911" t="s">
        <v>1804</v>
      </c>
      <c r="B1911">
        <v>94</v>
      </c>
      <c r="C1911" t="s">
        <v>82</v>
      </c>
      <c r="D1911">
        <v>49</v>
      </c>
      <c r="E1911">
        <v>59</v>
      </c>
      <c r="F1911">
        <v>3.08</v>
      </c>
      <c r="G1911" t="s">
        <v>18</v>
      </c>
      <c r="H1911" t="s">
        <v>150</v>
      </c>
    </row>
    <row r="1912" spans="1:8" x14ac:dyDescent="0.3">
      <c r="A1912" t="s">
        <v>1805</v>
      </c>
      <c r="B1912">
        <v>94</v>
      </c>
      <c r="C1912" t="s">
        <v>45</v>
      </c>
      <c r="D1912">
        <v>56</v>
      </c>
      <c r="E1912">
        <v>68</v>
      </c>
      <c r="F1912">
        <v>4.7</v>
      </c>
      <c r="G1912" t="s">
        <v>18</v>
      </c>
      <c r="H1912" t="s">
        <v>12</v>
      </c>
    </row>
    <row r="1913" spans="1:8" x14ac:dyDescent="0.3">
      <c r="A1913" t="s">
        <v>1806</v>
      </c>
      <c r="B1913">
        <v>95</v>
      </c>
      <c r="C1913" t="s">
        <v>82</v>
      </c>
      <c r="D1913">
        <v>49</v>
      </c>
      <c r="E1913">
        <v>66</v>
      </c>
      <c r="F1913">
        <v>19.11</v>
      </c>
      <c r="G1913" t="s">
        <v>18</v>
      </c>
      <c r="H1913" t="s">
        <v>9</v>
      </c>
    </row>
    <row r="1914" spans="1:8" x14ac:dyDescent="0.3">
      <c r="A1914" t="s">
        <v>1807</v>
      </c>
      <c r="B1914">
        <v>94</v>
      </c>
      <c r="C1914" t="s">
        <v>45</v>
      </c>
      <c r="D1914">
        <v>53</v>
      </c>
      <c r="E1914">
        <v>79</v>
      </c>
      <c r="F1914">
        <v>3.56</v>
      </c>
      <c r="G1914" t="s">
        <v>18</v>
      </c>
      <c r="H1914" t="s">
        <v>9</v>
      </c>
    </row>
    <row r="1915" spans="1:8" x14ac:dyDescent="0.3">
      <c r="A1915" t="s">
        <v>1808</v>
      </c>
      <c r="B1915">
        <v>94</v>
      </c>
      <c r="C1915" t="s">
        <v>45</v>
      </c>
      <c r="D1915">
        <v>58</v>
      </c>
      <c r="E1915">
        <v>75</v>
      </c>
      <c r="F1915">
        <v>4.79</v>
      </c>
      <c r="G1915" t="s">
        <v>18</v>
      </c>
      <c r="H1915" t="s">
        <v>9</v>
      </c>
    </row>
    <row r="1916" spans="1:8" x14ac:dyDescent="0.3">
      <c r="A1916" t="s">
        <v>1809</v>
      </c>
      <c r="B1916">
        <v>94</v>
      </c>
      <c r="C1916" t="s">
        <v>45</v>
      </c>
      <c r="D1916">
        <v>57</v>
      </c>
      <c r="E1916">
        <v>71</v>
      </c>
      <c r="F1916">
        <v>5.29</v>
      </c>
      <c r="G1916" t="s">
        <v>18</v>
      </c>
      <c r="H1916" t="s">
        <v>12</v>
      </c>
    </row>
    <row r="1917" spans="1:8" x14ac:dyDescent="0.3">
      <c r="A1917" t="s">
        <v>1810</v>
      </c>
      <c r="B1917">
        <v>94</v>
      </c>
      <c r="C1917" t="s">
        <v>45</v>
      </c>
      <c r="D1917">
        <v>58</v>
      </c>
      <c r="E1917">
        <v>75</v>
      </c>
      <c r="F1917">
        <v>26.43</v>
      </c>
      <c r="G1917" t="s">
        <v>18</v>
      </c>
      <c r="H1917" t="s">
        <v>5</v>
      </c>
    </row>
    <row r="1918" spans="1:8" x14ac:dyDescent="0.3">
      <c r="A1918" t="s">
        <v>1811</v>
      </c>
      <c r="B1918">
        <v>94</v>
      </c>
      <c r="C1918" t="s">
        <v>45</v>
      </c>
      <c r="D1918">
        <v>53</v>
      </c>
      <c r="E1918">
        <v>72</v>
      </c>
      <c r="F1918">
        <v>35</v>
      </c>
      <c r="G1918" t="s">
        <v>30</v>
      </c>
      <c r="H1918" t="s">
        <v>5</v>
      </c>
    </row>
    <row r="1919" spans="1:8" x14ac:dyDescent="0.3">
      <c r="A1919" t="s">
        <v>1812</v>
      </c>
      <c r="B1919">
        <v>94</v>
      </c>
      <c r="C1919" t="s">
        <v>45</v>
      </c>
      <c r="D1919">
        <v>55</v>
      </c>
      <c r="E1919">
        <v>75</v>
      </c>
      <c r="F1919">
        <v>15.85</v>
      </c>
      <c r="G1919" t="s">
        <v>18</v>
      </c>
      <c r="H1919" t="s">
        <v>18</v>
      </c>
    </row>
    <row r="1920" spans="1:8" x14ac:dyDescent="0.3">
      <c r="A1920" t="s">
        <v>1813</v>
      </c>
      <c r="B1920">
        <v>94</v>
      </c>
      <c r="C1920" t="s">
        <v>82</v>
      </c>
      <c r="D1920">
        <v>53</v>
      </c>
      <c r="E1920">
        <v>68</v>
      </c>
      <c r="F1920">
        <v>4.8499999999999996</v>
      </c>
      <c r="G1920" t="s">
        <v>18</v>
      </c>
      <c r="H1920" t="s">
        <v>16</v>
      </c>
    </row>
    <row r="1921" spans="1:8" x14ac:dyDescent="0.3">
      <c r="A1921" t="s">
        <v>1814</v>
      </c>
      <c r="B1921">
        <v>95</v>
      </c>
      <c r="C1921" t="s">
        <v>82</v>
      </c>
      <c r="D1921">
        <v>52</v>
      </c>
      <c r="E1921">
        <v>68</v>
      </c>
      <c r="F1921">
        <v>19.11</v>
      </c>
      <c r="G1921" t="s">
        <v>18</v>
      </c>
      <c r="H1921" t="s">
        <v>5</v>
      </c>
    </row>
    <row r="1922" spans="1:8" x14ac:dyDescent="0.3">
      <c r="A1922" t="s">
        <v>1815</v>
      </c>
      <c r="B1922">
        <v>94</v>
      </c>
      <c r="C1922" t="s">
        <v>41</v>
      </c>
      <c r="D1922">
        <v>63</v>
      </c>
      <c r="E1922">
        <v>82</v>
      </c>
      <c r="F1922">
        <v>5.1100000000000003</v>
      </c>
      <c r="G1922" t="s">
        <v>18</v>
      </c>
      <c r="H1922" t="s">
        <v>21</v>
      </c>
    </row>
    <row r="1923" spans="1:8" x14ac:dyDescent="0.3">
      <c r="A1923" t="s">
        <v>1816</v>
      </c>
      <c r="B1923">
        <v>94</v>
      </c>
      <c r="C1923" t="s">
        <v>45</v>
      </c>
      <c r="D1923">
        <v>55</v>
      </c>
      <c r="E1923">
        <v>68</v>
      </c>
      <c r="F1923">
        <v>5</v>
      </c>
      <c r="G1923" t="s">
        <v>18</v>
      </c>
      <c r="H1923" t="s">
        <v>10</v>
      </c>
    </row>
    <row r="1924" spans="1:8" x14ac:dyDescent="0.3">
      <c r="A1924" t="s">
        <v>1817</v>
      </c>
      <c r="B1924">
        <v>94</v>
      </c>
      <c r="C1924" t="s">
        <v>82</v>
      </c>
      <c r="D1924">
        <v>55</v>
      </c>
      <c r="E1924">
        <v>66</v>
      </c>
      <c r="F1924">
        <v>1234.57</v>
      </c>
      <c r="G1924" t="s">
        <v>2</v>
      </c>
      <c r="H1924" t="s">
        <v>5</v>
      </c>
    </row>
    <row r="1925" spans="1:8" x14ac:dyDescent="0.3">
      <c r="A1925" t="s">
        <v>1818</v>
      </c>
      <c r="B1925">
        <v>94</v>
      </c>
      <c r="C1925" t="s">
        <v>41</v>
      </c>
      <c r="D1925">
        <v>65</v>
      </c>
      <c r="E1925">
        <v>84</v>
      </c>
      <c r="F1925">
        <v>837.74</v>
      </c>
      <c r="G1925" t="s">
        <v>2</v>
      </c>
      <c r="H1925" t="s">
        <v>150</v>
      </c>
    </row>
    <row r="1926" spans="1:8" x14ac:dyDescent="0.3">
      <c r="A1926" t="s">
        <v>1819</v>
      </c>
      <c r="B1926">
        <v>94</v>
      </c>
      <c r="C1926" t="s">
        <v>45</v>
      </c>
      <c r="D1926">
        <v>58</v>
      </c>
      <c r="E1926">
        <v>71</v>
      </c>
      <c r="F1926">
        <v>35</v>
      </c>
      <c r="G1926" t="s">
        <v>30</v>
      </c>
      <c r="H1926" t="s">
        <v>5</v>
      </c>
    </row>
    <row r="1927" spans="1:8" x14ac:dyDescent="0.3">
      <c r="A1927" t="s">
        <v>1820</v>
      </c>
      <c r="B1927">
        <v>94</v>
      </c>
      <c r="C1927" t="s">
        <v>82</v>
      </c>
      <c r="D1927">
        <v>52</v>
      </c>
      <c r="E1927">
        <v>66</v>
      </c>
      <c r="F1927">
        <v>3.97</v>
      </c>
      <c r="G1927" t="s">
        <v>18</v>
      </c>
      <c r="H1927" t="s">
        <v>9</v>
      </c>
    </row>
    <row r="1928" spans="1:8" x14ac:dyDescent="0.3">
      <c r="A1928" t="s">
        <v>1821</v>
      </c>
      <c r="B1928">
        <v>95</v>
      </c>
      <c r="C1928" t="s">
        <v>82</v>
      </c>
      <c r="D1928">
        <v>52</v>
      </c>
      <c r="E1928">
        <v>66</v>
      </c>
      <c r="F1928">
        <v>4.26</v>
      </c>
      <c r="G1928" t="s">
        <v>18</v>
      </c>
      <c r="H1928" t="s">
        <v>12</v>
      </c>
    </row>
    <row r="1929" spans="1:8" x14ac:dyDescent="0.3">
      <c r="A1929" t="s">
        <v>1550</v>
      </c>
      <c r="B1929">
        <v>94</v>
      </c>
      <c r="C1929" t="s">
        <v>41</v>
      </c>
      <c r="D1929">
        <v>59</v>
      </c>
      <c r="E1929">
        <v>84</v>
      </c>
      <c r="F1929">
        <v>4.41</v>
      </c>
      <c r="G1929" t="s">
        <v>18</v>
      </c>
      <c r="H1929" t="s">
        <v>9</v>
      </c>
    </row>
    <row r="1930" spans="1:8" x14ac:dyDescent="0.3">
      <c r="A1930" t="s">
        <v>1822</v>
      </c>
      <c r="B1930">
        <v>94</v>
      </c>
      <c r="C1930" t="s">
        <v>45</v>
      </c>
      <c r="D1930">
        <v>56</v>
      </c>
      <c r="E1930">
        <v>82</v>
      </c>
      <c r="F1930">
        <v>23.36</v>
      </c>
      <c r="G1930" t="s">
        <v>18</v>
      </c>
      <c r="H1930" t="s">
        <v>5</v>
      </c>
    </row>
    <row r="1931" spans="1:8" x14ac:dyDescent="0.3">
      <c r="A1931" t="s">
        <v>580</v>
      </c>
      <c r="B1931">
        <v>95</v>
      </c>
      <c r="C1931" t="s">
        <v>82</v>
      </c>
      <c r="D1931">
        <v>50</v>
      </c>
      <c r="E1931">
        <v>65</v>
      </c>
      <c r="F1931">
        <v>8.82</v>
      </c>
      <c r="G1931" t="s">
        <v>18</v>
      </c>
      <c r="H1931" t="s">
        <v>7</v>
      </c>
    </row>
    <row r="1932" spans="1:8" x14ac:dyDescent="0.3">
      <c r="A1932" t="s">
        <v>1823</v>
      </c>
      <c r="B1932">
        <v>94</v>
      </c>
      <c r="C1932" t="s">
        <v>82</v>
      </c>
      <c r="D1932">
        <v>51</v>
      </c>
      <c r="E1932">
        <v>55</v>
      </c>
      <c r="F1932">
        <v>4.5599999999999996</v>
      </c>
      <c r="G1932" t="s">
        <v>18</v>
      </c>
      <c r="H1932" t="s">
        <v>12</v>
      </c>
    </row>
    <row r="1933" spans="1:8" x14ac:dyDescent="0.3">
      <c r="A1933" t="s">
        <v>1824</v>
      </c>
      <c r="B1933">
        <v>94</v>
      </c>
      <c r="C1933" t="s">
        <v>82</v>
      </c>
      <c r="D1933">
        <v>52</v>
      </c>
      <c r="E1933">
        <v>60</v>
      </c>
      <c r="F1933">
        <v>11.76</v>
      </c>
      <c r="G1933" t="s">
        <v>18</v>
      </c>
      <c r="H1933" t="s">
        <v>18</v>
      </c>
    </row>
    <row r="1934" spans="1:8" x14ac:dyDescent="0.3">
      <c r="A1934" t="s">
        <v>1825</v>
      </c>
      <c r="B1934">
        <v>94</v>
      </c>
      <c r="C1934" t="s">
        <v>45</v>
      </c>
      <c r="D1934">
        <v>57</v>
      </c>
      <c r="E1934">
        <v>75</v>
      </c>
      <c r="F1934">
        <v>9.69</v>
      </c>
      <c r="G1934" t="s">
        <v>18</v>
      </c>
      <c r="H1934" t="s">
        <v>18</v>
      </c>
    </row>
    <row r="1935" spans="1:8" x14ac:dyDescent="0.3">
      <c r="A1935" t="s">
        <v>1826</v>
      </c>
      <c r="B1935">
        <v>94</v>
      </c>
      <c r="C1935" t="s">
        <v>45</v>
      </c>
      <c r="D1935">
        <v>58</v>
      </c>
      <c r="E1935">
        <v>74</v>
      </c>
      <c r="F1935">
        <v>4.5599999999999996</v>
      </c>
      <c r="G1935" t="s">
        <v>18</v>
      </c>
      <c r="H1935" t="s">
        <v>9</v>
      </c>
    </row>
    <row r="1936" spans="1:8" x14ac:dyDescent="0.3">
      <c r="A1936" t="s">
        <v>1827</v>
      </c>
      <c r="B1936">
        <v>96</v>
      </c>
      <c r="C1936" t="s">
        <v>45</v>
      </c>
      <c r="D1936">
        <v>60</v>
      </c>
      <c r="E1936">
        <v>81</v>
      </c>
      <c r="F1936">
        <v>26.34</v>
      </c>
      <c r="G1936" t="s">
        <v>18</v>
      </c>
      <c r="H1936" t="s">
        <v>14</v>
      </c>
    </row>
    <row r="1937" spans="1:8" x14ac:dyDescent="0.3">
      <c r="A1937" t="s">
        <v>1828</v>
      </c>
      <c r="B1937">
        <v>94</v>
      </c>
      <c r="C1937" t="s">
        <v>45</v>
      </c>
      <c r="D1937">
        <v>55</v>
      </c>
      <c r="E1937">
        <v>68</v>
      </c>
      <c r="F1937">
        <v>4.41</v>
      </c>
      <c r="G1937" t="s">
        <v>18</v>
      </c>
      <c r="H1937" t="s">
        <v>12</v>
      </c>
    </row>
    <row r="1938" spans="1:8" x14ac:dyDescent="0.3">
      <c r="A1938" t="s">
        <v>1829</v>
      </c>
      <c r="B1938">
        <v>94</v>
      </c>
      <c r="C1938" t="s">
        <v>41</v>
      </c>
      <c r="D1938">
        <v>64</v>
      </c>
      <c r="E1938">
        <v>81</v>
      </c>
      <c r="F1938">
        <v>5.23</v>
      </c>
      <c r="G1938" t="s">
        <v>31</v>
      </c>
      <c r="H1938" t="s">
        <v>9</v>
      </c>
    </row>
    <row r="1939" spans="1:8" x14ac:dyDescent="0.3">
      <c r="A1939" t="s">
        <v>1830</v>
      </c>
      <c r="B1939">
        <v>94</v>
      </c>
      <c r="C1939" t="s">
        <v>82</v>
      </c>
      <c r="D1939">
        <v>49</v>
      </c>
      <c r="E1939">
        <v>62</v>
      </c>
      <c r="F1939">
        <v>352.74</v>
      </c>
      <c r="G1939" t="s">
        <v>2</v>
      </c>
      <c r="H1939" t="s">
        <v>12</v>
      </c>
    </row>
    <row r="1940" spans="1:8" x14ac:dyDescent="0.3">
      <c r="A1940" t="s">
        <v>1831</v>
      </c>
      <c r="B1940">
        <v>95</v>
      </c>
      <c r="C1940" t="s">
        <v>82</v>
      </c>
      <c r="D1940">
        <v>53</v>
      </c>
      <c r="E1940">
        <v>65</v>
      </c>
      <c r="F1940">
        <v>4.7</v>
      </c>
      <c r="G1940" t="s">
        <v>18</v>
      </c>
      <c r="H1940" t="s">
        <v>12</v>
      </c>
    </row>
    <row r="1941" spans="1:8" x14ac:dyDescent="0.3">
      <c r="A1941" t="s">
        <v>1832</v>
      </c>
      <c r="B1941">
        <v>94</v>
      </c>
      <c r="C1941" t="s">
        <v>45</v>
      </c>
      <c r="D1941">
        <v>57</v>
      </c>
      <c r="E1941">
        <v>72</v>
      </c>
      <c r="F1941">
        <v>4.41</v>
      </c>
      <c r="G1941" t="s">
        <v>18</v>
      </c>
      <c r="H1941" t="s">
        <v>9</v>
      </c>
    </row>
    <row r="1942" spans="1:8" x14ac:dyDescent="0.3">
      <c r="A1942" t="s">
        <v>1833</v>
      </c>
      <c r="B1942">
        <v>94</v>
      </c>
      <c r="C1942" t="s">
        <v>82</v>
      </c>
      <c r="D1942">
        <v>51</v>
      </c>
      <c r="E1942">
        <v>62</v>
      </c>
      <c r="F1942">
        <v>4.3</v>
      </c>
      <c r="G1942" t="s">
        <v>18</v>
      </c>
      <c r="H1942" t="s">
        <v>9</v>
      </c>
    </row>
    <row r="1943" spans="1:8" x14ac:dyDescent="0.3">
      <c r="A1943" t="s">
        <v>1834</v>
      </c>
      <c r="B1943">
        <v>94</v>
      </c>
      <c r="C1943" t="s">
        <v>45</v>
      </c>
      <c r="D1943">
        <v>54</v>
      </c>
      <c r="E1943">
        <v>77</v>
      </c>
      <c r="F1943">
        <v>4.8499999999999996</v>
      </c>
      <c r="G1943" t="s">
        <v>18</v>
      </c>
      <c r="H1943" t="s">
        <v>16</v>
      </c>
    </row>
    <row r="1944" spans="1:8" x14ac:dyDescent="0.3">
      <c r="A1944" t="s">
        <v>1412</v>
      </c>
      <c r="B1944">
        <v>94</v>
      </c>
      <c r="C1944" t="s">
        <v>45</v>
      </c>
      <c r="D1944">
        <v>54</v>
      </c>
      <c r="E1944">
        <v>73</v>
      </c>
      <c r="F1944">
        <v>4.1100000000000003</v>
      </c>
      <c r="G1944" t="s">
        <v>18</v>
      </c>
      <c r="H1944" t="s">
        <v>16</v>
      </c>
    </row>
    <row r="1945" spans="1:8" x14ac:dyDescent="0.3">
      <c r="A1945" t="s">
        <v>1835</v>
      </c>
      <c r="B1945">
        <v>94</v>
      </c>
      <c r="C1945" t="s">
        <v>45</v>
      </c>
      <c r="D1945">
        <v>56</v>
      </c>
      <c r="E1945">
        <v>76</v>
      </c>
      <c r="F1945">
        <v>5</v>
      </c>
      <c r="G1945" t="s">
        <v>18</v>
      </c>
      <c r="H1945" t="s">
        <v>150</v>
      </c>
    </row>
    <row r="1946" spans="1:8" x14ac:dyDescent="0.3">
      <c r="A1946" t="s">
        <v>1836</v>
      </c>
      <c r="B1946">
        <v>94</v>
      </c>
      <c r="C1946" t="s">
        <v>45</v>
      </c>
      <c r="D1946">
        <v>58</v>
      </c>
      <c r="E1946">
        <v>75</v>
      </c>
      <c r="F1946">
        <v>4.8499999999999996</v>
      </c>
      <c r="G1946" t="s">
        <v>18</v>
      </c>
      <c r="H1946" t="s">
        <v>9</v>
      </c>
    </row>
    <row r="1947" spans="1:8" x14ac:dyDescent="0.3">
      <c r="A1947" t="s">
        <v>1837</v>
      </c>
      <c r="B1947">
        <v>94</v>
      </c>
      <c r="C1947" t="s">
        <v>45</v>
      </c>
      <c r="D1947">
        <v>51</v>
      </c>
      <c r="E1947">
        <v>75</v>
      </c>
      <c r="F1947">
        <v>20.16</v>
      </c>
      <c r="G1947" t="s">
        <v>18</v>
      </c>
      <c r="H1947" t="s">
        <v>18</v>
      </c>
    </row>
    <row r="1948" spans="1:8" x14ac:dyDescent="0.3">
      <c r="A1948" t="s">
        <v>1537</v>
      </c>
      <c r="B1948">
        <v>95</v>
      </c>
      <c r="C1948" t="s">
        <v>82</v>
      </c>
      <c r="D1948">
        <v>52</v>
      </c>
      <c r="E1948">
        <v>68</v>
      </c>
      <c r="F1948">
        <v>4.41</v>
      </c>
      <c r="G1948" t="s">
        <v>18</v>
      </c>
      <c r="H1948" t="s">
        <v>16</v>
      </c>
    </row>
    <row r="1949" spans="1:8" x14ac:dyDescent="0.3">
      <c r="A1949" t="s">
        <v>1838</v>
      </c>
      <c r="B1949">
        <v>94</v>
      </c>
      <c r="C1949" t="s">
        <v>82</v>
      </c>
      <c r="D1949">
        <v>49</v>
      </c>
      <c r="E1949">
        <v>65</v>
      </c>
      <c r="F1949">
        <v>286.60000000000002</v>
      </c>
      <c r="G1949" t="s">
        <v>2</v>
      </c>
      <c r="H1949" t="s">
        <v>9</v>
      </c>
    </row>
    <row r="1950" spans="1:8" x14ac:dyDescent="0.3">
      <c r="A1950" t="s">
        <v>1839</v>
      </c>
      <c r="B1950">
        <v>94</v>
      </c>
      <c r="C1950" t="s">
        <v>45</v>
      </c>
      <c r="D1950">
        <v>59</v>
      </c>
      <c r="E1950">
        <v>72</v>
      </c>
      <c r="F1950">
        <v>198.41</v>
      </c>
      <c r="G1950" t="s">
        <v>2</v>
      </c>
      <c r="H1950" t="s">
        <v>9</v>
      </c>
    </row>
    <row r="1951" spans="1:8" x14ac:dyDescent="0.3">
      <c r="A1951" t="s">
        <v>1840</v>
      </c>
      <c r="B1951">
        <v>94</v>
      </c>
      <c r="C1951" t="s">
        <v>541</v>
      </c>
      <c r="D1951">
        <v>46</v>
      </c>
      <c r="E1951">
        <v>53</v>
      </c>
      <c r="F1951">
        <v>286.60000000000002</v>
      </c>
      <c r="G1951" t="s">
        <v>2</v>
      </c>
      <c r="H1951" t="s">
        <v>12</v>
      </c>
    </row>
    <row r="1952" spans="1:8" x14ac:dyDescent="0.3">
      <c r="A1952" t="s">
        <v>1841</v>
      </c>
      <c r="B1952">
        <v>94</v>
      </c>
      <c r="C1952" t="s">
        <v>41</v>
      </c>
      <c r="D1952">
        <v>61</v>
      </c>
      <c r="E1952">
        <v>93</v>
      </c>
      <c r="F1952">
        <v>288</v>
      </c>
      <c r="G1952" t="s">
        <v>11</v>
      </c>
      <c r="H1952" t="s">
        <v>5</v>
      </c>
    </row>
    <row r="1953" spans="1:8" x14ac:dyDescent="0.3">
      <c r="A1953" t="s">
        <v>1842</v>
      </c>
      <c r="B1953">
        <v>94</v>
      </c>
      <c r="C1953" t="s">
        <v>45</v>
      </c>
      <c r="D1953">
        <v>59</v>
      </c>
      <c r="E1953">
        <v>76</v>
      </c>
      <c r="F1953">
        <v>3.97</v>
      </c>
      <c r="G1953" t="s">
        <v>18</v>
      </c>
      <c r="H1953" t="s">
        <v>16</v>
      </c>
    </row>
    <row r="1954" spans="1:8" x14ac:dyDescent="0.3">
      <c r="A1954" t="s">
        <v>1843</v>
      </c>
      <c r="B1954">
        <v>94</v>
      </c>
      <c r="C1954" t="s">
        <v>45</v>
      </c>
      <c r="D1954">
        <v>56</v>
      </c>
      <c r="E1954">
        <v>83</v>
      </c>
      <c r="F1954">
        <v>588</v>
      </c>
      <c r="G1954" t="s">
        <v>11</v>
      </c>
      <c r="H1954" t="s">
        <v>5</v>
      </c>
    </row>
    <row r="1955" spans="1:8" x14ac:dyDescent="0.3">
      <c r="A1955" t="s">
        <v>1844</v>
      </c>
      <c r="B1955">
        <v>95</v>
      </c>
      <c r="C1955" t="s">
        <v>45</v>
      </c>
      <c r="D1955">
        <v>56</v>
      </c>
      <c r="E1955">
        <v>81</v>
      </c>
      <c r="F1955">
        <v>500</v>
      </c>
      <c r="G1955" t="s">
        <v>2</v>
      </c>
      <c r="H1955" t="s">
        <v>9</v>
      </c>
    </row>
    <row r="1956" spans="1:8" x14ac:dyDescent="0.3">
      <c r="A1956" t="s">
        <v>1845</v>
      </c>
      <c r="B1956">
        <v>96</v>
      </c>
      <c r="C1956" t="s">
        <v>41</v>
      </c>
      <c r="D1956">
        <v>64</v>
      </c>
      <c r="E1956">
        <v>83</v>
      </c>
      <c r="F1956">
        <v>4.5599999999999996</v>
      </c>
      <c r="G1956" t="s">
        <v>18</v>
      </c>
      <c r="H1956" t="s">
        <v>9</v>
      </c>
    </row>
    <row r="1957" spans="1:8" x14ac:dyDescent="0.3">
      <c r="A1957" t="s">
        <v>1846</v>
      </c>
      <c r="B1957">
        <v>94</v>
      </c>
      <c r="C1957" t="s">
        <v>82</v>
      </c>
      <c r="D1957">
        <v>53</v>
      </c>
      <c r="E1957">
        <v>66</v>
      </c>
      <c r="F1957">
        <v>5.5</v>
      </c>
      <c r="G1957" t="s">
        <v>18</v>
      </c>
      <c r="H1957" t="s">
        <v>150</v>
      </c>
    </row>
    <row r="1958" spans="1:8" x14ac:dyDescent="0.3">
      <c r="A1958" t="s">
        <v>1847</v>
      </c>
      <c r="B1958">
        <v>96</v>
      </c>
      <c r="C1958" t="s">
        <v>45</v>
      </c>
      <c r="D1958">
        <v>52</v>
      </c>
      <c r="E1958">
        <v>73</v>
      </c>
      <c r="F1958">
        <v>5.29</v>
      </c>
      <c r="G1958" t="s">
        <v>18</v>
      </c>
      <c r="H1958" t="s">
        <v>9</v>
      </c>
    </row>
    <row r="1959" spans="1:8" x14ac:dyDescent="0.3">
      <c r="A1959" t="s">
        <v>1848</v>
      </c>
      <c r="B1959">
        <v>94</v>
      </c>
      <c r="C1959" t="s">
        <v>45</v>
      </c>
      <c r="D1959">
        <v>55</v>
      </c>
      <c r="E1959">
        <v>79</v>
      </c>
      <c r="F1959">
        <v>4.9800000000000004</v>
      </c>
      <c r="G1959" t="s">
        <v>18</v>
      </c>
      <c r="H1959" t="s">
        <v>21</v>
      </c>
    </row>
    <row r="1960" spans="1:8" x14ac:dyDescent="0.3">
      <c r="A1960" t="s">
        <v>1849</v>
      </c>
      <c r="B1960">
        <v>95</v>
      </c>
      <c r="C1960" t="s">
        <v>45</v>
      </c>
      <c r="D1960">
        <v>56</v>
      </c>
      <c r="E1960">
        <v>73</v>
      </c>
      <c r="F1960">
        <v>4.12</v>
      </c>
      <c r="G1960" t="s">
        <v>18</v>
      </c>
      <c r="H1960" t="s">
        <v>17</v>
      </c>
    </row>
    <row r="1961" spans="1:8" x14ac:dyDescent="0.3">
      <c r="A1961" t="s">
        <v>1850</v>
      </c>
      <c r="B1961">
        <v>95</v>
      </c>
      <c r="C1961" t="s">
        <v>82</v>
      </c>
      <c r="D1961">
        <v>45</v>
      </c>
      <c r="E1961">
        <v>67</v>
      </c>
      <c r="F1961">
        <v>3.82</v>
      </c>
      <c r="G1961" t="s">
        <v>18</v>
      </c>
      <c r="H1961" t="s">
        <v>12</v>
      </c>
    </row>
    <row r="1962" spans="1:8" x14ac:dyDescent="0.3">
      <c r="A1962" t="s">
        <v>1851</v>
      </c>
      <c r="B1962">
        <v>94</v>
      </c>
      <c r="C1962" t="s">
        <v>45</v>
      </c>
      <c r="D1962">
        <v>56</v>
      </c>
      <c r="E1962">
        <v>78</v>
      </c>
      <c r="F1962">
        <v>4.41</v>
      </c>
      <c r="G1962" t="s">
        <v>18</v>
      </c>
      <c r="H1962" t="s">
        <v>9</v>
      </c>
    </row>
    <row r="1963" spans="1:8" x14ac:dyDescent="0.3">
      <c r="A1963" t="s">
        <v>1852</v>
      </c>
      <c r="B1963">
        <v>94</v>
      </c>
      <c r="C1963" t="s">
        <v>45</v>
      </c>
      <c r="D1963">
        <v>57</v>
      </c>
      <c r="E1963">
        <v>72</v>
      </c>
      <c r="F1963">
        <v>6.17</v>
      </c>
      <c r="G1963" t="s">
        <v>18</v>
      </c>
      <c r="H1963" t="s">
        <v>9</v>
      </c>
    </row>
    <row r="1964" spans="1:8" x14ac:dyDescent="0.3">
      <c r="A1964" t="s">
        <v>1853</v>
      </c>
      <c r="B1964">
        <v>95</v>
      </c>
      <c r="C1964" t="s">
        <v>82</v>
      </c>
      <c r="D1964">
        <v>49</v>
      </c>
      <c r="E1964">
        <v>69</v>
      </c>
      <c r="F1964">
        <v>4.7</v>
      </c>
      <c r="G1964" t="s">
        <v>18</v>
      </c>
      <c r="H1964" t="s">
        <v>12</v>
      </c>
    </row>
    <row r="1965" spans="1:8" x14ac:dyDescent="0.3">
      <c r="A1965" t="s">
        <v>1854</v>
      </c>
      <c r="B1965">
        <v>94</v>
      </c>
      <c r="C1965" t="s">
        <v>541</v>
      </c>
      <c r="D1965">
        <v>46</v>
      </c>
      <c r="E1965">
        <v>55</v>
      </c>
      <c r="F1965">
        <v>4.1100000000000003</v>
      </c>
      <c r="G1965" t="s">
        <v>18</v>
      </c>
      <c r="H1965" t="s">
        <v>24</v>
      </c>
    </row>
    <row r="1966" spans="1:8" x14ac:dyDescent="0.3">
      <c r="A1966" t="s">
        <v>1855</v>
      </c>
      <c r="B1966">
        <v>96</v>
      </c>
      <c r="C1966" t="s">
        <v>41</v>
      </c>
      <c r="D1966">
        <v>66</v>
      </c>
      <c r="E1966">
        <v>86</v>
      </c>
      <c r="F1966">
        <v>104.84</v>
      </c>
      <c r="G1966" t="s">
        <v>18</v>
      </c>
      <c r="H1966" t="s">
        <v>5</v>
      </c>
    </row>
    <row r="1967" spans="1:8" x14ac:dyDescent="0.3">
      <c r="A1967" t="s">
        <v>1856</v>
      </c>
      <c r="B1967">
        <v>94</v>
      </c>
      <c r="C1967" t="s">
        <v>45</v>
      </c>
      <c r="D1967">
        <v>59</v>
      </c>
      <c r="E1967">
        <v>69</v>
      </c>
      <c r="F1967">
        <v>4.76</v>
      </c>
      <c r="G1967" t="s">
        <v>18</v>
      </c>
      <c r="H1967" t="s">
        <v>16</v>
      </c>
    </row>
    <row r="1968" spans="1:8" x14ac:dyDescent="0.3">
      <c r="A1968" t="s">
        <v>1631</v>
      </c>
      <c r="B1968">
        <v>94</v>
      </c>
      <c r="C1968" t="s">
        <v>45</v>
      </c>
      <c r="D1968">
        <v>56</v>
      </c>
      <c r="E1968">
        <v>73</v>
      </c>
      <c r="F1968">
        <v>4.41</v>
      </c>
      <c r="G1968" t="s">
        <v>18</v>
      </c>
      <c r="H1968" t="s">
        <v>9</v>
      </c>
    </row>
    <row r="1969" spans="1:8" x14ac:dyDescent="0.3">
      <c r="A1969" t="s">
        <v>1857</v>
      </c>
      <c r="B1969">
        <v>94</v>
      </c>
      <c r="C1969" t="s">
        <v>82</v>
      </c>
      <c r="D1969">
        <v>53</v>
      </c>
      <c r="E1969">
        <v>63</v>
      </c>
      <c r="F1969">
        <v>5.29</v>
      </c>
      <c r="G1969" t="s">
        <v>18</v>
      </c>
      <c r="H1969" t="s">
        <v>12</v>
      </c>
    </row>
    <row r="1970" spans="1:8" x14ac:dyDescent="0.3">
      <c r="A1970" t="s">
        <v>1858</v>
      </c>
      <c r="B1970">
        <v>94</v>
      </c>
      <c r="C1970" t="s">
        <v>45</v>
      </c>
      <c r="D1970">
        <v>58</v>
      </c>
      <c r="E1970">
        <v>76</v>
      </c>
      <c r="F1970">
        <v>220.46</v>
      </c>
      <c r="G1970" t="s">
        <v>2</v>
      </c>
      <c r="H1970" t="s">
        <v>150</v>
      </c>
    </row>
    <row r="1971" spans="1:8" x14ac:dyDescent="0.3">
      <c r="A1971" t="s">
        <v>1771</v>
      </c>
      <c r="B1971">
        <v>94</v>
      </c>
      <c r="C1971" t="s">
        <v>41</v>
      </c>
      <c r="D1971">
        <v>61</v>
      </c>
      <c r="E1971">
        <v>81</v>
      </c>
      <c r="F1971">
        <v>176.37</v>
      </c>
      <c r="G1971" t="s">
        <v>2</v>
      </c>
      <c r="H1971" t="s">
        <v>9</v>
      </c>
    </row>
    <row r="1972" spans="1:8" x14ac:dyDescent="0.3">
      <c r="A1972" t="s">
        <v>1859</v>
      </c>
      <c r="B1972">
        <v>94</v>
      </c>
      <c r="C1972" t="s">
        <v>45</v>
      </c>
      <c r="D1972">
        <v>55</v>
      </c>
      <c r="E1972">
        <v>75</v>
      </c>
      <c r="F1972">
        <v>40</v>
      </c>
      <c r="G1972" t="s">
        <v>11</v>
      </c>
      <c r="H1972" t="s">
        <v>150</v>
      </c>
    </row>
    <row r="1973" spans="1:8" x14ac:dyDescent="0.3">
      <c r="A1973" t="s">
        <v>1860</v>
      </c>
      <c r="B1973">
        <v>95</v>
      </c>
      <c r="C1973" t="s">
        <v>45</v>
      </c>
      <c r="D1973">
        <v>58</v>
      </c>
      <c r="E1973">
        <v>79</v>
      </c>
      <c r="F1973">
        <v>5.88</v>
      </c>
      <c r="G1973" t="s">
        <v>18</v>
      </c>
      <c r="H1973" t="s">
        <v>10</v>
      </c>
    </row>
    <row r="1974" spans="1:8" x14ac:dyDescent="0.3">
      <c r="A1974" t="s">
        <v>1861</v>
      </c>
      <c r="B1974">
        <v>94</v>
      </c>
      <c r="C1974" t="s">
        <v>45</v>
      </c>
      <c r="D1974">
        <v>54</v>
      </c>
      <c r="E1974">
        <v>73</v>
      </c>
      <c r="F1974">
        <v>3.86</v>
      </c>
      <c r="G1974" t="s">
        <v>18</v>
      </c>
      <c r="H1974" t="s">
        <v>9</v>
      </c>
    </row>
    <row r="1975" spans="1:8" x14ac:dyDescent="0.3">
      <c r="A1975" t="s">
        <v>1862</v>
      </c>
      <c r="B1975">
        <v>95</v>
      </c>
      <c r="C1975" t="s">
        <v>45</v>
      </c>
      <c r="D1975">
        <v>52</v>
      </c>
      <c r="E1975">
        <v>70</v>
      </c>
      <c r="F1975">
        <v>4.41</v>
      </c>
      <c r="G1975" t="s">
        <v>18</v>
      </c>
      <c r="H1975" t="s">
        <v>9</v>
      </c>
    </row>
    <row r="1976" spans="1:8" x14ac:dyDescent="0.3">
      <c r="A1976" t="s">
        <v>1863</v>
      </c>
      <c r="B1976">
        <v>94</v>
      </c>
      <c r="C1976" t="s">
        <v>45</v>
      </c>
      <c r="D1976">
        <v>53</v>
      </c>
      <c r="E1976">
        <v>69</v>
      </c>
      <c r="F1976">
        <v>4.3899999999999997</v>
      </c>
      <c r="G1976" t="s">
        <v>18</v>
      </c>
      <c r="H1976" t="s">
        <v>9</v>
      </c>
    </row>
    <row r="1977" spans="1:8" x14ac:dyDescent="0.3">
      <c r="A1977" t="s">
        <v>1864</v>
      </c>
      <c r="B1977">
        <v>94</v>
      </c>
      <c r="C1977" t="s">
        <v>45</v>
      </c>
      <c r="D1977">
        <v>54</v>
      </c>
      <c r="E1977">
        <v>71</v>
      </c>
      <c r="F1977">
        <v>29.72</v>
      </c>
      <c r="G1977" t="s">
        <v>18</v>
      </c>
      <c r="H1977" t="s">
        <v>5</v>
      </c>
    </row>
    <row r="1978" spans="1:8" x14ac:dyDescent="0.3">
      <c r="A1978" t="s">
        <v>1733</v>
      </c>
      <c r="B1978">
        <v>97</v>
      </c>
      <c r="C1978" t="s">
        <v>82</v>
      </c>
      <c r="D1978">
        <v>52</v>
      </c>
      <c r="E1978">
        <v>67</v>
      </c>
      <c r="F1978">
        <v>16.739999999999998</v>
      </c>
      <c r="G1978" t="s">
        <v>18</v>
      </c>
      <c r="H1978" t="s">
        <v>5</v>
      </c>
    </row>
    <row r="1979" spans="1:8" x14ac:dyDescent="0.3">
      <c r="A1979" t="s">
        <v>1865</v>
      </c>
      <c r="B1979">
        <v>96</v>
      </c>
      <c r="C1979" t="s">
        <v>41</v>
      </c>
      <c r="D1979">
        <v>62</v>
      </c>
      <c r="E1979">
        <v>86</v>
      </c>
      <c r="F1979">
        <v>26.45</v>
      </c>
      <c r="G1979" t="s">
        <v>18</v>
      </c>
      <c r="H1979" t="s">
        <v>5</v>
      </c>
    </row>
    <row r="1980" spans="1:8" x14ac:dyDescent="0.3">
      <c r="A1980" t="s">
        <v>1866</v>
      </c>
      <c r="B1980">
        <v>95</v>
      </c>
      <c r="C1980" t="s">
        <v>82</v>
      </c>
      <c r="D1980">
        <v>52</v>
      </c>
      <c r="E1980">
        <v>61</v>
      </c>
      <c r="F1980">
        <v>4.8499999999999996</v>
      </c>
      <c r="G1980" t="s">
        <v>18</v>
      </c>
      <c r="H1980" t="s">
        <v>12</v>
      </c>
    </row>
    <row r="1981" spans="1:8" x14ac:dyDescent="0.3">
      <c r="A1981" t="s">
        <v>1867</v>
      </c>
      <c r="B1981">
        <v>95</v>
      </c>
      <c r="C1981" t="s">
        <v>45</v>
      </c>
      <c r="D1981">
        <v>57</v>
      </c>
      <c r="E1981">
        <v>74</v>
      </c>
      <c r="F1981">
        <v>14.09</v>
      </c>
      <c r="G1981" t="s">
        <v>18</v>
      </c>
      <c r="H1981" t="s">
        <v>5</v>
      </c>
    </row>
    <row r="1982" spans="1:8" x14ac:dyDescent="0.3">
      <c r="A1982" t="s">
        <v>1868</v>
      </c>
      <c r="B1982">
        <v>95</v>
      </c>
      <c r="C1982" t="s">
        <v>41</v>
      </c>
      <c r="D1982">
        <v>58</v>
      </c>
      <c r="E1982">
        <v>84</v>
      </c>
      <c r="F1982">
        <v>4.41</v>
      </c>
      <c r="G1982" t="s">
        <v>2</v>
      </c>
      <c r="H1982" t="s">
        <v>9</v>
      </c>
    </row>
    <row r="1983" spans="1:8" x14ac:dyDescent="0.3">
      <c r="A1983" t="s">
        <v>1869</v>
      </c>
      <c r="B1983">
        <v>94</v>
      </c>
      <c r="C1983" t="s">
        <v>45</v>
      </c>
      <c r="D1983">
        <v>58</v>
      </c>
      <c r="E1983">
        <v>82</v>
      </c>
      <c r="F1983">
        <v>4.34</v>
      </c>
      <c r="G1983" t="s">
        <v>18</v>
      </c>
      <c r="H1983" t="s">
        <v>17</v>
      </c>
    </row>
    <row r="1984" spans="1:8" x14ac:dyDescent="0.3">
      <c r="A1984" t="s">
        <v>1870</v>
      </c>
      <c r="B1984">
        <v>94</v>
      </c>
      <c r="C1984" t="s">
        <v>41</v>
      </c>
      <c r="D1984">
        <v>63</v>
      </c>
      <c r="E1984">
        <v>79</v>
      </c>
      <c r="F1984">
        <v>9.98</v>
      </c>
      <c r="G1984" t="s">
        <v>18</v>
      </c>
      <c r="H1984" t="s">
        <v>9</v>
      </c>
    </row>
    <row r="1985" spans="1:8" x14ac:dyDescent="0.3">
      <c r="A1985" t="s">
        <v>1871</v>
      </c>
      <c r="B1985">
        <v>94</v>
      </c>
      <c r="C1985" t="s">
        <v>45</v>
      </c>
      <c r="D1985">
        <v>59</v>
      </c>
      <c r="E1985">
        <v>78</v>
      </c>
      <c r="F1985">
        <v>8.8000000000000007</v>
      </c>
      <c r="G1985" t="s">
        <v>18</v>
      </c>
      <c r="H1985" t="s">
        <v>7</v>
      </c>
    </row>
    <row r="1986" spans="1:8" x14ac:dyDescent="0.3">
      <c r="A1986" t="s">
        <v>717</v>
      </c>
      <c r="B1986">
        <v>94</v>
      </c>
      <c r="C1986" t="s">
        <v>82</v>
      </c>
      <c r="D1986">
        <v>46</v>
      </c>
      <c r="E1986">
        <v>68</v>
      </c>
      <c r="F1986">
        <v>8.81</v>
      </c>
      <c r="G1986" t="s">
        <v>18</v>
      </c>
      <c r="H1986" t="s">
        <v>14</v>
      </c>
    </row>
    <row r="1987" spans="1:8" x14ac:dyDescent="0.3">
      <c r="A1987" t="s">
        <v>1872</v>
      </c>
      <c r="B1987">
        <v>96</v>
      </c>
      <c r="C1987" t="s">
        <v>45</v>
      </c>
      <c r="D1987">
        <v>58</v>
      </c>
      <c r="E1987">
        <v>81</v>
      </c>
      <c r="F1987">
        <v>15.43</v>
      </c>
      <c r="G1987" t="s">
        <v>18</v>
      </c>
      <c r="H1987" t="s">
        <v>14</v>
      </c>
    </row>
    <row r="1988" spans="1:8" x14ac:dyDescent="0.3">
      <c r="A1988" t="s">
        <v>1873</v>
      </c>
      <c r="B1988">
        <v>94</v>
      </c>
      <c r="C1988" t="s">
        <v>82</v>
      </c>
      <c r="D1988">
        <v>53</v>
      </c>
      <c r="E1988">
        <v>64</v>
      </c>
      <c r="F1988">
        <v>209.44</v>
      </c>
      <c r="G1988" t="s">
        <v>2</v>
      </c>
      <c r="H1988" t="s">
        <v>9</v>
      </c>
    </row>
    <row r="1989" spans="1:8" x14ac:dyDescent="0.3">
      <c r="A1989" t="s">
        <v>1874</v>
      </c>
      <c r="B1989">
        <v>94</v>
      </c>
      <c r="C1989" t="s">
        <v>82</v>
      </c>
      <c r="D1989">
        <v>47</v>
      </c>
      <c r="E1989">
        <v>59</v>
      </c>
      <c r="F1989">
        <v>0.22</v>
      </c>
      <c r="G1989" t="s">
        <v>2</v>
      </c>
      <c r="H1989" t="s">
        <v>150</v>
      </c>
    </row>
    <row r="1990" spans="1:8" x14ac:dyDescent="0.3">
      <c r="A1990" t="s">
        <v>1875</v>
      </c>
      <c r="B1990">
        <v>95</v>
      </c>
      <c r="C1990" t="s">
        <v>45</v>
      </c>
      <c r="D1990">
        <v>56</v>
      </c>
      <c r="E1990">
        <v>71</v>
      </c>
      <c r="F1990">
        <v>10.02</v>
      </c>
      <c r="G1990" t="s">
        <v>18</v>
      </c>
      <c r="H1990" t="s">
        <v>5</v>
      </c>
    </row>
    <row r="1991" spans="1:8" x14ac:dyDescent="0.3">
      <c r="A1991" t="s">
        <v>1876</v>
      </c>
      <c r="B1991">
        <v>94</v>
      </c>
      <c r="C1991" t="s">
        <v>82</v>
      </c>
      <c r="D1991">
        <v>53</v>
      </c>
      <c r="E1991">
        <v>67</v>
      </c>
      <c r="F1991">
        <v>4.99</v>
      </c>
      <c r="G1991" t="s">
        <v>18</v>
      </c>
      <c r="H1991" t="s">
        <v>12</v>
      </c>
    </row>
    <row r="1992" spans="1:8" x14ac:dyDescent="0.3">
      <c r="A1992" t="s">
        <v>1877</v>
      </c>
      <c r="B1992">
        <v>96</v>
      </c>
      <c r="C1992" t="s">
        <v>45</v>
      </c>
      <c r="D1992">
        <v>61</v>
      </c>
      <c r="E1992">
        <v>76</v>
      </c>
      <c r="F1992">
        <v>7.35</v>
      </c>
      <c r="G1992" t="s">
        <v>18</v>
      </c>
      <c r="H1992" t="s">
        <v>12</v>
      </c>
    </row>
    <row r="1993" spans="1:8" x14ac:dyDescent="0.3">
      <c r="A1993" t="s">
        <v>1878</v>
      </c>
      <c r="B1993">
        <v>94</v>
      </c>
      <c r="C1993" t="s">
        <v>82</v>
      </c>
      <c r="D1993">
        <v>49</v>
      </c>
      <c r="E1993">
        <v>62</v>
      </c>
      <c r="F1993">
        <v>5.57</v>
      </c>
      <c r="G1993" t="s">
        <v>18</v>
      </c>
      <c r="H1993" t="s">
        <v>12</v>
      </c>
    </row>
    <row r="1994" spans="1:8" x14ac:dyDescent="0.3">
      <c r="A1994" t="s">
        <v>1879</v>
      </c>
      <c r="B1994">
        <v>95</v>
      </c>
      <c r="C1994" t="s">
        <v>45</v>
      </c>
      <c r="D1994">
        <v>56</v>
      </c>
      <c r="E1994">
        <v>76</v>
      </c>
      <c r="F1994">
        <v>450</v>
      </c>
      <c r="G1994" t="s">
        <v>2</v>
      </c>
      <c r="H1994" t="s">
        <v>12</v>
      </c>
    </row>
    <row r="1995" spans="1:8" x14ac:dyDescent="0.3">
      <c r="A1995" t="s">
        <v>1880</v>
      </c>
      <c r="B1995">
        <v>95</v>
      </c>
      <c r="C1995" t="s">
        <v>45</v>
      </c>
      <c r="D1995">
        <v>60</v>
      </c>
      <c r="E1995">
        <v>78</v>
      </c>
      <c r="F1995">
        <v>19.84</v>
      </c>
      <c r="G1995" t="s">
        <v>18</v>
      </c>
      <c r="H1995" t="s">
        <v>5</v>
      </c>
    </row>
    <row r="1996" spans="1:8" x14ac:dyDescent="0.3">
      <c r="A1996" t="s">
        <v>1881</v>
      </c>
      <c r="B1996">
        <v>94</v>
      </c>
      <c r="C1996" t="s">
        <v>45</v>
      </c>
      <c r="D1996">
        <v>58</v>
      </c>
      <c r="E1996">
        <v>74</v>
      </c>
      <c r="F1996">
        <v>11.02</v>
      </c>
      <c r="G1996" t="s">
        <v>18</v>
      </c>
      <c r="H1996" t="s">
        <v>9</v>
      </c>
    </row>
    <row r="1997" spans="1:8" x14ac:dyDescent="0.3">
      <c r="A1997" t="s">
        <v>1882</v>
      </c>
      <c r="B1997">
        <v>94</v>
      </c>
      <c r="C1997" t="s">
        <v>45</v>
      </c>
      <c r="D1997">
        <v>56</v>
      </c>
      <c r="E1997">
        <v>75</v>
      </c>
      <c r="F1997">
        <v>4.41</v>
      </c>
      <c r="G1997" t="s">
        <v>18</v>
      </c>
      <c r="H1997" t="s">
        <v>150</v>
      </c>
    </row>
    <row r="1998" spans="1:8" x14ac:dyDescent="0.3">
      <c r="A1998" t="s">
        <v>1883</v>
      </c>
      <c r="B1998">
        <v>97</v>
      </c>
      <c r="C1998" t="s">
        <v>82</v>
      </c>
      <c r="D1998">
        <v>52</v>
      </c>
      <c r="E1998">
        <v>66</v>
      </c>
      <c r="F1998">
        <v>8.81</v>
      </c>
      <c r="G1998" t="s">
        <v>18</v>
      </c>
      <c r="H1998" t="s">
        <v>5</v>
      </c>
    </row>
    <row r="1999" spans="1:8" x14ac:dyDescent="0.3">
      <c r="A1999" t="s">
        <v>1865</v>
      </c>
      <c r="B1999">
        <v>94</v>
      </c>
      <c r="C1999" t="s">
        <v>45</v>
      </c>
      <c r="D1999">
        <v>61</v>
      </c>
      <c r="E1999">
        <v>77</v>
      </c>
      <c r="F1999">
        <v>26.45</v>
      </c>
      <c r="G1999" t="s">
        <v>18</v>
      </c>
      <c r="H1999" t="s">
        <v>5</v>
      </c>
    </row>
    <row r="2000" spans="1:8" x14ac:dyDescent="0.3">
      <c r="A2000" t="s">
        <v>1884</v>
      </c>
      <c r="B2000">
        <v>94</v>
      </c>
      <c r="C2000" t="s">
        <v>82</v>
      </c>
      <c r="D2000">
        <v>53</v>
      </c>
      <c r="E2000">
        <v>66</v>
      </c>
      <c r="F2000">
        <v>4.9800000000000004</v>
      </c>
      <c r="G2000" t="s">
        <v>18</v>
      </c>
      <c r="H2000" t="s">
        <v>9</v>
      </c>
    </row>
    <row r="2001" spans="1:8" x14ac:dyDescent="0.3">
      <c r="A2001" t="s">
        <v>1885</v>
      </c>
      <c r="B2001">
        <v>96</v>
      </c>
      <c r="C2001" t="s">
        <v>45</v>
      </c>
      <c r="D2001">
        <v>52</v>
      </c>
      <c r="E2001">
        <v>73</v>
      </c>
      <c r="F2001">
        <v>17.61</v>
      </c>
      <c r="G2001" t="s">
        <v>18</v>
      </c>
      <c r="H2001" t="s">
        <v>5</v>
      </c>
    </row>
    <row r="2002" spans="1:8" x14ac:dyDescent="0.3">
      <c r="A2002" t="s">
        <v>1865</v>
      </c>
      <c r="B2002">
        <v>94</v>
      </c>
      <c r="C2002" t="s">
        <v>45</v>
      </c>
      <c r="D2002">
        <v>55</v>
      </c>
      <c r="E2002">
        <v>78</v>
      </c>
      <c r="F2002">
        <v>26.43</v>
      </c>
      <c r="G2002" t="s">
        <v>18</v>
      </c>
      <c r="H2002" t="s">
        <v>5</v>
      </c>
    </row>
    <row r="2003" spans="1:8" x14ac:dyDescent="0.3">
      <c r="A2003" t="s">
        <v>1886</v>
      </c>
      <c r="B2003">
        <v>94</v>
      </c>
      <c r="C2003" t="s">
        <v>41</v>
      </c>
      <c r="D2003">
        <v>66</v>
      </c>
      <c r="E2003">
        <v>88</v>
      </c>
      <c r="F2003">
        <v>4.41</v>
      </c>
      <c r="G2003" t="s">
        <v>18</v>
      </c>
      <c r="H2003" t="s">
        <v>9</v>
      </c>
    </row>
    <row r="2004" spans="1:8" x14ac:dyDescent="0.3">
      <c r="A2004" t="s">
        <v>1448</v>
      </c>
      <c r="B2004">
        <v>94</v>
      </c>
      <c r="C2004" t="s">
        <v>45</v>
      </c>
      <c r="D2004">
        <v>57</v>
      </c>
      <c r="E2004">
        <v>82</v>
      </c>
      <c r="F2004">
        <v>4.41</v>
      </c>
      <c r="G2004" t="s">
        <v>18</v>
      </c>
      <c r="H2004" t="s">
        <v>16</v>
      </c>
    </row>
    <row r="2005" spans="1:8" x14ac:dyDescent="0.3">
      <c r="A2005" t="s">
        <v>1887</v>
      </c>
      <c r="B2005">
        <v>95</v>
      </c>
      <c r="C2005" t="s">
        <v>541</v>
      </c>
      <c r="D2005">
        <v>42</v>
      </c>
      <c r="E2005">
        <v>55</v>
      </c>
      <c r="F2005">
        <v>10.58</v>
      </c>
      <c r="G2005" t="s">
        <v>18</v>
      </c>
      <c r="H2005" t="s">
        <v>18</v>
      </c>
    </row>
    <row r="2006" spans="1:8" x14ac:dyDescent="0.3">
      <c r="A2006" t="s">
        <v>1888</v>
      </c>
      <c r="B2006">
        <v>94</v>
      </c>
      <c r="C2006" t="s">
        <v>82</v>
      </c>
      <c r="D2006">
        <v>53</v>
      </c>
      <c r="E2006">
        <v>63</v>
      </c>
      <c r="F2006">
        <v>705.47</v>
      </c>
      <c r="G2006" t="s">
        <v>2</v>
      </c>
      <c r="H2006" t="s">
        <v>18</v>
      </c>
    </row>
    <row r="2007" spans="1:8" x14ac:dyDescent="0.3">
      <c r="A2007" t="s">
        <v>1889</v>
      </c>
      <c r="B2007">
        <v>94</v>
      </c>
      <c r="C2007" t="s">
        <v>82</v>
      </c>
      <c r="D2007">
        <v>51</v>
      </c>
      <c r="E2007">
        <v>61</v>
      </c>
      <c r="F2007">
        <v>5.73</v>
      </c>
      <c r="G2007" t="s">
        <v>18</v>
      </c>
      <c r="H2007" t="s">
        <v>5</v>
      </c>
    </row>
    <row r="2008" spans="1:8" x14ac:dyDescent="0.3">
      <c r="A2008" t="s">
        <v>1877</v>
      </c>
      <c r="B2008">
        <v>95</v>
      </c>
      <c r="C2008" t="s">
        <v>45</v>
      </c>
      <c r="D2008">
        <v>58</v>
      </c>
      <c r="E2008">
        <v>76</v>
      </c>
      <c r="F2008">
        <v>8.52</v>
      </c>
      <c r="G2008" t="s">
        <v>18</v>
      </c>
      <c r="H2008" t="s">
        <v>12</v>
      </c>
    </row>
    <row r="2009" spans="1:8" x14ac:dyDescent="0.3">
      <c r="A2009" t="s">
        <v>1890</v>
      </c>
      <c r="B2009">
        <v>94</v>
      </c>
      <c r="C2009" t="s">
        <v>45</v>
      </c>
      <c r="D2009">
        <v>58</v>
      </c>
      <c r="E2009">
        <v>73</v>
      </c>
      <c r="F2009">
        <v>3.96</v>
      </c>
      <c r="G2009" t="s">
        <v>18</v>
      </c>
      <c r="H2009" t="s">
        <v>14</v>
      </c>
    </row>
    <row r="2010" spans="1:8" x14ac:dyDescent="0.3">
      <c r="A2010" t="s">
        <v>1891</v>
      </c>
      <c r="B2010">
        <v>94</v>
      </c>
      <c r="C2010" t="s">
        <v>45</v>
      </c>
      <c r="D2010">
        <v>60</v>
      </c>
      <c r="E2010">
        <v>72</v>
      </c>
      <c r="F2010">
        <v>5.39</v>
      </c>
      <c r="G2010" t="s">
        <v>18</v>
      </c>
      <c r="H2010" t="s">
        <v>14</v>
      </c>
    </row>
    <row r="2011" spans="1:8" x14ac:dyDescent="0.3">
      <c r="A2011" t="s">
        <v>1892</v>
      </c>
      <c r="B2011">
        <v>97</v>
      </c>
      <c r="C2011" t="s">
        <v>45</v>
      </c>
      <c r="D2011">
        <v>61</v>
      </c>
      <c r="E2011">
        <v>75</v>
      </c>
      <c r="F2011">
        <v>4.8499999999999996</v>
      </c>
      <c r="G2011" t="s">
        <v>18</v>
      </c>
      <c r="H2011" t="s">
        <v>7</v>
      </c>
    </row>
    <row r="2012" spans="1:8" x14ac:dyDescent="0.3">
      <c r="A2012" t="s">
        <v>1893</v>
      </c>
      <c r="B2012">
        <v>94</v>
      </c>
      <c r="C2012" t="s">
        <v>541</v>
      </c>
      <c r="D2012">
        <v>45</v>
      </c>
      <c r="E2012">
        <v>52</v>
      </c>
      <c r="F2012">
        <v>7.05</v>
      </c>
      <c r="G2012" t="s">
        <v>18</v>
      </c>
      <c r="H2012" t="s">
        <v>12</v>
      </c>
    </row>
    <row r="2013" spans="1:8" x14ac:dyDescent="0.3">
      <c r="A2013" t="s">
        <v>1894</v>
      </c>
      <c r="B2013">
        <v>94</v>
      </c>
      <c r="C2013" t="s">
        <v>82</v>
      </c>
      <c r="D2013">
        <v>54</v>
      </c>
      <c r="E2013">
        <v>63</v>
      </c>
      <c r="F2013">
        <v>4.1900000000000004</v>
      </c>
      <c r="G2013" t="s">
        <v>18</v>
      </c>
      <c r="H2013" t="s">
        <v>14</v>
      </c>
    </row>
    <row r="2014" spans="1:8" x14ac:dyDescent="0.3">
      <c r="A2014" t="s">
        <v>1895</v>
      </c>
      <c r="B2014">
        <v>94</v>
      </c>
      <c r="C2014" t="s">
        <v>82</v>
      </c>
      <c r="D2014">
        <v>48</v>
      </c>
      <c r="E2014">
        <v>59</v>
      </c>
      <c r="F2014">
        <v>5.22</v>
      </c>
      <c r="G2014" t="s">
        <v>18</v>
      </c>
      <c r="H2014" t="s">
        <v>14</v>
      </c>
    </row>
    <row r="2015" spans="1:8" x14ac:dyDescent="0.3">
      <c r="A2015" t="s">
        <v>1896</v>
      </c>
      <c r="B2015">
        <v>96</v>
      </c>
      <c r="C2015" t="s">
        <v>82</v>
      </c>
      <c r="D2015">
        <v>47</v>
      </c>
      <c r="E2015">
        <v>59</v>
      </c>
      <c r="F2015">
        <v>308.64999999999998</v>
      </c>
      <c r="G2015" t="s">
        <v>2</v>
      </c>
      <c r="H2015" t="s">
        <v>12</v>
      </c>
    </row>
    <row r="2016" spans="1:8" x14ac:dyDescent="0.3">
      <c r="A2016" t="s">
        <v>1897</v>
      </c>
      <c r="B2016">
        <v>94</v>
      </c>
      <c r="C2016" t="s">
        <v>45</v>
      </c>
      <c r="D2016">
        <v>56</v>
      </c>
      <c r="E2016">
        <v>80</v>
      </c>
      <c r="F2016">
        <v>3.31</v>
      </c>
      <c r="G2016" t="s">
        <v>18</v>
      </c>
      <c r="H2016" t="s">
        <v>21</v>
      </c>
    </row>
    <row r="2017" spans="1:8" x14ac:dyDescent="0.3">
      <c r="A2017" t="s">
        <v>1898</v>
      </c>
      <c r="B2017">
        <v>94</v>
      </c>
      <c r="C2017" t="s">
        <v>45</v>
      </c>
      <c r="D2017">
        <v>54</v>
      </c>
      <c r="E2017">
        <v>72</v>
      </c>
      <c r="F2017">
        <v>5.88</v>
      </c>
      <c r="G2017" t="s">
        <v>18</v>
      </c>
      <c r="H2017" t="s">
        <v>12</v>
      </c>
    </row>
    <row r="2018" spans="1:8" x14ac:dyDescent="0.3">
      <c r="A2018" t="s">
        <v>1899</v>
      </c>
      <c r="B2018">
        <v>94</v>
      </c>
      <c r="C2018" t="s">
        <v>41</v>
      </c>
      <c r="D2018">
        <v>59</v>
      </c>
      <c r="E2018">
        <v>89</v>
      </c>
      <c r="F2018">
        <v>52.08</v>
      </c>
      <c r="G2018" t="s">
        <v>18</v>
      </c>
      <c r="H2018" t="s">
        <v>9</v>
      </c>
    </row>
    <row r="2019" spans="1:8" x14ac:dyDescent="0.3">
      <c r="A2019" t="s">
        <v>1900</v>
      </c>
      <c r="B2019">
        <v>94</v>
      </c>
      <c r="C2019" t="s">
        <v>82</v>
      </c>
      <c r="D2019">
        <v>55</v>
      </c>
      <c r="E2019">
        <v>64</v>
      </c>
      <c r="F2019">
        <v>9.92</v>
      </c>
      <c r="G2019" t="s">
        <v>18</v>
      </c>
      <c r="H2019" t="s">
        <v>18</v>
      </c>
    </row>
    <row r="2020" spans="1:8" x14ac:dyDescent="0.3">
      <c r="A2020" t="s">
        <v>663</v>
      </c>
      <c r="B2020">
        <v>95</v>
      </c>
      <c r="C2020" t="s">
        <v>82</v>
      </c>
      <c r="D2020">
        <v>54</v>
      </c>
      <c r="E2020">
        <v>64</v>
      </c>
      <c r="F2020">
        <v>7.71</v>
      </c>
      <c r="G2020" t="s">
        <v>18</v>
      </c>
      <c r="H2020" t="s">
        <v>7</v>
      </c>
    </row>
    <row r="2021" spans="1:8" x14ac:dyDescent="0.3">
      <c r="A2021" t="s">
        <v>1901</v>
      </c>
      <c r="B2021">
        <v>94</v>
      </c>
      <c r="C2021" t="s">
        <v>45</v>
      </c>
      <c r="D2021">
        <v>53</v>
      </c>
      <c r="E2021">
        <v>70</v>
      </c>
      <c r="F2021">
        <v>4.5599999999999996</v>
      </c>
      <c r="G2021" t="s">
        <v>18</v>
      </c>
      <c r="H2021" t="s">
        <v>7</v>
      </c>
    </row>
    <row r="2022" spans="1:8" x14ac:dyDescent="0.3">
      <c r="A2022" t="s">
        <v>1902</v>
      </c>
      <c r="B2022">
        <v>94</v>
      </c>
      <c r="C2022" t="s">
        <v>45</v>
      </c>
      <c r="D2022">
        <v>55</v>
      </c>
      <c r="E2022">
        <v>74</v>
      </c>
      <c r="F2022">
        <v>4.7</v>
      </c>
      <c r="G2022" t="s">
        <v>18</v>
      </c>
      <c r="H2022" t="s">
        <v>150</v>
      </c>
    </row>
    <row r="2023" spans="1:8" x14ac:dyDescent="0.3">
      <c r="A2023" t="s">
        <v>1218</v>
      </c>
      <c r="B2023">
        <v>95</v>
      </c>
      <c r="C2023" t="s">
        <v>82</v>
      </c>
      <c r="D2023">
        <v>47</v>
      </c>
      <c r="E2023">
        <v>62</v>
      </c>
      <c r="F2023">
        <v>2.79</v>
      </c>
      <c r="G2023" t="s">
        <v>18</v>
      </c>
      <c r="H2023" t="s">
        <v>150</v>
      </c>
    </row>
    <row r="2024" spans="1:8" x14ac:dyDescent="0.3">
      <c r="A2024" t="s">
        <v>1903</v>
      </c>
      <c r="B2024">
        <v>96</v>
      </c>
      <c r="C2024" t="s">
        <v>82</v>
      </c>
      <c r="D2024">
        <v>52</v>
      </c>
      <c r="E2024">
        <v>63</v>
      </c>
      <c r="F2024">
        <v>11.02</v>
      </c>
      <c r="G2024" t="s">
        <v>2</v>
      </c>
      <c r="H2024" t="s">
        <v>7</v>
      </c>
    </row>
    <row r="2025" spans="1:8" x14ac:dyDescent="0.3">
      <c r="A2025" t="s">
        <v>1904</v>
      </c>
      <c r="B2025">
        <v>95</v>
      </c>
      <c r="C2025" t="s">
        <v>82</v>
      </c>
      <c r="D2025">
        <v>49</v>
      </c>
      <c r="E2025">
        <v>71</v>
      </c>
      <c r="F2025">
        <v>1146.3800000000001</v>
      </c>
      <c r="G2025" t="s">
        <v>2</v>
      </c>
      <c r="H2025" t="s">
        <v>5</v>
      </c>
    </row>
    <row r="2026" spans="1:8" x14ac:dyDescent="0.3">
      <c r="A2026" t="s">
        <v>1905</v>
      </c>
      <c r="B2026">
        <v>96</v>
      </c>
      <c r="C2026" t="s">
        <v>82</v>
      </c>
      <c r="D2026">
        <v>54</v>
      </c>
      <c r="E2026">
        <v>67</v>
      </c>
      <c r="F2026">
        <v>3.3</v>
      </c>
      <c r="G2026" t="s">
        <v>18</v>
      </c>
      <c r="H2026" t="s">
        <v>150</v>
      </c>
    </row>
    <row r="2027" spans="1:8" x14ac:dyDescent="0.3">
      <c r="A2027" t="s">
        <v>1906</v>
      </c>
      <c r="B2027">
        <v>97</v>
      </c>
      <c r="C2027" t="s">
        <v>82</v>
      </c>
      <c r="D2027">
        <v>45</v>
      </c>
      <c r="E2027">
        <v>60</v>
      </c>
      <c r="F2027">
        <v>4.8499999999999996</v>
      </c>
      <c r="G2027" t="s">
        <v>18</v>
      </c>
      <c r="H2027" t="s">
        <v>12</v>
      </c>
    </row>
    <row r="2028" spans="1:8" x14ac:dyDescent="0.3">
      <c r="A2028" t="s">
        <v>1907</v>
      </c>
      <c r="B2028">
        <v>95</v>
      </c>
      <c r="C2028" t="s">
        <v>82</v>
      </c>
      <c r="D2028">
        <v>50</v>
      </c>
      <c r="E2028">
        <v>56</v>
      </c>
      <c r="F2028">
        <v>4.41</v>
      </c>
      <c r="G2028" t="s">
        <v>18</v>
      </c>
      <c r="H2028" t="s">
        <v>14</v>
      </c>
    </row>
    <row r="2029" spans="1:8" x14ac:dyDescent="0.3">
      <c r="A2029" t="s">
        <v>1908</v>
      </c>
      <c r="B2029">
        <v>94</v>
      </c>
      <c r="C2029" t="s">
        <v>82</v>
      </c>
      <c r="D2029">
        <v>48</v>
      </c>
      <c r="E2029">
        <v>70</v>
      </c>
      <c r="F2029">
        <v>4.53</v>
      </c>
      <c r="G2029" t="s">
        <v>18</v>
      </c>
      <c r="H2029" t="s">
        <v>9</v>
      </c>
    </row>
    <row r="2030" spans="1:8" x14ac:dyDescent="0.3">
      <c r="A2030" t="s">
        <v>1909</v>
      </c>
      <c r="B2030">
        <v>94</v>
      </c>
      <c r="C2030" t="s">
        <v>45</v>
      </c>
      <c r="D2030">
        <v>53</v>
      </c>
      <c r="E2030">
        <v>73</v>
      </c>
      <c r="F2030">
        <v>4.12</v>
      </c>
      <c r="G2030" t="s">
        <v>18</v>
      </c>
      <c r="H2030" t="s">
        <v>21</v>
      </c>
    </row>
    <row r="2031" spans="1:8" x14ac:dyDescent="0.3">
      <c r="A2031" t="s">
        <v>1910</v>
      </c>
      <c r="B2031">
        <v>95</v>
      </c>
      <c r="C2031" t="s">
        <v>45</v>
      </c>
      <c r="D2031">
        <v>54</v>
      </c>
      <c r="E2031">
        <v>80</v>
      </c>
      <c r="F2031">
        <v>4.12</v>
      </c>
      <c r="G2031" t="s">
        <v>18</v>
      </c>
      <c r="H2031" t="s">
        <v>5</v>
      </c>
    </row>
    <row r="2032" spans="1:8" x14ac:dyDescent="0.3">
      <c r="A2032" t="s">
        <v>1911</v>
      </c>
      <c r="B2032">
        <v>94</v>
      </c>
      <c r="C2032" t="s">
        <v>45</v>
      </c>
      <c r="D2032">
        <v>52</v>
      </c>
      <c r="E2032">
        <v>76</v>
      </c>
      <c r="F2032">
        <v>4.12</v>
      </c>
      <c r="G2032" t="s">
        <v>18</v>
      </c>
      <c r="H2032" t="s">
        <v>5</v>
      </c>
    </row>
    <row r="2033" spans="1:8" x14ac:dyDescent="0.3">
      <c r="A2033" t="s">
        <v>1912</v>
      </c>
      <c r="B2033">
        <v>94</v>
      </c>
      <c r="C2033" t="s">
        <v>45</v>
      </c>
      <c r="D2033">
        <v>57</v>
      </c>
      <c r="E2033">
        <v>81</v>
      </c>
      <c r="F2033">
        <v>3.67</v>
      </c>
      <c r="G2033" t="s">
        <v>18</v>
      </c>
      <c r="H2033" t="s">
        <v>9</v>
      </c>
    </row>
    <row r="2034" spans="1:8" x14ac:dyDescent="0.3">
      <c r="A2034" t="s">
        <v>1913</v>
      </c>
      <c r="B2034">
        <v>95</v>
      </c>
      <c r="C2034" t="s">
        <v>82</v>
      </c>
      <c r="D2034">
        <v>52</v>
      </c>
      <c r="E2034">
        <v>67</v>
      </c>
      <c r="F2034">
        <v>5.88</v>
      </c>
      <c r="G2034" t="s">
        <v>18</v>
      </c>
      <c r="H2034" t="s">
        <v>12</v>
      </c>
    </row>
    <row r="2035" spans="1:8" x14ac:dyDescent="0.3">
      <c r="A2035" t="s">
        <v>1914</v>
      </c>
      <c r="B2035">
        <v>95</v>
      </c>
      <c r="C2035" t="s">
        <v>82</v>
      </c>
      <c r="D2035">
        <v>50</v>
      </c>
      <c r="E2035">
        <v>68</v>
      </c>
      <c r="F2035">
        <v>8.8000000000000007</v>
      </c>
      <c r="G2035" t="s">
        <v>18</v>
      </c>
      <c r="H2035" t="s">
        <v>12</v>
      </c>
    </row>
    <row r="2036" spans="1:8" x14ac:dyDescent="0.3">
      <c r="A2036" t="s">
        <v>1915</v>
      </c>
      <c r="B2036">
        <v>94</v>
      </c>
      <c r="C2036" t="s">
        <v>45</v>
      </c>
      <c r="D2036">
        <v>51</v>
      </c>
      <c r="E2036">
        <v>75</v>
      </c>
      <c r="F2036">
        <v>6.75</v>
      </c>
      <c r="G2036" t="s">
        <v>18</v>
      </c>
      <c r="H2036" t="s">
        <v>12</v>
      </c>
    </row>
    <row r="2037" spans="1:8" x14ac:dyDescent="0.3">
      <c r="A2037" t="s">
        <v>1916</v>
      </c>
      <c r="B2037">
        <v>94</v>
      </c>
      <c r="C2037" t="s">
        <v>82</v>
      </c>
      <c r="D2037">
        <v>47</v>
      </c>
      <c r="E2037">
        <v>56</v>
      </c>
      <c r="F2037">
        <v>3.75</v>
      </c>
      <c r="G2037" t="s">
        <v>18</v>
      </c>
      <c r="H2037" t="s">
        <v>12</v>
      </c>
    </row>
    <row r="2038" spans="1:8" x14ac:dyDescent="0.3">
      <c r="A2038" t="s">
        <v>1917</v>
      </c>
      <c r="B2038">
        <v>95</v>
      </c>
      <c r="C2038" t="s">
        <v>45</v>
      </c>
      <c r="D2038">
        <v>54</v>
      </c>
      <c r="E2038">
        <v>81</v>
      </c>
      <c r="F2038">
        <v>6.76</v>
      </c>
      <c r="G2038" t="s">
        <v>18</v>
      </c>
      <c r="H2038" t="s">
        <v>12</v>
      </c>
    </row>
    <row r="2039" spans="1:8" x14ac:dyDescent="0.3">
      <c r="A2039" t="s">
        <v>1918</v>
      </c>
      <c r="B2039">
        <v>94</v>
      </c>
      <c r="C2039" t="s">
        <v>541</v>
      </c>
      <c r="D2039">
        <v>37</v>
      </c>
      <c r="E2039">
        <v>49</v>
      </c>
      <c r="F2039">
        <v>4.0999999999999996</v>
      </c>
      <c r="G2039" t="s">
        <v>18</v>
      </c>
      <c r="H2039" t="s">
        <v>12</v>
      </c>
    </row>
    <row r="2040" spans="1:8" x14ac:dyDescent="0.3">
      <c r="A2040" t="s">
        <v>1919</v>
      </c>
      <c r="B2040">
        <v>94</v>
      </c>
      <c r="C2040" t="s">
        <v>82</v>
      </c>
      <c r="D2040">
        <v>49</v>
      </c>
      <c r="E2040">
        <v>56</v>
      </c>
      <c r="F2040">
        <v>4.63</v>
      </c>
      <c r="G2040" t="s">
        <v>18</v>
      </c>
      <c r="H2040" t="s">
        <v>16</v>
      </c>
    </row>
    <row r="2041" spans="1:8" x14ac:dyDescent="0.3">
      <c r="A2041" t="s">
        <v>1920</v>
      </c>
      <c r="B2041">
        <v>95</v>
      </c>
      <c r="C2041" t="s">
        <v>541</v>
      </c>
      <c r="D2041">
        <v>39</v>
      </c>
      <c r="E2041">
        <v>54</v>
      </c>
      <c r="F2041">
        <v>3.81</v>
      </c>
      <c r="G2041" t="s">
        <v>18</v>
      </c>
      <c r="H2041" t="s">
        <v>150</v>
      </c>
    </row>
    <row r="2042" spans="1:8" x14ac:dyDescent="0.3">
      <c r="A2042" t="s">
        <v>1921</v>
      </c>
      <c r="B2042">
        <v>94</v>
      </c>
      <c r="C2042" t="s">
        <v>82</v>
      </c>
      <c r="D2042">
        <v>50</v>
      </c>
      <c r="E2042">
        <v>61</v>
      </c>
      <c r="F2042">
        <v>3.53</v>
      </c>
      <c r="G2042" t="s">
        <v>18</v>
      </c>
      <c r="H2042" t="s">
        <v>22</v>
      </c>
    </row>
    <row r="2043" spans="1:8" x14ac:dyDescent="0.3">
      <c r="A2043" t="s">
        <v>1922</v>
      </c>
      <c r="B2043">
        <v>95</v>
      </c>
      <c r="C2043" t="s">
        <v>45</v>
      </c>
      <c r="D2043">
        <v>53</v>
      </c>
      <c r="E2043">
        <v>69</v>
      </c>
      <c r="F2043">
        <v>4.38</v>
      </c>
      <c r="G2043" t="s">
        <v>18</v>
      </c>
      <c r="H2043" t="s">
        <v>15</v>
      </c>
    </row>
    <row r="2044" spans="1:8" x14ac:dyDescent="0.3">
      <c r="A2044" t="s">
        <v>1923</v>
      </c>
      <c r="B2044">
        <v>94</v>
      </c>
      <c r="C2044" t="s">
        <v>82</v>
      </c>
      <c r="D2044">
        <v>53</v>
      </c>
      <c r="E2044">
        <v>68</v>
      </c>
      <c r="F2044">
        <v>11.01</v>
      </c>
      <c r="G2044" t="s">
        <v>18</v>
      </c>
      <c r="H2044" t="s">
        <v>5</v>
      </c>
    </row>
    <row r="2045" spans="1:8" x14ac:dyDescent="0.3">
      <c r="A2045" t="s">
        <v>1924</v>
      </c>
      <c r="B2045">
        <v>95</v>
      </c>
      <c r="C2045" t="s">
        <v>45</v>
      </c>
      <c r="D2045">
        <v>58</v>
      </c>
      <c r="E2045">
        <v>79</v>
      </c>
      <c r="F2045">
        <v>136.36000000000001</v>
      </c>
      <c r="G2045" t="s">
        <v>18</v>
      </c>
      <c r="H2045" t="s">
        <v>7</v>
      </c>
    </row>
    <row r="2046" spans="1:8" x14ac:dyDescent="0.3">
      <c r="A2046" t="s">
        <v>1925</v>
      </c>
      <c r="B2046">
        <v>95</v>
      </c>
      <c r="C2046" t="s">
        <v>45</v>
      </c>
      <c r="D2046">
        <v>57</v>
      </c>
      <c r="E2046">
        <v>73</v>
      </c>
      <c r="F2046">
        <v>6.17</v>
      </c>
      <c r="G2046" t="s">
        <v>18</v>
      </c>
      <c r="H2046" t="s">
        <v>12</v>
      </c>
    </row>
    <row r="2047" spans="1:8" x14ac:dyDescent="0.3">
      <c r="A2047" t="s">
        <v>1926</v>
      </c>
      <c r="B2047">
        <v>94</v>
      </c>
      <c r="C2047" t="s">
        <v>82</v>
      </c>
      <c r="D2047">
        <v>51</v>
      </c>
      <c r="E2047">
        <v>69</v>
      </c>
      <c r="F2047">
        <v>170.45</v>
      </c>
      <c r="G2047" t="s">
        <v>18</v>
      </c>
      <c r="H2047" t="s">
        <v>12</v>
      </c>
    </row>
    <row r="2048" spans="1:8" x14ac:dyDescent="0.3">
      <c r="A2048" t="s">
        <v>1927</v>
      </c>
      <c r="B2048">
        <v>95</v>
      </c>
      <c r="C2048" t="s">
        <v>45</v>
      </c>
      <c r="D2048">
        <v>57</v>
      </c>
      <c r="E2048">
        <v>68</v>
      </c>
      <c r="F2048">
        <v>8.3800000000000008</v>
      </c>
      <c r="G2048" t="s">
        <v>18</v>
      </c>
      <c r="H2048" t="s">
        <v>14</v>
      </c>
    </row>
    <row r="2049" spans="1:8" x14ac:dyDescent="0.3">
      <c r="A2049" t="s">
        <v>1928</v>
      </c>
      <c r="B2049">
        <v>94</v>
      </c>
      <c r="C2049" t="s">
        <v>541</v>
      </c>
      <c r="D2049">
        <v>46</v>
      </c>
      <c r="E2049">
        <v>53</v>
      </c>
      <c r="F2049">
        <v>2.86</v>
      </c>
      <c r="G2049" t="s">
        <v>31</v>
      </c>
      <c r="H2049" t="s">
        <v>22</v>
      </c>
    </row>
    <row r="2050" spans="1:8" x14ac:dyDescent="0.3">
      <c r="A2050" t="s">
        <v>1929</v>
      </c>
      <c r="B2050">
        <v>94</v>
      </c>
      <c r="C2050" t="s">
        <v>82</v>
      </c>
      <c r="D2050">
        <v>50</v>
      </c>
      <c r="E2050">
        <v>59</v>
      </c>
      <c r="F2050">
        <v>4.7</v>
      </c>
      <c r="G2050" t="s">
        <v>18</v>
      </c>
      <c r="H2050" t="s">
        <v>9</v>
      </c>
    </row>
    <row r="2051" spans="1:8" x14ac:dyDescent="0.3">
      <c r="A2051" t="s">
        <v>1930</v>
      </c>
      <c r="B2051">
        <v>94</v>
      </c>
      <c r="C2051" t="s">
        <v>541</v>
      </c>
      <c r="D2051">
        <v>43</v>
      </c>
      <c r="E2051">
        <v>55</v>
      </c>
      <c r="F2051">
        <v>4.1900000000000004</v>
      </c>
      <c r="G2051" t="s">
        <v>18</v>
      </c>
      <c r="H2051" t="s">
        <v>25</v>
      </c>
    </row>
    <row r="2052" spans="1:8" x14ac:dyDescent="0.3">
      <c r="A2052" t="s">
        <v>1931</v>
      </c>
      <c r="B2052">
        <v>94</v>
      </c>
      <c r="C2052" t="s">
        <v>82</v>
      </c>
      <c r="D2052">
        <v>52</v>
      </c>
      <c r="E2052">
        <v>68</v>
      </c>
      <c r="F2052">
        <v>5.44</v>
      </c>
      <c r="G2052" t="s">
        <v>18</v>
      </c>
      <c r="H2052" t="s">
        <v>12</v>
      </c>
    </row>
    <row r="2053" spans="1:8" x14ac:dyDescent="0.3">
      <c r="A2053" t="s">
        <v>1932</v>
      </c>
      <c r="B2053">
        <v>95</v>
      </c>
      <c r="C2053" t="s">
        <v>82</v>
      </c>
      <c r="D2053">
        <v>53</v>
      </c>
      <c r="E2053">
        <v>59</v>
      </c>
      <c r="F2053">
        <v>4.9800000000000004</v>
      </c>
      <c r="G2053" t="s">
        <v>18</v>
      </c>
      <c r="H2053" t="s">
        <v>7</v>
      </c>
    </row>
    <row r="2054" spans="1:8" x14ac:dyDescent="0.3">
      <c r="A2054" t="s">
        <v>1933</v>
      </c>
      <c r="B2054">
        <v>95</v>
      </c>
      <c r="C2054" t="s">
        <v>45</v>
      </c>
      <c r="D2054">
        <v>57</v>
      </c>
      <c r="E2054">
        <v>65</v>
      </c>
      <c r="F2054">
        <v>147.72999999999999</v>
      </c>
      <c r="G2054" t="s">
        <v>18</v>
      </c>
      <c r="H2054" t="s">
        <v>14</v>
      </c>
    </row>
    <row r="2055" spans="1:8" x14ac:dyDescent="0.3">
      <c r="A2055" t="s">
        <v>1934</v>
      </c>
      <c r="B2055">
        <v>95</v>
      </c>
      <c r="C2055" t="s">
        <v>82</v>
      </c>
      <c r="D2055">
        <v>54</v>
      </c>
      <c r="E2055">
        <v>64</v>
      </c>
      <c r="F2055">
        <v>5.95</v>
      </c>
      <c r="G2055" t="s">
        <v>18</v>
      </c>
      <c r="H2055" t="s">
        <v>12</v>
      </c>
    </row>
    <row r="2056" spans="1:8" x14ac:dyDescent="0.3">
      <c r="A2056" t="s">
        <v>1935</v>
      </c>
      <c r="B2056">
        <v>94</v>
      </c>
      <c r="C2056" t="s">
        <v>45</v>
      </c>
      <c r="D2056">
        <v>55</v>
      </c>
      <c r="E2056">
        <v>71</v>
      </c>
      <c r="F2056">
        <v>8.81</v>
      </c>
      <c r="G2056" t="s">
        <v>18</v>
      </c>
      <c r="H2056" t="s">
        <v>18</v>
      </c>
    </row>
    <row r="2057" spans="1:8" x14ac:dyDescent="0.3">
      <c r="A2057" t="s">
        <v>1936</v>
      </c>
      <c r="B2057">
        <v>94</v>
      </c>
      <c r="C2057" t="s">
        <v>82</v>
      </c>
      <c r="D2057">
        <v>55</v>
      </c>
      <c r="E2057">
        <v>61</v>
      </c>
      <c r="F2057">
        <v>4.63</v>
      </c>
      <c r="G2057" t="s">
        <v>18</v>
      </c>
      <c r="H2057" t="s">
        <v>21</v>
      </c>
    </row>
    <row r="2058" spans="1:8" x14ac:dyDescent="0.3">
      <c r="A2058" t="s">
        <v>1937</v>
      </c>
      <c r="B2058">
        <v>94</v>
      </c>
      <c r="C2058" t="s">
        <v>45</v>
      </c>
      <c r="D2058">
        <v>54</v>
      </c>
      <c r="E2058">
        <v>78</v>
      </c>
      <c r="F2058">
        <v>264.55</v>
      </c>
      <c r="G2058" t="s">
        <v>2</v>
      </c>
      <c r="H2058" t="s">
        <v>150</v>
      </c>
    </row>
    <row r="2059" spans="1:8" x14ac:dyDescent="0.3">
      <c r="A2059" t="s">
        <v>1938</v>
      </c>
      <c r="B2059">
        <v>95</v>
      </c>
      <c r="C2059" t="s">
        <v>82</v>
      </c>
      <c r="D2059">
        <v>45</v>
      </c>
      <c r="E2059">
        <v>59</v>
      </c>
      <c r="F2059">
        <v>5.59</v>
      </c>
      <c r="G2059" t="s">
        <v>18</v>
      </c>
      <c r="H2059" t="s">
        <v>12</v>
      </c>
    </row>
    <row r="2060" spans="1:8" x14ac:dyDescent="0.3">
      <c r="A2060" t="s">
        <v>1939</v>
      </c>
      <c r="B2060">
        <v>95</v>
      </c>
      <c r="C2060" t="s">
        <v>541</v>
      </c>
      <c r="D2060">
        <v>43</v>
      </c>
      <c r="E2060">
        <v>54</v>
      </c>
      <c r="F2060">
        <v>4.0999999999999996</v>
      </c>
      <c r="G2060" t="s">
        <v>18</v>
      </c>
      <c r="H2060" t="s">
        <v>12</v>
      </c>
    </row>
    <row r="2061" spans="1:8" x14ac:dyDescent="0.3">
      <c r="A2061" t="s">
        <v>1940</v>
      </c>
      <c r="B2061">
        <v>95</v>
      </c>
      <c r="C2061" t="s">
        <v>82</v>
      </c>
      <c r="D2061">
        <v>50</v>
      </c>
      <c r="E2061">
        <v>66</v>
      </c>
      <c r="F2061">
        <v>6.17</v>
      </c>
      <c r="G2061" t="s">
        <v>18</v>
      </c>
      <c r="H2061" t="s">
        <v>12</v>
      </c>
    </row>
    <row r="2062" spans="1:8" x14ac:dyDescent="0.3">
      <c r="A2062" t="s">
        <v>1941</v>
      </c>
      <c r="B2062">
        <v>95</v>
      </c>
      <c r="C2062" t="s">
        <v>82</v>
      </c>
      <c r="D2062">
        <v>50</v>
      </c>
      <c r="E2062">
        <v>66</v>
      </c>
      <c r="F2062">
        <v>4.6900000000000004</v>
      </c>
      <c r="G2062" t="s">
        <v>18</v>
      </c>
      <c r="H2062" t="s">
        <v>9</v>
      </c>
    </row>
    <row r="2063" spans="1:8" x14ac:dyDescent="0.3">
      <c r="A2063" t="s">
        <v>1942</v>
      </c>
      <c r="B2063">
        <v>94</v>
      </c>
      <c r="C2063" t="s">
        <v>45</v>
      </c>
      <c r="D2063">
        <v>57</v>
      </c>
      <c r="E2063">
        <v>73</v>
      </c>
      <c r="F2063">
        <v>119.32</v>
      </c>
      <c r="G2063" t="s">
        <v>18</v>
      </c>
      <c r="H2063" t="s">
        <v>13</v>
      </c>
    </row>
    <row r="2064" spans="1:8" x14ac:dyDescent="0.3">
      <c r="A2064" t="s">
        <v>1943</v>
      </c>
      <c r="B2064">
        <v>94</v>
      </c>
      <c r="C2064" t="s">
        <v>45</v>
      </c>
      <c r="D2064">
        <v>53</v>
      </c>
      <c r="E2064">
        <v>71</v>
      </c>
      <c r="F2064">
        <v>13.28</v>
      </c>
      <c r="G2064" t="s">
        <v>18</v>
      </c>
      <c r="H2064" t="s">
        <v>18</v>
      </c>
    </row>
    <row r="2065" spans="1:8" x14ac:dyDescent="0.3">
      <c r="A2065" t="s">
        <v>1944</v>
      </c>
      <c r="B2065">
        <v>94</v>
      </c>
      <c r="C2065" t="s">
        <v>82</v>
      </c>
      <c r="D2065">
        <v>48</v>
      </c>
      <c r="E2065">
        <v>56</v>
      </c>
      <c r="F2065">
        <v>11.16</v>
      </c>
      <c r="G2065" t="s">
        <v>18</v>
      </c>
      <c r="H2065" t="s">
        <v>9</v>
      </c>
    </row>
    <row r="2066" spans="1:8" x14ac:dyDescent="0.3">
      <c r="A2066" t="s">
        <v>1945</v>
      </c>
      <c r="B2066">
        <v>95</v>
      </c>
      <c r="C2066" t="s">
        <v>82</v>
      </c>
      <c r="D2066">
        <v>47</v>
      </c>
      <c r="E2066">
        <v>62</v>
      </c>
      <c r="F2066">
        <v>15.5</v>
      </c>
      <c r="G2066" t="s">
        <v>18</v>
      </c>
      <c r="H2066" t="s">
        <v>5</v>
      </c>
    </row>
    <row r="2067" spans="1:8" x14ac:dyDescent="0.3">
      <c r="A2067" t="s">
        <v>1946</v>
      </c>
      <c r="B2067">
        <v>94</v>
      </c>
      <c r="C2067" t="s">
        <v>45</v>
      </c>
      <c r="D2067">
        <v>58</v>
      </c>
      <c r="E2067">
        <v>78</v>
      </c>
      <c r="F2067">
        <v>4.3899999999999997</v>
      </c>
      <c r="G2067" t="s">
        <v>18</v>
      </c>
      <c r="H2067" t="s">
        <v>21</v>
      </c>
    </row>
    <row r="2068" spans="1:8" x14ac:dyDescent="0.3">
      <c r="A2068" t="s">
        <v>1947</v>
      </c>
      <c r="B2068">
        <v>94</v>
      </c>
      <c r="C2068" t="s">
        <v>45</v>
      </c>
      <c r="D2068">
        <v>54</v>
      </c>
      <c r="E2068">
        <v>73</v>
      </c>
      <c r="F2068">
        <v>7.94</v>
      </c>
      <c r="G2068" t="s">
        <v>18</v>
      </c>
      <c r="H2068" t="s">
        <v>13</v>
      </c>
    </row>
    <row r="2069" spans="1:8" x14ac:dyDescent="0.3">
      <c r="A2069" t="s">
        <v>1948</v>
      </c>
      <c r="B2069">
        <v>94</v>
      </c>
      <c r="C2069" t="s">
        <v>541</v>
      </c>
      <c r="D2069">
        <v>40</v>
      </c>
      <c r="E2069">
        <v>49</v>
      </c>
      <c r="F2069">
        <v>2</v>
      </c>
      <c r="G2069" t="s">
        <v>31</v>
      </c>
      <c r="H2069" t="s">
        <v>150</v>
      </c>
    </row>
    <row r="2070" spans="1:8" x14ac:dyDescent="0.3">
      <c r="A2070" t="s">
        <v>1949</v>
      </c>
      <c r="B2070">
        <v>95</v>
      </c>
      <c r="C2070" t="s">
        <v>82</v>
      </c>
      <c r="D2070">
        <v>46</v>
      </c>
      <c r="E2070">
        <v>67</v>
      </c>
      <c r="F2070">
        <v>11.9</v>
      </c>
      <c r="G2070" t="s">
        <v>18</v>
      </c>
      <c r="H2070" t="s">
        <v>18</v>
      </c>
    </row>
    <row r="2071" spans="1:8" x14ac:dyDescent="0.3">
      <c r="A2071" t="s">
        <v>1950</v>
      </c>
      <c r="B2071">
        <v>96</v>
      </c>
      <c r="C2071" t="s">
        <v>82</v>
      </c>
      <c r="D2071">
        <v>46</v>
      </c>
      <c r="E2071">
        <v>60</v>
      </c>
      <c r="F2071">
        <v>264.55</v>
      </c>
      <c r="G2071" t="s">
        <v>2</v>
      </c>
      <c r="H2071" t="s">
        <v>150</v>
      </c>
    </row>
    <row r="2072" spans="1:8" x14ac:dyDescent="0.3">
      <c r="A2072" t="s">
        <v>1951</v>
      </c>
      <c r="B2072">
        <v>97</v>
      </c>
      <c r="C2072" t="s">
        <v>82</v>
      </c>
      <c r="D2072">
        <v>48</v>
      </c>
      <c r="E2072">
        <v>58</v>
      </c>
      <c r="F2072">
        <v>4.41</v>
      </c>
      <c r="G2072" t="s">
        <v>18</v>
      </c>
      <c r="H2072" t="s">
        <v>7</v>
      </c>
    </row>
    <row r="2073" spans="1:8" x14ac:dyDescent="0.3">
      <c r="A2073" t="s">
        <v>1952</v>
      </c>
      <c r="B2073">
        <v>94</v>
      </c>
      <c r="C2073" t="s">
        <v>45</v>
      </c>
      <c r="D2073">
        <v>55</v>
      </c>
      <c r="E2073">
        <v>83</v>
      </c>
      <c r="F2073">
        <v>264.55</v>
      </c>
      <c r="G2073" t="s">
        <v>2</v>
      </c>
      <c r="H2073" t="s">
        <v>12</v>
      </c>
    </row>
    <row r="2074" spans="1:8" x14ac:dyDescent="0.3">
      <c r="A2074" t="s">
        <v>1953</v>
      </c>
      <c r="B2074">
        <v>94</v>
      </c>
      <c r="C2074" t="s">
        <v>45</v>
      </c>
      <c r="D2074">
        <v>49</v>
      </c>
      <c r="E2074">
        <v>73</v>
      </c>
      <c r="F2074">
        <v>4.3899999999999997</v>
      </c>
      <c r="G2074" t="s">
        <v>18</v>
      </c>
      <c r="H2074" t="s">
        <v>12</v>
      </c>
    </row>
    <row r="2075" spans="1:8" x14ac:dyDescent="0.3">
      <c r="A2075" t="s">
        <v>1954</v>
      </c>
      <c r="B2075">
        <v>94</v>
      </c>
      <c r="C2075" t="s">
        <v>45</v>
      </c>
      <c r="D2075">
        <v>56</v>
      </c>
      <c r="E2075">
        <v>69</v>
      </c>
      <c r="F2075">
        <v>3.51</v>
      </c>
      <c r="G2075" t="s">
        <v>18</v>
      </c>
      <c r="H2075" t="s">
        <v>21</v>
      </c>
    </row>
    <row r="2076" spans="1:8" x14ac:dyDescent="0.3">
      <c r="A2076" t="s">
        <v>1955</v>
      </c>
      <c r="B2076">
        <v>94</v>
      </c>
      <c r="C2076" t="s">
        <v>82</v>
      </c>
      <c r="D2076">
        <v>52</v>
      </c>
      <c r="E2076">
        <v>68</v>
      </c>
      <c r="F2076">
        <v>15.5</v>
      </c>
      <c r="G2076" t="s">
        <v>18</v>
      </c>
      <c r="H2076" t="s">
        <v>5</v>
      </c>
    </row>
    <row r="2077" spans="1:8" x14ac:dyDescent="0.3">
      <c r="A2077" t="s">
        <v>1956</v>
      </c>
      <c r="B2077">
        <v>94</v>
      </c>
      <c r="C2077" t="s">
        <v>82</v>
      </c>
      <c r="D2077">
        <v>49</v>
      </c>
      <c r="E2077">
        <v>62</v>
      </c>
      <c r="F2077">
        <v>12.35</v>
      </c>
      <c r="G2077" t="s">
        <v>18</v>
      </c>
      <c r="H2077" t="s">
        <v>5</v>
      </c>
    </row>
    <row r="2078" spans="1:8" x14ac:dyDescent="0.3">
      <c r="A2078" t="s">
        <v>1957</v>
      </c>
      <c r="B2078">
        <v>95</v>
      </c>
      <c r="C2078" t="s">
        <v>82</v>
      </c>
      <c r="D2078">
        <v>48</v>
      </c>
      <c r="E2078">
        <v>57</v>
      </c>
      <c r="F2078">
        <v>3.31</v>
      </c>
      <c r="G2078" t="s">
        <v>31</v>
      </c>
      <c r="H2078" t="s">
        <v>150</v>
      </c>
    </row>
    <row r="2079" spans="1:8" x14ac:dyDescent="0.3">
      <c r="A2079" t="s">
        <v>1870</v>
      </c>
      <c r="B2079">
        <v>96</v>
      </c>
      <c r="C2079" t="s">
        <v>82</v>
      </c>
      <c r="D2079">
        <v>50</v>
      </c>
      <c r="E2079">
        <v>65</v>
      </c>
      <c r="F2079">
        <v>11.16</v>
      </c>
      <c r="G2079" t="s">
        <v>18</v>
      </c>
      <c r="H2079" t="s">
        <v>9</v>
      </c>
    </row>
    <row r="2080" spans="1:8" x14ac:dyDescent="0.3">
      <c r="A2080" t="s">
        <v>1958</v>
      </c>
      <c r="B2080">
        <v>94</v>
      </c>
      <c r="C2080" t="s">
        <v>45</v>
      </c>
      <c r="D2080">
        <v>58</v>
      </c>
      <c r="E2080">
        <v>83</v>
      </c>
      <c r="F2080">
        <v>3.51</v>
      </c>
      <c r="G2080" t="s">
        <v>18</v>
      </c>
      <c r="H2080" t="s">
        <v>16</v>
      </c>
    </row>
    <row r="2081" spans="1:8" x14ac:dyDescent="0.3">
      <c r="A2081" t="s">
        <v>1959</v>
      </c>
      <c r="B2081">
        <v>95</v>
      </c>
      <c r="C2081" t="s">
        <v>45</v>
      </c>
      <c r="D2081">
        <v>57</v>
      </c>
      <c r="E2081">
        <v>76</v>
      </c>
      <c r="F2081">
        <v>3.81</v>
      </c>
      <c r="G2081" t="s">
        <v>18</v>
      </c>
      <c r="H2081" t="s">
        <v>9</v>
      </c>
    </row>
    <row r="2082" spans="1:8" x14ac:dyDescent="0.3">
      <c r="A2082" t="s">
        <v>1960</v>
      </c>
      <c r="B2082">
        <v>94</v>
      </c>
      <c r="C2082" t="s">
        <v>82</v>
      </c>
      <c r="D2082">
        <v>48</v>
      </c>
      <c r="E2082">
        <v>57</v>
      </c>
      <c r="F2082">
        <v>3.53</v>
      </c>
      <c r="G2082" t="s">
        <v>31</v>
      </c>
      <c r="H2082" t="s">
        <v>21</v>
      </c>
    </row>
    <row r="2083" spans="1:8" x14ac:dyDescent="0.3">
      <c r="A2083" t="s">
        <v>1961</v>
      </c>
      <c r="B2083">
        <v>94</v>
      </c>
      <c r="C2083" t="s">
        <v>82</v>
      </c>
      <c r="D2083">
        <v>47</v>
      </c>
      <c r="E2083">
        <v>62</v>
      </c>
      <c r="F2083">
        <v>3.88</v>
      </c>
      <c r="G2083" t="s">
        <v>31</v>
      </c>
      <c r="H2083" t="s">
        <v>20</v>
      </c>
    </row>
    <row r="2084" spans="1:8" x14ac:dyDescent="0.3">
      <c r="A2084" t="s">
        <v>1962</v>
      </c>
      <c r="B2084">
        <v>95</v>
      </c>
      <c r="C2084" t="s">
        <v>45</v>
      </c>
      <c r="D2084">
        <v>63</v>
      </c>
      <c r="E2084">
        <v>72</v>
      </c>
      <c r="F2084">
        <v>4.9800000000000004</v>
      </c>
      <c r="G2084" t="s">
        <v>18</v>
      </c>
      <c r="H2084" t="s">
        <v>14</v>
      </c>
    </row>
    <row r="2085" spans="1:8" x14ac:dyDescent="0.3">
      <c r="A2085" t="s">
        <v>1963</v>
      </c>
      <c r="B2085">
        <v>94</v>
      </c>
      <c r="C2085" t="s">
        <v>45</v>
      </c>
      <c r="D2085">
        <v>53</v>
      </c>
      <c r="E2085">
        <v>72</v>
      </c>
      <c r="F2085">
        <v>105.11</v>
      </c>
      <c r="G2085" t="s">
        <v>18</v>
      </c>
      <c r="H2085" t="s">
        <v>9</v>
      </c>
    </row>
    <row r="2086" spans="1:8" x14ac:dyDescent="0.3">
      <c r="A2086" t="s">
        <v>1964</v>
      </c>
      <c r="B2086">
        <v>95</v>
      </c>
      <c r="C2086" t="s">
        <v>45</v>
      </c>
      <c r="D2086">
        <v>54</v>
      </c>
      <c r="E2086">
        <v>76</v>
      </c>
      <c r="F2086">
        <v>113.64</v>
      </c>
      <c r="G2086" t="s">
        <v>18</v>
      </c>
      <c r="H2086" t="s">
        <v>9</v>
      </c>
    </row>
    <row r="2087" spans="1:8" x14ac:dyDescent="0.3">
      <c r="A2087" t="s">
        <v>1919</v>
      </c>
      <c r="B2087">
        <v>94</v>
      </c>
      <c r="C2087" t="s">
        <v>82</v>
      </c>
      <c r="D2087">
        <v>46</v>
      </c>
      <c r="E2087">
        <v>60</v>
      </c>
      <c r="F2087">
        <v>3.2</v>
      </c>
      <c r="G2087" t="s">
        <v>18</v>
      </c>
      <c r="H2087" t="s">
        <v>16</v>
      </c>
    </row>
    <row r="2088" spans="1:8" x14ac:dyDescent="0.3">
      <c r="A2088" t="s">
        <v>1550</v>
      </c>
      <c r="B2088">
        <v>94</v>
      </c>
      <c r="C2088" t="s">
        <v>45</v>
      </c>
      <c r="D2088">
        <v>59</v>
      </c>
      <c r="E2088">
        <v>82</v>
      </c>
      <c r="F2088">
        <v>3.82</v>
      </c>
      <c r="G2088" t="s">
        <v>18</v>
      </c>
      <c r="H2088" t="s">
        <v>9</v>
      </c>
    </row>
    <row r="2089" spans="1:8" x14ac:dyDescent="0.3">
      <c r="A2089" t="s">
        <v>1965</v>
      </c>
      <c r="B2089">
        <v>94</v>
      </c>
      <c r="C2089" t="s">
        <v>82</v>
      </c>
      <c r="D2089">
        <v>49</v>
      </c>
      <c r="E2089">
        <v>71</v>
      </c>
      <c r="F2089">
        <v>385.01</v>
      </c>
      <c r="G2089" t="s">
        <v>18</v>
      </c>
      <c r="H2089" t="s">
        <v>16</v>
      </c>
    </row>
    <row r="2090" spans="1:8" x14ac:dyDescent="0.3">
      <c r="A2090" t="s">
        <v>1966</v>
      </c>
      <c r="B2090">
        <v>94</v>
      </c>
      <c r="C2090" t="s">
        <v>541</v>
      </c>
      <c r="D2090">
        <v>39</v>
      </c>
      <c r="E2090">
        <v>53</v>
      </c>
      <c r="F2090">
        <v>1245.71</v>
      </c>
      <c r="G2090" t="s">
        <v>18</v>
      </c>
      <c r="H2090" t="s">
        <v>16</v>
      </c>
    </row>
    <row r="2091" spans="1:8" x14ac:dyDescent="0.3">
      <c r="A2091" t="s">
        <v>1967</v>
      </c>
      <c r="B2091">
        <v>94</v>
      </c>
      <c r="C2091" t="s">
        <v>41</v>
      </c>
      <c r="D2091">
        <v>62</v>
      </c>
      <c r="E2091">
        <v>89</v>
      </c>
      <c r="F2091">
        <v>10.7</v>
      </c>
      <c r="G2091" t="s">
        <v>18</v>
      </c>
      <c r="H2091" t="s">
        <v>150</v>
      </c>
    </row>
    <row r="2092" spans="1:8" x14ac:dyDescent="0.3">
      <c r="A2092" t="s">
        <v>1968</v>
      </c>
      <c r="B2092">
        <v>97</v>
      </c>
      <c r="C2092" t="s">
        <v>45</v>
      </c>
      <c r="D2092">
        <v>49</v>
      </c>
      <c r="E2092">
        <v>78</v>
      </c>
      <c r="F2092">
        <v>6.37</v>
      </c>
      <c r="G2092" t="s">
        <v>2</v>
      </c>
      <c r="H2092" t="s">
        <v>9</v>
      </c>
    </row>
    <row r="2093" spans="1:8" x14ac:dyDescent="0.3">
      <c r="A2093" t="s">
        <v>1969</v>
      </c>
      <c r="B2093">
        <v>96</v>
      </c>
      <c r="C2093" t="s">
        <v>82</v>
      </c>
      <c r="D2093">
        <v>49</v>
      </c>
      <c r="E2093">
        <v>64</v>
      </c>
      <c r="F2093">
        <v>79.66</v>
      </c>
      <c r="G2093" t="s">
        <v>2</v>
      </c>
      <c r="H2093" t="s">
        <v>12</v>
      </c>
    </row>
    <row r="2094" spans="1:8" x14ac:dyDescent="0.3">
      <c r="A2094" t="s">
        <v>1970</v>
      </c>
      <c r="B2094">
        <v>95</v>
      </c>
      <c r="C2094" t="s">
        <v>45</v>
      </c>
      <c r="D2094">
        <v>55</v>
      </c>
      <c r="E2094">
        <v>77</v>
      </c>
      <c r="F2094">
        <v>5.33</v>
      </c>
      <c r="G2094" t="s">
        <v>18</v>
      </c>
      <c r="H2094" t="s">
        <v>15</v>
      </c>
    </row>
    <row r="2095" spans="1:8" x14ac:dyDescent="0.3">
      <c r="A2095" t="s">
        <v>1971</v>
      </c>
      <c r="B2095">
        <v>94</v>
      </c>
      <c r="C2095" t="s">
        <v>82</v>
      </c>
      <c r="D2095">
        <v>51</v>
      </c>
      <c r="E2095">
        <v>70</v>
      </c>
      <c r="F2095">
        <v>93.62</v>
      </c>
      <c r="G2095" t="s">
        <v>18</v>
      </c>
      <c r="H2095" t="s">
        <v>9</v>
      </c>
    </row>
    <row r="2096" spans="1:8" x14ac:dyDescent="0.3">
      <c r="A2096" t="s">
        <v>442</v>
      </c>
      <c r="B2096">
        <v>94</v>
      </c>
      <c r="C2096" t="s">
        <v>45</v>
      </c>
      <c r="D2096">
        <v>52</v>
      </c>
      <c r="E2096">
        <v>82</v>
      </c>
      <c r="F2096">
        <v>45.88</v>
      </c>
      <c r="G2096" t="s">
        <v>18</v>
      </c>
      <c r="H2096" t="s">
        <v>12</v>
      </c>
    </row>
    <row r="2097" spans="1:8" x14ac:dyDescent="0.3">
      <c r="A2097" t="s">
        <v>1972</v>
      </c>
      <c r="B2097">
        <v>95</v>
      </c>
      <c r="C2097" t="s">
        <v>45</v>
      </c>
      <c r="D2097">
        <v>55</v>
      </c>
      <c r="E2097">
        <v>82</v>
      </c>
      <c r="F2097">
        <v>11.29</v>
      </c>
      <c r="G2097" t="s">
        <v>18</v>
      </c>
      <c r="H2097" t="s">
        <v>5</v>
      </c>
    </row>
    <row r="2098" spans="1:8" x14ac:dyDescent="0.3">
      <c r="A2098" t="s">
        <v>1506</v>
      </c>
      <c r="B2098">
        <v>94</v>
      </c>
      <c r="C2098" t="s">
        <v>45</v>
      </c>
      <c r="D2098">
        <v>58</v>
      </c>
      <c r="E2098">
        <v>73</v>
      </c>
      <c r="F2098">
        <v>5.18</v>
      </c>
      <c r="G2098" t="s">
        <v>18</v>
      </c>
      <c r="H2098" t="s">
        <v>16</v>
      </c>
    </row>
    <row r="2099" spans="1:8" x14ac:dyDescent="0.3">
      <c r="A2099" t="s">
        <v>1973</v>
      </c>
      <c r="B2099">
        <v>95</v>
      </c>
      <c r="C2099" t="s">
        <v>45</v>
      </c>
      <c r="D2099">
        <v>53</v>
      </c>
      <c r="E2099">
        <v>75</v>
      </c>
      <c r="F2099">
        <v>233.63</v>
      </c>
      <c r="G2099" t="s">
        <v>18</v>
      </c>
      <c r="H2099" t="s">
        <v>12</v>
      </c>
    </row>
    <row r="2100" spans="1:8" x14ac:dyDescent="0.3">
      <c r="A2100" t="s">
        <v>1974</v>
      </c>
      <c r="B2100">
        <v>95</v>
      </c>
      <c r="C2100" t="s">
        <v>45</v>
      </c>
      <c r="D2100">
        <v>55</v>
      </c>
      <c r="E2100">
        <v>79</v>
      </c>
      <c r="F2100">
        <v>123.6</v>
      </c>
      <c r="G2100" t="s">
        <v>18</v>
      </c>
      <c r="H2100" t="s">
        <v>5</v>
      </c>
    </row>
    <row r="2101" spans="1:8" x14ac:dyDescent="0.3">
      <c r="A2101" t="s">
        <v>1975</v>
      </c>
      <c r="B2101">
        <v>94</v>
      </c>
      <c r="C2101" t="s">
        <v>82</v>
      </c>
      <c r="D2101">
        <v>45</v>
      </c>
      <c r="E2101">
        <v>61</v>
      </c>
      <c r="F2101">
        <v>98.18</v>
      </c>
      <c r="G2101" t="s">
        <v>18</v>
      </c>
      <c r="H2101" t="s">
        <v>9</v>
      </c>
    </row>
    <row r="2102" spans="1:8" x14ac:dyDescent="0.3">
      <c r="A2102" t="s">
        <v>1976</v>
      </c>
      <c r="B2102">
        <v>96</v>
      </c>
      <c r="C2102" t="s">
        <v>41</v>
      </c>
      <c r="D2102">
        <v>59</v>
      </c>
      <c r="E2102">
        <v>99</v>
      </c>
      <c r="F2102">
        <v>123.62</v>
      </c>
      <c r="G2102" t="s">
        <v>18</v>
      </c>
      <c r="H2102" t="s">
        <v>5</v>
      </c>
    </row>
    <row r="2103" spans="1:8" x14ac:dyDescent="0.3">
      <c r="A2103" t="s">
        <v>1977</v>
      </c>
      <c r="B2103">
        <v>94</v>
      </c>
      <c r="C2103" t="s">
        <v>82</v>
      </c>
      <c r="D2103">
        <v>44</v>
      </c>
      <c r="E2103">
        <v>73</v>
      </c>
      <c r="F2103">
        <v>219.28</v>
      </c>
      <c r="G2103" t="s">
        <v>18</v>
      </c>
      <c r="H2103" t="s">
        <v>5</v>
      </c>
    </row>
    <row r="2104" spans="1:8" x14ac:dyDescent="0.3">
      <c r="A2104" t="s">
        <v>1978</v>
      </c>
      <c r="B2104">
        <v>95</v>
      </c>
      <c r="C2104" t="s">
        <v>82</v>
      </c>
      <c r="D2104">
        <v>49</v>
      </c>
      <c r="E2104">
        <v>69</v>
      </c>
      <c r="F2104">
        <v>32.869999999999997</v>
      </c>
      <c r="G2104" t="s">
        <v>18</v>
      </c>
      <c r="H2104" t="s">
        <v>18</v>
      </c>
    </row>
    <row r="2105" spans="1:8" x14ac:dyDescent="0.3">
      <c r="A2105" t="s">
        <v>1979</v>
      </c>
      <c r="B2105">
        <v>96</v>
      </c>
      <c r="C2105" t="s">
        <v>41</v>
      </c>
      <c r="D2105">
        <v>57</v>
      </c>
      <c r="E2105">
        <v>90</v>
      </c>
      <c r="F2105">
        <v>76.13</v>
      </c>
      <c r="G2105" t="s">
        <v>18</v>
      </c>
      <c r="H2105" t="s">
        <v>12</v>
      </c>
    </row>
    <row r="2106" spans="1:8" x14ac:dyDescent="0.3">
      <c r="A2106" t="s">
        <v>1980</v>
      </c>
      <c r="B2106">
        <v>95</v>
      </c>
      <c r="C2106" t="s">
        <v>45</v>
      </c>
      <c r="D2106">
        <v>53</v>
      </c>
      <c r="E2106">
        <v>77</v>
      </c>
      <c r="F2106">
        <v>5.53</v>
      </c>
      <c r="G2106" t="s">
        <v>18</v>
      </c>
      <c r="H2106" t="s">
        <v>24</v>
      </c>
    </row>
    <row r="2107" spans="1:8" x14ac:dyDescent="0.3">
      <c r="A2107" t="s">
        <v>1981</v>
      </c>
      <c r="B2107">
        <v>94</v>
      </c>
      <c r="C2107" t="s">
        <v>541</v>
      </c>
      <c r="D2107">
        <v>37</v>
      </c>
      <c r="E2107">
        <v>47</v>
      </c>
      <c r="F2107">
        <v>68.180000000000007</v>
      </c>
      <c r="G2107" t="s">
        <v>18</v>
      </c>
      <c r="H2107" t="s">
        <v>150</v>
      </c>
    </row>
    <row r="2108" spans="1:8" x14ac:dyDescent="0.3">
      <c r="A2108" t="s">
        <v>1982</v>
      </c>
      <c r="B2108">
        <v>95</v>
      </c>
      <c r="C2108" t="s">
        <v>41</v>
      </c>
      <c r="D2108">
        <v>65</v>
      </c>
      <c r="E2108">
        <v>91</v>
      </c>
      <c r="F2108">
        <v>22.96</v>
      </c>
      <c r="G2108" t="s">
        <v>18</v>
      </c>
      <c r="H2108" t="s">
        <v>9</v>
      </c>
    </row>
    <row r="2109" spans="1:8" x14ac:dyDescent="0.3">
      <c r="A2109" t="s">
        <v>1967</v>
      </c>
      <c r="B2109">
        <v>95</v>
      </c>
      <c r="C2109" t="s">
        <v>82</v>
      </c>
      <c r="D2109">
        <v>51</v>
      </c>
      <c r="E2109">
        <v>66</v>
      </c>
      <c r="F2109">
        <v>6.42</v>
      </c>
      <c r="G2109" t="s">
        <v>18</v>
      </c>
      <c r="H2109" t="s">
        <v>150</v>
      </c>
    </row>
    <row r="2110" spans="1:8" x14ac:dyDescent="0.3">
      <c r="A2110" t="s">
        <v>1983</v>
      </c>
      <c r="B2110">
        <v>95</v>
      </c>
      <c r="C2110" t="s">
        <v>82</v>
      </c>
      <c r="D2110">
        <v>47</v>
      </c>
      <c r="E2110">
        <v>58</v>
      </c>
      <c r="F2110">
        <v>104.06</v>
      </c>
      <c r="G2110" t="s">
        <v>18</v>
      </c>
      <c r="H2110" t="s">
        <v>12</v>
      </c>
    </row>
    <row r="2111" spans="1:8" x14ac:dyDescent="0.3">
      <c r="A2111" t="s">
        <v>1984</v>
      </c>
      <c r="B2111">
        <v>97</v>
      </c>
      <c r="C2111" t="s">
        <v>41</v>
      </c>
      <c r="D2111">
        <v>62</v>
      </c>
      <c r="E2111">
        <v>83</v>
      </c>
      <c r="F2111">
        <v>2008.52</v>
      </c>
      <c r="G2111" t="s">
        <v>18</v>
      </c>
      <c r="H2111" t="s">
        <v>18</v>
      </c>
    </row>
    <row r="2112" spans="1:8" x14ac:dyDescent="0.3">
      <c r="A2112" t="s">
        <v>1985</v>
      </c>
      <c r="B2112">
        <v>96</v>
      </c>
      <c r="C2112" t="s">
        <v>45</v>
      </c>
      <c r="D2112">
        <v>56</v>
      </c>
      <c r="E2112">
        <v>75</v>
      </c>
      <c r="F2112">
        <v>12.45</v>
      </c>
      <c r="G2112" t="s">
        <v>18</v>
      </c>
      <c r="H2112" t="s">
        <v>12</v>
      </c>
    </row>
    <row r="2113" spans="1:8" x14ac:dyDescent="0.3">
      <c r="A2113" t="s">
        <v>1986</v>
      </c>
      <c r="B2113">
        <v>95</v>
      </c>
      <c r="C2113" t="s">
        <v>82</v>
      </c>
      <c r="D2113">
        <v>52</v>
      </c>
      <c r="E2113">
        <v>69</v>
      </c>
      <c r="F2113">
        <v>5.75</v>
      </c>
      <c r="G2113" t="s">
        <v>18</v>
      </c>
      <c r="H2113" t="s">
        <v>12</v>
      </c>
    </row>
    <row r="2114" spans="1:8" x14ac:dyDescent="0.3">
      <c r="A2114" t="s">
        <v>1877</v>
      </c>
      <c r="B2114">
        <v>96</v>
      </c>
      <c r="C2114" t="s">
        <v>82</v>
      </c>
      <c r="D2114">
        <v>49</v>
      </c>
      <c r="E2114">
        <v>69</v>
      </c>
      <c r="F2114">
        <v>32.869999999999997</v>
      </c>
      <c r="G2114" t="s">
        <v>18</v>
      </c>
      <c r="H2114" t="s">
        <v>12</v>
      </c>
    </row>
    <row r="2115" spans="1:8" x14ac:dyDescent="0.3">
      <c r="A2115" t="s">
        <v>1332</v>
      </c>
      <c r="B2115">
        <v>94</v>
      </c>
      <c r="C2115" t="s">
        <v>45</v>
      </c>
      <c r="D2115">
        <v>55</v>
      </c>
      <c r="E2115">
        <v>75</v>
      </c>
      <c r="F2115">
        <v>22.05</v>
      </c>
      <c r="G2115" t="s">
        <v>18</v>
      </c>
      <c r="H2115" t="s">
        <v>16</v>
      </c>
    </row>
    <row r="2116" spans="1:8" x14ac:dyDescent="0.3">
      <c r="A2116" t="s">
        <v>1987</v>
      </c>
      <c r="B2116">
        <v>95</v>
      </c>
      <c r="C2116" t="s">
        <v>45</v>
      </c>
      <c r="D2116">
        <v>57</v>
      </c>
      <c r="E2116">
        <v>81</v>
      </c>
      <c r="F2116">
        <v>10.37</v>
      </c>
      <c r="G2116" t="s">
        <v>18</v>
      </c>
      <c r="H2116" t="s">
        <v>5</v>
      </c>
    </row>
    <row r="2117" spans="1:8" x14ac:dyDescent="0.3">
      <c r="A2117" t="s">
        <v>1506</v>
      </c>
      <c r="B2117">
        <v>94</v>
      </c>
      <c r="C2117" t="s">
        <v>45</v>
      </c>
      <c r="D2117">
        <v>50</v>
      </c>
      <c r="E2117">
        <v>74</v>
      </c>
      <c r="F2117">
        <v>63.49</v>
      </c>
      <c r="G2117" t="s">
        <v>18</v>
      </c>
      <c r="H2117" t="s">
        <v>16</v>
      </c>
    </row>
    <row r="2118" spans="1:8" x14ac:dyDescent="0.3">
      <c r="A2118" t="s">
        <v>1988</v>
      </c>
      <c r="B2118">
        <v>95</v>
      </c>
      <c r="C2118" t="s">
        <v>41</v>
      </c>
      <c r="D2118">
        <v>71</v>
      </c>
      <c r="E2118">
        <v>98</v>
      </c>
      <c r="F2118">
        <v>24.18</v>
      </c>
      <c r="G2118" t="s">
        <v>18</v>
      </c>
      <c r="H2118" t="s">
        <v>9</v>
      </c>
    </row>
    <row r="2119" spans="1:8" x14ac:dyDescent="0.3">
      <c r="A2119" t="s">
        <v>1458</v>
      </c>
      <c r="B2119">
        <v>95</v>
      </c>
      <c r="C2119" t="s">
        <v>41</v>
      </c>
      <c r="D2119">
        <v>71</v>
      </c>
      <c r="E2119">
        <v>99</v>
      </c>
      <c r="F2119">
        <v>11.95</v>
      </c>
      <c r="G2119" t="s">
        <v>18</v>
      </c>
      <c r="H2119" t="s">
        <v>21</v>
      </c>
    </row>
    <row r="2120" spans="1:8" x14ac:dyDescent="0.3">
      <c r="A2120" t="s">
        <v>1989</v>
      </c>
      <c r="B2120">
        <v>94</v>
      </c>
      <c r="C2120" t="s">
        <v>82</v>
      </c>
      <c r="D2120">
        <v>50</v>
      </c>
      <c r="E2120">
        <v>56</v>
      </c>
      <c r="F2120">
        <v>5.07</v>
      </c>
      <c r="G2120" t="s">
        <v>18</v>
      </c>
      <c r="H2120" t="s">
        <v>21</v>
      </c>
    </row>
    <row r="2121" spans="1:8" x14ac:dyDescent="0.3">
      <c r="A2121" t="s">
        <v>1990</v>
      </c>
      <c r="B2121">
        <v>94</v>
      </c>
      <c r="C2121" t="s">
        <v>41</v>
      </c>
      <c r="D2121">
        <v>57</v>
      </c>
      <c r="E2121">
        <v>86</v>
      </c>
      <c r="F2121">
        <v>200.59</v>
      </c>
      <c r="G2121" t="s">
        <v>18</v>
      </c>
      <c r="H2121" t="s">
        <v>5</v>
      </c>
    </row>
    <row r="2122" spans="1:8" x14ac:dyDescent="0.3">
      <c r="A2122" t="s">
        <v>1991</v>
      </c>
      <c r="B2122">
        <v>95</v>
      </c>
      <c r="C2122" t="s">
        <v>45</v>
      </c>
      <c r="D2122">
        <v>54</v>
      </c>
      <c r="E2122">
        <v>71</v>
      </c>
      <c r="F2122">
        <v>51.92</v>
      </c>
      <c r="G2122" t="s">
        <v>18</v>
      </c>
      <c r="H2122" t="s">
        <v>5</v>
      </c>
    </row>
    <row r="2123" spans="1:8" x14ac:dyDescent="0.3">
      <c r="A2123" t="s">
        <v>1992</v>
      </c>
      <c r="B2123">
        <v>94</v>
      </c>
      <c r="C2123" t="s">
        <v>45</v>
      </c>
      <c r="D2123">
        <v>54</v>
      </c>
      <c r="E2123">
        <v>79</v>
      </c>
      <c r="F2123">
        <v>118.06</v>
      </c>
      <c r="G2123" t="s">
        <v>18</v>
      </c>
      <c r="H2123" t="s">
        <v>5</v>
      </c>
    </row>
    <row r="2124" spans="1:8" x14ac:dyDescent="0.3">
      <c r="A2124" t="s">
        <v>1993</v>
      </c>
      <c r="B2124">
        <v>94</v>
      </c>
      <c r="C2124" t="s">
        <v>41</v>
      </c>
      <c r="D2124">
        <v>57</v>
      </c>
      <c r="E2124">
        <v>85</v>
      </c>
      <c r="F2124">
        <v>41.72</v>
      </c>
      <c r="G2124" t="s">
        <v>18</v>
      </c>
      <c r="H2124" t="s">
        <v>9</v>
      </c>
    </row>
    <row r="2125" spans="1:8" x14ac:dyDescent="0.3">
      <c r="A2125" t="s">
        <v>1994</v>
      </c>
      <c r="B2125">
        <v>94</v>
      </c>
      <c r="C2125" t="s">
        <v>82</v>
      </c>
      <c r="D2125">
        <v>48</v>
      </c>
      <c r="E2125">
        <v>63</v>
      </c>
      <c r="F2125">
        <v>122.58</v>
      </c>
      <c r="G2125" t="s">
        <v>18</v>
      </c>
      <c r="H2125" t="s">
        <v>12</v>
      </c>
    </row>
    <row r="2126" spans="1:8" x14ac:dyDescent="0.3">
      <c r="A2126" t="s">
        <v>1995</v>
      </c>
      <c r="B2126">
        <v>94</v>
      </c>
      <c r="C2126" t="s">
        <v>41</v>
      </c>
      <c r="D2126">
        <v>75</v>
      </c>
      <c r="E2126">
        <v>97</v>
      </c>
      <c r="F2126">
        <v>9.4700000000000006</v>
      </c>
      <c r="G2126" t="s">
        <v>18</v>
      </c>
      <c r="H2126" t="s">
        <v>21</v>
      </c>
    </row>
    <row r="2127" spans="1:8" x14ac:dyDescent="0.3">
      <c r="A2127" t="s">
        <v>1996</v>
      </c>
      <c r="B2127">
        <v>95</v>
      </c>
      <c r="C2127" t="s">
        <v>82</v>
      </c>
      <c r="D2127">
        <v>44</v>
      </c>
      <c r="E2127">
        <v>63</v>
      </c>
      <c r="F2127">
        <v>168.52</v>
      </c>
      <c r="G2127" t="s">
        <v>18</v>
      </c>
      <c r="H2127" t="s">
        <v>20</v>
      </c>
    </row>
    <row r="2128" spans="1:8" x14ac:dyDescent="0.3">
      <c r="A2128" t="s">
        <v>1997</v>
      </c>
      <c r="B2128">
        <v>94</v>
      </c>
      <c r="C2128" t="s">
        <v>45</v>
      </c>
      <c r="D2128">
        <v>52</v>
      </c>
      <c r="E2128">
        <v>73</v>
      </c>
      <c r="F2128">
        <v>54.07</v>
      </c>
      <c r="G2128" t="s">
        <v>18</v>
      </c>
      <c r="H2128" t="s">
        <v>9</v>
      </c>
    </row>
    <row r="2129" spans="1:8" x14ac:dyDescent="0.3">
      <c r="A2129" t="s">
        <v>1998</v>
      </c>
      <c r="B2129">
        <v>94</v>
      </c>
      <c r="C2129" t="s">
        <v>541</v>
      </c>
      <c r="D2129">
        <v>42</v>
      </c>
      <c r="E2129">
        <v>46</v>
      </c>
      <c r="F2129">
        <v>213.26</v>
      </c>
      <c r="G2129" t="s">
        <v>18</v>
      </c>
      <c r="H2129" t="s">
        <v>12</v>
      </c>
    </row>
    <row r="2130" spans="1:8" x14ac:dyDescent="0.3">
      <c r="A2130" t="s">
        <v>1999</v>
      </c>
      <c r="B2130">
        <v>96</v>
      </c>
      <c r="C2130" t="s">
        <v>541</v>
      </c>
      <c r="D2130">
        <v>46</v>
      </c>
      <c r="E2130">
        <v>54</v>
      </c>
      <c r="F2130">
        <v>134.6</v>
      </c>
      <c r="G2130" t="s">
        <v>18</v>
      </c>
      <c r="H2130" t="s">
        <v>12</v>
      </c>
    </row>
    <row r="2131" spans="1:8" x14ac:dyDescent="0.3">
      <c r="A2131" t="s">
        <v>2000</v>
      </c>
      <c r="B2131">
        <v>94</v>
      </c>
      <c r="C2131" t="s">
        <v>82</v>
      </c>
      <c r="D2131">
        <v>55</v>
      </c>
      <c r="E2131">
        <v>65</v>
      </c>
      <c r="F2131">
        <v>416.54</v>
      </c>
      <c r="G2131" t="s">
        <v>18</v>
      </c>
      <c r="H2131" t="s">
        <v>3</v>
      </c>
    </row>
    <row r="2132" spans="1:8" x14ac:dyDescent="0.3">
      <c r="A2132" t="s">
        <v>1910</v>
      </c>
      <c r="B2132">
        <v>95</v>
      </c>
      <c r="C2132" t="s">
        <v>41</v>
      </c>
      <c r="D2132">
        <v>64</v>
      </c>
      <c r="E2132">
        <v>82</v>
      </c>
      <c r="F2132">
        <v>72.290000000000006</v>
      </c>
      <c r="G2132" t="s">
        <v>18</v>
      </c>
      <c r="H2132" t="s">
        <v>5</v>
      </c>
    </row>
    <row r="2133" spans="1:8" x14ac:dyDescent="0.3">
      <c r="A2133" t="s">
        <v>2001</v>
      </c>
      <c r="B2133">
        <v>94</v>
      </c>
      <c r="C2133" t="s">
        <v>82</v>
      </c>
      <c r="D2133">
        <v>49</v>
      </c>
      <c r="E2133">
        <v>65</v>
      </c>
      <c r="F2133">
        <v>106.56</v>
      </c>
      <c r="G2133" t="s">
        <v>18</v>
      </c>
      <c r="H2133" t="s">
        <v>9</v>
      </c>
    </row>
    <row r="2134" spans="1:8" x14ac:dyDescent="0.3">
      <c r="A2134" t="s">
        <v>2002</v>
      </c>
      <c r="B2134">
        <v>94</v>
      </c>
      <c r="C2134" t="s">
        <v>45</v>
      </c>
      <c r="D2134">
        <v>58</v>
      </c>
      <c r="E2134">
        <v>72</v>
      </c>
      <c r="F2134">
        <v>6.51</v>
      </c>
      <c r="G2134" t="s">
        <v>18</v>
      </c>
      <c r="H2134" t="s">
        <v>7</v>
      </c>
    </row>
    <row r="2135" spans="1:8" x14ac:dyDescent="0.3">
      <c r="A2135" t="s">
        <v>1877</v>
      </c>
      <c r="B2135">
        <v>97</v>
      </c>
      <c r="C2135" t="s">
        <v>82</v>
      </c>
      <c r="D2135">
        <v>53</v>
      </c>
      <c r="E2135">
        <v>65</v>
      </c>
      <c r="F2135">
        <v>13.31</v>
      </c>
      <c r="G2135" t="s">
        <v>18</v>
      </c>
      <c r="H2135" t="s">
        <v>12</v>
      </c>
    </row>
    <row r="2136" spans="1:8" x14ac:dyDescent="0.3">
      <c r="A2136" t="s">
        <v>1506</v>
      </c>
      <c r="B2136">
        <v>96</v>
      </c>
      <c r="C2136" t="s">
        <v>45</v>
      </c>
      <c r="D2136">
        <v>58</v>
      </c>
      <c r="E2136">
        <v>78</v>
      </c>
      <c r="F2136">
        <v>260.88</v>
      </c>
      <c r="G2136" t="s">
        <v>18</v>
      </c>
      <c r="H2136" t="s">
        <v>16</v>
      </c>
    </row>
    <row r="2137" spans="1:8" x14ac:dyDescent="0.3">
      <c r="A2137" t="s">
        <v>2003</v>
      </c>
      <c r="B2137">
        <v>95</v>
      </c>
      <c r="C2137" t="s">
        <v>82</v>
      </c>
      <c r="D2137">
        <v>51</v>
      </c>
      <c r="E2137">
        <v>62</v>
      </c>
      <c r="F2137">
        <v>4.3499999999999996</v>
      </c>
      <c r="G2137" t="s">
        <v>18</v>
      </c>
      <c r="H2137" t="s">
        <v>14</v>
      </c>
    </row>
    <row r="2138" spans="1:8" x14ac:dyDescent="0.3">
      <c r="A2138" t="s">
        <v>2004</v>
      </c>
      <c r="B2138">
        <v>95</v>
      </c>
      <c r="C2138" t="s">
        <v>82</v>
      </c>
      <c r="D2138">
        <v>52</v>
      </c>
      <c r="E2138">
        <v>59</v>
      </c>
      <c r="F2138">
        <v>4.7</v>
      </c>
      <c r="G2138" t="s">
        <v>18</v>
      </c>
      <c r="H2138" t="s">
        <v>14</v>
      </c>
    </row>
    <row r="2139" spans="1:8" x14ac:dyDescent="0.3">
      <c r="A2139" t="s">
        <v>2005</v>
      </c>
      <c r="B2139">
        <v>94</v>
      </c>
      <c r="C2139" t="s">
        <v>45</v>
      </c>
      <c r="D2139">
        <v>56</v>
      </c>
      <c r="E2139">
        <v>66</v>
      </c>
      <c r="F2139">
        <v>462.48</v>
      </c>
      <c r="G2139" t="s">
        <v>18</v>
      </c>
      <c r="H2139" t="s">
        <v>14</v>
      </c>
    </row>
    <row r="2140" spans="1:8" x14ac:dyDescent="0.3">
      <c r="A2140" t="s">
        <v>2006</v>
      </c>
      <c r="B2140">
        <v>94</v>
      </c>
      <c r="C2140" t="s">
        <v>45</v>
      </c>
      <c r="D2140">
        <v>52</v>
      </c>
      <c r="E2140">
        <v>75</v>
      </c>
      <c r="F2140">
        <v>140.51</v>
      </c>
      <c r="G2140" t="s">
        <v>18</v>
      </c>
      <c r="H2140" t="s">
        <v>5</v>
      </c>
    </row>
    <row r="2141" spans="1:8" x14ac:dyDescent="0.3">
      <c r="A2141" t="s">
        <v>2007</v>
      </c>
      <c r="B2141">
        <v>94</v>
      </c>
      <c r="C2141" t="s">
        <v>45</v>
      </c>
      <c r="D2141">
        <v>59</v>
      </c>
      <c r="E2141">
        <v>79</v>
      </c>
      <c r="F2141">
        <v>100.77</v>
      </c>
      <c r="G2141" t="s">
        <v>18</v>
      </c>
      <c r="H2141" t="s">
        <v>15</v>
      </c>
    </row>
    <row r="2142" spans="1:8" x14ac:dyDescent="0.3">
      <c r="A2142" t="s">
        <v>2008</v>
      </c>
      <c r="B2142">
        <v>95</v>
      </c>
      <c r="C2142" t="s">
        <v>82</v>
      </c>
      <c r="D2142">
        <v>53</v>
      </c>
      <c r="E2142">
        <v>65</v>
      </c>
      <c r="F2142">
        <v>4.8899999999999997</v>
      </c>
      <c r="G2142" t="s">
        <v>18</v>
      </c>
      <c r="H2142" t="s">
        <v>12</v>
      </c>
    </row>
    <row r="2143" spans="1:8" x14ac:dyDescent="0.3">
      <c r="A2143" t="s">
        <v>2009</v>
      </c>
      <c r="B2143">
        <v>94</v>
      </c>
      <c r="C2143" t="s">
        <v>45</v>
      </c>
      <c r="D2143">
        <v>54</v>
      </c>
      <c r="E2143">
        <v>76</v>
      </c>
      <c r="F2143">
        <v>113.76</v>
      </c>
      <c r="G2143" t="s">
        <v>18</v>
      </c>
      <c r="H2143" t="s">
        <v>5</v>
      </c>
    </row>
    <row r="2144" spans="1:8" x14ac:dyDescent="0.3">
      <c r="A2144" t="s">
        <v>2010</v>
      </c>
      <c r="B2144">
        <v>94</v>
      </c>
      <c r="C2144" t="s">
        <v>82</v>
      </c>
      <c r="D2144">
        <v>50</v>
      </c>
      <c r="E2144">
        <v>59</v>
      </c>
      <c r="F2144">
        <v>4.1399999999999997</v>
      </c>
      <c r="G2144" t="s">
        <v>18</v>
      </c>
      <c r="H2144" t="s">
        <v>12</v>
      </c>
    </row>
    <row r="2145" spans="1:8" x14ac:dyDescent="0.3">
      <c r="A2145" t="s">
        <v>1919</v>
      </c>
      <c r="B2145">
        <v>95</v>
      </c>
      <c r="C2145" t="s">
        <v>82</v>
      </c>
      <c r="D2145">
        <v>48</v>
      </c>
      <c r="E2145">
        <v>63</v>
      </c>
      <c r="F2145">
        <v>326.82</v>
      </c>
      <c r="G2145" t="s">
        <v>18</v>
      </c>
      <c r="H2145" t="s">
        <v>16</v>
      </c>
    </row>
    <row r="2146" spans="1:8" x14ac:dyDescent="0.3">
      <c r="A2146" t="s">
        <v>2011</v>
      </c>
      <c r="B2146">
        <v>96</v>
      </c>
      <c r="C2146" t="s">
        <v>541</v>
      </c>
      <c r="D2146">
        <v>44</v>
      </c>
      <c r="E2146">
        <v>56</v>
      </c>
      <c r="F2146">
        <v>619.29999999999995</v>
      </c>
      <c r="G2146" t="s">
        <v>18</v>
      </c>
      <c r="H2146" t="s">
        <v>12</v>
      </c>
    </row>
    <row r="2147" spans="1:8" x14ac:dyDescent="0.3">
      <c r="A2147" t="s">
        <v>2012</v>
      </c>
      <c r="B2147">
        <v>97</v>
      </c>
      <c r="C2147" t="s">
        <v>82</v>
      </c>
      <c r="D2147">
        <v>44</v>
      </c>
      <c r="E2147">
        <v>58</v>
      </c>
      <c r="F2147">
        <v>405.76</v>
      </c>
      <c r="G2147" t="s">
        <v>18</v>
      </c>
      <c r="H2147" t="s">
        <v>5</v>
      </c>
    </row>
    <row r="2148" spans="1:8" x14ac:dyDescent="0.3">
      <c r="A2148" t="s">
        <v>2013</v>
      </c>
      <c r="B2148">
        <v>94</v>
      </c>
      <c r="C2148" t="s">
        <v>82</v>
      </c>
      <c r="D2148">
        <v>51</v>
      </c>
      <c r="E2148">
        <v>66</v>
      </c>
      <c r="F2148">
        <v>30.44</v>
      </c>
      <c r="G2148" t="s">
        <v>18</v>
      </c>
      <c r="H2148" t="s">
        <v>5</v>
      </c>
    </row>
    <row r="2149" spans="1:8" x14ac:dyDescent="0.3">
      <c r="A2149" t="s">
        <v>2014</v>
      </c>
      <c r="B2149">
        <v>96</v>
      </c>
      <c r="C2149" t="s">
        <v>45</v>
      </c>
      <c r="D2149">
        <v>53</v>
      </c>
      <c r="E2149">
        <v>69</v>
      </c>
      <c r="F2149">
        <v>9.1</v>
      </c>
      <c r="G2149" t="s">
        <v>18</v>
      </c>
      <c r="H2149" t="s">
        <v>17</v>
      </c>
    </row>
    <row r="2150" spans="1:8" x14ac:dyDescent="0.3">
      <c r="A2150" t="s">
        <v>2015</v>
      </c>
      <c r="B2150">
        <v>96</v>
      </c>
      <c r="C2150" t="s">
        <v>45</v>
      </c>
      <c r="D2150">
        <v>52</v>
      </c>
      <c r="E2150">
        <v>71</v>
      </c>
      <c r="F2150">
        <v>30.12</v>
      </c>
      <c r="G2150" t="s">
        <v>18</v>
      </c>
      <c r="H2150" t="s">
        <v>12</v>
      </c>
    </row>
    <row r="2151" spans="1:8" x14ac:dyDescent="0.3">
      <c r="A2151" t="s">
        <v>868</v>
      </c>
      <c r="B2151">
        <v>96</v>
      </c>
      <c r="C2151" t="s">
        <v>82</v>
      </c>
      <c r="D2151">
        <v>51</v>
      </c>
      <c r="E2151">
        <v>69</v>
      </c>
      <c r="F2151">
        <v>18.190000000000001</v>
      </c>
      <c r="G2151" t="s">
        <v>18</v>
      </c>
      <c r="H2151" t="s">
        <v>5</v>
      </c>
    </row>
    <row r="2152" spans="1:8" x14ac:dyDescent="0.3">
      <c r="A2152" t="s">
        <v>1990</v>
      </c>
      <c r="B2152">
        <v>97</v>
      </c>
      <c r="C2152" t="s">
        <v>82</v>
      </c>
      <c r="D2152">
        <v>51</v>
      </c>
      <c r="E2152">
        <v>65</v>
      </c>
      <c r="F2152">
        <v>80.14</v>
      </c>
      <c r="G2152" t="s">
        <v>18</v>
      </c>
      <c r="H2152" t="s">
        <v>5</v>
      </c>
    </row>
    <row r="2153" spans="1:8" x14ac:dyDescent="0.3">
      <c r="A2153" t="s">
        <v>2016</v>
      </c>
      <c r="B2153">
        <v>97</v>
      </c>
      <c r="C2153" t="s">
        <v>82</v>
      </c>
      <c r="D2153">
        <v>45</v>
      </c>
      <c r="E2153">
        <v>70</v>
      </c>
      <c r="F2153">
        <v>323.33999999999997</v>
      </c>
      <c r="G2153" t="s">
        <v>18</v>
      </c>
      <c r="H2153" t="s">
        <v>12</v>
      </c>
    </row>
    <row r="2154" spans="1:8" x14ac:dyDescent="0.3">
      <c r="A2154" t="s">
        <v>2017</v>
      </c>
      <c r="B2154">
        <v>95</v>
      </c>
      <c r="C2154" t="s">
        <v>41</v>
      </c>
      <c r="D2154">
        <v>63</v>
      </c>
      <c r="E2154">
        <v>86</v>
      </c>
      <c r="F2154">
        <v>52.2</v>
      </c>
      <c r="G2154" t="s">
        <v>18</v>
      </c>
      <c r="H2154" t="s">
        <v>9</v>
      </c>
    </row>
    <row r="2155" spans="1:8" x14ac:dyDescent="0.3">
      <c r="A2155" t="s">
        <v>2018</v>
      </c>
      <c r="B2155">
        <v>95</v>
      </c>
      <c r="C2155" t="s">
        <v>82</v>
      </c>
      <c r="D2155">
        <v>44</v>
      </c>
      <c r="E2155">
        <v>58</v>
      </c>
      <c r="F2155">
        <v>477.67</v>
      </c>
      <c r="G2155" t="s">
        <v>18</v>
      </c>
      <c r="H2155" t="s">
        <v>12</v>
      </c>
    </row>
    <row r="2156" spans="1:8" x14ac:dyDescent="0.3">
      <c r="A2156" t="s">
        <v>2019</v>
      </c>
      <c r="B2156">
        <v>97</v>
      </c>
      <c r="C2156" t="s">
        <v>45</v>
      </c>
      <c r="D2156">
        <v>57</v>
      </c>
      <c r="E2156">
        <v>78</v>
      </c>
      <c r="F2156">
        <v>57.46</v>
      </c>
      <c r="G2156" t="s">
        <v>18</v>
      </c>
      <c r="H2156" t="s">
        <v>9</v>
      </c>
    </row>
    <row r="2157" spans="1:8" x14ac:dyDescent="0.3">
      <c r="A2157" t="s">
        <v>2020</v>
      </c>
      <c r="B2157">
        <v>94</v>
      </c>
      <c r="C2157" t="s">
        <v>82</v>
      </c>
      <c r="D2157">
        <v>55</v>
      </c>
      <c r="E2157">
        <v>66</v>
      </c>
      <c r="F2157">
        <v>414.95</v>
      </c>
      <c r="G2157" t="s">
        <v>18</v>
      </c>
      <c r="H2157" t="s">
        <v>14</v>
      </c>
    </row>
    <row r="2158" spans="1:8" x14ac:dyDescent="0.3">
      <c r="A2158" t="s">
        <v>2021</v>
      </c>
      <c r="B2158">
        <v>95</v>
      </c>
      <c r="C2158" t="s">
        <v>82</v>
      </c>
      <c r="D2158">
        <v>50</v>
      </c>
      <c r="E2158">
        <v>62</v>
      </c>
      <c r="F2158">
        <v>111.72</v>
      </c>
      <c r="G2158" t="s">
        <v>18</v>
      </c>
      <c r="H2158" t="s">
        <v>21</v>
      </c>
    </row>
    <row r="2159" spans="1:8" x14ac:dyDescent="0.3">
      <c r="A2159" t="s">
        <v>2022</v>
      </c>
      <c r="B2159">
        <v>94</v>
      </c>
      <c r="C2159" t="s">
        <v>545</v>
      </c>
      <c r="D2159">
        <v>30</v>
      </c>
      <c r="E2159">
        <v>44</v>
      </c>
      <c r="F2159">
        <v>286.60000000000002</v>
      </c>
      <c r="G2159" t="s">
        <v>18</v>
      </c>
      <c r="H2159" t="s">
        <v>150</v>
      </c>
    </row>
    <row r="2160" spans="1:8" x14ac:dyDescent="0.3">
      <c r="A2160" t="s">
        <v>2023</v>
      </c>
      <c r="B2160">
        <v>94</v>
      </c>
      <c r="C2160" t="s">
        <v>541</v>
      </c>
      <c r="D2160">
        <v>39</v>
      </c>
      <c r="E2160">
        <v>57</v>
      </c>
      <c r="F2160">
        <v>159.26</v>
      </c>
      <c r="G2160" t="s">
        <v>18</v>
      </c>
      <c r="H2160" t="s">
        <v>150</v>
      </c>
    </row>
    <row r="2161" spans="1:8" x14ac:dyDescent="0.3">
      <c r="A2161" t="s">
        <v>2024</v>
      </c>
      <c r="B2161">
        <v>94</v>
      </c>
      <c r="C2161" t="s">
        <v>82</v>
      </c>
      <c r="D2161">
        <v>46</v>
      </c>
      <c r="E2161">
        <v>58</v>
      </c>
      <c r="F2161">
        <v>194.62</v>
      </c>
      <c r="G2161" t="s">
        <v>18</v>
      </c>
      <c r="H2161" t="s">
        <v>14</v>
      </c>
    </row>
    <row r="2162" spans="1:8" x14ac:dyDescent="0.3">
      <c r="A2162" t="s">
        <v>2025</v>
      </c>
      <c r="B2162">
        <v>94</v>
      </c>
      <c r="C2162" t="s">
        <v>541</v>
      </c>
      <c r="D2162">
        <v>46</v>
      </c>
      <c r="E2162">
        <v>53</v>
      </c>
      <c r="F2162">
        <v>98.84</v>
      </c>
      <c r="G2162" t="s">
        <v>18</v>
      </c>
      <c r="H2162" t="s">
        <v>14</v>
      </c>
    </row>
    <row r="2163" spans="1:8" x14ac:dyDescent="0.3">
      <c r="A2163" t="s">
        <v>2026</v>
      </c>
      <c r="B2163">
        <v>94</v>
      </c>
      <c r="C2163" t="s">
        <v>82</v>
      </c>
      <c r="D2163">
        <v>49</v>
      </c>
      <c r="E2163">
        <v>65</v>
      </c>
      <c r="F2163">
        <v>106.56</v>
      </c>
      <c r="G2163" t="s">
        <v>18</v>
      </c>
      <c r="H2163" t="s">
        <v>14</v>
      </c>
    </row>
    <row r="2164" spans="1:8" x14ac:dyDescent="0.3">
      <c r="A2164" t="s">
        <v>2027</v>
      </c>
      <c r="B2164">
        <v>96</v>
      </c>
      <c r="C2164" t="s">
        <v>82</v>
      </c>
      <c r="D2164">
        <v>52</v>
      </c>
      <c r="E2164">
        <v>66</v>
      </c>
      <c r="F2164">
        <v>13.17</v>
      </c>
      <c r="G2164" t="s">
        <v>18</v>
      </c>
      <c r="H2164" t="s">
        <v>14</v>
      </c>
    </row>
    <row r="2165" spans="1:8" x14ac:dyDescent="0.3">
      <c r="A2165" t="s">
        <v>2028</v>
      </c>
      <c r="B2165">
        <v>94</v>
      </c>
      <c r="C2165" t="s">
        <v>45</v>
      </c>
      <c r="D2165">
        <v>57</v>
      </c>
      <c r="E2165">
        <v>68</v>
      </c>
      <c r="F2165">
        <v>5.63</v>
      </c>
      <c r="G2165" t="s">
        <v>18</v>
      </c>
      <c r="H2165" t="s">
        <v>14</v>
      </c>
    </row>
    <row r="2166" spans="1:8" x14ac:dyDescent="0.3">
      <c r="A2166" t="s">
        <v>2029</v>
      </c>
      <c r="B2166">
        <v>96</v>
      </c>
      <c r="C2166" t="s">
        <v>45</v>
      </c>
      <c r="D2166">
        <v>55</v>
      </c>
      <c r="E2166">
        <v>72</v>
      </c>
      <c r="F2166">
        <v>252.88</v>
      </c>
      <c r="G2166" t="s">
        <v>18</v>
      </c>
      <c r="H2166" t="s">
        <v>12</v>
      </c>
    </row>
    <row r="2167" spans="1:8" x14ac:dyDescent="0.3">
      <c r="A2167" t="s">
        <v>2030</v>
      </c>
      <c r="B2167">
        <v>96</v>
      </c>
      <c r="C2167" t="s">
        <v>45</v>
      </c>
      <c r="D2167">
        <v>58</v>
      </c>
      <c r="E2167">
        <v>71</v>
      </c>
      <c r="F2167">
        <v>10.38</v>
      </c>
      <c r="G2167" t="s">
        <v>18</v>
      </c>
      <c r="H2167" t="s">
        <v>21</v>
      </c>
    </row>
    <row r="2168" spans="1:8" x14ac:dyDescent="0.3">
      <c r="A2168" t="s">
        <v>2031</v>
      </c>
      <c r="B2168">
        <v>95</v>
      </c>
      <c r="C2168" t="s">
        <v>82</v>
      </c>
      <c r="D2168">
        <v>49</v>
      </c>
      <c r="E2168">
        <v>60</v>
      </c>
      <c r="F2168">
        <v>3.89</v>
      </c>
      <c r="G2168" t="s">
        <v>18</v>
      </c>
      <c r="H2168" t="s">
        <v>21</v>
      </c>
    </row>
    <row r="2169" spans="1:8" x14ac:dyDescent="0.3">
      <c r="A2169" t="s">
        <v>1990</v>
      </c>
      <c r="B2169">
        <v>95</v>
      </c>
      <c r="C2169" t="s">
        <v>45</v>
      </c>
      <c r="D2169">
        <v>56</v>
      </c>
      <c r="E2169">
        <v>69</v>
      </c>
      <c r="F2169">
        <v>7.64</v>
      </c>
      <c r="G2169" t="s">
        <v>18</v>
      </c>
      <c r="H2169" t="s">
        <v>5</v>
      </c>
    </row>
    <row r="2170" spans="1:8" x14ac:dyDescent="0.3">
      <c r="A2170" t="s">
        <v>2032</v>
      </c>
      <c r="B2170">
        <v>95</v>
      </c>
      <c r="C2170" t="s">
        <v>45</v>
      </c>
      <c r="D2170">
        <v>55</v>
      </c>
      <c r="E2170">
        <v>71</v>
      </c>
      <c r="F2170">
        <v>11.13</v>
      </c>
      <c r="G2170" t="s">
        <v>18</v>
      </c>
      <c r="H2170" t="s">
        <v>22</v>
      </c>
    </row>
    <row r="2171" spans="1:8" x14ac:dyDescent="0.3">
      <c r="A2171" t="s">
        <v>2033</v>
      </c>
      <c r="B2171">
        <v>96</v>
      </c>
      <c r="C2171" t="s">
        <v>82</v>
      </c>
      <c r="D2171">
        <v>52</v>
      </c>
      <c r="E2171">
        <v>65</v>
      </c>
      <c r="F2171">
        <v>7.39</v>
      </c>
      <c r="G2171" t="s">
        <v>18</v>
      </c>
      <c r="H2171" t="s">
        <v>12</v>
      </c>
    </row>
    <row r="2172" spans="1:8" x14ac:dyDescent="0.3">
      <c r="A2172" t="s">
        <v>1919</v>
      </c>
      <c r="B2172">
        <v>94</v>
      </c>
      <c r="C2172" t="s">
        <v>541</v>
      </c>
      <c r="D2172">
        <v>46</v>
      </c>
      <c r="E2172">
        <v>54</v>
      </c>
      <c r="F2172">
        <v>134.6</v>
      </c>
      <c r="G2172" t="s">
        <v>18</v>
      </c>
      <c r="H2172" t="s">
        <v>16</v>
      </c>
    </row>
    <row r="2173" spans="1:8" x14ac:dyDescent="0.3">
      <c r="A2173" t="s">
        <v>1919</v>
      </c>
      <c r="B2173">
        <v>94</v>
      </c>
      <c r="C2173" t="s">
        <v>541</v>
      </c>
      <c r="D2173">
        <v>42</v>
      </c>
      <c r="E2173">
        <v>51</v>
      </c>
      <c r="F2173">
        <v>76.73</v>
      </c>
      <c r="G2173" t="s">
        <v>18</v>
      </c>
      <c r="H2173" t="s">
        <v>16</v>
      </c>
    </row>
    <row r="2174" spans="1:8" x14ac:dyDescent="0.3">
      <c r="A2174" t="s">
        <v>2034</v>
      </c>
      <c r="B2174">
        <v>94</v>
      </c>
      <c r="C2174" t="s">
        <v>541</v>
      </c>
      <c r="D2174">
        <v>43</v>
      </c>
      <c r="E2174">
        <v>49</v>
      </c>
      <c r="F2174">
        <v>4.88</v>
      </c>
      <c r="G2174" t="s">
        <v>18</v>
      </c>
      <c r="H2174" t="s">
        <v>9</v>
      </c>
    </row>
    <row r="2175" spans="1:8" x14ac:dyDescent="0.3">
      <c r="A2175" t="s">
        <v>2035</v>
      </c>
      <c r="B2175">
        <v>94</v>
      </c>
      <c r="C2175" t="s">
        <v>82</v>
      </c>
      <c r="D2175">
        <v>56</v>
      </c>
      <c r="E2175">
        <v>63</v>
      </c>
      <c r="F2175">
        <v>7.52</v>
      </c>
      <c r="G2175" t="s">
        <v>18</v>
      </c>
      <c r="H2175" t="s">
        <v>14</v>
      </c>
    </row>
    <row r="2176" spans="1:8" x14ac:dyDescent="0.3">
      <c r="A2176" t="s">
        <v>2036</v>
      </c>
      <c r="B2176">
        <v>95</v>
      </c>
      <c r="C2176" t="s">
        <v>45</v>
      </c>
      <c r="D2176">
        <v>54</v>
      </c>
      <c r="E2176">
        <v>73</v>
      </c>
      <c r="F2176">
        <v>51.33</v>
      </c>
      <c r="G2176" t="s">
        <v>18</v>
      </c>
      <c r="H2176" t="s">
        <v>9</v>
      </c>
    </row>
    <row r="2177" spans="1:8" x14ac:dyDescent="0.3">
      <c r="A2177" t="s">
        <v>2037</v>
      </c>
      <c r="B2177">
        <v>94</v>
      </c>
      <c r="C2177" t="s">
        <v>82</v>
      </c>
      <c r="D2177">
        <v>51</v>
      </c>
      <c r="E2177">
        <v>68</v>
      </c>
      <c r="F2177">
        <v>122.5</v>
      </c>
      <c r="G2177" t="s">
        <v>18</v>
      </c>
      <c r="H2177" t="s">
        <v>16</v>
      </c>
    </row>
    <row r="2178" spans="1:8" x14ac:dyDescent="0.3">
      <c r="A2178" t="s">
        <v>2038</v>
      </c>
      <c r="B2178">
        <v>94</v>
      </c>
      <c r="C2178" t="s">
        <v>82</v>
      </c>
      <c r="D2178">
        <v>51</v>
      </c>
      <c r="E2178">
        <v>64</v>
      </c>
      <c r="F2178">
        <v>75.599999999999994</v>
      </c>
      <c r="G2178" t="s">
        <v>18</v>
      </c>
      <c r="H2178" t="s">
        <v>7</v>
      </c>
    </row>
    <row r="2179" spans="1:8" x14ac:dyDescent="0.3">
      <c r="A2179" t="s">
        <v>2039</v>
      </c>
      <c r="B2179">
        <v>94</v>
      </c>
      <c r="C2179" t="s">
        <v>545</v>
      </c>
      <c r="D2179">
        <v>35</v>
      </c>
      <c r="E2179">
        <v>43</v>
      </c>
      <c r="F2179">
        <v>205.91</v>
      </c>
      <c r="G2179" t="s">
        <v>18</v>
      </c>
      <c r="H2179" t="s">
        <v>12</v>
      </c>
    </row>
    <row r="2180" spans="1:8" x14ac:dyDescent="0.3">
      <c r="A2180" t="s">
        <v>2040</v>
      </c>
      <c r="B2180">
        <v>94</v>
      </c>
      <c r="C2180" t="s">
        <v>45</v>
      </c>
      <c r="D2180">
        <v>55</v>
      </c>
      <c r="E2180">
        <v>72</v>
      </c>
      <c r="F2180">
        <v>47.23</v>
      </c>
      <c r="G2180" t="s">
        <v>18</v>
      </c>
      <c r="H2180" t="s">
        <v>21</v>
      </c>
    </row>
    <row r="2181" spans="1:8" x14ac:dyDescent="0.3">
      <c r="A2181" t="s">
        <v>2041</v>
      </c>
      <c r="B2181">
        <v>94</v>
      </c>
      <c r="C2181" t="s">
        <v>82</v>
      </c>
      <c r="D2181">
        <v>53</v>
      </c>
      <c r="E2181">
        <v>64</v>
      </c>
      <c r="F2181">
        <v>249.35</v>
      </c>
      <c r="G2181" t="s">
        <v>18</v>
      </c>
      <c r="H2181" t="s">
        <v>21</v>
      </c>
    </row>
    <row r="2182" spans="1:8" x14ac:dyDescent="0.3">
      <c r="A2182" t="s">
        <v>2042</v>
      </c>
      <c r="B2182">
        <v>94</v>
      </c>
      <c r="C2182" t="s">
        <v>541</v>
      </c>
      <c r="D2182">
        <v>46</v>
      </c>
      <c r="E2182">
        <v>54</v>
      </c>
      <c r="F2182">
        <v>134.6</v>
      </c>
      <c r="G2182" t="s">
        <v>18</v>
      </c>
      <c r="H2182" t="s">
        <v>22</v>
      </c>
    </row>
    <row r="2183" spans="1:8" x14ac:dyDescent="0.3">
      <c r="A2183" t="s">
        <v>2043</v>
      </c>
      <c r="B2183">
        <v>95</v>
      </c>
      <c r="C2183" t="s">
        <v>82</v>
      </c>
      <c r="D2183">
        <v>49</v>
      </c>
      <c r="E2183">
        <v>66</v>
      </c>
      <c r="F2183">
        <v>10</v>
      </c>
      <c r="G2183" t="s">
        <v>18</v>
      </c>
      <c r="H2183" t="s">
        <v>12</v>
      </c>
    </row>
    <row r="2184" spans="1:8" x14ac:dyDescent="0.3">
      <c r="A2184" t="s">
        <v>1717</v>
      </c>
      <c r="B2184">
        <v>94</v>
      </c>
      <c r="C2184" t="s">
        <v>82</v>
      </c>
      <c r="D2184">
        <v>43</v>
      </c>
      <c r="E2184">
        <v>76</v>
      </c>
      <c r="F2184">
        <v>180.28</v>
      </c>
      <c r="G2184" t="s">
        <v>18</v>
      </c>
      <c r="H2184" t="s">
        <v>12</v>
      </c>
    </row>
    <row r="2185" spans="1:8" x14ac:dyDescent="0.3">
      <c r="A2185" t="s">
        <v>12</v>
      </c>
      <c r="B2185">
        <v>94</v>
      </c>
      <c r="C2185" t="s">
        <v>541</v>
      </c>
      <c r="D2185">
        <v>42</v>
      </c>
      <c r="E2185">
        <v>47</v>
      </c>
      <c r="F2185">
        <v>106.72</v>
      </c>
      <c r="G2185" t="s">
        <v>18</v>
      </c>
      <c r="H2185" t="s">
        <v>12</v>
      </c>
    </row>
    <row r="2186" spans="1:8" x14ac:dyDescent="0.3">
      <c r="A2186" t="s">
        <v>2044</v>
      </c>
      <c r="B2186">
        <v>94</v>
      </c>
      <c r="C2186" t="s">
        <v>2045</v>
      </c>
      <c r="D2186">
        <v>0</v>
      </c>
      <c r="E2186">
        <v>66</v>
      </c>
      <c r="F2186">
        <v>184.51</v>
      </c>
      <c r="G2186" t="s">
        <v>18</v>
      </c>
      <c r="H2186" t="s">
        <v>7</v>
      </c>
    </row>
    <row r="2187" spans="1:8" x14ac:dyDescent="0.3">
      <c r="A2187" t="s">
        <v>2046</v>
      </c>
      <c r="B2187">
        <v>94</v>
      </c>
      <c r="C2187" t="s">
        <v>45</v>
      </c>
      <c r="D2187">
        <v>75</v>
      </c>
      <c r="E2187">
        <v>63</v>
      </c>
      <c r="F2187">
        <v>224.33</v>
      </c>
      <c r="G2187" t="s">
        <v>18</v>
      </c>
      <c r="H2187" t="s">
        <v>22</v>
      </c>
    </row>
    <row r="2188" spans="1:8" x14ac:dyDescent="0.3">
      <c r="A2188" t="s">
        <v>2047</v>
      </c>
      <c r="B2188">
        <v>94</v>
      </c>
      <c r="C2188" t="s">
        <v>545</v>
      </c>
      <c r="D2188">
        <v>38</v>
      </c>
      <c r="E2188">
        <v>43</v>
      </c>
      <c r="F2188">
        <v>198.56</v>
      </c>
      <c r="G2188" t="s">
        <v>18</v>
      </c>
      <c r="H2188" t="s">
        <v>150</v>
      </c>
    </row>
    <row r="2189" spans="1:8" x14ac:dyDescent="0.3">
      <c r="A2189" t="s">
        <v>2048</v>
      </c>
      <c r="B2189">
        <v>94</v>
      </c>
      <c r="C2189" t="s">
        <v>541</v>
      </c>
      <c r="D2189">
        <v>38</v>
      </c>
      <c r="E2189">
        <v>44</v>
      </c>
      <c r="F2189">
        <v>198.57</v>
      </c>
      <c r="G2189" t="s">
        <v>18</v>
      </c>
      <c r="H2189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289"/>
  <sheetViews>
    <sheetView topLeftCell="A257" zoomScale="83" workbookViewId="0">
      <selection activeCell="B263" sqref="B263"/>
    </sheetView>
  </sheetViews>
  <sheetFormatPr defaultRowHeight="14.4" x14ac:dyDescent="0.3"/>
  <cols>
    <col min="1" max="1" width="16.88671875" bestFit="1" customWidth="1"/>
    <col min="2" max="2" width="29.5546875" bestFit="1" customWidth="1"/>
    <col min="3" max="3" width="15.77734375" bestFit="1" customWidth="1"/>
    <col min="4" max="4" width="8" bestFit="1" customWidth="1"/>
    <col min="5" max="5" width="12" bestFit="1" customWidth="1"/>
    <col min="6" max="6" width="9" bestFit="1" customWidth="1"/>
    <col min="7" max="7" width="10.21875" bestFit="1" customWidth="1"/>
    <col min="8" max="8" width="12" bestFit="1" customWidth="1"/>
    <col min="9" max="9" width="9.21875" bestFit="1" customWidth="1"/>
    <col min="10" max="10" width="12" bestFit="1" customWidth="1"/>
    <col min="11" max="11" width="6.21875" bestFit="1" customWidth="1"/>
    <col min="12" max="12" width="7.109375" bestFit="1" customWidth="1"/>
    <col min="13" max="13" width="4.88671875" bestFit="1" customWidth="1"/>
    <col min="14" max="15" width="12" bestFit="1" customWidth="1"/>
    <col min="16" max="16" width="14.77734375" bestFit="1" customWidth="1"/>
    <col min="17" max="18" width="12" bestFit="1" customWidth="1"/>
    <col min="19" max="19" width="30.77734375" bestFit="1" customWidth="1"/>
    <col min="20" max="20" width="13.109375" bestFit="1" customWidth="1"/>
    <col min="21" max="21" width="23.44140625" bestFit="1" customWidth="1"/>
    <col min="22" max="22" width="20.77734375" bestFit="1" customWidth="1"/>
    <col min="23" max="23" width="6.88671875" bestFit="1" customWidth="1"/>
    <col min="24" max="24" width="25.88671875" bestFit="1" customWidth="1"/>
    <col min="25" max="25" width="9.77734375" bestFit="1" customWidth="1"/>
    <col min="26" max="26" width="21" bestFit="1" customWidth="1"/>
    <col min="27" max="27" width="18.6640625" bestFit="1" customWidth="1"/>
    <col min="28" max="28" width="38" bestFit="1" customWidth="1"/>
    <col min="29" max="29" width="23.88671875" bestFit="1" customWidth="1"/>
    <col min="30" max="30" width="18.88671875" bestFit="1" customWidth="1"/>
    <col min="31" max="31" width="18.77734375" bestFit="1" customWidth="1"/>
    <col min="32" max="32" width="22.6640625" bestFit="1" customWidth="1"/>
    <col min="33" max="33" width="18" bestFit="1" customWidth="1"/>
    <col min="34" max="34" width="12.5546875" bestFit="1" customWidth="1"/>
    <col min="35" max="35" width="27.77734375" bestFit="1" customWidth="1"/>
    <col min="36" max="36" width="14.6640625" bestFit="1" customWidth="1"/>
    <col min="37" max="37" width="19.88671875" bestFit="1" customWidth="1"/>
    <col min="38" max="38" width="18.88671875" bestFit="1" customWidth="1"/>
    <col min="39" max="39" width="13.88671875" bestFit="1" customWidth="1"/>
    <col min="40" max="40" width="21.77734375" bestFit="1" customWidth="1"/>
    <col min="41" max="41" width="10.44140625" bestFit="1" customWidth="1"/>
    <col min="42" max="42" width="49" bestFit="1" customWidth="1"/>
    <col min="43" max="43" width="25.44140625" bestFit="1" customWidth="1"/>
    <col min="44" max="44" width="26" bestFit="1" customWidth="1"/>
    <col min="45" max="45" width="12.6640625" bestFit="1" customWidth="1"/>
    <col min="46" max="46" width="20.109375" bestFit="1" customWidth="1"/>
    <col min="47" max="47" width="23.44140625" bestFit="1" customWidth="1"/>
    <col min="48" max="48" width="57.6640625" bestFit="1" customWidth="1"/>
    <col min="49" max="49" width="46.5546875" bestFit="1" customWidth="1"/>
    <col min="50" max="50" width="12.77734375" bestFit="1" customWidth="1"/>
    <col min="51" max="51" width="27.44140625" bestFit="1" customWidth="1"/>
    <col min="52" max="52" width="23.77734375" bestFit="1" customWidth="1"/>
    <col min="53" max="53" width="48.44140625" bestFit="1" customWidth="1"/>
    <col min="54" max="54" width="30.77734375" bestFit="1" customWidth="1"/>
    <col min="55" max="55" width="15.5546875" bestFit="1" customWidth="1"/>
    <col min="56" max="56" width="15.77734375" bestFit="1" customWidth="1"/>
    <col min="57" max="57" width="17.6640625" bestFit="1" customWidth="1"/>
    <col min="58" max="58" width="18.77734375" bestFit="1" customWidth="1"/>
    <col min="59" max="59" width="39.88671875" bestFit="1" customWidth="1"/>
    <col min="60" max="60" width="20.33203125" bestFit="1" customWidth="1"/>
    <col min="61" max="61" width="17.5546875" bestFit="1" customWidth="1"/>
    <col min="62" max="62" width="28.77734375" bestFit="1" customWidth="1"/>
    <col min="63" max="63" width="18" bestFit="1" customWidth="1"/>
    <col min="64" max="64" width="16.44140625" bestFit="1" customWidth="1"/>
    <col min="65" max="65" width="31.44140625" bestFit="1" customWidth="1"/>
    <col min="66" max="66" width="18.6640625" bestFit="1" customWidth="1"/>
    <col min="67" max="67" width="21.33203125" bestFit="1" customWidth="1"/>
    <col min="68" max="68" width="26.5546875" bestFit="1" customWidth="1"/>
    <col min="69" max="69" width="47.5546875" bestFit="1" customWidth="1"/>
    <col min="70" max="70" width="21.109375" bestFit="1" customWidth="1"/>
    <col min="71" max="71" width="24.33203125" bestFit="1" customWidth="1"/>
    <col min="72" max="72" width="24" bestFit="1" customWidth="1"/>
    <col min="73" max="73" width="31.77734375" bestFit="1" customWidth="1"/>
    <col min="74" max="74" width="14.88671875" bestFit="1" customWidth="1"/>
    <col min="75" max="75" width="17.21875" bestFit="1" customWidth="1"/>
    <col min="76" max="76" width="12.44140625" bestFit="1" customWidth="1"/>
    <col min="77" max="77" width="15.77734375" bestFit="1" customWidth="1"/>
    <col min="78" max="78" width="14.109375" bestFit="1" customWidth="1"/>
    <col min="79" max="79" width="45.33203125" bestFit="1" customWidth="1"/>
    <col min="80" max="80" width="21.5546875" bestFit="1" customWidth="1"/>
    <col min="81" max="81" width="15.109375" bestFit="1" customWidth="1"/>
    <col min="82" max="82" width="28.6640625" bestFit="1" customWidth="1"/>
    <col min="83" max="83" width="37.5546875" bestFit="1" customWidth="1"/>
    <col min="84" max="84" width="34.21875" bestFit="1" customWidth="1"/>
    <col min="85" max="85" width="33.77734375" bestFit="1" customWidth="1"/>
    <col min="86" max="86" width="42.21875" bestFit="1" customWidth="1"/>
    <col min="87" max="87" width="14.33203125" bestFit="1" customWidth="1"/>
    <col min="88" max="88" width="29.21875" bestFit="1" customWidth="1"/>
    <col min="89" max="89" width="22.109375" bestFit="1" customWidth="1"/>
    <col min="90" max="91" width="11.5546875" bestFit="1" customWidth="1"/>
    <col min="92" max="92" width="52.88671875" bestFit="1" customWidth="1"/>
    <col min="93" max="93" width="14.21875" bestFit="1" customWidth="1"/>
    <col min="94" max="94" width="14.5546875" bestFit="1" customWidth="1"/>
    <col min="95" max="95" width="22.44140625" bestFit="1" customWidth="1"/>
    <col min="96" max="96" width="20.5546875" bestFit="1" customWidth="1"/>
    <col min="97" max="97" width="15.6640625" bestFit="1" customWidth="1"/>
    <col min="98" max="98" width="28.6640625" bestFit="1" customWidth="1"/>
    <col min="99" max="99" width="32.88671875" bestFit="1" customWidth="1"/>
    <col min="100" max="100" width="29.21875" bestFit="1" customWidth="1"/>
    <col min="101" max="101" width="16" bestFit="1" customWidth="1"/>
    <col min="102" max="102" width="16.77734375" bestFit="1" customWidth="1"/>
    <col min="103" max="103" width="16.5546875" bestFit="1" customWidth="1"/>
    <col min="104" max="104" width="17.77734375" bestFit="1" customWidth="1"/>
    <col min="105" max="105" width="27.109375" bestFit="1" customWidth="1"/>
    <col min="106" max="106" width="15.109375" bestFit="1" customWidth="1"/>
    <col min="107" max="107" width="30.5546875" bestFit="1" customWidth="1"/>
    <col min="108" max="108" width="50.109375" bestFit="1" customWidth="1"/>
    <col min="109" max="109" width="33.33203125" bestFit="1" customWidth="1"/>
    <col min="110" max="110" width="42.109375" bestFit="1" customWidth="1"/>
    <col min="111" max="111" width="24.6640625" bestFit="1" customWidth="1"/>
    <col min="112" max="112" width="50.109375" bestFit="1" customWidth="1"/>
    <col min="113" max="113" width="21.88671875" bestFit="1" customWidth="1"/>
    <col min="114" max="114" width="22.88671875" bestFit="1" customWidth="1"/>
    <col min="115" max="115" width="32.5546875" bestFit="1" customWidth="1"/>
    <col min="116" max="116" width="51.44140625" bestFit="1" customWidth="1"/>
    <col min="117" max="117" width="42.6640625" bestFit="1" customWidth="1"/>
    <col min="118" max="118" width="34.109375" bestFit="1" customWidth="1"/>
    <col min="119" max="119" width="40.109375" bestFit="1" customWidth="1"/>
    <col min="120" max="120" width="35.21875" bestFit="1" customWidth="1"/>
    <col min="121" max="121" width="23.21875" bestFit="1" customWidth="1"/>
    <col min="122" max="122" width="23.5546875" bestFit="1" customWidth="1"/>
    <col min="123" max="123" width="47.77734375" bestFit="1" customWidth="1"/>
    <col min="124" max="124" width="42.88671875" bestFit="1" customWidth="1"/>
    <col min="125" max="125" width="47.109375" bestFit="1" customWidth="1"/>
    <col min="126" max="126" width="21.88671875" bestFit="1" customWidth="1"/>
    <col min="127" max="127" width="25.6640625" bestFit="1" customWidth="1"/>
    <col min="128" max="128" width="23.33203125" bestFit="1" customWidth="1"/>
    <col min="129" max="129" width="43.109375" bestFit="1" customWidth="1"/>
    <col min="130" max="130" width="54.5546875" bestFit="1" customWidth="1"/>
    <col min="131" max="131" width="46" bestFit="1" customWidth="1"/>
    <col min="132" max="132" width="36.33203125" bestFit="1" customWidth="1"/>
    <col min="133" max="133" width="51.88671875" bestFit="1" customWidth="1"/>
    <col min="134" max="134" width="24.109375" bestFit="1" customWidth="1"/>
    <col min="135" max="135" width="24.33203125" bestFit="1" customWidth="1"/>
    <col min="136" max="136" width="29.5546875" bestFit="1" customWidth="1"/>
    <col min="137" max="137" width="21" bestFit="1" customWidth="1"/>
    <col min="138" max="138" width="30.21875" bestFit="1" customWidth="1"/>
    <col min="139" max="139" width="20.88671875" bestFit="1" customWidth="1"/>
    <col min="140" max="140" width="24.77734375" bestFit="1" customWidth="1"/>
    <col min="141" max="141" width="26.21875" bestFit="1" customWidth="1"/>
    <col min="142" max="142" width="56.88671875" bestFit="1" customWidth="1"/>
    <col min="143" max="143" width="83.33203125" bestFit="1" customWidth="1"/>
    <col min="144" max="144" width="69.6640625" bestFit="1" customWidth="1"/>
    <col min="145" max="145" width="41.5546875" bestFit="1" customWidth="1"/>
    <col min="146" max="146" width="23" bestFit="1" customWidth="1"/>
    <col min="147" max="147" width="37.77734375" bestFit="1" customWidth="1"/>
    <col min="148" max="148" width="32.109375" bestFit="1" customWidth="1"/>
    <col min="149" max="149" width="16.44140625" bestFit="1" customWidth="1"/>
    <col min="150" max="150" width="49.21875" bestFit="1" customWidth="1"/>
    <col min="151" max="151" width="32.5546875" bestFit="1" customWidth="1"/>
    <col min="152" max="152" width="22.88671875" bestFit="1" customWidth="1"/>
    <col min="153" max="153" width="38.44140625" bestFit="1" customWidth="1"/>
    <col min="154" max="154" width="35.88671875" bestFit="1" customWidth="1"/>
    <col min="155" max="155" width="28.6640625" bestFit="1" customWidth="1"/>
    <col min="156" max="156" width="30.6640625" bestFit="1" customWidth="1"/>
    <col min="157" max="157" width="35.44140625" bestFit="1" customWidth="1"/>
    <col min="158" max="158" width="35.33203125" bestFit="1" customWidth="1"/>
    <col min="159" max="159" width="19.33203125" bestFit="1" customWidth="1"/>
    <col min="160" max="160" width="53.6640625" bestFit="1" customWidth="1"/>
    <col min="161" max="161" width="24.33203125" bestFit="1" customWidth="1"/>
    <col min="162" max="162" width="36.109375" bestFit="1" customWidth="1"/>
    <col min="163" max="163" width="36" bestFit="1" customWidth="1"/>
    <col min="164" max="164" width="28.5546875" bestFit="1" customWidth="1"/>
    <col min="165" max="165" width="25.77734375" bestFit="1" customWidth="1"/>
    <col min="166" max="166" width="23.109375" bestFit="1" customWidth="1"/>
    <col min="167" max="167" width="23.6640625" bestFit="1" customWidth="1"/>
    <col min="168" max="168" width="35" bestFit="1" customWidth="1"/>
    <col min="169" max="169" width="37.88671875" bestFit="1" customWidth="1"/>
    <col min="170" max="170" width="33.44140625" bestFit="1" customWidth="1"/>
    <col min="171" max="171" width="30.6640625" bestFit="1" customWidth="1"/>
    <col min="172" max="172" width="34.44140625" bestFit="1" customWidth="1"/>
    <col min="173" max="173" width="21.88671875" bestFit="1" customWidth="1"/>
    <col min="174" max="174" width="51.109375" bestFit="1" customWidth="1"/>
    <col min="175" max="175" width="34.21875" bestFit="1" customWidth="1"/>
    <col min="176" max="176" width="29.33203125" bestFit="1" customWidth="1"/>
    <col min="177" max="177" width="26" bestFit="1" customWidth="1"/>
    <col min="178" max="178" width="29.21875" bestFit="1" customWidth="1"/>
    <col min="179" max="179" width="34.77734375" bestFit="1" customWidth="1"/>
    <col min="180" max="180" width="30.33203125" bestFit="1" customWidth="1"/>
    <col min="181" max="181" width="23.44140625" bestFit="1" customWidth="1"/>
    <col min="182" max="182" width="20.88671875" bestFit="1" customWidth="1"/>
    <col min="183" max="183" width="45.6640625" bestFit="1" customWidth="1"/>
    <col min="184" max="184" width="39.33203125" bestFit="1" customWidth="1"/>
    <col min="185" max="185" width="45" bestFit="1" customWidth="1"/>
    <col min="186" max="186" width="34" bestFit="1" customWidth="1"/>
    <col min="187" max="187" width="38.33203125" bestFit="1" customWidth="1"/>
    <col min="188" max="188" width="42.33203125" bestFit="1" customWidth="1"/>
    <col min="189" max="189" width="39.21875" bestFit="1" customWidth="1"/>
    <col min="190" max="190" width="43.77734375" bestFit="1" customWidth="1"/>
    <col min="191" max="191" width="47.44140625" bestFit="1" customWidth="1"/>
    <col min="192" max="192" width="24.6640625" bestFit="1" customWidth="1"/>
    <col min="193" max="193" width="41.21875" bestFit="1" customWidth="1"/>
    <col min="194" max="194" width="24.109375" bestFit="1" customWidth="1"/>
    <col min="195" max="195" width="32" bestFit="1" customWidth="1"/>
    <col min="196" max="196" width="37.5546875" bestFit="1" customWidth="1"/>
    <col min="197" max="197" width="23.109375" bestFit="1" customWidth="1"/>
    <col min="198" max="198" width="23.5546875" bestFit="1" customWidth="1"/>
    <col min="199" max="199" width="15.109375" bestFit="1" customWidth="1"/>
    <col min="200" max="200" width="21" bestFit="1" customWidth="1"/>
    <col min="201" max="201" width="30.109375" bestFit="1" customWidth="1"/>
    <col min="202" max="202" width="23.77734375" bestFit="1" customWidth="1"/>
    <col min="203" max="203" width="22" bestFit="1" customWidth="1"/>
    <col min="204" max="204" width="14.6640625" bestFit="1" customWidth="1"/>
    <col min="205" max="205" width="34.21875" bestFit="1" customWidth="1"/>
    <col min="206" max="206" width="42.33203125" bestFit="1" customWidth="1"/>
    <col min="207" max="207" width="40.109375" bestFit="1" customWidth="1"/>
    <col min="208" max="208" width="51.33203125" bestFit="1" customWidth="1"/>
    <col min="209" max="209" width="51" bestFit="1" customWidth="1"/>
    <col min="210" max="210" width="39.21875" bestFit="1" customWidth="1"/>
    <col min="211" max="211" width="39.33203125" bestFit="1" customWidth="1"/>
    <col min="212" max="212" width="31.21875" bestFit="1" customWidth="1"/>
    <col min="213" max="213" width="30.88671875" bestFit="1" customWidth="1"/>
    <col min="214" max="214" width="38.21875" bestFit="1" customWidth="1"/>
    <col min="215" max="215" width="26.6640625" bestFit="1" customWidth="1"/>
    <col min="216" max="216" width="27.5546875" bestFit="1" customWidth="1"/>
    <col min="217" max="217" width="33.44140625" bestFit="1" customWidth="1"/>
    <col min="218" max="218" width="34" bestFit="1" customWidth="1"/>
    <col min="219" max="219" width="25.21875" bestFit="1" customWidth="1"/>
    <col min="220" max="220" width="30.44140625" bestFit="1" customWidth="1"/>
    <col min="221" max="221" width="35.77734375" bestFit="1" customWidth="1"/>
    <col min="222" max="222" width="46.21875" bestFit="1" customWidth="1"/>
    <col min="223" max="223" width="51.33203125" bestFit="1" customWidth="1"/>
    <col min="224" max="224" width="53.44140625" bestFit="1" customWidth="1"/>
    <col min="225" max="225" width="42.88671875" bestFit="1" customWidth="1"/>
    <col min="226" max="226" width="53.44140625" bestFit="1" customWidth="1"/>
    <col min="227" max="227" width="45.44140625" bestFit="1" customWidth="1"/>
    <col min="228" max="228" width="43.5546875" bestFit="1" customWidth="1"/>
    <col min="229" max="229" width="41.109375" bestFit="1" customWidth="1"/>
    <col min="230" max="230" width="22.109375" bestFit="1" customWidth="1"/>
    <col min="231" max="231" width="21.6640625" bestFit="1" customWidth="1"/>
    <col min="232" max="232" width="19.77734375" bestFit="1" customWidth="1"/>
    <col min="233" max="233" width="52.44140625" bestFit="1" customWidth="1"/>
    <col min="234" max="234" width="19.88671875" bestFit="1" customWidth="1"/>
    <col min="235" max="235" width="34.88671875" bestFit="1" customWidth="1"/>
    <col min="236" max="236" width="51.77734375" bestFit="1" customWidth="1"/>
    <col min="237" max="237" width="19.33203125" bestFit="1" customWidth="1"/>
    <col min="238" max="238" width="41.6640625" bestFit="1" customWidth="1"/>
    <col min="239" max="239" width="29.77734375" bestFit="1" customWidth="1"/>
    <col min="240" max="240" width="35.88671875" bestFit="1" customWidth="1"/>
    <col min="241" max="241" width="43.6640625" bestFit="1" customWidth="1"/>
    <col min="242" max="242" width="32.21875" bestFit="1" customWidth="1"/>
    <col min="243" max="243" width="23.44140625" bestFit="1" customWidth="1"/>
    <col min="244" max="244" width="36.44140625" bestFit="1" customWidth="1"/>
    <col min="245" max="245" width="32" bestFit="1" customWidth="1"/>
    <col min="246" max="246" width="39.88671875" bestFit="1" customWidth="1"/>
    <col min="247" max="247" width="43.44140625" bestFit="1" customWidth="1"/>
    <col min="248" max="248" width="29" bestFit="1" customWidth="1"/>
    <col min="249" max="249" width="21.6640625" bestFit="1" customWidth="1"/>
    <col min="250" max="250" width="21.109375" bestFit="1" customWidth="1"/>
    <col min="251" max="251" width="43.77734375" bestFit="1" customWidth="1"/>
    <col min="252" max="252" width="36.21875" bestFit="1" customWidth="1"/>
    <col min="253" max="253" width="34.21875" bestFit="1" customWidth="1"/>
    <col min="254" max="254" width="27.33203125" bestFit="1" customWidth="1"/>
    <col min="255" max="255" width="53.21875" bestFit="1" customWidth="1"/>
    <col min="256" max="256" width="33.6640625" bestFit="1" customWidth="1"/>
    <col min="257" max="257" width="43.44140625" bestFit="1" customWidth="1"/>
    <col min="258" max="258" width="17.77734375" bestFit="1" customWidth="1"/>
    <col min="259" max="259" width="46.77734375" bestFit="1" customWidth="1"/>
    <col min="260" max="260" width="26.109375" bestFit="1" customWidth="1"/>
    <col min="261" max="261" width="37.33203125" bestFit="1" customWidth="1"/>
    <col min="262" max="262" width="27.21875" bestFit="1" customWidth="1"/>
    <col min="263" max="263" width="45.5546875" bestFit="1" customWidth="1"/>
    <col min="264" max="264" width="54.33203125" bestFit="1" customWidth="1"/>
    <col min="265" max="265" width="34.33203125" bestFit="1" customWidth="1"/>
    <col min="266" max="266" width="25" bestFit="1" customWidth="1"/>
    <col min="267" max="267" width="42.5546875" bestFit="1" customWidth="1"/>
    <col min="268" max="268" width="15.88671875" bestFit="1" customWidth="1"/>
    <col min="269" max="269" width="34.109375" bestFit="1" customWidth="1"/>
    <col min="270" max="270" width="40.21875" bestFit="1" customWidth="1"/>
    <col min="271" max="271" width="19.88671875" bestFit="1" customWidth="1"/>
    <col min="272" max="272" width="21.109375" bestFit="1" customWidth="1"/>
    <col min="273" max="273" width="29.21875" bestFit="1" customWidth="1"/>
    <col min="274" max="274" width="37.44140625" bestFit="1" customWidth="1"/>
    <col min="275" max="275" width="27.21875" bestFit="1" customWidth="1"/>
    <col min="276" max="276" width="38.77734375" bestFit="1" customWidth="1"/>
    <col min="277" max="277" width="21.109375" bestFit="1" customWidth="1"/>
    <col min="278" max="278" width="32.33203125" bestFit="1" customWidth="1"/>
    <col min="279" max="279" width="18.33203125" bestFit="1" customWidth="1"/>
    <col min="280" max="280" width="46" bestFit="1" customWidth="1"/>
    <col min="281" max="281" width="39.77734375" bestFit="1" customWidth="1"/>
    <col min="282" max="282" width="19" bestFit="1" customWidth="1"/>
    <col min="283" max="283" width="61.6640625" bestFit="1" customWidth="1"/>
    <col min="284" max="284" width="18.88671875" bestFit="1" customWidth="1"/>
    <col min="285" max="285" width="23.6640625" bestFit="1" customWidth="1"/>
    <col min="286" max="286" width="23.21875" bestFit="1" customWidth="1"/>
    <col min="287" max="287" width="49.5546875" bestFit="1" customWidth="1"/>
    <col min="288" max="288" width="18.21875" bestFit="1" customWidth="1"/>
    <col min="289" max="289" width="38.109375" bestFit="1" customWidth="1"/>
    <col min="290" max="290" width="44.6640625" bestFit="1" customWidth="1"/>
    <col min="291" max="291" width="13.77734375" bestFit="1" customWidth="1"/>
    <col min="292" max="292" width="37.5546875" bestFit="1" customWidth="1"/>
    <col min="293" max="293" width="33.88671875" bestFit="1" customWidth="1"/>
    <col min="294" max="294" width="64.109375" bestFit="1" customWidth="1"/>
    <col min="295" max="295" width="20.33203125" bestFit="1" customWidth="1"/>
    <col min="296" max="296" width="20.109375" bestFit="1" customWidth="1"/>
    <col min="297" max="297" width="63.44140625" bestFit="1" customWidth="1"/>
    <col min="298" max="298" width="39.44140625" bestFit="1" customWidth="1"/>
    <col min="299" max="299" width="21.44140625" bestFit="1" customWidth="1"/>
    <col min="300" max="300" width="21.5546875" bestFit="1" customWidth="1"/>
    <col min="301" max="301" width="39.33203125" bestFit="1" customWidth="1"/>
    <col min="302" max="302" width="49.6640625" bestFit="1" customWidth="1"/>
    <col min="303" max="303" width="35.5546875" bestFit="1" customWidth="1"/>
    <col min="304" max="304" width="16" bestFit="1" customWidth="1"/>
    <col min="305" max="305" width="21.5546875" bestFit="1" customWidth="1"/>
    <col min="306" max="306" width="28.33203125" bestFit="1" customWidth="1"/>
    <col min="307" max="307" width="34.109375" bestFit="1" customWidth="1"/>
    <col min="308" max="308" width="15.21875" bestFit="1" customWidth="1"/>
    <col min="309" max="309" width="37.88671875" bestFit="1" customWidth="1"/>
    <col min="310" max="310" width="42.109375" bestFit="1" customWidth="1"/>
    <col min="311" max="311" width="27.6640625" bestFit="1" customWidth="1"/>
    <col min="312" max="312" width="47.6640625" bestFit="1" customWidth="1"/>
    <col min="313" max="313" width="62.77734375" bestFit="1" customWidth="1"/>
    <col min="314" max="314" width="50.77734375" bestFit="1" customWidth="1"/>
    <col min="315" max="315" width="36.5546875" bestFit="1" customWidth="1"/>
    <col min="316" max="316" width="33.6640625" bestFit="1" customWidth="1"/>
    <col min="317" max="317" width="49.6640625" bestFit="1" customWidth="1"/>
    <col min="318" max="318" width="33.21875" bestFit="1" customWidth="1"/>
    <col min="319" max="319" width="42" bestFit="1" customWidth="1"/>
    <col min="320" max="320" width="41.21875" bestFit="1" customWidth="1"/>
    <col min="321" max="321" width="46.88671875" bestFit="1" customWidth="1"/>
    <col min="322" max="322" width="35.88671875" bestFit="1" customWidth="1"/>
    <col min="323" max="323" width="19.6640625" bestFit="1" customWidth="1"/>
    <col min="324" max="324" width="34.5546875" bestFit="1" customWidth="1"/>
    <col min="325" max="325" width="52.109375" bestFit="1" customWidth="1"/>
    <col min="326" max="326" width="36.5546875" bestFit="1" customWidth="1"/>
    <col min="327" max="327" width="21.6640625" bestFit="1" customWidth="1"/>
    <col min="328" max="328" width="16.77734375" bestFit="1" customWidth="1"/>
    <col min="329" max="329" width="12.77734375" bestFit="1" customWidth="1"/>
    <col min="330" max="330" width="5.33203125" bestFit="1" customWidth="1"/>
    <col min="331" max="331" width="26.5546875" bestFit="1" customWidth="1"/>
    <col min="332" max="332" width="38.44140625" bestFit="1" customWidth="1"/>
    <col min="333" max="333" width="36.88671875" bestFit="1" customWidth="1"/>
    <col min="334" max="334" width="37.77734375" bestFit="1" customWidth="1"/>
    <col min="335" max="335" width="26.88671875" bestFit="1" customWidth="1"/>
    <col min="336" max="337" width="38.6640625" bestFit="1" customWidth="1"/>
    <col min="338" max="338" width="20.5546875" bestFit="1" customWidth="1"/>
    <col min="339" max="339" width="22" bestFit="1" customWidth="1"/>
    <col min="340" max="340" width="44.33203125" bestFit="1" customWidth="1"/>
    <col min="341" max="341" width="43.33203125" bestFit="1" customWidth="1"/>
    <col min="342" max="342" width="24" bestFit="1" customWidth="1"/>
    <col min="343" max="343" width="44.88671875" bestFit="1" customWidth="1"/>
    <col min="344" max="344" width="34.109375" bestFit="1" customWidth="1"/>
    <col min="345" max="345" width="33.6640625" bestFit="1" customWidth="1"/>
    <col min="346" max="346" width="28.88671875" bestFit="1" customWidth="1"/>
    <col min="347" max="347" width="27" bestFit="1" customWidth="1"/>
    <col min="348" max="348" width="49.77734375" bestFit="1" customWidth="1"/>
    <col min="349" max="349" width="26" bestFit="1" customWidth="1"/>
    <col min="350" max="351" width="22.44140625" bestFit="1" customWidth="1"/>
    <col min="352" max="352" width="37.33203125" bestFit="1" customWidth="1"/>
    <col min="353" max="353" width="36.88671875" bestFit="1" customWidth="1"/>
    <col min="354" max="354" width="39.109375" bestFit="1" customWidth="1"/>
    <col min="355" max="355" width="26.44140625" bestFit="1" customWidth="1"/>
    <col min="356" max="356" width="38.44140625" bestFit="1" customWidth="1"/>
    <col min="357" max="357" width="51" bestFit="1" customWidth="1"/>
    <col min="358" max="358" width="49" bestFit="1" customWidth="1"/>
    <col min="359" max="359" width="26.88671875" bestFit="1" customWidth="1"/>
    <col min="360" max="360" width="20.44140625" bestFit="1" customWidth="1"/>
    <col min="361" max="361" width="35.88671875" bestFit="1" customWidth="1"/>
    <col min="362" max="362" width="32.77734375" bestFit="1" customWidth="1"/>
    <col min="363" max="363" width="38.21875" bestFit="1" customWidth="1"/>
    <col min="364" max="364" width="18" bestFit="1" customWidth="1"/>
    <col min="365" max="365" width="31.77734375" bestFit="1" customWidth="1"/>
    <col min="366" max="366" width="38.88671875" bestFit="1" customWidth="1"/>
    <col min="367" max="367" width="27.88671875" bestFit="1" customWidth="1"/>
    <col min="368" max="368" width="27.33203125" bestFit="1" customWidth="1"/>
    <col min="369" max="369" width="28.77734375" bestFit="1" customWidth="1"/>
    <col min="370" max="370" width="29.5546875" bestFit="1" customWidth="1"/>
    <col min="371" max="371" width="28.77734375" bestFit="1" customWidth="1"/>
    <col min="372" max="372" width="30" bestFit="1" customWidth="1"/>
    <col min="373" max="373" width="45.33203125" bestFit="1" customWidth="1"/>
    <col min="374" max="374" width="34.109375" bestFit="1" customWidth="1"/>
    <col min="375" max="375" width="19.88671875" bestFit="1" customWidth="1"/>
    <col min="376" max="376" width="21" bestFit="1" customWidth="1"/>
    <col min="377" max="377" width="38.109375" bestFit="1" customWidth="1"/>
    <col min="378" max="378" width="43.109375" bestFit="1" customWidth="1"/>
    <col min="379" max="379" width="18.5546875" bestFit="1" customWidth="1"/>
    <col min="380" max="380" width="40.21875" bestFit="1" customWidth="1"/>
    <col min="381" max="381" width="32.21875" bestFit="1" customWidth="1"/>
    <col min="382" max="382" width="34.6640625" bestFit="1" customWidth="1"/>
    <col min="383" max="383" width="31" bestFit="1" customWidth="1"/>
    <col min="384" max="384" width="27" bestFit="1" customWidth="1"/>
    <col min="385" max="385" width="39.6640625" bestFit="1" customWidth="1"/>
    <col min="386" max="386" width="21.44140625" bestFit="1" customWidth="1"/>
    <col min="387" max="387" width="33.109375" bestFit="1" customWidth="1"/>
    <col min="388" max="388" width="38.21875" bestFit="1" customWidth="1"/>
    <col min="389" max="389" width="38.77734375" bestFit="1" customWidth="1"/>
    <col min="390" max="390" width="39.88671875" bestFit="1" customWidth="1"/>
    <col min="391" max="391" width="42.88671875" bestFit="1" customWidth="1"/>
    <col min="392" max="392" width="21.5546875" bestFit="1" customWidth="1"/>
    <col min="393" max="393" width="39.6640625" bestFit="1" customWidth="1"/>
    <col min="394" max="394" width="34.44140625" bestFit="1" customWidth="1"/>
    <col min="395" max="395" width="25.44140625" bestFit="1" customWidth="1"/>
    <col min="396" max="396" width="9.77734375" bestFit="1" customWidth="1"/>
    <col min="397" max="397" width="17.33203125" bestFit="1" customWidth="1"/>
    <col min="398" max="398" width="9.21875" bestFit="1" customWidth="1"/>
    <col min="399" max="399" width="31.5546875" bestFit="1" customWidth="1"/>
    <col min="400" max="400" width="26.109375" bestFit="1" customWidth="1"/>
    <col min="401" max="401" width="17.88671875" bestFit="1" customWidth="1"/>
    <col min="402" max="402" width="20.109375" bestFit="1" customWidth="1"/>
    <col min="403" max="403" width="19.77734375" bestFit="1" customWidth="1"/>
    <col min="404" max="404" width="27.88671875" bestFit="1" customWidth="1"/>
    <col min="405" max="405" width="13.77734375" bestFit="1" customWidth="1"/>
    <col min="406" max="406" width="42.77734375" bestFit="1" customWidth="1"/>
    <col min="407" max="407" width="42.33203125" bestFit="1" customWidth="1"/>
    <col min="408" max="409" width="29.109375" bestFit="1" customWidth="1"/>
    <col min="410" max="410" width="21" bestFit="1" customWidth="1"/>
    <col min="411" max="411" width="18.109375" bestFit="1" customWidth="1"/>
    <col min="412" max="412" width="30.109375" bestFit="1" customWidth="1"/>
    <col min="413" max="413" width="24.33203125" bestFit="1" customWidth="1"/>
    <col min="414" max="414" width="19.33203125" bestFit="1" customWidth="1"/>
    <col min="415" max="415" width="48.109375" bestFit="1" customWidth="1"/>
    <col min="416" max="416" width="48.77734375" bestFit="1" customWidth="1"/>
    <col min="417" max="417" width="40.77734375" bestFit="1" customWidth="1"/>
    <col min="418" max="418" width="25" bestFit="1" customWidth="1"/>
    <col min="419" max="419" width="22.21875" bestFit="1" customWidth="1"/>
    <col min="420" max="420" width="22.88671875" bestFit="1" customWidth="1"/>
    <col min="421" max="421" width="31.88671875" bestFit="1" customWidth="1"/>
    <col min="422" max="422" width="19.5546875" bestFit="1" customWidth="1"/>
    <col min="423" max="423" width="17.88671875" bestFit="1" customWidth="1"/>
    <col min="424" max="424" width="23.33203125" bestFit="1" customWidth="1"/>
    <col min="425" max="425" width="30.109375" bestFit="1" customWidth="1"/>
    <col min="426" max="426" width="26.109375" bestFit="1" customWidth="1"/>
    <col min="427" max="427" width="63.88671875" bestFit="1" customWidth="1"/>
    <col min="428" max="428" width="23.88671875" bestFit="1" customWidth="1"/>
    <col min="429" max="429" width="39.109375" bestFit="1" customWidth="1"/>
    <col min="430" max="430" width="41.5546875" bestFit="1" customWidth="1"/>
    <col min="431" max="431" width="33.21875" bestFit="1" customWidth="1"/>
    <col min="432" max="432" width="33.44140625" bestFit="1" customWidth="1"/>
    <col min="433" max="433" width="32.33203125" bestFit="1" customWidth="1"/>
    <col min="434" max="434" width="24.88671875" bestFit="1" customWidth="1"/>
    <col min="435" max="435" width="23.109375" bestFit="1" customWidth="1"/>
    <col min="436" max="436" width="27" bestFit="1" customWidth="1"/>
    <col min="437" max="437" width="25" bestFit="1" customWidth="1"/>
    <col min="438" max="438" width="25.5546875" bestFit="1" customWidth="1"/>
    <col min="439" max="439" width="13.88671875" bestFit="1" customWidth="1"/>
    <col min="440" max="440" width="16" bestFit="1" customWidth="1"/>
    <col min="441" max="441" width="7.88671875" bestFit="1" customWidth="1"/>
    <col min="442" max="442" width="15.109375" bestFit="1" customWidth="1"/>
    <col min="443" max="443" width="14" bestFit="1" customWidth="1"/>
    <col min="444" max="444" width="13.33203125" bestFit="1" customWidth="1"/>
    <col min="445" max="445" width="18.44140625" bestFit="1" customWidth="1"/>
    <col min="446" max="446" width="14.6640625" bestFit="1" customWidth="1"/>
    <col min="447" max="447" width="25.5546875" bestFit="1" customWidth="1"/>
    <col min="448" max="448" width="18.21875" bestFit="1" customWidth="1"/>
    <col min="449" max="449" width="10.21875" bestFit="1" customWidth="1"/>
    <col min="450" max="450" width="44.33203125" bestFit="1" customWidth="1"/>
    <col min="451" max="451" width="35.33203125" bestFit="1" customWidth="1"/>
    <col min="452" max="452" width="27.5546875" bestFit="1" customWidth="1"/>
    <col min="453" max="453" width="30.5546875" bestFit="1" customWidth="1"/>
    <col min="454" max="454" width="32" bestFit="1" customWidth="1"/>
    <col min="455" max="455" width="38.109375" bestFit="1" customWidth="1"/>
    <col min="456" max="456" width="30.33203125" bestFit="1" customWidth="1"/>
    <col min="457" max="457" width="29" bestFit="1" customWidth="1"/>
    <col min="458" max="458" width="40.88671875" bestFit="1" customWidth="1"/>
    <col min="459" max="459" width="25.44140625" bestFit="1" customWidth="1"/>
    <col min="460" max="460" width="54.21875" bestFit="1" customWidth="1"/>
    <col min="461" max="461" width="32.21875" bestFit="1" customWidth="1"/>
    <col min="462" max="462" width="26.6640625" bestFit="1" customWidth="1"/>
    <col min="463" max="463" width="28.21875" bestFit="1" customWidth="1"/>
    <col min="464" max="464" width="59.77734375" bestFit="1" customWidth="1"/>
    <col min="465" max="465" width="40.33203125" bestFit="1" customWidth="1"/>
    <col min="466" max="466" width="47.33203125" bestFit="1" customWidth="1"/>
    <col min="467" max="467" width="31" bestFit="1" customWidth="1"/>
    <col min="468" max="468" width="35.21875" bestFit="1" customWidth="1"/>
    <col min="469" max="469" width="38" bestFit="1" customWidth="1"/>
    <col min="470" max="470" width="30.44140625" bestFit="1" customWidth="1"/>
    <col min="471" max="471" width="23.21875" bestFit="1" customWidth="1"/>
    <col min="472" max="472" width="30.109375" bestFit="1" customWidth="1"/>
    <col min="473" max="473" width="27.5546875" bestFit="1" customWidth="1"/>
    <col min="474" max="474" width="49.33203125" bestFit="1" customWidth="1"/>
    <col min="475" max="475" width="34.33203125" bestFit="1" customWidth="1"/>
    <col min="476" max="476" width="37.44140625" bestFit="1" customWidth="1"/>
    <col min="477" max="477" width="39.6640625" bestFit="1" customWidth="1"/>
    <col min="478" max="478" width="28.5546875" bestFit="1" customWidth="1"/>
    <col min="479" max="479" width="29.77734375" bestFit="1" customWidth="1"/>
    <col min="480" max="480" width="33.6640625" bestFit="1" customWidth="1"/>
    <col min="481" max="481" width="24.44140625" bestFit="1" customWidth="1"/>
    <col min="482" max="482" width="41" bestFit="1" customWidth="1"/>
    <col min="483" max="483" width="42.6640625" bestFit="1" customWidth="1"/>
    <col min="484" max="484" width="28.5546875" bestFit="1" customWidth="1"/>
    <col min="485" max="485" width="44.88671875" bestFit="1" customWidth="1"/>
    <col min="486" max="486" width="35.77734375" bestFit="1" customWidth="1"/>
    <col min="487" max="487" width="29.77734375" bestFit="1" customWidth="1"/>
    <col min="488" max="488" width="27.33203125" bestFit="1" customWidth="1"/>
    <col min="489" max="489" width="19.33203125" bestFit="1" customWidth="1"/>
    <col min="490" max="490" width="17.5546875" bestFit="1" customWidth="1"/>
    <col min="491" max="491" width="14" bestFit="1" customWidth="1"/>
    <col min="492" max="492" width="20.5546875" bestFit="1" customWidth="1"/>
    <col min="493" max="493" width="18" bestFit="1" customWidth="1"/>
    <col min="494" max="494" width="29.88671875" bestFit="1" customWidth="1"/>
    <col min="495" max="495" width="31.109375" bestFit="1" customWidth="1"/>
    <col min="496" max="496" width="32.44140625" bestFit="1" customWidth="1"/>
    <col min="497" max="497" width="39.6640625" bestFit="1" customWidth="1"/>
    <col min="498" max="498" width="18.109375" bestFit="1" customWidth="1"/>
    <col min="499" max="499" width="23.77734375" bestFit="1" customWidth="1"/>
    <col min="500" max="500" width="13.77734375" bestFit="1" customWidth="1"/>
    <col min="501" max="501" width="19.6640625" bestFit="1" customWidth="1"/>
    <col min="502" max="502" width="30.88671875" bestFit="1" customWidth="1"/>
    <col min="503" max="503" width="24.44140625" bestFit="1" customWidth="1"/>
    <col min="504" max="504" width="34.77734375" bestFit="1" customWidth="1"/>
    <col min="505" max="505" width="39" bestFit="1" customWidth="1"/>
    <col min="506" max="506" width="21.6640625" bestFit="1" customWidth="1"/>
    <col min="507" max="507" width="36.88671875" bestFit="1" customWidth="1"/>
    <col min="508" max="508" width="18.109375" bestFit="1" customWidth="1"/>
    <col min="509" max="509" width="14.109375" bestFit="1" customWidth="1"/>
    <col min="510" max="510" width="18.109375" bestFit="1" customWidth="1"/>
    <col min="511" max="511" width="13.21875" bestFit="1" customWidth="1"/>
    <col min="512" max="512" width="34.21875" bestFit="1" customWidth="1"/>
    <col min="513" max="513" width="15.44140625" bestFit="1" customWidth="1"/>
    <col min="514" max="514" width="38.88671875" bestFit="1" customWidth="1"/>
    <col min="515" max="515" width="39.21875" bestFit="1" customWidth="1"/>
    <col min="516" max="516" width="22.44140625" bestFit="1" customWidth="1"/>
    <col min="517" max="517" width="26.33203125" bestFit="1" customWidth="1"/>
    <col min="518" max="518" width="24.6640625" bestFit="1" customWidth="1"/>
    <col min="519" max="519" width="29.33203125" bestFit="1" customWidth="1"/>
    <col min="520" max="520" width="23.88671875" bestFit="1" customWidth="1"/>
    <col min="521" max="521" width="28.21875" bestFit="1" customWidth="1"/>
    <col min="522" max="522" width="47.109375" bestFit="1" customWidth="1"/>
    <col min="523" max="523" width="29.6640625" bestFit="1" customWidth="1"/>
    <col min="524" max="524" width="40.44140625" bestFit="1" customWidth="1"/>
    <col min="525" max="525" width="32.21875" bestFit="1" customWidth="1"/>
    <col min="526" max="526" width="29.109375" bestFit="1" customWidth="1"/>
    <col min="527" max="527" width="28.6640625" bestFit="1" customWidth="1"/>
    <col min="528" max="528" width="13.77734375" bestFit="1" customWidth="1"/>
    <col min="529" max="529" width="21.109375" bestFit="1" customWidth="1"/>
    <col min="530" max="530" width="18.6640625" bestFit="1" customWidth="1"/>
    <col min="531" max="531" width="19" bestFit="1" customWidth="1"/>
    <col min="532" max="532" width="30.21875" bestFit="1" customWidth="1"/>
    <col min="533" max="533" width="18.88671875" bestFit="1" customWidth="1"/>
    <col min="534" max="534" width="25.77734375" bestFit="1" customWidth="1"/>
    <col min="535" max="535" width="28.44140625" bestFit="1" customWidth="1"/>
    <col min="536" max="536" width="20.5546875" bestFit="1" customWidth="1"/>
    <col min="537" max="537" width="21.109375" bestFit="1" customWidth="1"/>
    <col min="538" max="538" width="19.5546875" bestFit="1" customWidth="1"/>
    <col min="539" max="539" width="28.77734375" bestFit="1" customWidth="1"/>
    <col min="540" max="540" width="35.21875" bestFit="1" customWidth="1"/>
    <col min="541" max="541" width="44.88671875" bestFit="1" customWidth="1"/>
    <col min="542" max="542" width="42.77734375" bestFit="1" customWidth="1"/>
    <col min="543" max="543" width="60" bestFit="1" customWidth="1"/>
    <col min="544" max="544" width="57.6640625" bestFit="1" customWidth="1"/>
    <col min="545" max="545" width="39.21875" bestFit="1" customWidth="1"/>
    <col min="546" max="546" width="46.6640625" bestFit="1" customWidth="1"/>
    <col min="547" max="547" width="30.5546875" bestFit="1" customWidth="1"/>
    <col min="548" max="548" width="28.77734375" bestFit="1" customWidth="1"/>
    <col min="549" max="549" width="44.88671875" bestFit="1" customWidth="1"/>
    <col min="550" max="550" width="42.88671875" bestFit="1" customWidth="1"/>
    <col min="551" max="551" width="27.109375" bestFit="1" customWidth="1"/>
    <col min="552" max="552" width="20" bestFit="1" customWidth="1"/>
    <col min="553" max="553" width="56.44140625" bestFit="1" customWidth="1"/>
    <col min="554" max="554" width="33" bestFit="1" customWidth="1"/>
    <col min="555" max="555" width="20.5546875" bestFit="1" customWidth="1"/>
    <col min="556" max="556" width="20" bestFit="1" customWidth="1"/>
    <col min="557" max="557" width="36.77734375" bestFit="1" customWidth="1"/>
    <col min="558" max="558" width="34.44140625" bestFit="1" customWidth="1"/>
    <col min="559" max="559" width="27.109375" bestFit="1" customWidth="1"/>
    <col min="560" max="560" width="24.21875" bestFit="1" customWidth="1"/>
    <col min="561" max="561" width="18.109375" bestFit="1" customWidth="1"/>
    <col min="562" max="563" width="24.109375" bestFit="1" customWidth="1"/>
    <col min="564" max="564" width="21" bestFit="1" customWidth="1"/>
    <col min="565" max="565" width="33.109375" bestFit="1" customWidth="1"/>
    <col min="566" max="566" width="22.109375" bestFit="1" customWidth="1"/>
    <col min="567" max="567" width="61.5546875" bestFit="1" customWidth="1"/>
    <col min="568" max="568" width="45.5546875" bestFit="1" customWidth="1"/>
    <col min="569" max="569" width="34.109375" bestFit="1" customWidth="1"/>
    <col min="570" max="570" width="20.21875" bestFit="1" customWidth="1"/>
    <col min="571" max="571" width="19.21875" bestFit="1" customWidth="1"/>
    <col min="572" max="572" width="37.77734375" bestFit="1" customWidth="1"/>
    <col min="573" max="573" width="21" bestFit="1" customWidth="1"/>
    <col min="574" max="574" width="13.5546875" bestFit="1" customWidth="1"/>
    <col min="575" max="575" width="33.77734375" bestFit="1" customWidth="1"/>
    <col min="576" max="576" width="49.109375" bestFit="1" customWidth="1"/>
    <col min="577" max="577" width="46.44140625" bestFit="1" customWidth="1"/>
    <col min="578" max="578" width="41.33203125" bestFit="1" customWidth="1"/>
    <col min="579" max="579" width="28.5546875" bestFit="1" customWidth="1"/>
    <col min="580" max="580" width="34" bestFit="1" customWidth="1"/>
    <col min="581" max="581" width="23.109375" bestFit="1" customWidth="1"/>
    <col min="582" max="582" width="20.77734375" bestFit="1" customWidth="1"/>
    <col min="583" max="583" width="27.6640625" bestFit="1" customWidth="1"/>
    <col min="584" max="584" width="26.88671875" bestFit="1" customWidth="1"/>
    <col min="585" max="585" width="37.88671875" bestFit="1" customWidth="1"/>
    <col min="586" max="586" width="20.5546875" bestFit="1" customWidth="1"/>
    <col min="587" max="587" width="17.77734375" bestFit="1" customWidth="1"/>
    <col min="588" max="588" width="22.21875" bestFit="1" customWidth="1"/>
    <col min="589" max="589" width="23.109375" bestFit="1" customWidth="1"/>
    <col min="590" max="590" width="20.6640625" bestFit="1" customWidth="1"/>
    <col min="591" max="591" width="26.44140625" bestFit="1" customWidth="1"/>
    <col min="592" max="592" width="24.5546875" bestFit="1" customWidth="1"/>
    <col min="593" max="593" width="33" bestFit="1" customWidth="1"/>
    <col min="594" max="594" width="24" bestFit="1" customWidth="1"/>
    <col min="595" max="595" width="34.109375" bestFit="1" customWidth="1"/>
    <col min="596" max="596" width="24.77734375" bestFit="1" customWidth="1"/>
    <col min="597" max="597" width="22.88671875" bestFit="1" customWidth="1"/>
    <col min="598" max="598" width="25.5546875" bestFit="1" customWidth="1"/>
    <col min="599" max="599" width="16.88671875" bestFit="1" customWidth="1"/>
    <col min="600" max="600" width="35.5546875" bestFit="1" customWidth="1"/>
    <col min="601" max="601" width="28" bestFit="1" customWidth="1"/>
    <col min="602" max="602" width="70.44140625" bestFit="1" customWidth="1"/>
    <col min="603" max="603" width="26.44140625" bestFit="1" customWidth="1"/>
    <col min="604" max="604" width="41.33203125" bestFit="1" customWidth="1"/>
    <col min="605" max="605" width="52.44140625" bestFit="1" customWidth="1"/>
    <col min="606" max="606" width="26.5546875" bestFit="1" customWidth="1"/>
    <col min="607" max="607" width="19.6640625" bestFit="1" customWidth="1"/>
    <col min="608" max="608" width="24.21875" bestFit="1" customWidth="1"/>
    <col min="609" max="609" width="17.33203125" bestFit="1" customWidth="1"/>
    <col min="610" max="610" width="19.77734375" bestFit="1" customWidth="1"/>
    <col min="611" max="611" width="23.6640625" bestFit="1" customWidth="1"/>
    <col min="612" max="612" width="59.33203125" bestFit="1" customWidth="1"/>
    <col min="613" max="613" width="11.6640625" bestFit="1" customWidth="1"/>
    <col min="614" max="614" width="24.109375" bestFit="1" customWidth="1"/>
    <col min="615" max="615" width="20.88671875" bestFit="1" customWidth="1"/>
    <col min="616" max="616" width="18.21875" bestFit="1" customWidth="1"/>
    <col min="617" max="617" width="30.77734375" bestFit="1" customWidth="1"/>
    <col min="618" max="618" width="30.21875" bestFit="1" customWidth="1"/>
    <col min="619" max="619" width="18.77734375" bestFit="1" customWidth="1"/>
    <col min="620" max="620" width="35.21875" bestFit="1" customWidth="1"/>
    <col min="621" max="621" width="41.33203125" bestFit="1" customWidth="1"/>
    <col min="622" max="622" width="18.5546875" bestFit="1" customWidth="1"/>
    <col min="623" max="623" width="32.109375" bestFit="1" customWidth="1"/>
    <col min="624" max="624" width="34.5546875" bestFit="1" customWidth="1"/>
    <col min="625" max="625" width="48.44140625" bestFit="1" customWidth="1"/>
    <col min="626" max="626" width="50.21875" bestFit="1" customWidth="1"/>
    <col min="627" max="627" width="39.6640625" bestFit="1" customWidth="1"/>
    <col min="628" max="628" width="37.109375" bestFit="1" customWidth="1"/>
    <col min="629" max="629" width="25.21875" bestFit="1" customWidth="1"/>
    <col min="630" max="630" width="26.33203125" bestFit="1" customWidth="1"/>
    <col min="631" max="631" width="34.33203125" bestFit="1" customWidth="1"/>
    <col min="632" max="632" width="30.33203125" bestFit="1" customWidth="1"/>
    <col min="633" max="633" width="18.5546875" bestFit="1" customWidth="1"/>
    <col min="634" max="634" width="25.109375" bestFit="1" customWidth="1"/>
    <col min="635" max="635" width="36" bestFit="1" customWidth="1"/>
    <col min="636" max="636" width="22.88671875" bestFit="1" customWidth="1"/>
    <col min="637" max="637" width="30.5546875" bestFit="1" customWidth="1"/>
    <col min="638" max="638" width="35" bestFit="1" customWidth="1"/>
    <col min="639" max="639" width="45" bestFit="1" customWidth="1"/>
    <col min="640" max="640" width="29.5546875" bestFit="1" customWidth="1"/>
    <col min="641" max="641" width="27.5546875" bestFit="1" customWidth="1"/>
    <col min="642" max="642" width="32.109375" bestFit="1" customWidth="1"/>
    <col min="643" max="643" width="38.6640625" bestFit="1" customWidth="1"/>
    <col min="644" max="644" width="42.21875" bestFit="1" customWidth="1"/>
    <col min="645" max="645" width="42.77734375" bestFit="1" customWidth="1"/>
    <col min="646" max="646" width="37" bestFit="1" customWidth="1"/>
    <col min="647" max="647" width="34.44140625" bestFit="1" customWidth="1"/>
    <col min="648" max="648" width="56.88671875" bestFit="1" customWidth="1"/>
    <col min="649" max="649" width="24.6640625" bestFit="1" customWidth="1"/>
    <col min="650" max="650" width="22.44140625" bestFit="1" customWidth="1"/>
    <col min="651" max="651" width="38.5546875" bestFit="1" customWidth="1"/>
    <col min="652" max="652" width="23.33203125" bestFit="1" customWidth="1"/>
    <col min="653" max="653" width="14.77734375" bestFit="1" customWidth="1"/>
    <col min="654" max="654" width="29.5546875" bestFit="1" customWidth="1"/>
    <col min="655" max="655" width="17" bestFit="1" customWidth="1"/>
    <col min="656" max="656" width="36.33203125" bestFit="1" customWidth="1"/>
    <col min="657" max="657" width="32.44140625" bestFit="1" customWidth="1"/>
    <col min="658" max="658" width="23.77734375" bestFit="1" customWidth="1"/>
    <col min="659" max="659" width="15.88671875" bestFit="1" customWidth="1"/>
    <col min="660" max="660" width="22.77734375" bestFit="1" customWidth="1"/>
    <col min="661" max="661" width="29.88671875" bestFit="1" customWidth="1"/>
    <col min="662" max="662" width="23.33203125" bestFit="1" customWidth="1"/>
    <col min="663" max="663" width="42.109375" bestFit="1" customWidth="1"/>
    <col min="664" max="664" width="23.77734375" bestFit="1" customWidth="1"/>
    <col min="665" max="665" width="18.88671875" bestFit="1" customWidth="1"/>
    <col min="666" max="666" width="13.6640625" bestFit="1" customWidth="1"/>
    <col min="667" max="667" width="25.44140625" bestFit="1" customWidth="1"/>
    <col min="668" max="668" width="25.5546875" bestFit="1" customWidth="1"/>
    <col min="669" max="669" width="26" bestFit="1" customWidth="1"/>
    <col min="670" max="670" width="23.21875" bestFit="1" customWidth="1"/>
    <col min="671" max="671" width="34.6640625" bestFit="1" customWidth="1"/>
    <col min="672" max="672" width="31.6640625" bestFit="1" customWidth="1"/>
    <col min="673" max="673" width="28.77734375" bestFit="1" customWidth="1"/>
    <col min="674" max="674" width="15.109375" bestFit="1" customWidth="1"/>
    <col min="675" max="675" width="19.44140625" bestFit="1" customWidth="1"/>
    <col min="676" max="676" width="19" bestFit="1" customWidth="1"/>
    <col min="677" max="677" width="22.77734375" bestFit="1" customWidth="1"/>
    <col min="678" max="678" width="31" bestFit="1" customWidth="1"/>
    <col min="679" max="679" width="31.5546875" bestFit="1" customWidth="1"/>
    <col min="680" max="680" width="29.6640625" bestFit="1" customWidth="1"/>
    <col min="681" max="681" width="30.21875" bestFit="1" customWidth="1"/>
    <col min="682" max="682" width="23.88671875" bestFit="1" customWidth="1"/>
    <col min="683" max="683" width="21.109375" bestFit="1" customWidth="1"/>
    <col min="684" max="684" width="33.109375" bestFit="1" customWidth="1"/>
    <col min="685" max="685" width="38.5546875" bestFit="1" customWidth="1"/>
    <col min="686" max="686" width="32.44140625" bestFit="1" customWidth="1"/>
    <col min="687" max="687" width="19.109375" bestFit="1" customWidth="1"/>
    <col min="688" max="688" width="34.6640625" bestFit="1" customWidth="1"/>
    <col min="689" max="689" width="29.21875" bestFit="1" customWidth="1"/>
    <col min="690" max="690" width="38.21875" bestFit="1" customWidth="1"/>
    <col min="691" max="691" width="22.21875" bestFit="1" customWidth="1"/>
    <col min="692" max="692" width="31.77734375" bestFit="1" customWidth="1"/>
    <col min="693" max="693" width="12.5546875" bestFit="1" customWidth="1"/>
    <col min="694" max="694" width="13.77734375" bestFit="1" customWidth="1"/>
    <col min="695" max="695" width="29.6640625" bestFit="1" customWidth="1"/>
    <col min="696" max="696" width="18.44140625" bestFit="1" customWidth="1"/>
    <col min="697" max="697" width="18.6640625" bestFit="1" customWidth="1"/>
    <col min="698" max="698" width="30.109375" bestFit="1" customWidth="1"/>
    <col min="699" max="699" width="26.44140625" bestFit="1" customWidth="1"/>
    <col min="700" max="700" width="42.5546875" bestFit="1" customWidth="1"/>
    <col min="701" max="701" width="26.109375" bestFit="1" customWidth="1"/>
    <col min="702" max="702" width="26" bestFit="1" customWidth="1"/>
    <col min="703" max="703" width="33" bestFit="1" customWidth="1"/>
    <col min="704" max="704" width="14.109375" bestFit="1" customWidth="1"/>
    <col min="705" max="705" width="26.33203125" bestFit="1" customWidth="1"/>
    <col min="706" max="706" width="30.77734375" bestFit="1" customWidth="1"/>
    <col min="707" max="707" width="17.88671875" bestFit="1" customWidth="1"/>
    <col min="708" max="708" width="23.5546875" bestFit="1" customWidth="1"/>
    <col min="709" max="709" width="22.109375" bestFit="1" customWidth="1"/>
    <col min="710" max="710" width="18.5546875" bestFit="1" customWidth="1"/>
    <col min="711" max="711" width="35.33203125" bestFit="1" customWidth="1"/>
    <col min="712" max="712" width="32.33203125" bestFit="1" customWidth="1"/>
    <col min="713" max="713" width="35.33203125" bestFit="1" customWidth="1"/>
    <col min="714" max="714" width="34.6640625" bestFit="1" customWidth="1"/>
    <col min="715" max="715" width="31.44140625" bestFit="1" customWidth="1"/>
    <col min="716" max="716" width="35.6640625" bestFit="1" customWidth="1"/>
    <col min="717" max="717" width="25.109375" bestFit="1" customWidth="1"/>
    <col min="718" max="718" width="27.77734375" bestFit="1" customWidth="1"/>
    <col min="719" max="719" width="25.88671875" bestFit="1" customWidth="1"/>
    <col min="720" max="720" width="40.21875" bestFit="1" customWidth="1"/>
    <col min="721" max="721" width="43" bestFit="1" customWidth="1"/>
    <col min="722" max="722" width="40.33203125" bestFit="1" customWidth="1"/>
    <col min="723" max="723" width="36.33203125" bestFit="1" customWidth="1"/>
    <col min="724" max="724" width="29.109375" bestFit="1" customWidth="1"/>
    <col min="725" max="725" width="32" bestFit="1" customWidth="1"/>
    <col min="726" max="726" width="43.33203125" bestFit="1" customWidth="1"/>
    <col min="727" max="727" width="35.33203125" bestFit="1" customWidth="1"/>
    <col min="728" max="728" width="42" bestFit="1" customWidth="1"/>
    <col min="729" max="729" width="24.109375" bestFit="1" customWidth="1"/>
    <col min="730" max="730" width="27.6640625" bestFit="1" customWidth="1"/>
    <col min="731" max="731" width="27.77734375" bestFit="1" customWidth="1"/>
    <col min="732" max="732" width="21.33203125" bestFit="1" customWidth="1"/>
    <col min="733" max="733" width="36.77734375" bestFit="1" customWidth="1"/>
    <col min="734" max="734" width="27.109375" bestFit="1" customWidth="1"/>
    <col min="735" max="735" width="33.109375" bestFit="1" customWidth="1"/>
    <col min="736" max="736" width="34" bestFit="1" customWidth="1"/>
    <col min="737" max="737" width="44.21875" bestFit="1" customWidth="1"/>
    <col min="738" max="738" width="38.88671875" bestFit="1" customWidth="1"/>
    <col min="739" max="739" width="32.77734375" bestFit="1" customWidth="1"/>
    <col min="740" max="740" width="32.33203125" bestFit="1" customWidth="1"/>
    <col min="741" max="741" width="42.88671875" bestFit="1" customWidth="1"/>
    <col min="742" max="742" width="33.77734375" bestFit="1" customWidth="1"/>
    <col min="743" max="743" width="37.44140625" bestFit="1" customWidth="1"/>
    <col min="744" max="744" width="38.77734375" bestFit="1" customWidth="1"/>
    <col min="745" max="745" width="29.33203125" bestFit="1" customWidth="1"/>
    <col min="746" max="746" width="48.21875" bestFit="1" customWidth="1"/>
    <col min="747" max="747" width="34.77734375" bestFit="1" customWidth="1"/>
    <col min="748" max="748" width="41.88671875" bestFit="1" customWidth="1"/>
    <col min="749" max="749" width="33.33203125" bestFit="1" customWidth="1"/>
    <col min="750" max="750" width="40.109375" bestFit="1" customWidth="1"/>
    <col min="751" max="751" width="35.88671875" bestFit="1" customWidth="1"/>
    <col min="752" max="752" width="40.88671875" bestFit="1" customWidth="1"/>
    <col min="753" max="753" width="39.33203125" bestFit="1" customWidth="1"/>
    <col min="754" max="754" width="41.88671875" bestFit="1" customWidth="1"/>
    <col min="755" max="755" width="42.33203125" bestFit="1" customWidth="1"/>
    <col min="756" max="756" width="40.33203125" bestFit="1" customWidth="1"/>
    <col min="757" max="757" width="37.5546875" bestFit="1" customWidth="1"/>
    <col min="758" max="758" width="53.6640625" bestFit="1" customWidth="1"/>
    <col min="759" max="759" width="58.44140625" bestFit="1" customWidth="1"/>
    <col min="760" max="760" width="53.88671875" bestFit="1" customWidth="1"/>
    <col min="761" max="761" width="29.21875" bestFit="1" customWidth="1"/>
    <col min="762" max="762" width="16.6640625" bestFit="1" customWidth="1"/>
    <col min="763" max="763" width="14.77734375" bestFit="1" customWidth="1"/>
    <col min="764" max="764" width="22.6640625" bestFit="1" customWidth="1"/>
    <col min="765" max="765" width="34.21875" bestFit="1" customWidth="1"/>
    <col min="766" max="766" width="21.77734375" bestFit="1" customWidth="1"/>
    <col min="767" max="767" width="27.77734375" bestFit="1" customWidth="1"/>
    <col min="768" max="768" width="24.88671875" bestFit="1" customWidth="1"/>
    <col min="769" max="769" width="28.6640625" bestFit="1" customWidth="1"/>
    <col min="770" max="770" width="28" bestFit="1" customWidth="1"/>
    <col min="771" max="771" width="20.77734375" bestFit="1" customWidth="1"/>
    <col min="772" max="772" width="19.21875" bestFit="1" customWidth="1"/>
    <col min="773" max="773" width="52.77734375" bestFit="1" customWidth="1"/>
    <col min="774" max="774" width="26" bestFit="1" customWidth="1"/>
    <col min="775" max="775" width="50.77734375" bestFit="1" customWidth="1"/>
    <col min="776" max="776" width="17.21875" bestFit="1" customWidth="1"/>
    <col min="777" max="777" width="42.88671875" bestFit="1" customWidth="1"/>
    <col min="778" max="778" width="22.77734375" bestFit="1" customWidth="1"/>
    <col min="779" max="779" width="24.6640625" bestFit="1" customWidth="1"/>
    <col min="780" max="780" width="35" bestFit="1" customWidth="1"/>
    <col min="781" max="781" width="23.109375" bestFit="1" customWidth="1"/>
    <col min="782" max="782" width="25.88671875" bestFit="1" customWidth="1"/>
    <col min="783" max="783" width="26.44140625" bestFit="1" customWidth="1"/>
    <col min="784" max="784" width="32.5546875" bestFit="1" customWidth="1"/>
    <col min="785" max="785" width="14.6640625" bestFit="1" customWidth="1"/>
    <col min="786" max="786" width="28.5546875" bestFit="1" customWidth="1"/>
    <col min="787" max="787" width="20.6640625" bestFit="1" customWidth="1"/>
    <col min="788" max="788" width="36.21875" bestFit="1" customWidth="1"/>
    <col min="789" max="789" width="23.88671875" bestFit="1" customWidth="1"/>
    <col min="790" max="790" width="36.5546875" bestFit="1" customWidth="1"/>
    <col min="791" max="791" width="18.6640625" bestFit="1" customWidth="1"/>
    <col min="792" max="792" width="20.21875" bestFit="1" customWidth="1"/>
    <col min="793" max="793" width="48.21875" bestFit="1" customWidth="1"/>
    <col min="794" max="794" width="45.6640625" bestFit="1" customWidth="1"/>
    <col min="795" max="795" width="42.44140625" bestFit="1" customWidth="1"/>
    <col min="796" max="796" width="70.109375" bestFit="1" customWidth="1"/>
    <col min="797" max="797" width="31.44140625" bestFit="1" customWidth="1"/>
    <col min="798" max="798" width="27.21875" bestFit="1" customWidth="1"/>
    <col min="799" max="799" width="32.109375" bestFit="1" customWidth="1"/>
    <col min="800" max="800" width="29.77734375" bestFit="1" customWidth="1"/>
    <col min="801" max="801" width="26.6640625" bestFit="1" customWidth="1"/>
    <col min="802" max="802" width="40.33203125" bestFit="1" customWidth="1"/>
    <col min="803" max="803" width="38" bestFit="1" customWidth="1"/>
    <col min="804" max="804" width="28" bestFit="1" customWidth="1"/>
    <col min="805" max="805" width="39.21875" bestFit="1" customWidth="1"/>
    <col min="806" max="806" width="25.88671875" bestFit="1" customWidth="1"/>
    <col min="807" max="807" width="31.21875" bestFit="1" customWidth="1"/>
    <col min="808" max="808" width="61.44140625" bestFit="1" customWidth="1"/>
    <col min="809" max="809" width="32.109375" bestFit="1" customWidth="1"/>
    <col min="810" max="810" width="40.77734375" bestFit="1" customWidth="1"/>
    <col min="811" max="811" width="37" bestFit="1" customWidth="1"/>
    <col min="812" max="812" width="34" bestFit="1" customWidth="1"/>
    <col min="813" max="813" width="24.21875" bestFit="1" customWidth="1"/>
    <col min="814" max="814" width="18.6640625" bestFit="1" customWidth="1"/>
    <col min="815" max="815" width="47.44140625" bestFit="1" customWidth="1"/>
    <col min="816" max="816" width="22" bestFit="1" customWidth="1"/>
    <col min="817" max="817" width="27.77734375" bestFit="1" customWidth="1"/>
    <col min="818" max="818" width="31.5546875" bestFit="1" customWidth="1"/>
    <col min="819" max="819" width="33.77734375" bestFit="1" customWidth="1"/>
    <col min="820" max="820" width="25.77734375" bestFit="1" customWidth="1"/>
    <col min="821" max="821" width="22.21875" bestFit="1" customWidth="1"/>
    <col min="822" max="822" width="23.33203125" bestFit="1" customWidth="1"/>
    <col min="823" max="823" width="24.33203125" bestFit="1" customWidth="1"/>
    <col min="824" max="824" width="36.5546875" bestFit="1" customWidth="1"/>
    <col min="825" max="825" width="18.6640625" bestFit="1" customWidth="1"/>
    <col min="826" max="826" width="30.88671875" bestFit="1" customWidth="1"/>
    <col min="827" max="827" width="28.44140625" bestFit="1" customWidth="1"/>
    <col min="828" max="828" width="44.77734375" bestFit="1" customWidth="1"/>
    <col min="829" max="829" width="22.109375" bestFit="1" customWidth="1"/>
    <col min="830" max="830" width="30.21875" bestFit="1" customWidth="1"/>
    <col min="831" max="831" width="23.5546875" bestFit="1" customWidth="1"/>
    <col min="832" max="832" width="32" bestFit="1" customWidth="1"/>
    <col min="833" max="833" width="26.109375" bestFit="1" customWidth="1"/>
    <col min="834" max="834" width="40.33203125" bestFit="1" customWidth="1"/>
    <col min="835" max="835" width="31.109375" bestFit="1" customWidth="1"/>
    <col min="836" max="836" width="35.88671875" bestFit="1" customWidth="1"/>
    <col min="837" max="837" width="34.88671875" bestFit="1" customWidth="1"/>
    <col min="838" max="838" width="32.109375" bestFit="1" customWidth="1"/>
    <col min="839" max="839" width="31" bestFit="1" customWidth="1"/>
    <col min="840" max="840" width="41.5546875" bestFit="1" customWidth="1"/>
    <col min="841" max="841" width="35.44140625" bestFit="1" customWidth="1"/>
    <col min="842" max="842" width="28" bestFit="1" customWidth="1"/>
    <col min="843" max="843" width="30.21875" bestFit="1" customWidth="1"/>
    <col min="844" max="844" width="24.33203125" bestFit="1" customWidth="1"/>
    <col min="845" max="845" width="41.5546875" bestFit="1" customWidth="1"/>
    <col min="846" max="846" width="37.33203125" bestFit="1" customWidth="1"/>
    <col min="847" max="847" width="26.44140625" bestFit="1" customWidth="1"/>
    <col min="848" max="848" width="34.33203125" bestFit="1" customWidth="1"/>
    <col min="849" max="849" width="45.44140625" bestFit="1" customWidth="1"/>
    <col min="850" max="850" width="39.33203125" bestFit="1" customWidth="1"/>
    <col min="851" max="851" width="40.6640625" bestFit="1" customWidth="1"/>
    <col min="852" max="852" width="32.6640625" bestFit="1" customWidth="1"/>
    <col min="853" max="853" width="36.5546875" bestFit="1" customWidth="1"/>
    <col min="854" max="854" width="46.33203125" bestFit="1" customWidth="1"/>
    <col min="855" max="855" width="31.5546875" bestFit="1" customWidth="1"/>
    <col min="856" max="856" width="38.109375" bestFit="1" customWidth="1"/>
    <col min="857" max="857" width="36.88671875" bestFit="1" customWidth="1"/>
    <col min="858" max="858" width="36.21875" bestFit="1" customWidth="1"/>
    <col min="859" max="859" width="48.88671875" bestFit="1" customWidth="1"/>
    <col min="860" max="860" width="33.21875" bestFit="1" customWidth="1"/>
    <col min="861" max="861" width="36.109375" bestFit="1" customWidth="1"/>
    <col min="862" max="862" width="45" bestFit="1" customWidth="1"/>
    <col min="863" max="863" width="48.21875" bestFit="1" customWidth="1"/>
    <col min="864" max="864" width="37.88671875" bestFit="1" customWidth="1"/>
    <col min="865" max="865" width="31.88671875" bestFit="1" customWidth="1"/>
    <col min="866" max="866" width="21.6640625" bestFit="1" customWidth="1"/>
    <col min="867" max="867" width="22.33203125" bestFit="1" customWidth="1"/>
    <col min="868" max="868" width="34" bestFit="1" customWidth="1"/>
    <col min="869" max="869" width="26.44140625" bestFit="1" customWidth="1"/>
    <col min="870" max="870" width="15" bestFit="1" customWidth="1"/>
    <col min="871" max="871" width="20.33203125" bestFit="1" customWidth="1"/>
    <col min="872" max="872" width="36.44140625" bestFit="1" customWidth="1"/>
    <col min="873" max="873" width="18.5546875" bestFit="1" customWidth="1"/>
    <col min="874" max="874" width="18.6640625" bestFit="1" customWidth="1"/>
    <col min="875" max="875" width="31.33203125" bestFit="1" customWidth="1"/>
    <col min="876" max="876" width="27.109375" bestFit="1" customWidth="1"/>
    <col min="877" max="877" width="18" bestFit="1" customWidth="1"/>
    <col min="878" max="878" width="24.109375" bestFit="1" customWidth="1"/>
    <col min="879" max="879" width="34.21875" bestFit="1" customWidth="1"/>
    <col min="880" max="880" width="37.21875" bestFit="1" customWidth="1"/>
    <col min="881" max="881" width="54.77734375" bestFit="1" customWidth="1"/>
    <col min="882" max="882" width="34.77734375" bestFit="1" customWidth="1"/>
    <col min="883" max="883" width="34.109375" bestFit="1" customWidth="1"/>
    <col min="884" max="884" width="33" bestFit="1" customWidth="1"/>
    <col min="885" max="885" width="41.21875" bestFit="1" customWidth="1"/>
    <col min="886" max="886" width="28.88671875" bestFit="1" customWidth="1"/>
    <col min="887" max="887" width="36.88671875" bestFit="1" customWidth="1"/>
    <col min="888" max="888" width="27.5546875" bestFit="1" customWidth="1"/>
    <col min="889" max="889" width="34.44140625" bestFit="1" customWidth="1"/>
    <col min="890" max="890" width="33.6640625" bestFit="1" customWidth="1"/>
    <col min="891" max="891" width="32.33203125" bestFit="1" customWidth="1"/>
    <col min="892" max="892" width="35.77734375" bestFit="1" customWidth="1"/>
    <col min="893" max="893" width="31.77734375" bestFit="1" customWidth="1"/>
    <col min="894" max="894" width="21.77734375" bestFit="1" customWidth="1"/>
    <col min="895" max="895" width="32.109375" bestFit="1" customWidth="1"/>
    <col min="896" max="896" width="26.5546875" bestFit="1" customWidth="1"/>
    <col min="897" max="897" width="20.6640625" bestFit="1" customWidth="1"/>
    <col min="898" max="898" width="51.44140625" bestFit="1" customWidth="1"/>
    <col min="899" max="899" width="32.44140625" bestFit="1" customWidth="1"/>
    <col min="900" max="900" width="34.33203125" bestFit="1" customWidth="1"/>
    <col min="901" max="901" width="38.44140625" bestFit="1" customWidth="1"/>
    <col min="902" max="902" width="39.109375" bestFit="1" customWidth="1"/>
    <col min="903" max="903" width="24" bestFit="1" customWidth="1"/>
    <col min="904" max="904" width="53.88671875" bestFit="1" customWidth="1"/>
    <col min="905" max="905" width="22.6640625" bestFit="1" customWidth="1"/>
    <col min="906" max="906" width="30" bestFit="1" customWidth="1"/>
    <col min="907" max="907" width="23.109375" bestFit="1" customWidth="1"/>
    <col min="908" max="908" width="36.5546875" bestFit="1" customWidth="1"/>
    <col min="909" max="909" width="29.5546875" bestFit="1" customWidth="1"/>
    <col min="910" max="910" width="30.88671875" bestFit="1" customWidth="1"/>
    <col min="911" max="911" width="40.77734375" bestFit="1" customWidth="1"/>
    <col min="912" max="912" width="41.33203125" bestFit="1" customWidth="1"/>
    <col min="913" max="913" width="39.33203125" bestFit="1" customWidth="1"/>
    <col min="914" max="914" width="27.44140625" bestFit="1" customWidth="1"/>
    <col min="915" max="915" width="31.88671875" bestFit="1" customWidth="1"/>
    <col min="916" max="916" width="25.5546875" bestFit="1" customWidth="1"/>
    <col min="917" max="917" width="31.44140625" bestFit="1" customWidth="1"/>
    <col min="918" max="918" width="30.5546875" bestFit="1" customWidth="1"/>
    <col min="919" max="919" width="56.44140625" bestFit="1" customWidth="1"/>
    <col min="920" max="920" width="28.21875" bestFit="1" customWidth="1"/>
    <col min="921" max="921" width="32.5546875" bestFit="1" customWidth="1"/>
    <col min="922" max="922" width="48" bestFit="1" customWidth="1"/>
    <col min="923" max="923" width="22.77734375" bestFit="1" customWidth="1"/>
    <col min="924" max="924" width="30.109375" bestFit="1" customWidth="1"/>
    <col min="925" max="925" width="40.33203125" bestFit="1" customWidth="1"/>
    <col min="926" max="926" width="45" bestFit="1" customWidth="1"/>
    <col min="927" max="927" width="24.77734375" bestFit="1" customWidth="1"/>
    <col min="928" max="928" width="32.6640625" bestFit="1" customWidth="1"/>
    <col min="929" max="929" width="35.109375" bestFit="1" customWidth="1"/>
    <col min="930" max="930" width="36.77734375" bestFit="1" customWidth="1"/>
    <col min="931" max="931" width="22.77734375" bestFit="1" customWidth="1"/>
    <col min="932" max="932" width="38" bestFit="1" customWidth="1"/>
    <col min="933" max="933" width="30.5546875" bestFit="1" customWidth="1"/>
    <col min="934" max="934" width="28.88671875" bestFit="1" customWidth="1"/>
    <col min="935" max="935" width="12.44140625" bestFit="1" customWidth="1"/>
    <col min="936" max="936" width="39" bestFit="1" customWidth="1"/>
    <col min="937" max="937" width="32.33203125" bestFit="1" customWidth="1"/>
    <col min="938" max="938" width="20.109375" bestFit="1" customWidth="1"/>
    <col min="939" max="939" width="37.33203125" bestFit="1" customWidth="1"/>
    <col min="940" max="940" width="30.88671875" bestFit="1" customWidth="1"/>
    <col min="941" max="941" width="26" bestFit="1" customWidth="1"/>
    <col min="942" max="942" width="14.33203125" bestFit="1" customWidth="1"/>
    <col min="943" max="943" width="34.6640625" bestFit="1" customWidth="1"/>
    <col min="944" max="944" width="34" bestFit="1" customWidth="1"/>
    <col min="945" max="945" width="26.109375" bestFit="1" customWidth="1"/>
    <col min="946" max="946" width="22.109375" bestFit="1" customWidth="1"/>
    <col min="947" max="947" width="28.33203125" bestFit="1" customWidth="1"/>
    <col min="948" max="948" width="22.5546875" bestFit="1" customWidth="1"/>
    <col min="949" max="949" width="32.88671875" bestFit="1" customWidth="1"/>
    <col min="950" max="950" width="27.77734375" bestFit="1" customWidth="1"/>
    <col min="951" max="951" width="25.5546875" bestFit="1" customWidth="1"/>
    <col min="952" max="952" width="17.6640625" bestFit="1" customWidth="1"/>
    <col min="953" max="953" width="28" bestFit="1" customWidth="1"/>
    <col min="954" max="954" width="26.109375" bestFit="1" customWidth="1"/>
    <col min="955" max="955" width="26.21875" bestFit="1" customWidth="1"/>
    <col min="956" max="956" width="33" bestFit="1" customWidth="1"/>
    <col min="957" max="957" width="35.21875" bestFit="1" customWidth="1"/>
    <col min="958" max="958" width="14.5546875" bestFit="1" customWidth="1"/>
    <col min="959" max="959" width="16" bestFit="1" customWidth="1"/>
    <col min="960" max="960" width="24.6640625" bestFit="1" customWidth="1"/>
    <col min="961" max="961" width="45.21875" bestFit="1" customWidth="1"/>
    <col min="962" max="962" width="21.44140625" bestFit="1" customWidth="1"/>
    <col min="963" max="963" width="14.44140625" bestFit="1" customWidth="1"/>
    <col min="964" max="964" width="31.21875" bestFit="1" customWidth="1"/>
    <col min="965" max="965" width="12.44140625" bestFit="1" customWidth="1"/>
    <col min="966" max="966" width="18.88671875" bestFit="1" customWidth="1"/>
    <col min="967" max="967" width="17.33203125" bestFit="1" customWidth="1"/>
    <col min="968" max="968" width="47.21875" bestFit="1" customWidth="1"/>
    <col min="969" max="969" width="14.109375" bestFit="1" customWidth="1"/>
    <col min="970" max="970" width="14.77734375" bestFit="1" customWidth="1"/>
    <col min="971" max="971" width="41.44140625" bestFit="1" customWidth="1"/>
    <col min="972" max="972" width="11.5546875" bestFit="1" customWidth="1"/>
    <col min="973" max="973" width="14.21875" bestFit="1" customWidth="1"/>
    <col min="974" max="974" width="13.88671875" bestFit="1" customWidth="1"/>
    <col min="975" max="975" width="26.44140625" bestFit="1" customWidth="1"/>
    <col min="976" max="976" width="17" bestFit="1" customWidth="1"/>
    <col min="977" max="977" width="31.109375" bestFit="1" customWidth="1"/>
    <col min="978" max="978" width="10" bestFit="1" customWidth="1"/>
    <col min="979" max="979" width="11.33203125" bestFit="1" customWidth="1"/>
    <col min="980" max="980" width="26.5546875" bestFit="1" customWidth="1"/>
    <col min="981" max="981" width="9.44140625" bestFit="1" customWidth="1"/>
    <col min="982" max="982" width="36.109375" bestFit="1" customWidth="1"/>
    <col min="983" max="983" width="12.77734375" bestFit="1" customWidth="1"/>
    <col min="984" max="984" width="52.33203125" bestFit="1" customWidth="1"/>
    <col min="985" max="985" width="20.44140625" bestFit="1" customWidth="1"/>
    <col min="986" max="986" width="11.6640625" bestFit="1" customWidth="1"/>
    <col min="987" max="987" width="22.44140625" bestFit="1" customWidth="1"/>
    <col min="988" max="988" width="23" bestFit="1" customWidth="1"/>
    <col min="989" max="989" width="41.5546875" bestFit="1" customWidth="1"/>
    <col min="990" max="990" width="36.44140625" bestFit="1" customWidth="1"/>
    <col min="991" max="991" width="29.33203125" bestFit="1" customWidth="1"/>
    <col min="992" max="992" width="18.88671875" bestFit="1" customWidth="1"/>
    <col min="993" max="993" width="25.77734375" bestFit="1" customWidth="1"/>
    <col min="994" max="994" width="28.77734375" bestFit="1" customWidth="1"/>
    <col min="995" max="995" width="25.77734375" bestFit="1" customWidth="1"/>
    <col min="996" max="996" width="34.44140625" bestFit="1" customWidth="1"/>
    <col min="997" max="997" width="45.109375" bestFit="1" customWidth="1"/>
    <col min="998" max="998" width="23" bestFit="1" customWidth="1"/>
    <col min="999" max="999" width="14.109375" bestFit="1" customWidth="1"/>
    <col min="1000" max="1000" width="21.5546875" bestFit="1" customWidth="1"/>
    <col min="1001" max="1001" width="13.88671875" bestFit="1" customWidth="1"/>
    <col min="1002" max="1002" width="13.21875" bestFit="1" customWidth="1"/>
    <col min="1003" max="1003" width="13.6640625" bestFit="1" customWidth="1"/>
    <col min="1004" max="1004" width="18.109375" bestFit="1" customWidth="1"/>
    <col min="1005" max="1005" width="26" bestFit="1" customWidth="1"/>
    <col min="1006" max="1006" width="30" bestFit="1" customWidth="1"/>
    <col min="1007" max="1007" width="15.6640625" bestFit="1" customWidth="1"/>
    <col min="1008" max="1008" width="7.6640625" bestFit="1" customWidth="1"/>
    <col min="1009" max="1009" width="26.6640625" bestFit="1" customWidth="1"/>
    <col min="1010" max="1010" width="36.21875" bestFit="1" customWidth="1"/>
    <col min="1011" max="1011" width="15.33203125" bestFit="1" customWidth="1"/>
    <col min="1012" max="1012" width="27.109375" bestFit="1" customWidth="1"/>
    <col min="1013" max="1013" width="26.6640625" bestFit="1" customWidth="1"/>
    <col min="1014" max="1014" width="33.88671875" bestFit="1" customWidth="1"/>
    <col min="1015" max="1015" width="23" bestFit="1" customWidth="1"/>
    <col min="1016" max="1016" width="52.6640625" bestFit="1" customWidth="1"/>
    <col min="1017" max="1017" width="43.33203125" bestFit="1" customWidth="1"/>
    <col min="1018" max="1018" width="29.6640625" bestFit="1" customWidth="1"/>
    <col min="1019" max="1019" width="20.77734375" bestFit="1" customWidth="1"/>
    <col min="1020" max="1020" width="18.33203125" bestFit="1" customWidth="1"/>
    <col min="1021" max="1021" width="41" bestFit="1" customWidth="1"/>
    <col min="1022" max="1022" width="49.21875" bestFit="1" customWidth="1"/>
    <col min="1023" max="1023" width="38.6640625" bestFit="1" customWidth="1"/>
    <col min="1024" max="1024" width="41.88671875" bestFit="1" customWidth="1"/>
    <col min="1025" max="1025" width="27.33203125" bestFit="1" customWidth="1"/>
    <col min="1026" max="1026" width="22.77734375" bestFit="1" customWidth="1"/>
    <col min="1027" max="1027" width="34.44140625" bestFit="1" customWidth="1"/>
    <col min="1028" max="1028" width="38.109375" bestFit="1" customWidth="1"/>
    <col min="1029" max="1029" width="24" bestFit="1" customWidth="1"/>
    <col min="1030" max="1030" width="48.77734375" bestFit="1" customWidth="1"/>
    <col min="1031" max="1031" width="46" bestFit="1" customWidth="1"/>
    <col min="1032" max="1032" width="31.88671875" bestFit="1" customWidth="1"/>
    <col min="1033" max="1033" width="39.77734375" bestFit="1" customWidth="1"/>
    <col min="1034" max="1034" width="33.44140625" bestFit="1" customWidth="1"/>
    <col min="1035" max="1035" width="43" bestFit="1" customWidth="1"/>
    <col min="1036" max="1036" width="28.88671875" bestFit="1" customWidth="1"/>
    <col min="1037" max="1037" width="16.21875" bestFit="1" customWidth="1"/>
    <col min="1038" max="1038" width="15.77734375" bestFit="1" customWidth="1"/>
    <col min="1039" max="1039" width="35.77734375" bestFit="1" customWidth="1"/>
    <col min="1040" max="1040" width="32.5546875" bestFit="1" customWidth="1"/>
    <col min="1041" max="1041" width="22.88671875" bestFit="1" customWidth="1"/>
    <col min="1042" max="1042" width="30.88671875" bestFit="1" customWidth="1"/>
    <col min="1043" max="1043" width="16.109375" bestFit="1" customWidth="1"/>
    <col min="1044" max="1044" width="26.6640625" bestFit="1" customWidth="1"/>
    <col min="1045" max="1045" width="42.44140625" bestFit="1" customWidth="1"/>
    <col min="1046" max="1046" width="40.77734375" bestFit="1" customWidth="1"/>
    <col min="1047" max="1047" width="37.109375" bestFit="1" customWidth="1"/>
    <col min="1048" max="1048" width="26" bestFit="1" customWidth="1"/>
    <col min="1049" max="1049" width="44.77734375" bestFit="1" customWidth="1"/>
    <col min="1050" max="1050" width="39.88671875" bestFit="1" customWidth="1"/>
    <col min="1051" max="1051" width="40.44140625" bestFit="1" customWidth="1"/>
    <col min="1052" max="1052" width="29.5546875" bestFit="1" customWidth="1"/>
    <col min="1053" max="1053" width="29.33203125" bestFit="1" customWidth="1"/>
    <col min="1054" max="1054" width="44.21875" bestFit="1" customWidth="1"/>
    <col min="1055" max="1055" width="42.5546875" bestFit="1" customWidth="1"/>
    <col min="1056" max="1056" width="59.21875" bestFit="1" customWidth="1"/>
    <col min="1057" max="1057" width="36.109375" bestFit="1" customWidth="1"/>
    <col min="1058" max="1058" width="37.109375" bestFit="1" customWidth="1"/>
    <col min="1059" max="1059" width="53.5546875" bestFit="1" customWidth="1"/>
    <col min="1060" max="1060" width="46.88671875" bestFit="1" customWidth="1"/>
    <col min="1061" max="1061" width="41.88671875" bestFit="1" customWidth="1"/>
    <col min="1062" max="1062" width="49.6640625" bestFit="1" customWidth="1"/>
    <col min="1063" max="1063" width="19.21875" bestFit="1" customWidth="1"/>
    <col min="1064" max="1064" width="19.109375" bestFit="1" customWidth="1"/>
    <col min="1065" max="1065" width="20.109375" bestFit="1" customWidth="1"/>
    <col min="1066" max="1066" width="16.44140625" bestFit="1" customWidth="1"/>
    <col min="1067" max="1067" width="31.44140625" bestFit="1" customWidth="1"/>
    <col min="1068" max="1068" width="26.88671875" bestFit="1" customWidth="1"/>
    <col min="1069" max="1069" width="36.44140625" bestFit="1" customWidth="1"/>
    <col min="1070" max="1070" width="20.44140625" bestFit="1" customWidth="1"/>
    <col min="1071" max="1071" width="45" bestFit="1" customWidth="1"/>
    <col min="1072" max="1072" width="40.44140625" bestFit="1" customWidth="1"/>
    <col min="1073" max="1073" width="35.33203125" bestFit="1" customWidth="1"/>
    <col min="1074" max="1074" width="40.5546875" bestFit="1" customWidth="1"/>
    <col min="1075" max="1075" width="17" bestFit="1" customWidth="1"/>
    <col min="1076" max="1076" width="20.44140625" bestFit="1" customWidth="1"/>
    <col min="1077" max="1077" width="22.88671875" bestFit="1" customWidth="1"/>
    <col min="1078" max="1078" width="15.88671875" bestFit="1" customWidth="1"/>
    <col min="1079" max="1079" width="45.33203125" bestFit="1" customWidth="1"/>
    <col min="1080" max="1080" width="10.33203125" bestFit="1" customWidth="1"/>
    <col min="1081" max="1081" width="16.6640625" bestFit="1" customWidth="1"/>
    <col min="1082" max="1082" width="15.21875" bestFit="1" customWidth="1"/>
    <col min="1083" max="1083" width="41" bestFit="1" customWidth="1"/>
    <col min="1084" max="1084" width="20.44140625" bestFit="1" customWidth="1"/>
    <col min="1085" max="1085" width="21.109375" bestFit="1" customWidth="1"/>
    <col min="1086" max="1086" width="37.5546875" bestFit="1" customWidth="1"/>
    <col min="1087" max="1087" width="17.33203125" bestFit="1" customWidth="1"/>
    <col min="1088" max="1088" width="29.21875" bestFit="1" customWidth="1"/>
    <col min="1089" max="1089" width="29" bestFit="1" customWidth="1"/>
    <col min="1090" max="1090" width="35" bestFit="1" customWidth="1"/>
    <col min="1091" max="1091" width="49" bestFit="1" customWidth="1"/>
    <col min="1092" max="1092" width="31.77734375" bestFit="1" customWidth="1"/>
    <col min="1093" max="1093" width="24.77734375" bestFit="1" customWidth="1"/>
    <col min="1094" max="1094" width="5.6640625" bestFit="1" customWidth="1"/>
    <col min="1095" max="1095" width="22.77734375" bestFit="1" customWidth="1"/>
    <col min="1096" max="1096" width="12.5546875" bestFit="1" customWidth="1"/>
    <col min="1097" max="1097" width="18.33203125" bestFit="1" customWidth="1"/>
    <col min="1098" max="1098" width="21.33203125" bestFit="1" customWidth="1"/>
    <col min="1099" max="1099" width="23.21875" bestFit="1" customWidth="1"/>
    <col min="1100" max="1100" width="27.44140625" bestFit="1" customWidth="1"/>
    <col min="1101" max="1101" width="49.88671875" bestFit="1" customWidth="1"/>
    <col min="1102" max="1102" width="24.6640625" bestFit="1" customWidth="1"/>
    <col min="1103" max="1103" width="21.44140625" bestFit="1" customWidth="1"/>
    <col min="1104" max="1104" width="22.33203125" bestFit="1" customWidth="1"/>
    <col min="1105" max="1105" width="24.21875" bestFit="1" customWidth="1"/>
    <col min="1106" max="1106" width="25.88671875" bestFit="1" customWidth="1"/>
    <col min="1107" max="1107" width="34.21875" bestFit="1" customWidth="1"/>
    <col min="1108" max="1108" width="29.6640625" bestFit="1" customWidth="1"/>
    <col min="1109" max="1109" width="20.21875" bestFit="1" customWidth="1"/>
    <col min="1110" max="1110" width="15.6640625" bestFit="1" customWidth="1"/>
    <col min="1111" max="1111" width="23.77734375" bestFit="1" customWidth="1"/>
    <col min="1112" max="1112" width="8.5546875" bestFit="1" customWidth="1"/>
    <col min="1113" max="1113" width="16.6640625" bestFit="1" customWidth="1"/>
    <col min="1114" max="1114" width="27" bestFit="1" customWidth="1"/>
    <col min="1115" max="1115" width="34.109375" bestFit="1" customWidth="1"/>
    <col min="1116" max="1116" width="27" bestFit="1" customWidth="1"/>
    <col min="1117" max="1117" width="29.77734375" bestFit="1" customWidth="1"/>
    <col min="1118" max="1118" width="28.88671875" bestFit="1" customWidth="1"/>
    <col min="1119" max="1119" width="40.21875" bestFit="1" customWidth="1"/>
    <col min="1120" max="1120" width="54.6640625" bestFit="1" customWidth="1"/>
    <col min="1121" max="1121" width="27.109375" bestFit="1" customWidth="1"/>
    <col min="1122" max="1122" width="14.5546875" bestFit="1" customWidth="1"/>
    <col min="1123" max="1123" width="23.88671875" bestFit="1" customWidth="1"/>
    <col min="1124" max="1124" width="32.88671875" bestFit="1" customWidth="1"/>
    <col min="1125" max="1125" width="26.109375" bestFit="1" customWidth="1"/>
    <col min="1126" max="1126" width="14.109375" bestFit="1" customWidth="1"/>
    <col min="1127" max="1127" width="39.77734375" bestFit="1" customWidth="1"/>
    <col min="1128" max="1128" width="36.6640625" bestFit="1" customWidth="1"/>
    <col min="1129" max="1129" width="24.109375" bestFit="1" customWidth="1"/>
    <col min="1130" max="1130" width="14.21875" bestFit="1" customWidth="1"/>
    <col min="1131" max="1131" width="15.77734375" bestFit="1" customWidth="1"/>
    <col min="1132" max="1132" width="20.6640625" bestFit="1" customWidth="1"/>
    <col min="1133" max="1133" width="15.21875" bestFit="1" customWidth="1"/>
    <col min="1134" max="1134" width="15.109375" bestFit="1" customWidth="1"/>
    <col min="1135" max="1135" width="15" bestFit="1" customWidth="1"/>
    <col min="1136" max="1136" width="12" bestFit="1" customWidth="1"/>
    <col min="1137" max="1137" width="13.77734375" bestFit="1" customWidth="1"/>
    <col min="1138" max="1138" width="15.21875" bestFit="1" customWidth="1"/>
    <col min="1139" max="1139" width="23.5546875" bestFit="1" customWidth="1"/>
    <col min="1140" max="1140" width="32.77734375" bestFit="1" customWidth="1"/>
    <col min="1141" max="1141" width="39.6640625" bestFit="1" customWidth="1"/>
    <col min="1142" max="1142" width="18.6640625" bestFit="1" customWidth="1"/>
    <col min="1143" max="1143" width="16.6640625" bestFit="1" customWidth="1"/>
    <col min="1144" max="1144" width="14.6640625" bestFit="1" customWidth="1"/>
    <col min="1145" max="1145" width="16.6640625" bestFit="1" customWidth="1"/>
    <col min="1146" max="1146" width="14.6640625" bestFit="1" customWidth="1"/>
    <col min="1147" max="1147" width="16.6640625" bestFit="1" customWidth="1"/>
    <col min="1148" max="1148" width="11.6640625" bestFit="1" customWidth="1"/>
    <col min="1149" max="1149" width="14.88671875" bestFit="1" customWidth="1"/>
    <col min="1150" max="1150" width="12.77734375" bestFit="1" customWidth="1"/>
    <col min="1151" max="1151" width="22.77734375" bestFit="1" customWidth="1"/>
    <col min="1152" max="1152" width="24.21875" bestFit="1" customWidth="1"/>
    <col min="1153" max="1153" width="21.6640625" bestFit="1" customWidth="1"/>
    <col min="1154" max="1154" width="23.6640625" bestFit="1" customWidth="1"/>
    <col min="1155" max="1155" width="31" bestFit="1" customWidth="1"/>
    <col min="1156" max="1156" width="19.6640625" bestFit="1" customWidth="1"/>
    <col min="1157" max="1157" width="23.6640625" bestFit="1" customWidth="1"/>
    <col min="1158" max="1158" width="27.77734375" bestFit="1" customWidth="1"/>
    <col min="1159" max="1159" width="28.33203125" bestFit="1" customWidth="1"/>
    <col min="1160" max="1160" width="15.77734375" bestFit="1" customWidth="1"/>
    <col min="1161" max="1161" width="33.44140625" bestFit="1" customWidth="1"/>
    <col min="1162" max="1162" width="25.5546875" bestFit="1" customWidth="1"/>
    <col min="1163" max="1163" width="18.33203125" bestFit="1" customWidth="1"/>
    <col min="1164" max="1164" width="25.88671875" bestFit="1" customWidth="1"/>
    <col min="1165" max="1165" width="23.6640625" bestFit="1" customWidth="1"/>
    <col min="1166" max="1167" width="18.109375" bestFit="1" customWidth="1"/>
    <col min="1168" max="1168" width="19.5546875" bestFit="1" customWidth="1"/>
    <col min="1169" max="1169" width="26.6640625" bestFit="1" customWidth="1"/>
    <col min="1170" max="1170" width="21" bestFit="1" customWidth="1"/>
    <col min="1171" max="1171" width="21.88671875" bestFit="1" customWidth="1"/>
    <col min="1172" max="1172" width="20.21875" bestFit="1" customWidth="1"/>
    <col min="1173" max="1173" width="21.44140625" bestFit="1" customWidth="1"/>
    <col min="1174" max="1174" width="20.5546875" bestFit="1" customWidth="1"/>
    <col min="1175" max="1175" width="14.77734375" bestFit="1" customWidth="1"/>
    <col min="1176" max="1176" width="17.44140625" bestFit="1" customWidth="1"/>
    <col min="1177" max="1177" width="6.21875" bestFit="1" customWidth="1"/>
    <col min="1178" max="1178" width="9.109375" bestFit="1" customWidth="1"/>
    <col min="1179" max="1179" width="27.21875" bestFit="1" customWidth="1"/>
    <col min="1180" max="1180" width="27.88671875" bestFit="1" customWidth="1"/>
    <col min="1181" max="1181" width="13.109375" bestFit="1" customWidth="1"/>
    <col min="1182" max="1182" width="17.77734375" bestFit="1" customWidth="1"/>
    <col min="1183" max="1183" width="17.33203125" bestFit="1" customWidth="1"/>
    <col min="1184" max="1184" width="17" bestFit="1" customWidth="1"/>
    <col min="1185" max="1185" width="24" bestFit="1" customWidth="1"/>
    <col min="1186" max="1186" width="23.6640625" bestFit="1" customWidth="1"/>
    <col min="1187" max="1187" width="33.109375" bestFit="1" customWidth="1"/>
    <col min="1188" max="1188" width="23.109375" bestFit="1" customWidth="1"/>
    <col min="1189" max="1189" width="12.21875" bestFit="1" customWidth="1"/>
    <col min="1190" max="1190" width="20" bestFit="1" customWidth="1"/>
    <col min="1191" max="1191" width="39.33203125" bestFit="1" customWidth="1"/>
    <col min="1192" max="1192" width="34.109375" bestFit="1" customWidth="1"/>
    <col min="1193" max="1193" width="19" bestFit="1" customWidth="1"/>
    <col min="1194" max="1194" width="22" bestFit="1" customWidth="1"/>
    <col min="1195" max="1195" width="22.5546875" bestFit="1" customWidth="1"/>
    <col min="1196" max="1196" width="18.44140625" bestFit="1" customWidth="1"/>
    <col min="1197" max="1197" width="12.77734375" bestFit="1" customWidth="1"/>
    <col min="1198" max="1198" width="25.5546875" bestFit="1" customWidth="1"/>
    <col min="1199" max="1199" width="28.33203125" bestFit="1" customWidth="1"/>
    <col min="1200" max="1200" width="23.44140625" bestFit="1" customWidth="1"/>
    <col min="1201" max="1201" width="21.33203125" bestFit="1" customWidth="1"/>
    <col min="1202" max="1202" width="28.88671875" bestFit="1" customWidth="1"/>
    <col min="1203" max="1203" width="20.77734375" bestFit="1" customWidth="1"/>
    <col min="1204" max="1204" width="24.33203125" bestFit="1" customWidth="1"/>
    <col min="1205" max="1205" width="38.21875" bestFit="1" customWidth="1"/>
    <col min="1206" max="1206" width="31.88671875" bestFit="1" customWidth="1"/>
    <col min="1207" max="1207" width="29.77734375" bestFit="1" customWidth="1"/>
    <col min="1208" max="1208" width="18.77734375" bestFit="1" customWidth="1"/>
    <col min="1209" max="1209" width="9" bestFit="1" customWidth="1"/>
    <col min="1210" max="1210" width="19.6640625" bestFit="1" customWidth="1"/>
    <col min="1211" max="1211" width="17" bestFit="1" customWidth="1"/>
    <col min="1212" max="1212" width="35.109375" bestFit="1" customWidth="1"/>
    <col min="1213" max="1213" width="35.21875" bestFit="1" customWidth="1"/>
    <col min="1214" max="1214" width="33.6640625" bestFit="1" customWidth="1"/>
    <col min="1215" max="1215" width="11" bestFit="1" customWidth="1"/>
    <col min="1216" max="1216" width="23.5546875" bestFit="1" customWidth="1"/>
    <col min="1217" max="1217" width="20" bestFit="1" customWidth="1"/>
    <col min="1218" max="1218" width="30.44140625" bestFit="1" customWidth="1"/>
    <col min="1219" max="1219" width="22.88671875" bestFit="1" customWidth="1"/>
    <col min="1220" max="1220" width="29.77734375" bestFit="1" customWidth="1"/>
    <col min="1221" max="1221" width="27.5546875" bestFit="1" customWidth="1"/>
    <col min="1222" max="1222" width="21.77734375" bestFit="1" customWidth="1"/>
    <col min="1223" max="1223" width="14.5546875" bestFit="1" customWidth="1"/>
    <col min="1224" max="1224" width="19.77734375" bestFit="1" customWidth="1"/>
    <col min="1225" max="1225" width="27.44140625" bestFit="1" customWidth="1"/>
    <col min="1226" max="1226" width="22.6640625" bestFit="1" customWidth="1"/>
    <col min="1227" max="1227" width="11.5546875" bestFit="1" customWidth="1"/>
    <col min="1228" max="1228" width="25.109375" bestFit="1" customWidth="1"/>
    <col min="1229" max="1229" width="33.33203125" bestFit="1" customWidth="1"/>
    <col min="1230" max="1230" width="23.109375" bestFit="1" customWidth="1"/>
    <col min="1231" max="1231" width="12.44140625" bestFit="1" customWidth="1"/>
    <col min="1232" max="1232" width="14.77734375" bestFit="1" customWidth="1"/>
    <col min="1233" max="1233" width="17.77734375" bestFit="1" customWidth="1"/>
    <col min="1234" max="1234" width="21.5546875" bestFit="1" customWidth="1"/>
    <col min="1235" max="1235" width="22.77734375" bestFit="1" customWidth="1"/>
    <col min="1236" max="1236" width="13.44140625" bestFit="1" customWidth="1"/>
    <col min="1237" max="1237" width="32.5546875" bestFit="1" customWidth="1"/>
    <col min="1238" max="1238" width="18.21875" bestFit="1" customWidth="1"/>
    <col min="1239" max="1239" width="17.44140625" bestFit="1" customWidth="1"/>
    <col min="1240" max="1240" width="15" bestFit="1" customWidth="1"/>
    <col min="1241" max="1241" width="14" bestFit="1" customWidth="1"/>
    <col min="1242" max="1242" width="16.77734375" bestFit="1" customWidth="1"/>
    <col min="1243" max="1243" width="16.6640625" bestFit="1" customWidth="1"/>
    <col min="1244" max="1244" width="19.6640625" bestFit="1" customWidth="1"/>
    <col min="1245" max="1245" width="24.88671875" bestFit="1" customWidth="1"/>
    <col min="1246" max="1246" width="15" bestFit="1" customWidth="1"/>
    <col min="1247" max="1247" width="12.6640625" bestFit="1" customWidth="1"/>
    <col min="1248" max="1248" width="18.109375" bestFit="1" customWidth="1"/>
    <col min="1249" max="1249" width="14.109375" bestFit="1" customWidth="1"/>
    <col min="1250" max="1250" width="16.21875" bestFit="1" customWidth="1"/>
    <col min="1251" max="1251" width="14.33203125" bestFit="1" customWidth="1"/>
    <col min="1252" max="1252" width="16.44140625" bestFit="1" customWidth="1"/>
    <col min="1253" max="1253" width="20.109375" bestFit="1" customWidth="1"/>
    <col min="1254" max="1254" width="18.6640625" bestFit="1" customWidth="1"/>
    <col min="1255" max="1255" width="12.33203125" bestFit="1" customWidth="1"/>
    <col min="1256" max="1256" width="25" bestFit="1" customWidth="1"/>
    <col min="1257" max="1257" width="20.88671875" bestFit="1" customWidth="1"/>
    <col min="1258" max="1258" width="13.6640625" bestFit="1" customWidth="1"/>
    <col min="1259" max="1259" width="14.21875" bestFit="1" customWidth="1"/>
    <col min="1260" max="1260" width="17.77734375" bestFit="1" customWidth="1"/>
    <col min="1261" max="1261" width="15.6640625" bestFit="1" customWidth="1"/>
    <col min="1262" max="1262" width="15.5546875" bestFit="1" customWidth="1"/>
    <col min="1263" max="1263" width="15.44140625" bestFit="1" customWidth="1"/>
    <col min="1264" max="1264" width="18.6640625" bestFit="1" customWidth="1"/>
    <col min="1265" max="1265" width="15.21875" bestFit="1" customWidth="1"/>
    <col min="1266" max="1266" width="22.44140625" bestFit="1" customWidth="1"/>
    <col min="1267" max="1267" width="13.5546875" bestFit="1" customWidth="1"/>
    <col min="1268" max="1268" width="17.5546875" bestFit="1" customWidth="1"/>
    <col min="1269" max="1269" width="13.109375" bestFit="1" customWidth="1"/>
    <col min="1270" max="1270" width="15.5546875" bestFit="1" customWidth="1"/>
    <col min="1271" max="1271" width="14.33203125" bestFit="1" customWidth="1"/>
    <col min="1272" max="1272" width="18" bestFit="1" customWidth="1"/>
    <col min="1273" max="1273" width="14.44140625" bestFit="1" customWidth="1"/>
    <col min="1274" max="1274" width="13.77734375" bestFit="1" customWidth="1"/>
    <col min="1275" max="1275" width="21.33203125" bestFit="1" customWidth="1"/>
    <col min="1276" max="1276" width="12.21875" bestFit="1" customWidth="1"/>
    <col min="1277" max="1277" width="15.21875" bestFit="1" customWidth="1"/>
    <col min="1278" max="1278" width="18.5546875" bestFit="1" customWidth="1"/>
    <col min="1279" max="1279" width="16.6640625" bestFit="1" customWidth="1"/>
    <col min="1280" max="1280" width="35.21875" bestFit="1" customWidth="1"/>
    <col min="1281" max="1281" width="13.109375" bestFit="1" customWidth="1"/>
    <col min="1282" max="1282" width="14.5546875" bestFit="1" customWidth="1"/>
    <col min="1283" max="1283" width="15.77734375" bestFit="1" customWidth="1"/>
    <col min="1284" max="1284" width="13.21875" bestFit="1" customWidth="1"/>
    <col min="1285" max="1285" width="16.109375" bestFit="1" customWidth="1"/>
    <col min="1286" max="1286" width="23" bestFit="1" customWidth="1"/>
    <col min="1287" max="1288" width="28.44140625" bestFit="1" customWidth="1"/>
    <col min="1289" max="1289" width="21.33203125" bestFit="1" customWidth="1"/>
    <col min="1290" max="1290" width="44.33203125" bestFit="1" customWidth="1"/>
    <col min="1291" max="1291" width="24.6640625" bestFit="1" customWidth="1"/>
    <col min="1292" max="1292" width="33.88671875" bestFit="1" customWidth="1"/>
    <col min="1293" max="1293" width="20.77734375" bestFit="1" customWidth="1"/>
    <col min="1294" max="1294" width="29.88671875" bestFit="1" customWidth="1"/>
    <col min="1295" max="1295" width="12.5546875" bestFit="1" customWidth="1"/>
    <col min="1296" max="1296" width="20.77734375" bestFit="1" customWidth="1"/>
    <col min="1297" max="1297" width="16" bestFit="1" customWidth="1"/>
    <col min="1298" max="1298" width="19.21875" bestFit="1" customWidth="1"/>
    <col min="1299" max="1299" width="13.21875" bestFit="1" customWidth="1"/>
    <col min="1300" max="1300" width="16.109375" bestFit="1" customWidth="1"/>
    <col min="1301" max="1301" width="17.44140625" bestFit="1" customWidth="1"/>
    <col min="1302" max="1302" width="8.6640625" bestFit="1" customWidth="1"/>
    <col min="1303" max="1303" width="10.6640625" bestFit="1" customWidth="1"/>
    <col min="1304" max="1304" width="13.88671875" bestFit="1" customWidth="1"/>
    <col min="1305" max="1305" width="15.5546875" bestFit="1" customWidth="1"/>
    <col min="1306" max="1306" width="17.5546875" bestFit="1" customWidth="1"/>
    <col min="1307" max="1307" width="14.5546875" bestFit="1" customWidth="1"/>
    <col min="1308" max="1308" width="31.33203125" bestFit="1" customWidth="1"/>
    <col min="1309" max="1309" width="34.77734375" bestFit="1" customWidth="1"/>
    <col min="1310" max="1310" width="42.44140625" bestFit="1" customWidth="1"/>
    <col min="1311" max="1311" width="30" bestFit="1" customWidth="1"/>
    <col min="1312" max="1312" width="34.77734375" bestFit="1" customWidth="1"/>
    <col min="1313" max="1313" width="31.33203125" bestFit="1" customWidth="1"/>
    <col min="1314" max="1314" width="17" bestFit="1" customWidth="1"/>
    <col min="1315" max="1315" width="33.109375" bestFit="1" customWidth="1"/>
    <col min="1316" max="1316" width="26.21875" bestFit="1" customWidth="1"/>
    <col min="1317" max="1317" width="12.109375" bestFit="1" customWidth="1"/>
    <col min="1318" max="1318" width="12.77734375" bestFit="1" customWidth="1"/>
    <col min="1319" max="1319" width="29.6640625" bestFit="1" customWidth="1"/>
    <col min="1320" max="1320" width="15.77734375" bestFit="1" customWidth="1"/>
    <col min="1321" max="1321" width="14.109375" bestFit="1" customWidth="1"/>
    <col min="1322" max="1322" width="22.5546875" bestFit="1" customWidth="1"/>
    <col min="1323" max="1323" width="19.33203125" bestFit="1" customWidth="1"/>
    <col min="1324" max="1324" width="22.77734375" bestFit="1" customWidth="1"/>
    <col min="1325" max="1325" width="24.33203125" bestFit="1" customWidth="1"/>
    <col min="1326" max="1326" width="30.21875" bestFit="1" customWidth="1"/>
    <col min="1327" max="1327" width="14.44140625" bestFit="1" customWidth="1"/>
    <col min="1328" max="1328" width="23.6640625" bestFit="1" customWidth="1"/>
    <col min="1329" max="1329" width="27.6640625" bestFit="1" customWidth="1"/>
    <col min="1330" max="1330" width="48.5546875" bestFit="1" customWidth="1"/>
    <col min="1331" max="1331" width="18.33203125" bestFit="1" customWidth="1"/>
    <col min="1332" max="1332" width="19.21875" bestFit="1" customWidth="1"/>
    <col min="1333" max="1333" width="15.6640625" bestFit="1" customWidth="1"/>
    <col min="1334" max="1334" width="16.88671875" bestFit="1" customWidth="1"/>
    <col min="1335" max="1335" width="21.77734375" bestFit="1" customWidth="1"/>
    <col min="1336" max="1336" width="12.21875" bestFit="1" customWidth="1"/>
    <col min="1337" max="1337" width="26.6640625" bestFit="1" customWidth="1"/>
    <col min="1338" max="1338" width="23.44140625" bestFit="1" customWidth="1"/>
    <col min="1339" max="1339" width="20.33203125" bestFit="1" customWidth="1"/>
    <col min="1340" max="1340" width="11.109375" bestFit="1" customWidth="1"/>
    <col min="1341" max="1341" width="20.88671875" bestFit="1" customWidth="1"/>
    <col min="1342" max="1342" width="18.77734375" bestFit="1" customWidth="1"/>
    <col min="1343" max="1343" width="39" bestFit="1" customWidth="1"/>
    <col min="1344" max="1344" width="22.109375" bestFit="1" customWidth="1"/>
    <col min="1345" max="1345" width="23.77734375" bestFit="1" customWidth="1"/>
    <col min="1346" max="1346" width="30.109375" bestFit="1" customWidth="1"/>
    <col min="1347" max="1347" width="19" bestFit="1" customWidth="1"/>
    <col min="1348" max="1348" width="21.77734375" bestFit="1" customWidth="1"/>
    <col min="1349" max="1349" width="20.109375" bestFit="1" customWidth="1"/>
    <col min="1350" max="1350" width="25.44140625" bestFit="1" customWidth="1"/>
    <col min="1351" max="1351" width="26.21875" bestFit="1" customWidth="1"/>
    <col min="1352" max="1352" width="31.33203125" bestFit="1" customWidth="1"/>
    <col min="1353" max="1353" width="19.109375" bestFit="1" customWidth="1"/>
    <col min="1354" max="1354" width="14.21875" bestFit="1" customWidth="1"/>
    <col min="1355" max="1355" width="17" bestFit="1" customWidth="1"/>
    <col min="1356" max="1356" width="34.5546875" bestFit="1" customWidth="1"/>
    <col min="1357" max="1357" width="19" bestFit="1" customWidth="1"/>
    <col min="1358" max="1358" width="26" bestFit="1" customWidth="1"/>
    <col min="1359" max="1359" width="52.44140625" bestFit="1" customWidth="1"/>
    <col min="1360" max="1360" width="41.88671875" bestFit="1" customWidth="1"/>
    <col min="1361" max="1361" width="33.6640625" bestFit="1" customWidth="1"/>
    <col min="1362" max="1362" width="27.88671875" bestFit="1" customWidth="1"/>
    <col min="1363" max="1363" width="29.77734375" bestFit="1" customWidth="1"/>
    <col min="1364" max="1364" width="19.33203125" bestFit="1" customWidth="1"/>
    <col min="1365" max="1365" width="19.88671875" bestFit="1" customWidth="1"/>
    <col min="1366" max="1366" width="22.5546875" bestFit="1" customWidth="1"/>
    <col min="1367" max="1367" width="27.77734375" bestFit="1" customWidth="1"/>
    <col min="1368" max="1368" width="18.88671875" bestFit="1" customWidth="1"/>
    <col min="1369" max="1369" width="27.109375" bestFit="1" customWidth="1"/>
    <col min="1370" max="1370" width="36.21875" bestFit="1" customWidth="1"/>
    <col min="1371" max="1371" width="33" bestFit="1" customWidth="1"/>
    <col min="1372" max="1372" width="21" bestFit="1" customWidth="1"/>
    <col min="1373" max="1373" width="29.77734375" bestFit="1" customWidth="1"/>
    <col min="1374" max="1374" width="25.21875" bestFit="1" customWidth="1"/>
    <col min="1375" max="1375" width="32.21875" bestFit="1" customWidth="1"/>
    <col min="1376" max="1376" width="23.88671875" bestFit="1" customWidth="1"/>
    <col min="1377" max="1377" width="25.5546875" bestFit="1" customWidth="1"/>
    <col min="1378" max="1378" width="31.5546875" bestFit="1" customWidth="1"/>
    <col min="1379" max="1379" width="33.88671875" bestFit="1" customWidth="1"/>
    <col min="1380" max="1380" width="17.5546875" bestFit="1" customWidth="1"/>
    <col min="1381" max="1381" width="22.88671875" bestFit="1" customWidth="1"/>
    <col min="1382" max="1382" width="32.44140625" bestFit="1" customWidth="1"/>
    <col min="1383" max="1383" width="24.21875" bestFit="1" customWidth="1"/>
    <col min="1384" max="1384" width="13.88671875" bestFit="1" customWidth="1"/>
    <col min="1385" max="1385" width="22" bestFit="1" customWidth="1"/>
    <col min="1386" max="1386" width="32.44140625" bestFit="1" customWidth="1"/>
    <col min="1387" max="1387" width="13.88671875" bestFit="1" customWidth="1"/>
    <col min="1388" max="1388" width="12" bestFit="1" customWidth="1"/>
    <col min="1389" max="1389" width="12.44140625" bestFit="1" customWidth="1"/>
    <col min="1390" max="1390" width="26.6640625" bestFit="1" customWidth="1"/>
    <col min="1391" max="1391" width="33.109375" bestFit="1" customWidth="1"/>
    <col min="1392" max="1392" width="17.33203125" bestFit="1" customWidth="1"/>
    <col min="1393" max="1393" width="32.109375" bestFit="1" customWidth="1"/>
    <col min="1394" max="1394" width="21.109375" bestFit="1" customWidth="1"/>
    <col min="1395" max="1395" width="13.77734375" bestFit="1" customWidth="1"/>
    <col min="1396" max="1396" width="25.6640625" bestFit="1" customWidth="1"/>
    <col min="1397" max="1397" width="23.5546875" bestFit="1" customWidth="1"/>
    <col min="1398" max="1398" width="37.109375" bestFit="1" customWidth="1"/>
    <col min="1399" max="1399" width="32.33203125" bestFit="1" customWidth="1"/>
    <col min="1400" max="1400" width="35.77734375" bestFit="1" customWidth="1"/>
    <col min="1401" max="1401" width="36" bestFit="1" customWidth="1"/>
    <col min="1402" max="1402" width="32.33203125" bestFit="1" customWidth="1"/>
    <col min="1403" max="1403" width="37.21875" bestFit="1" customWidth="1"/>
    <col min="1404" max="1404" width="35.33203125" bestFit="1" customWidth="1"/>
    <col min="1405" max="1405" width="39.88671875" bestFit="1" customWidth="1"/>
    <col min="1406" max="1406" width="38.44140625" bestFit="1" customWidth="1"/>
    <col min="1407" max="1407" width="33.109375" bestFit="1" customWidth="1"/>
    <col min="1408" max="1408" width="28.88671875" bestFit="1" customWidth="1"/>
    <col min="1409" max="1409" width="21.109375" bestFit="1" customWidth="1"/>
    <col min="1410" max="1410" width="10.21875" bestFit="1" customWidth="1"/>
    <col min="1411" max="1411" width="27.109375" bestFit="1" customWidth="1"/>
    <col min="1412" max="1412" width="17.88671875" bestFit="1" customWidth="1"/>
    <col min="1413" max="1413" width="23.44140625" bestFit="1" customWidth="1"/>
    <col min="1414" max="1414" width="17" bestFit="1" customWidth="1"/>
    <col min="1415" max="1415" width="12.5546875" bestFit="1" customWidth="1"/>
    <col min="1416" max="1416" width="8.6640625" bestFit="1" customWidth="1"/>
    <col min="1417" max="1417" width="10.6640625" bestFit="1" customWidth="1"/>
    <col min="1418" max="1418" width="19.109375" bestFit="1" customWidth="1"/>
    <col min="1419" max="1419" width="15.109375" bestFit="1" customWidth="1"/>
    <col min="1420" max="1420" width="15" bestFit="1" customWidth="1"/>
    <col min="1421" max="1421" width="13.44140625" bestFit="1" customWidth="1"/>
    <col min="1422" max="1422" width="21.33203125" bestFit="1" customWidth="1"/>
    <col min="1423" max="1423" width="11.21875" bestFit="1" customWidth="1"/>
    <col min="1424" max="1424" width="43.21875" bestFit="1" customWidth="1"/>
    <col min="1425" max="1425" width="11.21875" bestFit="1" customWidth="1"/>
    <col min="1426" max="1426" width="25.77734375" bestFit="1" customWidth="1"/>
    <col min="1427" max="1427" width="27.88671875" bestFit="1" customWidth="1"/>
    <col min="1428" max="1428" width="15.44140625" bestFit="1" customWidth="1"/>
    <col min="1429" max="1429" width="29" bestFit="1" customWidth="1"/>
    <col min="1430" max="1430" width="44.109375" bestFit="1" customWidth="1"/>
    <col min="1431" max="1431" width="24.88671875" bestFit="1" customWidth="1"/>
    <col min="1432" max="1432" width="18.77734375" bestFit="1" customWidth="1"/>
    <col min="1433" max="1433" width="7.88671875" bestFit="1" customWidth="1"/>
    <col min="1434" max="1434" width="18" bestFit="1" customWidth="1"/>
    <col min="1435" max="1435" width="18.21875" bestFit="1" customWidth="1"/>
    <col min="1436" max="1436" width="34" bestFit="1" customWidth="1"/>
    <col min="1437" max="1437" width="16.5546875" bestFit="1" customWidth="1"/>
    <col min="1438" max="1438" width="23.44140625" bestFit="1" customWidth="1"/>
    <col min="1439" max="1439" width="31.6640625" bestFit="1" customWidth="1"/>
    <col min="1440" max="1440" width="26.88671875" bestFit="1" customWidth="1"/>
    <col min="1441" max="1441" width="13.6640625" bestFit="1" customWidth="1"/>
    <col min="1442" max="1442" width="29.33203125" bestFit="1" customWidth="1"/>
    <col min="1443" max="1443" width="19.88671875" bestFit="1" customWidth="1"/>
    <col min="1444" max="1444" width="9.33203125" bestFit="1" customWidth="1"/>
    <col min="1445" max="1445" width="11.88671875" bestFit="1" customWidth="1"/>
    <col min="1446" max="1446" width="13.44140625" bestFit="1" customWidth="1"/>
    <col min="1447" max="1447" width="30" bestFit="1" customWidth="1"/>
    <col min="1448" max="1448" width="13.5546875" bestFit="1" customWidth="1"/>
    <col min="1449" max="1449" width="16.88671875" bestFit="1" customWidth="1"/>
    <col min="1450" max="1450" width="47.77734375" bestFit="1" customWidth="1"/>
    <col min="1451" max="1451" width="46" bestFit="1" customWidth="1"/>
    <col min="1452" max="1452" width="20.77734375" bestFit="1" customWidth="1"/>
    <col min="1453" max="1453" width="21.109375" bestFit="1" customWidth="1"/>
    <col min="1454" max="1454" width="40.88671875" bestFit="1" customWidth="1"/>
    <col min="1455" max="1455" width="39.6640625" bestFit="1" customWidth="1"/>
    <col min="1456" max="1456" width="19.77734375" bestFit="1" customWidth="1"/>
    <col min="1457" max="1457" width="25.88671875" bestFit="1" customWidth="1"/>
    <col min="1458" max="1458" width="17.21875" bestFit="1" customWidth="1"/>
    <col min="1459" max="1459" width="20.5546875" bestFit="1" customWidth="1"/>
    <col min="1460" max="1460" width="17.77734375" bestFit="1" customWidth="1"/>
    <col min="1461" max="1461" width="33.77734375" bestFit="1" customWidth="1"/>
    <col min="1462" max="1462" width="12" bestFit="1" customWidth="1"/>
    <col min="1463" max="1463" width="43" bestFit="1" customWidth="1"/>
    <col min="1464" max="1464" width="37.77734375" bestFit="1" customWidth="1"/>
    <col min="1465" max="1465" width="19.5546875" bestFit="1" customWidth="1"/>
    <col min="1466" max="1466" width="25.21875" bestFit="1" customWidth="1"/>
    <col min="1467" max="1467" width="32.5546875" bestFit="1" customWidth="1"/>
    <col min="1468" max="1468" width="19.88671875" bestFit="1" customWidth="1"/>
    <col min="1469" max="1469" width="30.77734375" bestFit="1" customWidth="1"/>
    <col min="1470" max="1470" width="20.44140625" bestFit="1" customWidth="1"/>
    <col min="1471" max="1471" width="18" bestFit="1" customWidth="1"/>
    <col min="1472" max="1472" width="48.88671875" bestFit="1" customWidth="1"/>
    <col min="1473" max="1473" width="30.109375" bestFit="1" customWidth="1"/>
    <col min="1474" max="1474" width="23.88671875" bestFit="1" customWidth="1"/>
    <col min="1475" max="1475" width="32.88671875" bestFit="1" customWidth="1"/>
    <col min="1476" max="1476" width="22.6640625" bestFit="1" customWidth="1"/>
    <col min="1477" max="1477" width="30.5546875" bestFit="1" customWidth="1"/>
    <col min="1478" max="1478" width="34.5546875" bestFit="1" customWidth="1"/>
    <col min="1479" max="1479" width="27.33203125" bestFit="1" customWidth="1"/>
    <col min="1480" max="1480" width="18.77734375" bestFit="1" customWidth="1"/>
    <col min="1481" max="1481" width="17.6640625" bestFit="1" customWidth="1"/>
    <col min="1482" max="1482" width="16.77734375" bestFit="1" customWidth="1"/>
    <col min="1483" max="1483" width="25.5546875" bestFit="1" customWidth="1"/>
    <col min="1484" max="1484" width="40.109375" bestFit="1" customWidth="1"/>
    <col min="1485" max="1485" width="25.44140625" bestFit="1" customWidth="1"/>
    <col min="1486" max="1486" width="24.5546875" bestFit="1" customWidth="1"/>
    <col min="1487" max="1487" width="31.44140625" bestFit="1" customWidth="1"/>
    <col min="1488" max="1488" width="22.44140625" bestFit="1" customWidth="1"/>
    <col min="1489" max="1489" width="17.33203125" bestFit="1" customWidth="1"/>
    <col min="1490" max="1490" width="14.21875" bestFit="1" customWidth="1"/>
    <col min="1491" max="1491" width="19.33203125" bestFit="1" customWidth="1"/>
    <col min="1492" max="1492" width="26.77734375" bestFit="1" customWidth="1"/>
    <col min="1493" max="1493" width="24.6640625" bestFit="1" customWidth="1"/>
    <col min="1494" max="1494" width="26.33203125" bestFit="1" customWidth="1"/>
    <col min="1495" max="1495" width="18.21875" bestFit="1" customWidth="1"/>
    <col min="1496" max="1496" width="15" bestFit="1" customWidth="1"/>
    <col min="1497" max="1497" width="17.6640625" bestFit="1" customWidth="1"/>
    <col min="1498" max="1498" width="18" bestFit="1" customWidth="1"/>
    <col min="1499" max="1499" width="19.44140625" bestFit="1" customWidth="1"/>
    <col min="1500" max="1500" width="19.88671875" bestFit="1" customWidth="1"/>
    <col min="1501" max="1501" width="18.109375" bestFit="1" customWidth="1"/>
    <col min="1502" max="1502" width="65.21875" bestFit="1" customWidth="1"/>
    <col min="1503" max="1503" width="15.77734375" bestFit="1" customWidth="1"/>
    <col min="1504" max="1504" width="18" bestFit="1" customWidth="1"/>
    <col min="1505" max="1505" width="24.21875" bestFit="1" customWidth="1"/>
    <col min="1506" max="1506" width="18.33203125" bestFit="1" customWidth="1"/>
    <col min="1507" max="1507" width="23.88671875" bestFit="1" customWidth="1"/>
    <col min="1508" max="1508" width="52.109375" bestFit="1" customWidth="1"/>
    <col min="1509" max="1509" width="24.6640625" bestFit="1" customWidth="1"/>
    <col min="1510" max="1510" width="21.33203125" bestFit="1" customWidth="1"/>
    <col min="1511" max="1511" width="19.77734375" bestFit="1" customWidth="1"/>
    <col min="1512" max="1512" width="19.88671875" bestFit="1" customWidth="1"/>
    <col min="1513" max="1513" width="8.109375" bestFit="1" customWidth="1"/>
    <col min="1514" max="1514" width="21.88671875" bestFit="1" customWidth="1"/>
    <col min="1515" max="1515" width="14" bestFit="1" customWidth="1"/>
    <col min="1516" max="1516" width="19.21875" bestFit="1" customWidth="1"/>
    <col min="1517" max="1517" width="16.6640625" bestFit="1" customWidth="1"/>
    <col min="1518" max="1518" width="25" bestFit="1" customWidth="1"/>
    <col min="1519" max="1519" width="30.21875" bestFit="1" customWidth="1"/>
    <col min="1520" max="1520" width="28.6640625" bestFit="1" customWidth="1"/>
    <col min="1521" max="1521" width="19.6640625" bestFit="1" customWidth="1"/>
    <col min="1522" max="1522" width="44.21875" bestFit="1" customWidth="1"/>
    <col min="1523" max="1523" width="24.77734375" bestFit="1" customWidth="1"/>
    <col min="1524" max="1524" width="25" bestFit="1" customWidth="1"/>
    <col min="1525" max="1525" width="22.44140625" bestFit="1" customWidth="1"/>
    <col min="1526" max="1526" width="26.33203125" bestFit="1" customWidth="1"/>
    <col min="1527" max="1527" width="18.21875" bestFit="1" customWidth="1"/>
    <col min="1528" max="1528" width="11" bestFit="1" customWidth="1"/>
    <col min="1529" max="1529" width="30.88671875" bestFit="1" customWidth="1"/>
    <col min="1530" max="1530" width="6.88671875" bestFit="1" customWidth="1"/>
    <col min="1531" max="1531" width="35" bestFit="1" customWidth="1"/>
    <col min="1532" max="1532" width="31.109375" bestFit="1" customWidth="1"/>
    <col min="1533" max="1533" width="10.5546875" bestFit="1" customWidth="1"/>
    <col min="1534" max="1534" width="21.44140625" bestFit="1" customWidth="1"/>
    <col min="1535" max="1535" width="26.6640625" bestFit="1" customWidth="1"/>
    <col min="1536" max="1536" width="21.44140625" bestFit="1" customWidth="1"/>
    <col min="1537" max="1537" width="20.6640625" bestFit="1" customWidth="1"/>
    <col min="1538" max="1538" width="12.77734375" bestFit="1" customWidth="1"/>
    <col min="1539" max="1539" width="20.33203125" bestFit="1" customWidth="1"/>
    <col min="1540" max="1540" width="12.44140625" bestFit="1" customWidth="1"/>
    <col min="1541" max="1541" width="25.5546875" bestFit="1" customWidth="1"/>
    <col min="1542" max="1542" width="24" bestFit="1" customWidth="1"/>
    <col min="1543" max="1543" width="6.5546875" bestFit="1" customWidth="1"/>
    <col min="1544" max="1544" width="28.5546875" bestFit="1" customWidth="1"/>
    <col min="1545" max="1545" width="23.5546875" bestFit="1" customWidth="1"/>
    <col min="1546" max="1546" width="21.33203125" bestFit="1" customWidth="1"/>
    <col min="1547" max="1547" width="14.109375" bestFit="1" customWidth="1"/>
    <col min="1548" max="1548" width="45.21875" bestFit="1" customWidth="1"/>
    <col min="1549" max="1549" width="30" bestFit="1" customWidth="1"/>
    <col min="1550" max="1550" width="44.88671875" bestFit="1" customWidth="1"/>
    <col min="1551" max="1551" width="33.109375" bestFit="1" customWidth="1"/>
    <col min="1552" max="1552" width="27.33203125" bestFit="1" customWidth="1"/>
    <col min="1553" max="1553" width="34.33203125" bestFit="1" customWidth="1"/>
    <col min="1554" max="1554" width="35.77734375" bestFit="1" customWidth="1"/>
    <col min="1555" max="1555" width="13.44140625" bestFit="1" customWidth="1"/>
    <col min="1556" max="1556" width="33.33203125" bestFit="1" customWidth="1"/>
    <col min="1557" max="1557" width="31.33203125" bestFit="1" customWidth="1"/>
    <col min="1558" max="1558" width="31.6640625" bestFit="1" customWidth="1"/>
    <col min="1559" max="1559" width="40.88671875" bestFit="1" customWidth="1"/>
    <col min="1560" max="1560" width="39.44140625" bestFit="1" customWidth="1"/>
    <col min="1561" max="1561" width="28.21875" bestFit="1" customWidth="1"/>
    <col min="1562" max="1562" width="51.109375" bestFit="1" customWidth="1"/>
    <col min="1563" max="1563" width="24.33203125" bestFit="1" customWidth="1"/>
    <col min="1564" max="1564" width="18.5546875" bestFit="1" customWidth="1"/>
    <col min="1565" max="1565" width="20.5546875" bestFit="1" customWidth="1"/>
    <col min="1566" max="1566" width="19.6640625" bestFit="1" customWidth="1"/>
    <col min="1567" max="1567" width="14.21875" bestFit="1" customWidth="1"/>
    <col min="1568" max="1568" width="47.21875" bestFit="1" customWidth="1"/>
    <col min="1569" max="1569" width="17.6640625" bestFit="1" customWidth="1"/>
    <col min="1570" max="1570" width="16" bestFit="1" customWidth="1"/>
    <col min="1571" max="1571" width="31.5546875" bestFit="1" customWidth="1"/>
    <col min="1572" max="1572" width="28" bestFit="1" customWidth="1"/>
    <col min="1573" max="1573" width="28.77734375" bestFit="1" customWidth="1"/>
    <col min="1574" max="1574" width="33.109375" bestFit="1" customWidth="1"/>
    <col min="1575" max="1575" width="31.109375" bestFit="1" customWidth="1"/>
    <col min="1576" max="1576" width="39.5546875" bestFit="1" customWidth="1"/>
    <col min="1577" max="1577" width="24.33203125" bestFit="1" customWidth="1"/>
    <col min="1578" max="1578" width="29.21875" bestFit="1" customWidth="1"/>
    <col min="1579" max="1579" width="26.33203125" bestFit="1" customWidth="1"/>
    <col min="1580" max="1580" width="33.44140625" bestFit="1" customWidth="1"/>
    <col min="1581" max="1581" width="28.109375" bestFit="1" customWidth="1"/>
    <col min="1582" max="1582" width="32.5546875" bestFit="1" customWidth="1"/>
    <col min="1583" max="1583" width="22.6640625" bestFit="1" customWidth="1"/>
    <col min="1584" max="1584" width="38.109375" bestFit="1" customWidth="1"/>
    <col min="1585" max="1585" width="34" bestFit="1" customWidth="1"/>
    <col min="1586" max="1586" width="45.5546875" bestFit="1" customWidth="1"/>
    <col min="1587" max="1587" width="26.33203125" bestFit="1" customWidth="1"/>
    <col min="1588" max="1588" width="36.77734375" bestFit="1" customWidth="1"/>
    <col min="1589" max="1589" width="36" bestFit="1" customWidth="1"/>
    <col min="1590" max="1590" width="42.88671875" bestFit="1" customWidth="1"/>
    <col min="1591" max="1591" width="28.88671875" bestFit="1" customWidth="1"/>
    <col min="1592" max="1592" width="37.109375" bestFit="1" customWidth="1"/>
    <col min="1593" max="1593" width="44.33203125" bestFit="1" customWidth="1"/>
    <col min="1594" max="1594" width="27.44140625" bestFit="1" customWidth="1"/>
    <col min="1595" max="1595" width="43.5546875" bestFit="1" customWidth="1"/>
    <col min="1596" max="1596" width="21.33203125" bestFit="1" customWidth="1"/>
    <col min="1597" max="1597" width="23.44140625" bestFit="1" customWidth="1"/>
    <col min="1598" max="1598" width="33.44140625" bestFit="1" customWidth="1"/>
    <col min="1599" max="1599" width="34.33203125" bestFit="1" customWidth="1"/>
    <col min="1600" max="1600" width="44.5546875" bestFit="1" customWidth="1"/>
    <col min="1601" max="1601" width="35.21875" bestFit="1" customWidth="1"/>
    <col min="1602" max="1602" width="38.5546875" bestFit="1" customWidth="1"/>
    <col min="1603" max="1603" width="28.6640625" bestFit="1" customWidth="1"/>
    <col min="1604" max="1604" width="38.5546875" bestFit="1" customWidth="1"/>
    <col min="1605" max="1605" width="37.33203125" bestFit="1" customWidth="1"/>
    <col min="1606" max="1606" width="25.6640625" bestFit="1" customWidth="1"/>
    <col min="1607" max="1607" width="26.21875" bestFit="1" customWidth="1"/>
    <col min="1608" max="1608" width="30" bestFit="1" customWidth="1"/>
    <col min="1609" max="1609" width="47.77734375" bestFit="1" customWidth="1"/>
    <col min="1610" max="1610" width="34.6640625" bestFit="1" customWidth="1"/>
    <col min="1611" max="1611" width="27.44140625" bestFit="1" customWidth="1"/>
    <col min="1612" max="1612" width="20.6640625" bestFit="1" customWidth="1"/>
    <col min="1613" max="1613" width="33.21875" bestFit="1" customWidth="1"/>
    <col min="1614" max="1614" width="23.21875" bestFit="1" customWidth="1"/>
    <col min="1615" max="1615" width="18.109375" bestFit="1" customWidth="1"/>
    <col min="1616" max="1616" width="36" bestFit="1" customWidth="1"/>
    <col min="1617" max="1617" width="53" bestFit="1" customWidth="1"/>
    <col min="1618" max="1618" width="24.88671875" bestFit="1" customWidth="1"/>
    <col min="1619" max="1619" width="31.88671875" bestFit="1" customWidth="1"/>
    <col min="1620" max="1620" width="25.5546875" bestFit="1" customWidth="1"/>
    <col min="1621" max="1621" width="30" bestFit="1" customWidth="1"/>
    <col min="1622" max="1622" width="33.6640625" bestFit="1" customWidth="1"/>
    <col min="1623" max="1623" width="38.88671875" bestFit="1" customWidth="1"/>
    <col min="1624" max="1624" width="19.21875" bestFit="1" customWidth="1"/>
    <col min="1625" max="1625" width="25.109375" bestFit="1" customWidth="1"/>
    <col min="1626" max="1626" width="26" bestFit="1" customWidth="1"/>
    <col min="1627" max="1627" width="25.5546875" bestFit="1" customWidth="1"/>
    <col min="1628" max="1628" width="24.44140625" bestFit="1" customWidth="1"/>
    <col min="1629" max="1629" width="39" bestFit="1" customWidth="1"/>
    <col min="1630" max="1630" width="23.33203125" bestFit="1" customWidth="1"/>
    <col min="1631" max="1631" width="30.21875" bestFit="1" customWidth="1"/>
    <col min="1632" max="1632" width="38.6640625" bestFit="1" customWidth="1"/>
    <col min="1633" max="1633" width="21.88671875" bestFit="1" customWidth="1"/>
    <col min="1634" max="1634" width="30.21875" bestFit="1" customWidth="1"/>
    <col min="1635" max="1635" width="38.44140625" bestFit="1" customWidth="1"/>
    <col min="1636" max="1636" width="35.5546875" bestFit="1" customWidth="1"/>
    <col min="1637" max="1637" width="42.5546875" bestFit="1" customWidth="1"/>
    <col min="1638" max="1638" width="34.33203125" bestFit="1" customWidth="1"/>
    <col min="1639" max="1639" width="35.6640625" bestFit="1" customWidth="1"/>
    <col min="1640" max="1640" width="21.88671875" bestFit="1" customWidth="1"/>
    <col min="1641" max="1641" width="34.88671875" bestFit="1" customWidth="1"/>
    <col min="1642" max="1642" width="33.109375" bestFit="1" customWidth="1"/>
    <col min="1643" max="1643" width="33" bestFit="1" customWidth="1"/>
    <col min="1644" max="1644" width="34.77734375" bestFit="1" customWidth="1"/>
    <col min="1645" max="1645" width="35.77734375" bestFit="1" customWidth="1"/>
    <col min="1646" max="1646" width="30" bestFit="1" customWidth="1"/>
    <col min="1647" max="1647" width="35.6640625" bestFit="1" customWidth="1"/>
    <col min="1648" max="1648" width="43.44140625" bestFit="1" customWidth="1"/>
    <col min="1649" max="1649" width="46.33203125" bestFit="1" customWidth="1"/>
    <col min="1650" max="1650" width="25.109375" bestFit="1" customWidth="1"/>
    <col min="1651" max="1651" width="36.33203125" bestFit="1" customWidth="1"/>
    <col min="1652" max="1652" width="28.77734375" bestFit="1" customWidth="1"/>
    <col min="1653" max="1653" width="37.5546875" bestFit="1" customWidth="1"/>
    <col min="1654" max="1654" width="31.77734375" bestFit="1" customWidth="1"/>
    <col min="1655" max="1655" width="14" bestFit="1" customWidth="1"/>
    <col min="1656" max="1656" width="26.109375" bestFit="1" customWidth="1"/>
    <col min="1657" max="1657" width="25.5546875" bestFit="1" customWidth="1"/>
    <col min="1658" max="1658" width="29.109375" bestFit="1" customWidth="1"/>
    <col min="1659" max="1659" width="33.44140625" bestFit="1" customWidth="1"/>
    <col min="1660" max="1660" width="26.33203125" bestFit="1" customWidth="1"/>
    <col min="1661" max="1661" width="31" bestFit="1" customWidth="1"/>
    <col min="1662" max="1662" width="40" bestFit="1" customWidth="1"/>
    <col min="1663" max="1663" width="18.109375" bestFit="1" customWidth="1"/>
    <col min="1664" max="1664" width="40.33203125" bestFit="1" customWidth="1"/>
    <col min="1665" max="1665" width="32.109375" bestFit="1" customWidth="1"/>
    <col min="1666" max="1666" width="22" bestFit="1" customWidth="1"/>
    <col min="1667" max="1667" width="45.21875" bestFit="1" customWidth="1"/>
    <col min="1668" max="1668" width="46.44140625" bestFit="1" customWidth="1"/>
    <col min="1669" max="1669" width="41" bestFit="1" customWidth="1"/>
    <col min="1670" max="1670" width="61" bestFit="1" customWidth="1"/>
    <col min="1671" max="1671" width="41.5546875" bestFit="1" customWidth="1"/>
    <col min="1672" max="1672" width="33.77734375" bestFit="1" customWidth="1"/>
    <col min="1673" max="1673" width="60.5546875" bestFit="1" customWidth="1"/>
    <col min="1674" max="1674" width="51.88671875" bestFit="1" customWidth="1"/>
    <col min="1675" max="1675" width="71.33203125" bestFit="1" customWidth="1"/>
    <col min="1676" max="1676" width="46.77734375" bestFit="1" customWidth="1"/>
    <col min="1677" max="1677" width="45.21875" bestFit="1" customWidth="1"/>
    <col min="1678" max="1678" width="57.6640625" bestFit="1" customWidth="1"/>
    <col min="1679" max="1679" width="58" bestFit="1" customWidth="1"/>
    <col min="1680" max="1680" width="31.77734375" bestFit="1" customWidth="1"/>
    <col min="1681" max="1681" width="29.77734375" bestFit="1" customWidth="1"/>
    <col min="1682" max="1682" width="23.33203125" bestFit="1" customWidth="1"/>
    <col min="1683" max="1683" width="29.5546875" bestFit="1" customWidth="1"/>
    <col min="1684" max="1684" width="32.5546875" bestFit="1" customWidth="1"/>
    <col min="1685" max="1685" width="36.77734375" bestFit="1" customWidth="1"/>
    <col min="1686" max="1686" width="26.88671875" bestFit="1" customWidth="1"/>
    <col min="1687" max="1687" width="40.21875" bestFit="1" customWidth="1"/>
    <col min="1688" max="1688" width="39.44140625" bestFit="1" customWidth="1"/>
    <col min="1689" max="1689" width="36.33203125" bestFit="1" customWidth="1"/>
    <col min="1690" max="1690" width="28.6640625" bestFit="1" customWidth="1"/>
    <col min="1691" max="1691" width="39.44140625" bestFit="1" customWidth="1"/>
    <col min="1692" max="1692" width="51.5546875" bestFit="1" customWidth="1"/>
    <col min="1693" max="1693" width="19.21875" bestFit="1" customWidth="1"/>
    <col min="1694" max="1694" width="34.33203125" bestFit="1" customWidth="1"/>
    <col min="1695" max="1695" width="31" bestFit="1" customWidth="1"/>
    <col min="1696" max="1696" width="37.88671875" bestFit="1" customWidth="1"/>
    <col min="1697" max="1697" width="24.33203125" bestFit="1" customWidth="1"/>
    <col min="1698" max="1698" width="42.109375" bestFit="1" customWidth="1"/>
    <col min="1699" max="1699" width="25" bestFit="1" customWidth="1"/>
    <col min="1700" max="1700" width="38.44140625" bestFit="1" customWidth="1"/>
    <col min="1701" max="1701" width="28.33203125" bestFit="1" customWidth="1"/>
    <col min="1702" max="1702" width="20.5546875" bestFit="1" customWidth="1"/>
    <col min="1703" max="1703" width="23.6640625" bestFit="1" customWidth="1"/>
    <col min="1704" max="1704" width="25.5546875" bestFit="1" customWidth="1"/>
    <col min="1705" max="1705" width="30.5546875" bestFit="1" customWidth="1"/>
    <col min="1706" max="1706" width="42.5546875" bestFit="1" customWidth="1"/>
    <col min="1707" max="1707" width="25.6640625" bestFit="1" customWidth="1"/>
    <col min="1708" max="1708" width="46.88671875" bestFit="1" customWidth="1"/>
    <col min="1709" max="1709" width="21.6640625" bestFit="1" customWidth="1"/>
    <col min="1710" max="1710" width="23.109375" bestFit="1" customWidth="1"/>
    <col min="1711" max="1711" width="30.77734375" bestFit="1" customWidth="1"/>
    <col min="1712" max="1712" width="46.77734375" bestFit="1" customWidth="1"/>
    <col min="1713" max="1713" width="31.5546875" bestFit="1" customWidth="1"/>
    <col min="1714" max="1714" width="13.21875" bestFit="1" customWidth="1"/>
    <col min="1715" max="1715" width="23.77734375" bestFit="1" customWidth="1"/>
    <col min="1716" max="1716" width="37.77734375" bestFit="1" customWidth="1"/>
    <col min="1717" max="1717" width="22" bestFit="1" customWidth="1"/>
    <col min="1718" max="1718" width="36.6640625" bestFit="1" customWidth="1"/>
    <col min="1719" max="1719" width="35.88671875" bestFit="1" customWidth="1"/>
    <col min="1720" max="1720" width="36.5546875" bestFit="1" customWidth="1"/>
    <col min="1721" max="1721" width="25.5546875" bestFit="1" customWidth="1"/>
    <col min="1722" max="1722" width="48.21875" bestFit="1" customWidth="1"/>
    <col min="1723" max="1723" width="10.44140625" bestFit="1" customWidth="1"/>
    <col min="1724" max="1724" width="22.109375" bestFit="1" customWidth="1"/>
    <col min="1725" max="1725" width="13.44140625" bestFit="1" customWidth="1"/>
    <col min="1726" max="1726" width="27.5546875" bestFit="1" customWidth="1"/>
    <col min="1727" max="1727" width="38.109375" bestFit="1" customWidth="1"/>
    <col min="1728" max="1728" width="32.21875" bestFit="1" customWidth="1"/>
    <col min="1729" max="1729" width="30.21875" bestFit="1" customWidth="1"/>
    <col min="1730" max="1730" width="18.5546875" bestFit="1" customWidth="1"/>
    <col min="1731" max="1731" width="35.21875" bestFit="1" customWidth="1"/>
    <col min="1732" max="1732" width="23" bestFit="1" customWidth="1"/>
    <col min="1733" max="1733" width="33.88671875" bestFit="1" customWidth="1"/>
    <col min="1734" max="1734" width="26.109375" bestFit="1" customWidth="1"/>
    <col min="1735" max="1735" width="15.88671875" bestFit="1" customWidth="1"/>
    <col min="1736" max="1736" width="12" bestFit="1" customWidth="1"/>
    <col min="1737" max="1737" width="18.109375" bestFit="1" customWidth="1"/>
    <col min="1738" max="1738" width="26" bestFit="1" customWidth="1"/>
    <col min="1739" max="1739" width="23.33203125" bestFit="1" customWidth="1"/>
    <col min="1740" max="1740" width="26.77734375" bestFit="1" customWidth="1"/>
    <col min="1741" max="1741" width="16.21875" bestFit="1" customWidth="1"/>
    <col min="1742" max="1742" width="22.5546875" bestFit="1" customWidth="1"/>
    <col min="1743" max="1743" width="40.109375" bestFit="1" customWidth="1"/>
    <col min="1744" max="1744" width="17.44140625" bestFit="1" customWidth="1"/>
    <col min="1745" max="1745" width="34.33203125" bestFit="1" customWidth="1"/>
    <col min="1746" max="1746" width="27.21875" bestFit="1" customWidth="1"/>
    <col min="1747" max="1747" width="26.109375" bestFit="1" customWidth="1"/>
    <col min="1748" max="1748" width="29.6640625" bestFit="1" customWidth="1"/>
    <col min="1749" max="1749" width="41.33203125" bestFit="1" customWidth="1"/>
    <col min="1750" max="1750" width="18.5546875" bestFit="1" customWidth="1"/>
    <col min="1751" max="1751" width="13.21875" bestFit="1" customWidth="1"/>
    <col min="1752" max="1752" width="32.5546875" bestFit="1" customWidth="1"/>
    <col min="1753" max="1753" width="14.6640625" bestFit="1" customWidth="1"/>
    <col min="1754" max="1754" width="12.5546875" bestFit="1" customWidth="1"/>
    <col min="1755" max="1755" width="12" bestFit="1" customWidth="1"/>
    <col min="1756" max="1756" width="41.33203125" bestFit="1" customWidth="1"/>
    <col min="1757" max="1757" width="35.88671875" bestFit="1" customWidth="1"/>
    <col min="1758" max="1758" width="22.109375" bestFit="1" customWidth="1"/>
    <col min="1759" max="1759" width="25.44140625" bestFit="1" customWidth="1"/>
    <col min="1760" max="1760" width="21.6640625" bestFit="1" customWidth="1"/>
    <col min="1761" max="1761" width="14.77734375" bestFit="1" customWidth="1"/>
    <col min="1762" max="1762" width="21.109375" bestFit="1" customWidth="1"/>
    <col min="1763" max="1763" width="13.88671875" bestFit="1" customWidth="1"/>
    <col min="1764" max="1764" width="48.109375" bestFit="1" customWidth="1"/>
    <col min="1765" max="1765" width="13.44140625" bestFit="1" customWidth="1"/>
    <col min="1766" max="1766" width="23.109375" bestFit="1" customWidth="1"/>
    <col min="1767" max="1767" width="19.88671875" bestFit="1" customWidth="1"/>
    <col min="1768" max="1768" width="26" bestFit="1" customWidth="1"/>
    <col min="1769" max="1769" width="36" bestFit="1" customWidth="1"/>
    <col min="1770" max="1770" width="23.6640625" bestFit="1" customWidth="1"/>
    <col min="1771" max="1771" width="19.33203125" bestFit="1" customWidth="1"/>
    <col min="1772" max="1772" width="22" bestFit="1" customWidth="1"/>
    <col min="1773" max="1773" width="21.33203125" bestFit="1" customWidth="1"/>
    <col min="1774" max="1774" width="38.5546875" bestFit="1" customWidth="1"/>
    <col min="1775" max="1775" width="24.77734375" bestFit="1" customWidth="1"/>
    <col min="1776" max="1776" width="28.77734375" bestFit="1" customWidth="1"/>
    <col min="1777" max="1777" width="31.21875" bestFit="1" customWidth="1"/>
    <col min="1778" max="1778" width="34.109375" bestFit="1" customWidth="1"/>
    <col min="1779" max="1779" width="29" bestFit="1" customWidth="1"/>
    <col min="1780" max="1780" width="16.109375" bestFit="1" customWidth="1"/>
    <col min="1781" max="1781" width="33.88671875" bestFit="1" customWidth="1"/>
    <col min="1782" max="1782" width="20.21875" bestFit="1" customWidth="1"/>
    <col min="1783" max="1783" width="14.21875" bestFit="1" customWidth="1"/>
    <col min="1784" max="1784" width="36.21875" bestFit="1" customWidth="1"/>
    <col min="1785" max="1785" width="33" bestFit="1" customWidth="1"/>
    <col min="1786" max="1786" width="19.21875" bestFit="1" customWidth="1"/>
    <col min="1787" max="1787" width="28.33203125" bestFit="1" customWidth="1"/>
    <col min="1788" max="1788" width="36.77734375" bestFit="1" customWidth="1"/>
    <col min="1789" max="1789" width="12.109375" bestFit="1" customWidth="1"/>
    <col min="1790" max="1790" width="16" bestFit="1" customWidth="1"/>
    <col min="1791" max="1791" width="14.5546875" bestFit="1" customWidth="1"/>
    <col min="1792" max="1792" width="31.109375" bestFit="1" customWidth="1"/>
    <col min="1793" max="1793" width="23" bestFit="1" customWidth="1"/>
    <col min="1794" max="1794" width="11.6640625" bestFit="1" customWidth="1"/>
    <col min="1795" max="1795" width="14.109375" bestFit="1" customWidth="1"/>
    <col min="1796" max="1796" width="54.33203125" bestFit="1" customWidth="1"/>
    <col min="1797" max="1797" width="20" bestFit="1" customWidth="1"/>
    <col min="1798" max="1798" width="20.33203125" bestFit="1" customWidth="1"/>
    <col min="1799" max="1799" width="25.88671875" bestFit="1" customWidth="1"/>
    <col min="1800" max="1800" width="18" bestFit="1" customWidth="1"/>
    <col min="1801" max="1801" width="18.88671875" bestFit="1" customWidth="1"/>
    <col min="1802" max="1802" width="34.109375" bestFit="1" customWidth="1"/>
    <col min="1803" max="1803" width="25.5546875" bestFit="1" customWidth="1"/>
    <col min="1804" max="1804" width="18.21875" bestFit="1" customWidth="1"/>
    <col min="1805" max="1805" width="25.5546875" bestFit="1" customWidth="1"/>
    <col min="1806" max="1806" width="15" bestFit="1" customWidth="1"/>
    <col min="1807" max="1807" width="21.77734375" bestFit="1" customWidth="1"/>
    <col min="1808" max="1808" width="25.6640625" bestFit="1" customWidth="1"/>
    <col min="1809" max="1809" width="26.5546875" bestFit="1" customWidth="1"/>
    <col min="1810" max="1810" width="18.6640625" bestFit="1" customWidth="1"/>
    <col min="1811" max="1811" width="21.6640625" bestFit="1" customWidth="1"/>
    <col min="1812" max="1812" width="24.88671875" bestFit="1" customWidth="1"/>
    <col min="1813" max="1813" width="34.88671875" bestFit="1" customWidth="1"/>
    <col min="1814" max="1814" width="21.6640625" bestFit="1" customWidth="1"/>
    <col min="1815" max="1815" width="28.77734375" bestFit="1" customWidth="1"/>
    <col min="1816" max="1816" width="18.21875" bestFit="1" customWidth="1"/>
    <col min="1817" max="1817" width="17.6640625" bestFit="1" customWidth="1"/>
    <col min="1818" max="1818" width="22.5546875" bestFit="1" customWidth="1"/>
    <col min="1819" max="1819" width="26.44140625" bestFit="1" customWidth="1"/>
    <col min="1820" max="1820" width="11.88671875" bestFit="1" customWidth="1"/>
    <col min="1821" max="1821" width="18.33203125" bestFit="1" customWidth="1"/>
    <col min="1822" max="1822" width="22.88671875" bestFit="1" customWidth="1"/>
    <col min="1823" max="1823" width="23.77734375" bestFit="1" customWidth="1"/>
    <col min="1824" max="1824" width="52.109375" bestFit="1" customWidth="1"/>
    <col min="1825" max="1825" width="37.33203125" bestFit="1" customWidth="1"/>
    <col min="1826" max="1826" width="52.6640625" bestFit="1" customWidth="1"/>
    <col min="1827" max="1827" width="46.6640625" bestFit="1" customWidth="1"/>
    <col min="1828" max="1828" width="19.109375" bestFit="1" customWidth="1"/>
    <col min="1829" max="1829" width="39.77734375" bestFit="1" customWidth="1"/>
    <col min="1830" max="1830" width="46.109375" bestFit="1" customWidth="1"/>
    <col min="1831" max="1831" width="33.33203125" bestFit="1" customWidth="1"/>
    <col min="1832" max="1832" width="41.88671875" bestFit="1" customWidth="1"/>
    <col min="1833" max="1833" width="40" bestFit="1" customWidth="1"/>
    <col min="1834" max="1834" width="35.21875" bestFit="1" customWidth="1"/>
    <col min="1835" max="1835" width="42.33203125" bestFit="1" customWidth="1"/>
    <col min="1836" max="1836" width="21" bestFit="1" customWidth="1"/>
    <col min="1837" max="1837" width="38.44140625" bestFit="1" customWidth="1"/>
    <col min="1838" max="1838" width="23.21875" bestFit="1" customWidth="1"/>
    <col min="1839" max="1839" width="18.21875" bestFit="1" customWidth="1"/>
    <col min="1840" max="1840" width="32.21875" bestFit="1" customWidth="1"/>
    <col min="1841" max="1841" width="22.33203125" bestFit="1" customWidth="1"/>
    <col min="1842" max="1842" width="48.77734375" bestFit="1" customWidth="1"/>
    <col min="1843" max="1843" width="21.5546875" bestFit="1" customWidth="1"/>
    <col min="1844" max="1844" width="23.33203125" bestFit="1" customWidth="1"/>
    <col min="1845" max="1845" width="32.77734375" bestFit="1" customWidth="1"/>
    <col min="1846" max="1846" width="19.88671875" bestFit="1" customWidth="1"/>
    <col min="1847" max="1847" width="16.5546875" bestFit="1" customWidth="1"/>
    <col min="1848" max="1848" width="17.33203125" bestFit="1" customWidth="1"/>
    <col min="1849" max="1849" width="21.44140625" bestFit="1" customWidth="1"/>
    <col min="1850" max="1850" width="17.6640625" bestFit="1" customWidth="1"/>
    <col min="1851" max="1851" width="24.5546875" bestFit="1" customWidth="1"/>
    <col min="1852" max="1852" width="14.77734375" bestFit="1" customWidth="1"/>
    <col min="1853" max="1853" width="22.33203125" bestFit="1" customWidth="1"/>
    <col min="1854" max="1854" width="15.21875" bestFit="1" customWidth="1"/>
    <col min="1855" max="1855" width="23.44140625" bestFit="1" customWidth="1"/>
    <col min="1856" max="1856" width="23.109375" bestFit="1" customWidth="1"/>
    <col min="1857" max="1857" width="9.88671875" bestFit="1" customWidth="1"/>
    <col min="1858" max="1858" width="15.44140625" bestFit="1" customWidth="1"/>
    <col min="1859" max="1859" width="18" bestFit="1" customWidth="1"/>
    <col min="1860" max="1860" width="18.6640625" bestFit="1" customWidth="1"/>
    <col min="1861" max="1861" width="20.6640625" bestFit="1" customWidth="1"/>
    <col min="1862" max="1862" width="21.5546875" bestFit="1" customWidth="1"/>
    <col min="1863" max="1863" width="34.33203125" bestFit="1" customWidth="1"/>
    <col min="1864" max="1864" width="22.44140625" bestFit="1" customWidth="1"/>
    <col min="1865" max="1865" width="60.88671875" bestFit="1" customWidth="1"/>
    <col min="1866" max="1866" width="29.21875" bestFit="1" customWidth="1"/>
    <col min="1867" max="1867" width="11" bestFit="1" customWidth="1"/>
    <col min="1868" max="1868" width="17.6640625" bestFit="1" customWidth="1"/>
    <col min="1869" max="1869" width="25.88671875" bestFit="1" customWidth="1"/>
    <col min="1870" max="1870" width="55" bestFit="1" customWidth="1"/>
    <col min="1871" max="1871" width="36.44140625" bestFit="1" customWidth="1"/>
    <col min="1872" max="1872" width="48.6640625" bestFit="1" customWidth="1"/>
    <col min="1873" max="1873" width="13.5546875" bestFit="1" customWidth="1"/>
    <col min="1874" max="1874" width="17.88671875" bestFit="1" customWidth="1"/>
    <col min="1875" max="1875" width="42.21875" bestFit="1" customWidth="1"/>
    <col min="1876" max="1876" width="14.33203125" bestFit="1" customWidth="1"/>
    <col min="1877" max="1877" width="24.6640625" bestFit="1" customWidth="1"/>
    <col min="1878" max="1878" width="25.21875" bestFit="1" customWidth="1"/>
    <col min="1879" max="1879" width="26.6640625" bestFit="1" customWidth="1"/>
    <col min="1880" max="1880" width="35.88671875" bestFit="1" customWidth="1"/>
    <col min="1881" max="1881" width="19.33203125" bestFit="1" customWidth="1"/>
    <col min="1882" max="1882" width="17.44140625" bestFit="1" customWidth="1"/>
    <col min="1883" max="1883" width="27.88671875" bestFit="1" customWidth="1"/>
    <col min="1884" max="1884" width="34.109375" bestFit="1" customWidth="1"/>
    <col min="1885" max="1885" width="18" bestFit="1" customWidth="1"/>
    <col min="1886" max="1886" width="17.6640625" bestFit="1" customWidth="1"/>
    <col min="1887" max="1887" width="36.44140625" bestFit="1" customWidth="1"/>
    <col min="1888" max="1888" width="33.21875" bestFit="1" customWidth="1"/>
    <col min="1889" max="1889" width="29.33203125" bestFit="1" customWidth="1"/>
    <col min="1890" max="1890" width="28.88671875" bestFit="1" customWidth="1"/>
    <col min="1891" max="1891" width="14" bestFit="1" customWidth="1"/>
    <col min="1892" max="1892" width="20.33203125" bestFit="1" customWidth="1"/>
    <col min="1893" max="1893" width="11" bestFit="1" customWidth="1"/>
    <col min="1894" max="1894" width="29.109375" bestFit="1" customWidth="1"/>
    <col min="1895" max="1895" width="18.6640625" bestFit="1" customWidth="1"/>
    <col min="1896" max="1896" width="28.33203125" bestFit="1" customWidth="1"/>
    <col min="1897" max="1897" width="25.109375" bestFit="1" customWidth="1"/>
    <col min="1898" max="1898" width="6.44140625" bestFit="1" customWidth="1"/>
    <col min="1899" max="1899" width="36.109375" bestFit="1" customWidth="1"/>
    <col min="1900" max="1900" width="25.6640625" bestFit="1" customWidth="1"/>
    <col min="1901" max="1901" width="14.6640625" bestFit="1" customWidth="1"/>
    <col min="1902" max="1902" width="16.5546875" bestFit="1" customWidth="1"/>
    <col min="1903" max="1903" width="12.88671875" bestFit="1" customWidth="1"/>
    <col min="1904" max="1904" width="19.44140625" bestFit="1" customWidth="1"/>
    <col min="1905" max="1905" width="44.21875" bestFit="1" customWidth="1"/>
    <col min="1906" max="1906" width="12.5546875" bestFit="1" customWidth="1"/>
    <col min="1907" max="1907" width="29.6640625" bestFit="1" customWidth="1"/>
    <col min="1908" max="1908" width="14.44140625" bestFit="1" customWidth="1"/>
    <col min="1909" max="1909" width="19.109375" bestFit="1" customWidth="1"/>
    <col min="1910" max="1910" width="18.5546875" bestFit="1" customWidth="1"/>
    <col min="1911" max="1911" width="40.21875" bestFit="1" customWidth="1"/>
    <col min="1912" max="1912" width="41.33203125" bestFit="1" customWidth="1"/>
    <col min="1913" max="1913" width="28" bestFit="1" customWidth="1"/>
    <col min="1914" max="1914" width="26.88671875" bestFit="1" customWidth="1"/>
    <col min="1915" max="1915" width="34" bestFit="1" customWidth="1"/>
    <col min="1916" max="1916" width="37.77734375" bestFit="1" customWidth="1"/>
    <col min="1917" max="1917" width="26" bestFit="1" customWidth="1"/>
    <col min="1918" max="1919" width="18.44140625" bestFit="1" customWidth="1"/>
    <col min="1920" max="1920" width="18.109375" bestFit="1" customWidth="1"/>
    <col min="1921" max="1921" width="26.109375" bestFit="1" customWidth="1"/>
    <col min="1922" max="1922" width="26.77734375" bestFit="1" customWidth="1"/>
    <col min="1923" max="1923" width="13.33203125" bestFit="1" customWidth="1"/>
    <col min="1924" max="1924" width="14.33203125" bestFit="1" customWidth="1"/>
    <col min="1925" max="1925" width="19.109375" bestFit="1" customWidth="1"/>
    <col min="1926" max="1926" width="26.109375" bestFit="1" customWidth="1"/>
    <col min="1927" max="1927" width="19.6640625" bestFit="1" customWidth="1"/>
    <col min="1928" max="1928" width="26.109375" bestFit="1" customWidth="1"/>
    <col min="1929" max="1929" width="28" bestFit="1" customWidth="1"/>
    <col min="1930" max="1930" width="32.88671875" bestFit="1" customWidth="1"/>
    <col min="1931" max="1931" width="27.44140625" bestFit="1" customWidth="1"/>
    <col min="1932" max="1932" width="10.77734375" bestFit="1" customWidth="1"/>
  </cols>
  <sheetData>
    <row r="2" spans="1:2" x14ac:dyDescent="0.3">
      <c r="A2" s="1" t="s">
        <v>0</v>
      </c>
      <c r="B2" t="s">
        <v>2049</v>
      </c>
    </row>
    <row r="3" spans="1:2" x14ac:dyDescent="0.3">
      <c r="A3" s="2" t="s">
        <v>9</v>
      </c>
      <c r="B3" s="3">
        <v>640</v>
      </c>
    </row>
    <row r="4" spans="1:2" x14ac:dyDescent="0.3">
      <c r="A4" s="2" t="s">
        <v>12</v>
      </c>
      <c r="B4" s="3">
        <v>324</v>
      </c>
    </row>
    <row r="5" spans="1:2" x14ac:dyDescent="0.3">
      <c r="A5" s="2" t="s">
        <v>14</v>
      </c>
      <c r="B5" s="3">
        <v>322</v>
      </c>
    </row>
    <row r="6" spans="1:2" x14ac:dyDescent="0.3">
      <c r="A6" s="2" t="s">
        <v>5</v>
      </c>
      <c r="B6" s="3">
        <v>205</v>
      </c>
    </row>
    <row r="7" spans="1:2" x14ac:dyDescent="0.3">
      <c r="A7" s="2" t="s">
        <v>18</v>
      </c>
      <c r="B7" s="3">
        <v>107</v>
      </c>
    </row>
    <row r="8" spans="1:2" x14ac:dyDescent="0.3">
      <c r="A8" s="2" t="s">
        <v>7</v>
      </c>
      <c r="B8" s="3">
        <v>85</v>
      </c>
    </row>
    <row r="9" spans="1:2" x14ac:dyDescent="0.3">
      <c r="A9" s="2" t="s">
        <v>16</v>
      </c>
      <c r="B9" s="3">
        <v>84</v>
      </c>
    </row>
    <row r="10" spans="1:2" x14ac:dyDescent="0.3">
      <c r="A10" s="2" t="s">
        <v>15</v>
      </c>
      <c r="B10" s="3">
        <v>83</v>
      </c>
    </row>
    <row r="11" spans="1:2" x14ac:dyDescent="0.3">
      <c r="A11" s="2" t="s">
        <v>21</v>
      </c>
      <c r="B11" s="3">
        <v>54</v>
      </c>
    </row>
    <row r="12" spans="1:2" x14ac:dyDescent="0.3">
      <c r="A12" s="2" t="s">
        <v>4</v>
      </c>
      <c r="B12" s="3">
        <v>30</v>
      </c>
    </row>
    <row r="13" spans="1:2" x14ac:dyDescent="0.3">
      <c r="A13" s="2" t="s">
        <v>8</v>
      </c>
      <c r="B13" s="3">
        <v>23</v>
      </c>
    </row>
    <row r="14" spans="1:2" x14ac:dyDescent="0.3">
      <c r="A14" s="2" t="s">
        <v>6</v>
      </c>
      <c r="B14" s="3">
        <v>20</v>
      </c>
    </row>
    <row r="15" spans="1:2" x14ac:dyDescent="0.3">
      <c r="A15" s="2" t="s">
        <v>17</v>
      </c>
      <c r="B15" s="3">
        <v>20</v>
      </c>
    </row>
    <row r="16" spans="1:2" x14ac:dyDescent="0.3">
      <c r="A16" s="2" t="s">
        <v>22</v>
      </c>
      <c r="B16" s="3">
        <v>19</v>
      </c>
    </row>
    <row r="17" spans="1:2" x14ac:dyDescent="0.3">
      <c r="A17" s="2" t="s">
        <v>20</v>
      </c>
      <c r="B17" s="3">
        <v>18</v>
      </c>
    </row>
    <row r="18" spans="1:2" x14ac:dyDescent="0.3">
      <c r="A18" s="2" t="s">
        <v>26</v>
      </c>
      <c r="B18" s="3">
        <v>2034</v>
      </c>
    </row>
    <row r="23" spans="1:2" x14ac:dyDescent="0.3">
      <c r="A23" s="1" t="s">
        <v>0</v>
      </c>
      <c r="B23" t="s">
        <v>1</v>
      </c>
    </row>
    <row r="24" spans="1:2" x14ac:dyDescent="0.3">
      <c r="A24" s="2" t="s">
        <v>2</v>
      </c>
      <c r="B24" s="3">
        <v>403.74500000000006</v>
      </c>
    </row>
    <row r="25" spans="1:2" x14ac:dyDescent="0.3">
      <c r="A25" s="2" t="s">
        <v>3</v>
      </c>
      <c r="B25" s="3">
        <v>369.36699999999996</v>
      </c>
    </row>
    <row r="26" spans="1:2" x14ac:dyDescent="0.3">
      <c r="A26" s="2" t="s">
        <v>4</v>
      </c>
      <c r="B26" s="3">
        <v>275.13033333333334</v>
      </c>
    </row>
    <row r="27" spans="1:2" x14ac:dyDescent="0.3">
      <c r="A27" s="2" t="s">
        <v>5</v>
      </c>
      <c r="B27" s="3">
        <v>204.31239024390234</v>
      </c>
    </row>
    <row r="28" spans="1:2" x14ac:dyDescent="0.3">
      <c r="A28" s="2" t="s">
        <v>6</v>
      </c>
      <c r="B28" s="3">
        <v>168.38200000000001</v>
      </c>
    </row>
    <row r="29" spans="1:2" x14ac:dyDescent="0.3">
      <c r="A29" s="2" t="s">
        <v>7</v>
      </c>
      <c r="B29" s="3">
        <v>132.0111764705882</v>
      </c>
    </row>
    <row r="30" spans="1:2" x14ac:dyDescent="0.3">
      <c r="A30" s="2" t="s">
        <v>8</v>
      </c>
      <c r="B30" s="3">
        <v>129.99173913043478</v>
      </c>
    </row>
    <row r="31" spans="1:2" x14ac:dyDescent="0.3">
      <c r="A31" s="2" t="s">
        <v>9</v>
      </c>
      <c r="B31" s="3">
        <v>99.54454687500008</v>
      </c>
    </row>
    <row r="32" spans="1:2" x14ac:dyDescent="0.3">
      <c r="A32" s="2" t="s">
        <v>10</v>
      </c>
      <c r="B32" s="3">
        <v>91.215454545454548</v>
      </c>
    </row>
    <row r="33" spans="1:3" x14ac:dyDescent="0.3">
      <c r="A33" s="2" t="s">
        <v>11</v>
      </c>
      <c r="B33" s="3">
        <v>88.11</v>
      </c>
    </row>
    <row r="34" spans="1:3" x14ac:dyDescent="0.3">
      <c r="A34" s="2" t="s">
        <v>12</v>
      </c>
      <c r="B34" s="3">
        <v>78.54959876543198</v>
      </c>
    </row>
    <row r="35" spans="1:3" x14ac:dyDescent="0.3">
      <c r="A35" s="2" t="s">
        <v>13</v>
      </c>
      <c r="B35" s="3">
        <v>69.665000000000006</v>
      </c>
    </row>
    <row r="36" spans="1:3" x14ac:dyDescent="0.3">
      <c r="A36" s="2" t="s">
        <v>14</v>
      </c>
      <c r="B36" s="3">
        <v>68.52080745341614</v>
      </c>
    </row>
    <row r="37" spans="1:3" x14ac:dyDescent="0.3">
      <c r="A37" s="2" t="s">
        <v>15</v>
      </c>
      <c r="B37" s="3">
        <v>66.60783132530122</v>
      </c>
    </row>
    <row r="38" spans="1:3" x14ac:dyDescent="0.3">
      <c r="A38" s="2" t="s">
        <v>16</v>
      </c>
      <c r="B38" s="3">
        <v>57.692619047619061</v>
      </c>
    </row>
    <row r="39" spans="1:3" x14ac:dyDescent="0.3">
      <c r="A39" s="2" t="s">
        <v>17</v>
      </c>
      <c r="B39" s="3">
        <v>52.733499999999992</v>
      </c>
    </row>
    <row r="40" spans="1:3" x14ac:dyDescent="0.3">
      <c r="A40" s="2" t="s">
        <v>18</v>
      </c>
      <c r="B40" s="3">
        <v>52.26065420560748</v>
      </c>
    </row>
    <row r="41" spans="1:3" x14ac:dyDescent="0.3">
      <c r="A41" s="2" t="s">
        <v>19</v>
      </c>
      <c r="B41" s="3">
        <v>44.478333333333332</v>
      </c>
    </row>
    <row r="42" spans="1:3" x14ac:dyDescent="0.3">
      <c r="A42" s="2" t="s">
        <v>20</v>
      </c>
      <c r="B42" s="3">
        <v>43.778333333333336</v>
      </c>
    </row>
    <row r="43" spans="1:3" x14ac:dyDescent="0.3">
      <c r="A43" s="2" t="s">
        <v>21</v>
      </c>
      <c r="B43" s="3">
        <v>31.607592592592592</v>
      </c>
    </row>
    <row r="44" spans="1:3" x14ac:dyDescent="0.3">
      <c r="A44" s="2" t="s">
        <v>26</v>
      </c>
      <c r="B44" s="3">
        <v>101.88114769975812</v>
      </c>
    </row>
    <row r="47" spans="1:3" x14ac:dyDescent="0.3">
      <c r="B47" s="1" t="s">
        <v>0</v>
      </c>
      <c r="C47" t="s">
        <v>1</v>
      </c>
    </row>
    <row r="48" spans="1:3" x14ac:dyDescent="0.3">
      <c r="B48" s="2">
        <v>97</v>
      </c>
      <c r="C48" s="3">
        <v>302.1028260869565</v>
      </c>
    </row>
    <row r="49" spans="2:3" x14ac:dyDescent="0.3">
      <c r="B49" s="2">
        <v>96</v>
      </c>
      <c r="C49" s="3">
        <v>153.76897297297279</v>
      </c>
    </row>
    <row r="50" spans="2:3" x14ac:dyDescent="0.3">
      <c r="B50" s="2">
        <v>98</v>
      </c>
      <c r="C50" s="3">
        <v>101.36166666666668</v>
      </c>
    </row>
    <row r="51" spans="2:3" x14ac:dyDescent="0.3">
      <c r="B51" s="2">
        <v>95</v>
      </c>
      <c r="C51" s="3">
        <v>98.405879629629553</v>
      </c>
    </row>
    <row r="52" spans="2:3" x14ac:dyDescent="0.3">
      <c r="B52" s="2">
        <v>94</v>
      </c>
      <c r="C52" s="3">
        <v>84.285617805065073</v>
      </c>
    </row>
    <row r="53" spans="2:3" x14ac:dyDescent="0.3">
      <c r="B53" s="2" t="s">
        <v>26</v>
      </c>
      <c r="C53" s="3">
        <v>98.968615173674792</v>
      </c>
    </row>
    <row r="60" spans="2:3" x14ac:dyDescent="0.3">
      <c r="B60" s="1" t="s">
        <v>0</v>
      </c>
      <c r="C60" t="s">
        <v>2050</v>
      </c>
    </row>
    <row r="61" spans="2:3" x14ac:dyDescent="0.3">
      <c r="B61" s="2" t="s">
        <v>27</v>
      </c>
      <c r="C61" s="3">
        <v>93.444444444444443</v>
      </c>
    </row>
    <row r="62" spans="2:3" x14ac:dyDescent="0.3">
      <c r="B62" s="2" t="s">
        <v>21</v>
      </c>
      <c r="C62" s="3">
        <v>80</v>
      </c>
    </row>
    <row r="63" spans="2:3" x14ac:dyDescent="0.3">
      <c r="B63" s="2" t="s">
        <v>29</v>
      </c>
      <c r="C63" s="3">
        <v>78.5</v>
      </c>
    </row>
    <row r="64" spans="2:3" x14ac:dyDescent="0.3">
      <c r="B64" s="2" t="s">
        <v>6</v>
      </c>
      <c r="C64" s="3">
        <v>78.5</v>
      </c>
    </row>
    <row r="65" spans="2:3" x14ac:dyDescent="0.3">
      <c r="B65" s="2" t="s">
        <v>10</v>
      </c>
      <c r="C65" s="3">
        <v>78</v>
      </c>
    </row>
    <row r="66" spans="2:3" x14ac:dyDescent="0.3">
      <c r="B66" s="2" t="s">
        <v>2</v>
      </c>
      <c r="C66" s="3">
        <v>77.933884297520663</v>
      </c>
    </row>
    <row r="67" spans="2:3" x14ac:dyDescent="0.3">
      <c r="B67" s="2" t="s">
        <v>28</v>
      </c>
      <c r="C67" s="3">
        <v>77</v>
      </c>
    </row>
    <row r="68" spans="2:3" x14ac:dyDescent="0.3">
      <c r="B68" s="2" t="s">
        <v>11</v>
      </c>
      <c r="C68" s="3">
        <v>76.965517241379317</v>
      </c>
    </row>
    <row r="69" spans="2:3" x14ac:dyDescent="0.3">
      <c r="B69" s="2" t="s">
        <v>18</v>
      </c>
      <c r="C69" s="3">
        <v>76.773244147157186</v>
      </c>
    </row>
    <row r="70" spans="2:3" x14ac:dyDescent="0.3">
      <c r="B70" s="2" t="s">
        <v>12</v>
      </c>
      <c r="C70" s="3">
        <v>76</v>
      </c>
    </row>
    <row r="71" spans="2:3" x14ac:dyDescent="0.3">
      <c r="B71" s="2" t="s">
        <v>30</v>
      </c>
      <c r="C71" s="3">
        <v>75.583333333333329</v>
      </c>
    </row>
    <row r="72" spans="2:3" x14ac:dyDescent="0.3">
      <c r="B72" s="2" t="s">
        <v>7</v>
      </c>
      <c r="C72" s="3">
        <v>74.166666666666671</v>
      </c>
    </row>
    <row r="73" spans="2:3" x14ac:dyDescent="0.3">
      <c r="B73" s="2" t="s">
        <v>14</v>
      </c>
      <c r="C73" s="3">
        <v>72</v>
      </c>
    </row>
    <row r="74" spans="2:3" x14ac:dyDescent="0.3">
      <c r="B74" s="2" t="s">
        <v>31</v>
      </c>
      <c r="C74" s="3">
        <v>71.368421052631575</v>
      </c>
    </row>
    <row r="75" spans="2:3" x14ac:dyDescent="0.3">
      <c r="B75" s="2" t="s">
        <v>16</v>
      </c>
      <c r="C75" s="3">
        <v>69</v>
      </c>
    </row>
    <row r="76" spans="2:3" x14ac:dyDescent="0.3">
      <c r="B76" s="2" t="s">
        <v>26</v>
      </c>
      <c r="C76" s="3">
        <v>77.10191956124315</v>
      </c>
    </row>
    <row r="79" spans="2:3" x14ac:dyDescent="0.3">
      <c r="B79" s="1" t="s">
        <v>0</v>
      </c>
      <c r="C79" t="s">
        <v>2051</v>
      </c>
    </row>
    <row r="80" spans="2:3" x14ac:dyDescent="0.3">
      <c r="B80" s="2" t="s">
        <v>14</v>
      </c>
      <c r="C80" s="3">
        <v>60.018633540372669</v>
      </c>
    </row>
    <row r="81" spans="2:3" x14ac:dyDescent="0.3">
      <c r="B81" s="2" t="s">
        <v>6</v>
      </c>
      <c r="C81" s="3">
        <v>59.75</v>
      </c>
    </row>
    <row r="82" spans="2:3" x14ac:dyDescent="0.3">
      <c r="B82" s="2" t="s">
        <v>2</v>
      </c>
      <c r="C82" s="3">
        <v>59.5625</v>
      </c>
    </row>
    <row r="83" spans="2:3" x14ac:dyDescent="0.3">
      <c r="B83" s="2" t="s">
        <v>19</v>
      </c>
      <c r="C83" s="3">
        <v>59.166666666666664</v>
      </c>
    </row>
    <row r="84" spans="2:3" x14ac:dyDescent="0.3">
      <c r="B84" s="2" t="s">
        <v>4</v>
      </c>
      <c r="C84" s="3">
        <v>58.9</v>
      </c>
    </row>
    <row r="85" spans="2:3" x14ac:dyDescent="0.3">
      <c r="B85" s="2" t="s">
        <v>22</v>
      </c>
      <c r="C85" s="3">
        <v>58.842105263157897</v>
      </c>
    </row>
    <row r="86" spans="2:3" x14ac:dyDescent="0.3">
      <c r="B86" s="2" t="s">
        <v>3</v>
      </c>
      <c r="C86" s="3">
        <v>58.8</v>
      </c>
    </row>
    <row r="87" spans="2:3" x14ac:dyDescent="0.3">
      <c r="B87" s="2" t="s">
        <v>9</v>
      </c>
      <c r="C87" s="3">
        <v>58.720312499999999</v>
      </c>
    </row>
    <row r="88" spans="2:3" x14ac:dyDescent="0.3">
      <c r="B88" s="2" t="s">
        <v>15</v>
      </c>
      <c r="C88" s="3">
        <v>57.867469879518069</v>
      </c>
    </row>
    <row r="89" spans="2:3" x14ac:dyDescent="0.3">
      <c r="B89" s="2" t="s">
        <v>13</v>
      </c>
      <c r="C89" s="3">
        <v>57.833333333333336</v>
      </c>
    </row>
    <row r="90" spans="2:3" x14ac:dyDescent="0.3">
      <c r="B90" s="2" t="s">
        <v>21</v>
      </c>
      <c r="C90" s="3">
        <v>57.666666666666664</v>
      </c>
    </row>
    <row r="91" spans="2:3" x14ac:dyDescent="0.3">
      <c r="B91" s="2" t="s">
        <v>5</v>
      </c>
      <c r="C91" s="3">
        <v>57.487804878048777</v>
      </c>
    </row>
    <row r="92" spans="2:3" x14ac:dyDescent="0.3">
      <c r="B92" s="2" t="s">
        <v>18</v>
      </c>
      <c r="C92" s="3">
        <v>57.308411214953274</v>
      </c>
    </row>
    <row r="93" spans="2:3" x14ac:dyDescent="0.3">
      <c r="B93" s="2" t="s">
        <v>7</v>
      </c>
      <c r="C93" s="3">
        <v>56.988235294117644</v>
      </c>
    </row>
    <row r="94" spans="2:3" x14ac:dyDescent="0.3">
      <c r="B94" s="2" t="s">
        <v>20</v>
      </c>
      <c r="C94" s="3">
        <v>56.944444444444443</v>
      </c>
    </row>
    <row r="95" spans="2:3" x14ac:dyDescent="0.3">
      <c r="B95" s="2" t="s">
        <v>10</v>
      </c>
      <c r="C95" s="3">
        <v>56.909090909090907</v>
      </c>
    </row>
    <row r="96" spans="2:3" x14ac:dyDescent="0.3">
      <c r="B96" s="2" t="s">
        <v>8</v>
      </c>
      <c r="C96" s="3">
        <v>56.739130434782609</v>
      </c>
    </row>
    <row r="97" spans="2:3" x14ac:dyDescent="0.3">
      <c r="B97" s="2" t="s">
        <v>12</v>
      </c>
      <c r="C97" s="3">
        <v>54.75</v>
      </c>
    </row>
    <row r="98" spans="2:3" x14ac:dyDescent="0.3">
      <c r="B98" s="2" t="s">
        <v>23</v>
      </c>
      <c r="C98" s="3">
        <v>54.666666666666664</v>
      </c>
    </row>
    <row r="99" spans="2:3" x14ac:dyDescent="0.3">
      <c r="B99" s="2" t="s">
        <v>24</v>
      </c>
      <c r="C99" s="3">
        <v>54.5</v>
      </c>
    </row>
    <row r="100" spans="2:3" x14ac:dyDescent="0.3">
      <c r="B100" s="2" t="s">
        <v>17</v>
      </c>
      <c r="C100" s="3">
        <v>54.45</v>
      </c>
    </row>
    <row r="101" spans="2:3" x14ac:dyDescent="0.3">
      <c r="B101" s="2" t="s">
        <v>11</v>
      </c>
      <c r="C101" s="3">
        <v>54</v>
      </c>
    </row>
    <row r="102" spans="2:3" x14ac:dyDescent="0.3">
      <c r="B102" s="2" t="s">
        <v>150</v>
      </c>
      <c r="C102" s="3">
        <v>53.898876404494381</v>
      </c>
    </row>
    <row r="103" spans="2:3" x14ac:dyDescent="0.3">
      <c r="B103" s="2" t="s">
        <v>16</v>
      </c>
      <c r="C103" s="3">
        <v>53.476190476190474</v>
      </c>
    </row>
    <row r="104" spans="2:3" x14ac:dyDescent="0.3">
      <c r="B104" s="2" t="s">
        <v>25</v>
      </c>
      <c r="C104" s="3">
        <v>43</v>
      </c>
    </row>
    <row r="105" spans="2:3" x14ac:dyDescent="0.3">
      <c r="B105" s="2" t="s">
        <v>26</v>
      </c>
      <c r="C105" s="3">
        <v>57.514625228519193</v>
      </c>
    </row>
    <row r="108" spans="2:3" x14ac:dyDescent="0.3">
      <c r="B108" s="1" t="s">
        <v>0</v>
      </c>
      <c r="C108" t="s">
        <v>2049</v>
      </c>
    </row>
    <row r="109" spans="2:3" x14ac:dyDescent="0.3">
      <c r="B109" s="2" t="s">
        <v>45</v>
      </c>
      <c r="C109" s="3">
        <v>1263</v>
      </c>
    </row>
    <row r="110" spans="2:3" x14ac:dyDescent="0.3">
      <c r="B110" s="2" t="s">
        <v>41</v>
      </c>
      <c r="C110" s="3">
        <v>627</v>
      </c>
    </row>
    <row r="111" spans="2:3" x14ac:dyDescent="0.3">
      <c r="B111" s="2" t="s">
        <v>82</v>
      </c>
      <c r="C111" s="3">
        <v>243</v>
      </c>
    </row>
    <row r="112" spans="2:3" x14ac:dyDescent="0.3">
      <c r="B112" s="2" t="s">
        <v>541</v>
      </c>
      <c r="C112" s="3">
        <v>49</v>
      </c>
    </row>
    <row r="113" spans="2:3" x14ac:dyDescent="0.3">
      <c r="B113" s="2" t="s">
        <v>545</v>
      </c>
      <c r="C113" s="3">
        <v>5</v>
      </c>
    </row>
    <row r="114" spans="2:3" x14ac:dyDescent="0.3">
      <c r="B114" s="2" t="s">
        <v>2045</v>
      </c>
      <c r="C114" s="3">
        <v>1</v>
      </c>
    </row>
    <row r="115" spans="2:3" x14ac:dyDescent="0.3">
      <c r="B115" s="2" t="s">
        <v>26</v>
      </c>
      <c r="C115" s="3">
        <v>2188</v>
      </c>
    </row>
    <row r="121" spans="2:3" x14ac:dyDescent="0.3">
      <c r="B121" s="1" t="s">
        <v>0</v>
      </c>
      <c r="C121" t="s">
        <v>1</v>
      </c>
    </row>
    <row r="122" spans="2:3" x14ac:dyDescent="0.3">
      <c r="B122" s="2">
        <v>94</v>
      </c>
      <c r="C122" s="3">
        <v>84.285617805065073</v>
      </c>
    </row>
    <row r="123" spans="2:3" x14ac:dyDescent="0.3">
      <c r="B123" s="2">
        <v>95</v>
      </c>
      <c r="C123" s="3">
        <v>98.405879629629553</v>
      </c>
    </row>
    <row r="124" spans="2:3" x14ac:dyDescent="0.3">
      <c r="B124" s="2">
        <v>96</v>
      </c>
      <c r="C124" s="3">
        <v>153.76897297297279</v>
      </c>
    </row>
    <row r="125" spans="2:3" x14ac:dyDescent="0.3">
      <c r="B125" s="2">
        <v>97</v>
      </c>
      <c r="C125" s="3">
        <v>302.1028260869565</v>
      </c>
    </row>
    <row r="126" spans="2:3" x14ac:dyDescent="0.3">
      <c r="B126" s="2">
        <v>98</v>
      </c>
      <c r="C126" s="3">
        <v>101.36166666666668</v>
      </c>
    </row>
    <row r="127" spans="2:3" x14ac:dyDescent="0.3">
      <c r="B127" s="2" t="s">
        <v>26</v>
      </c>
      <c r="C127" s="3">
        <v>98.968615173674792</v>
      </c>
    </row>
    <row r="139" spans="2:3" x14ac:dyDescent="0.3">
      <c r="B139" s="1" t="s">
        <v>0</v>
      </c>
      <c r="C139" t="s">
        <v>2052</v>
      </c>
    </row>
    <row r="140" spans="2:3" x14ac:dyDescent="0.3">
      <c r="B140" s="2" t="s">
        <v>5</v>
      </c>
      <c r="C140" s="3">
        <v>95.034146341463412</v>
      </c>
    </row>
    <row r="141" spans="2:3" x14ac:dyDescent="0.3">
      <c r="B141" s="2" t="s">
        <v>11</v>
      </c>
      <c r="C141" s="3">
        <v>95</v>
      </c>
    </row>
    <row r="142" spans="2:3" x14ac:dyDescent="0.3">
      <c r="B142" s="2" t="s">
        <v>8</v>
      </c>
      <c r="C142" s="3">
        <v>94.869565217391298</v>
      </c>
    </row>
    <row r="143" spans="2:3" x14ac:dyDescent="0.3">
      <c r="B143" s="2" t="s">
        <v>18</v>
      </c>
      <c r="C143" s="3">
        <v>94.691588785046733</v>
      </c>
    </row>
    <row r="144" spans="2:3" x14ac:dyDescent="0.3">
      <c r="B144" s="2" t="s">
        <v>4</v>
      </c>
      <c r="C144" s="3">
        <v>94.666666666666671</v>
      </c>
    </row>
    <row r="145" spans="2:3" x14ac:dyDescent="0.3">
      <c r="B145" s="2" t="s">
        <v>12</v>
      </c>
      <c r="C145" s="3">
        <v>94.632716049382722</v>
      </c>
    </row>
    <row r="146" spans="2:3" x14ac:dyDescent="0.3">
      <c r="B146" s="2" t="s">
        <v>20</v>
      </c>
      <c r="C146" s="3">
        <v>94.611111111111114</v>
      </c>
    </row>
    <row r="147" spans="2:3" x14ac:dyDescent="0.3">
      <c r="B147" s="2" t="s">
        <v>14</v>
      </c>
      <c r="C147" s="3">
        <v>94.509316770186331</v>
      </c>
    </row>
    <row r="148" spans="2:3" x14ac:dyDescent="0.3">
      <c r="B148" s="2" t="s">
        <v>9</v>
      </c>
      <c r="C148" s="3">
        <v>94.451562499999994</v>
      </c>
    </row>
    <row r="149" spans="2:3" x14ac:dyDescent="0.3">
      <c r="B149" s="2" t="s">
        <v>7</v>
      </c>
      <c r="C149" s="3">
        <v>94.423529411764704</v>
      </c>
    </row>
    <row r="150" spans="2:3" x14ac:dyDescent="0.3">
      <c r="B150" s="2" t="s">
        <v>2</v>
      </c>
      <c r="C150" s="3">
        <v>94.375</v>
      </c>
    </row>
    <row r="151" spans="2:3" x14ac:dyDescent="0.3">
      <c r="B151" s="2" t="s">
        <v>24</v>
      </c>
      <c r="C151" s="3">
        <v>94.375</v>
      </c>
    </row>
    <row r="152" spans="2:3" x14ac:dyDescent="0.3">
      <c r="B152" s="2" t="s">
        <v>16</v>
      </c>
      <c r="C152" s="3">
        <v>94.357142857142861</v>
      </c>
    </row>
    <row r="153" spans="2:3" x14ac:dyDescent="0.3">
      <c r="B153" s="2" t="s">
        <v>17</v>
      </c>
      <c r="C153" s="3">
        <v>94.35</v>
      </c>
    </row>
    <row r="154" spans="2:3" x14ac:dyDescent="0.3">
      <c r="B154" s="2" t="s">
        <v>15</v>
      </c>
      <c r="C154" s="3">
        <v>94.301204819277103</v>
      </c>
    </row>
    <row r="155" spans="2:3" x14ac:dyDescent="0.3">
      <c r="B155" s="2" t="s">
        <v>6</v>
      </c>
      <c r="C155" s="3">
        <v>94.3</v>
      </c>
    </row>
    <row r="156" spans="2:3" x14ac:dyDescent="0.3">
      <c r="B156" s="2" t="s">
        <v>10</v>
      </c>
      <c r="C156" s="3">
        <v>94.272727272727266</v>
      </c>
    </row>
    <row r="157" spans="2:3" x14ac:dyDescent="0.3">
      <c r="B157" s="2" t="s">
        <v>21</v>
      </c>
      <c r="C157" s="3">
        <v>94.259259259259252</v>
      </c>
    </row>
    <row r="158" spans="2:3" x14ac:dyDescent="0.3">
      <c r="B158" s="2" t="s">
        <v>3</v>
      </c>
      <c r="C158" s="3">
        <v>94.2</v>
      </c>
    </row>
    <row r="159" spans="2:3" x14ac:dyDescent="0.3">
      <c r="B159" s="2" t="s">
        <v>19</v>
      </c>
      <c r="C159" s="3">
        <v>94.166666666666671</v>
      </c>
    </row>
    <row r="160" spans="2:3" x14ac:dyDescent="0.3">
      <c r="B160" s="2" t="s">
        <v>22</v>
      </c>
      <c r="C160" s="3">
        <v>94.15789473684211</v>
      </c>
    </row>
    <row r="161" spans="2:3" x14ac:dyDescent="0.3">
      <c r="B161" s="2" t="s">
        <v>23</v>
      </c>
      <c r="C161" s="3">
        <v>94</v>
      </c>
    </row>
    <row r="162" spans="2:3" x14ac:dyDescent="0.3">
      <c r="B162" s="2" t="s">
        <v>25</v>
      </c>
      <c r="C162" s="3">
        <v>94</v>
      </c>
    </row>
    <row r="163" spans="2:3" x14ac:dyDescent="0.3">
      <c r="B163" s="2" t="s">
        <v>13</v>
      </c>
      <c r="C163" s="3">
        <v>94</v>
      </c>
    </row>
    <row r="164" spans="2:3" x14ac:dyDescent="0.3">
      <c r="B164" s="2" t="s">
        <v>26</v>
      </c>
      <c r="C164" s="3">
        <v>94.53930443068127</v>
      </c>
    </row>
    <row r="167" spans="2:3" x14ac:dyDescent="0.3">
      <c r="B167" s="1" t="s">
        <v>0</v>
      </c>
      <c r="C167" t="s">
        <v>2050</v>
      </c>
    </row>
    <row r="168" spans="2:3" x14ac:dyDescent="0.3">
      <c r="B168" s="2" t="s">
        <v>29</v>
      </c>
      <c r="C168" s="3">
        <v>78.5</v>
      </c>
    </row>
    <row r="169" spans="2:3" x14ac:dyDescent="0.3">
      <c r="B169" s="2" t="s">
        <v>31</v>
      </c>
      <c r="C169" s="3">
        <v>71.368421052631575</v>
      </c>
    </row>
    <row r="170" spans="2:3" x14ac:dyDescent="0.3">
      <c r="B170" s="2" t="s">
        <v>11</v>
      </c>
      <c r="C170" s="3">
        <v>76.965517241379317</v>
      </c>
    </row>
    <row r="171" spans="2:3" x14ac:dyDescent="0.3">
      <c r="B171" s="2" t="s">
        <v>14</v>
      </c>
      <c r="C171" s="3">
        <v>72</v>
      </c>
    </row>
    <row r="172" spans="2:3" x14ac:dyDescent="0.3">
      <c r="B172" s="2" t="s">
        <v>21</v>
      </c>
      <c r="C172" s="3">
        <v>80</v>
      </c>
    </row>
    <row r="173" spans="2:3" x14ac:dyDescent="0.3">
      <c r="B173" s="2" t="s">
        <v>7</v>
      </c>
      <c r="C173" s="3">
        <v>74.166666666666671</v>
      </c>
    </row>
    <row r="174" spans="2:3" x14ac:dyDescent="0.3">
      <c r="B174" s="2" t="s">
        <v>16</v>
      </c>
      <c r="C174" s="3">
        <v>69</v>
      </c>
    </row>
    <row r="175" spans="2:3" x14ac:dyDescent="0.3">
      <c r="B175" s="2" t="s">
        <v>27</v>
      </c>
      <c r="C175" s="3">
        <v>93.444444444444443</v>
      </c>
    </row>
    <row r="176" spans="2:3" x14ac:dyDescent="0.3">
      <c r="B176" s="2" t="s">
        <v>12</v>
      </c>
      <c r="C176" s="3">
        <v>76</v>
      </c>
    </row>
    <row r="177" spans="2:3" x14ac:dyDescent="0.3">
      <c r="B177" s="2" t="s">
        <v>10</v>
      </c>
      <c r="C177" s="3">
        <v>78</v>
      </c>
    </row>
    <row r="178" spans="2:3" x14ac:dyDescent="0.3">
      <c r="B178" s="2" t="s">
        <v>6</v>
      </c>
      <c r="C178" s="3">
        <v>78.5</v>
      </c>
    </row>
    <row r="179" spans="2:3" x14ac:dyDescent="0.3">
      <c r="B179" s="2" t="s">
        <v>30</v>
      </c>
      <c r="C179" s="3">
        <v>75.583333333333329</v>
      </c>
    </row>
    <row r="180" spans="2:3" x14ac:dyDescent="0.3">
      <c r="B180" s="2" t="s">
        <v>2</v>
      </c>
      <c r="C180" s="3">
        <v>77.933884297520663</v>
      </c>
    </row>
    <row r="181" spans="2:3" x14ac:dyDescent="0.3">
      <c r="B181" s="2" t="s">
        <v>28</v>
      </c>
      <c r="C181" s="3">
        <v>77</v>
      </c>
    </row>
    <row r="182" spans="2:3" x14ac:dyDescent="0.3">
      <c r="B182" s="2" t="s">
        <v>18</v>
      </c>
      <c r="C182" s="3">
        <v>76.773244147157186</v>
      </c>
    </row>
    <row r="183" spans="2:3" x14ac:dyDescent="0.3">
      <c r="B183" s="2" t="s">
        <v>26</v>
      </c>
      <c r="C183" s="3">
        <v>77.10191956124315</v>
      </c>
    </row>
    <row r="187" spans="2:3" x14ac:dyDescent="0.3">
      <c r="B187" s="1" t="s">
        <v>0</v>
      </c>
      <c r="C187" t="s">
        <v>2049</v>
      </c>
    </row>
    <row r="188" spans="2:3" x14ac:dyDescent="0.3">
      <c r="B188" s="2">
        <v>94</v>
      </c>
      <c r="C188" s="3">
        <v>1303</v>
      </c>
    </row>
    <row r="189" spans="2:3" x14ac:dyDescent="0.3">
      <c r="B189" s="2">
        <v>95</v>
      </c>
      <c r="C189" s="3">
        <v>648</v>
      </c>
    </row>
    <row r="190" spans="2:3" x14ac:dyDescent="0.3">
      <c r="B190" s="2">
        <v>96</v>
      </c>
      <c r="C190" s="3">
        <v>185</v>
      </c>
    </row>
    <row r="191" spans="2:3" x14ac:dyDescent="0.3">
      <c r="B191" s="2">
        <v>97</v>
      </c>
      <c r="C191" s="3">
        <v>46</v>
      </c>
    </row>
    <row r="192" spans="2:3" x14ac:dyDescent="0.3">
      <c r="B192" s="2">
        <v>98</v>
      </c>
      <c r="C192" s="3">
        <v>6</v>
      </c>
    </row>
    <row r="193" spans="2:3" x14ac:dyDescent="0.3">
      <c r="B193" s="2" t="s">
        <v>26</v>
      </c>
      <c r="C193" s="3">
        <v>2188</v>
      </c>
    </row>
    <row r="200" spans="2:3" x14ac:dyDescent="0.3">
      <c r="B200" s="1" t="s">
        <v>0</v>
      </c>
      <c r="C200" t="s">
        <v>2049</v>
      </c>
    </row>
    <row r="201" spans="2:3" x14ac:dyDescent="0.3">
      <c r="B201" s="2" t="s">
        <v>18</v>
      </c>
      <c r="C201" s="3">
        <v>1495</v>
      </c>
    </row>
    <row r="202" spans="2:3" x14ac:dyDescent="0.3">
      <c r="B202" s="2" t="s">
        <v>2</v>
      </c>
      <c r="C202" s="3">
        <v>605</v>
      </c>
    </row>
    <row r="203" spans="2:3" x14ac:dyDescent="0.3">
      <c r="B203" s="2" t="s">
        <v>11</v>
      </c>
      <c r="C203" s="3">
        <v>29</v>
      </c>
    </row>
    <row r="204" spans="2:3" x14ac:dyDescent="0.3">
      <c r="B204" s="2" t="s">
        <v>31</v>
      </c>
      <c r="C204" s="3">
        <v>19</v>
      </c>
    </row>
    <row r="205" spans="2:3" x14ac:dyDescent="0.3">
      <c r="B205" s="2" t="s">
        <v>26</v>
      </c>
      <c r="C205" s="3">
        <v>2148</v>
      </c>
    </row>
    <row r="217" spans="2:3" x14ac:dyDescent="0.3">
      <c r="B217" s="1" t="s">
        <v>0</v>
      </c>
      <c r="C217" t="s">
        <v>2050</v>
      </c>
    </row>
    <row r="218" spans="2:3" x14ac:dyDescent="0.3">
      <c r="B218" s="2" t="s">
        <v>41</v>
      </c>
      <c r="C218" s="3">
        <v>85.523125996810208</v>
      </c>
    </row>
    <row r="219" spans="2:3" x14ac:dyDescent="0.3">
      <c r="B219" s="2" t="s">
        <v>45</v>
      </c>
      <c r="C219" s="3">
        <v>76.471892319873319</v>
      </c>
    </row>
    <row r="220" spans="2:3" x14ac:dyDescent="0.3">
      <c r="B220" s="2" t="s">
        <v>2045</v>
      </c>
      <c r="C220" s="3">
        <v>66</v>
      </c>
    </row>
    <row r="221" spans="2:3" x14ac:dyDescent="0.3">
      <c r="B221" s="2" t="s">
        <v>82</v>
      </c>
      <c r="C221" s="3">
        <v>64.485596707818928</v>
      </c>
    </row>
    <row r="222" spans="2:3" x14ac:dyDescent="0.3">
      <c r="B222" s="2" t="s">
        <v>541</v>
      </c>
      <c r="C222" s="3">
        <v>51.795918367346935</v>
      </c>
    </row>
    <row r="223" spans="2:3" x14ac:dyDescent="0.3">
      <c r="B223" s="2" t="s">
        <v>545</v>
      </c>
      <c r="C223" s="3">
        <v>43.6</v>
      </c>
    </row>
    <row r="224" spans="2:3" x14ac:dyDescent="0.3">
      <c r="B224" s="2" t="s">
        <v>26</v>
      </c>
      <c r="C224" s="3">
        <v>77.10191956124315</v>
      </c>
    </row>
    <row r="233" spans="2:18" x14ac:dyDescent="0.3">
      <c r="B233" s="1" t="s">
        <v>1</v>
      </c>
      <c r="C233" s="1" t="s">
        <v>2053</v>
      </c>
    </row>
    <row r="234" spans="2:18" x14ac:dyDescent="0.3">
      <c r="B234" s="1" t="s">
        <v>0</v>
      </c>
      <c r="C234" t="s">
        <v>29</v>
      </c>
      <c r="D234" t="s">
        <v>31</v>
      </c>
      <c r="E234" t="s">
        <v>11</v>
      </c>
      <c r="F234" t="s">
        <v>14</v>
      </c>
      <c r="G234" t="s">
        <v>21</v>
      </c>
      <c r="H234" t="s">
        <v>7</v>
      </c>
      <c r="I234" t="s">
        <v>16</v>
      </c>
      <c r="J234" t="s">
        <v>27</v>
      </c>
      <c r="K234" t="s">
        <v>12</v>
      </c>
      <c r="L234" t="s">
        <v>10</v>
      </c>
      <c r="M234" t="s">
        <v>6</v>
      </c>
      <c r="N234" t="s">
        <v>30</v>
      </c>
      <c r="O234" t="s">
        <v>2</v>
      </c>
      <c r="P234" t="s">
        <v>28</v>
      </c>
      <c r="Q234" t="s">
        <v>18</v>
      </c>
      <c r="R234" t="s">
        <v>26</v>
      </c>
    </row>
    <row r="235" spans="2:18" x14ac:dyDescent="0.3">
      <c r="B235" s="2" t="s">
        <v>25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>
        <v>4.1900000000000004</v>
      </c>
      <c r="R235" s="4">
        <v>4.1900000000000004</v>
      </c>
    </row>
    <row r="236" spans="2:18" x14ac:dyDescent="0.3">
      <c r="B236" s="2" t="s">
        <v>3</v>
      </c>
      <c r="C236" s="3">
        <v>6.4</v>
      </c>
      <c r="D236" s="3"/>
      <c r="E236" s="3"/>
      <c r="F236" s="3"/>
      <c r="G236" s="3"/>
      <c r="H236" s="3"/>
      <c r="I236" s="3"/>
      <c r="J236" s="3">
        <v>2980</v>
      </c>
      <c r="K236" s="3"/>
      <c r="L236" s="3"/>
      <c r="M236" s="3"/>
      <c r="N236" s="3"/>
      <c r="O236" s="3">
        <v>264.55</v>
      </c>
      <c r="P236" s="3"/>
      <c r="Q236" s="3">
        <v>63.245714285714293</v>
      </c>
      <c r="R236" s="4">
        <v>369.36700000000002</v>
      </c>
    </row>
    <row r="237" spans="2:18" x14ac:dyDescent="0.3">
      <c r="B237" s="2" t="s">
        <v>24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>
        <v>5.5250000000000004</v>
      </c>
      <c r="R237" s="4">
        <v>5.5250000000000004</v>
      </c>
    </row>
    <row r="238" spans="2:18" x14ac:dyDescent="0.3">
      <c r="B238" s="2" t="s">
        <v>11</v>
      </c>
      <c r="C238" s="3"/>
      <c r="D238" s="3"/>
      <c r="E238" s="3">
        <v>88.11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4">
        <v>88.11</v>
      </c>
    </row>
    <row r="239" spans="2:18" x14ac:dyDescent="0.3">
      <c r="B239" s="2" t="s">
        <v>14</v>
      </c>
      <c r="C239" s="3"/>
      <c r="D239" s="3">
        <v>8.94</v>
      </c>
      <c r="E239" s="3">
        <v>40.093333333333334</v>
      </c>
      <c r="F239" s="3">
        <v>7.35</v>
      </c>
      <c r="G239" s="3"/>
      <c r="H239" s="3"/>
      <c r="I239" s="3"/>
      <c r="J239" s="3">
        <v>300.19499999999999</v>
      </c>
      <c r="K239" s="3"/>
      <c r="L239" s="3"/>
      <c r="M239" s="3"/>
      <c r="N239" s="3">
        <v>28</v>
      </c>
      <c r="O239" s="3">
        <v>300.39450980392155</v>
      </c>
      <c r="P239" s="3"/>
      <c r="Q239" s="3">
        <v>18.484108527131781</v>
      </c>
      <c r="R239" s="4">
        <v>68.520807453416069</v>
      </c>
    </row>
    <row r="240" spans="2:18" x14ac:dyDescent="0.3">
      <c r="B240" s="2" t="s">
        <v>15</v>
      </c>
      <c r="C240" s="3"/>
      <c r="D240" s="3"/>
      <c r="E240" s="3">
        <v>89</v>
      </c>
      <c r="F240" s="3"/>
      <c r="G240" s="3"/>
      <c r="H240" s="3"/>
      <c r="I240" s="3"/>
      <c r="J240" s="3"/>
      <c r="K240" s="3"/>
      <c r="L240" s="3"/>
      <c r="M240" s="3"/>
      <c r="N240" s="3"/>
      <c r="O240" s="3">
        <v>203.53541666666669</v>
      </c>
      <c r="P240" s="3"/>
      <c r="Q240" s="3">
        <v>9.5620689655172395</v>
      </c>
      <c r="R240" s="4">
        <v>66.60783132530122</v>
      </c>
    </row>
    <row r="241" spans="2:18" x14ac:dyDescent="0.3">
      <c r="B241" s="2" t="s">
        <v>23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>
        <v>5.5783333333333331</v>
      </c>
      <c r="R241" s="4">
        <v>5.5783333333333331</v>
      </c>
    </row>
    <row r="242" spans="2:18" x14ac:dyDescent="0.3">
      <c r="B242" s="2" t="s">
        <v>4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>
        <v>1581.318</v>
      </c>
      <c r="P242" s="3"/>
      <c r="Q242" s="3">
        <v>13.892799999999999</v>
      </c>
      <c r="R242" s="4">
        <v>275.13033333333334</v>
      </c>
    </row>
    <row r="243" spans="2:18" x14ac:dyDescent="0.3">
      <c r="B243" s="2" t="s">
        <v>21</v>
      </c>
      <c r="C243" s="3"/>
      <c r="D243" s="3">
        <v>3.53</v>
      </c>
      <c r="E243" s="3">
        <v>8.66</v>
      </c>
      <c r="F243" s="3"/>
      <c r="G243" s="3">
        <v>4.63</v>
      </c>
      <c r="H243" s="3"/>
      <c r="I243" s="3"/>
      <c r="J243" s="3"/>
      <c r="K243" s="3"/>
      <c r="L243" s="3"/>
      <c r="M243" s="3"/>
      <c r="N243" s="3">
        <v>8</v>
      </c>
      <c r="O243" s="3">
        <v>166.85333333333332</v>
      </c>
      <c r="P243" s="3"/>
      <c r="Q243" s="3">
        <v>15.474318181818182</v>
      </c>
      <c r="R243" s="4">
        <v>31.607592592592596</v>
      </c>
    </row>
    <row r="244" spans="2:18" x14ac:dyDescent="0.3">
      <c r="B244" s="2" t="s">
        <v>9</v>
      </c>
      <c r="C244" s="3">
        <v>6.4</v>
      </c>
      <c r="D244" s="3">
        <v>10.337999999999999</v>
      </c>
      <c r="E244" s="3">
        <v>96.86999999999999</v>
      </c>
      <c r="F244" s="3"/>
      <c r="G244" s="3"/>
      <c r="H244" s="3"/>
      <c r="I244" s="3"/>
      <c r="J244" s="3">
        <v>12.5</v>
      </c>
      <c r="K244" s="3"/>
      <c r="L244" s="3"/>
      <c r="M244" s="3"/>
      <c r="N244" s="3">
        <v>31.625</v>
      </c>
      <c r="O244" s="3">
        <v>214.18520000000004</v>
      </c>
      <c r="P244" s="3"/>
      <c r="Q244" s="3">
        <v>10.586598837209291</v>
      </c>
      <c r="R244" s="4">
        <v>99.54454687500008</v>
      </c>
    </row>
    <row r="245" spans="2:18" x14ac:dyDescent="0.3">
      <c r="B245" s="2" t="s">
        <v>7</v>
      </c>
      <c r="C245" s="3"/>
      <c r="D245" s="3"/>
      <c r="E245" s="3"/>
      <c r="F245" s="3"/>
      <c r="G245" s="3"/>
      <c r="H245" s="3">
        <v>5.29</v>
      </c>
      <c r="I245" s="3"/>
      <c r="J245" s="3"/>
      <c r="K245" s="3"/>
      <c r="L245" s="3"/>
      <c r="M245" s="3"/>
      <c r="N245" s="3"/>
      <c r="O245" s="3">
        <v>269.45692307692309</v>
      </c>
      <c r="P245" s="3"/>
      <c r="Q245" s="3">
        <v>17.00975</v>
      </c>
      <c r="R245" s="4">
        <v>132.0111764705882</v>
      </c>
    </row>
    <row r="246" spans="2:18" x14ac:dyDescent="0.3">
      <c r="B246" s="2" t="s">
        <v>13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>
        <v>137.72</v>
      </c>
      <c r="P246" s="3"/>
      <c r="Q246" s="3">
        <v>35.637499999999996</v>
      </c>
      <c r="R246" s="4">
        <v>69.665000000000006</v>
      </c>
    </row>
    <row r="247" spans="2:18" x14ac:dyDescent="0.3">
      <c r="B247" s="2" t="s">
        <v>16</v>
      </c>
      <c r="C247" s="3"/>
      <c r="D247" s="3">
        <v>4.8499999999999996</v>
      </c>
      <c r="E247" s="3"/>
      <c r="F247" s="3"/>
      <c r="G247" s="3"/>
      <c r="H247" s="3"/>
      <c r="I247" s="3">
        <v>60</v>
      </c>
      <c r="J247" s="3"/>
      <c r="K247" s="3"/>
      <c r="L247" s="3"/>
      <c r="M247" s="3"/>
      <c r="N247" s="3">
        <v>4</v>
      </c>
      <c r="O247" s="3">
        <v>174.11500000000001</v>
      </c>
      <c r="P247" s="3"/>
      <c r="Q247" s="3">
        <v>43.062753623188406</v>
      </c>
      <c r="R247" s="4">
        <v>57.69261904761904</v>
      </c>
    </row>
    <row r="248" spans="2:18" x14ac:dyDescent="0.3">
      <c r="B248" s="2" t="s">
        <v>12</v>
      </c>
      <c r="C248" s="3"/>
      <c r="D248" s="3">
        <v>7.3733333333333322</v>
      </c>
      <c r="E248" s="3">
        <v>59</v>
      </c>
      <c r="F248" s="3"/>
      <c r="G248" s="3"/>
      <c r="H248" s="3"/>
      <c r="I248" s="3"/>
      <c r="J248" s="3"/>
      <c r="K248" s="3">
        <v>6.91</v>
      </c>
      <c r="L248" s="3"/>
      <c r="M248" s="3"/>
      <c r="N248" s="3">
        <v>9.5</v>
      </c>
      <c r="O248" s="3">
        <v>205.67980198019805</v>
      </c>
      <c r="P248" s="3"/>
      <c r="Q248" s="3">
        <v>21.100829493087559</v>
      </c>
      <c r="R248" s="4">
        <v>78.549598765431952</v>
      </c>
    </row>
    <row r="249" spans="2:18" x14ac:dyDescent="0.3">
      <c r="B249" s="2" t="s">
        <v>10</v>
      </c>
      <c r="C249" s="3"/>
      <c r="D249" s="3"/>
      <c r="E249" s="3">
        <v>498</v>
      </c>
      <c r="F249" s="3"/>
      <c r="G249" s="3"/>
      <c r="H249" s="3"/>
      <c r="I249" s="3"/>
      <c r="J249" s="3"/>
      <c r="K249" s="3"/>
      <c r="L249" s="3">
        <v>15.43</v>
      </c>
      <c r="M249" s="3"/>
      <c r="N249" s="3"/>
      <c r="O249" s="3">
        <v>215.23000000000002</v>
      </c>
      <c r="P249" s="3"/>
      <c r="Q249" s="3">
        <v>8.4971428571428582</v>
      </c>
      <c r="R249" s="4">
        <v>91.215454545454548</v>
      </c>
    </row>
    <row r="250" spans="2:18" x14ac:dyDescent="0.3">
      <c r="B250" s="2" t="s">
        <v>22</v>
      </c>
      <c r="C250" s="3"/>
      <c r="D250" s="3">
        <v>2.86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>
        <v>27.135000000000005</v>
      </c>
      <c r="R250" s="4">
        <v>25.857368421052637</v>
      </c>
    </row>
    <row r="251" spans="2:18" x14ac:dyDescent="0.3">
      <c r="B251" s="2" t="s">
        <v>5</v>
      </c>
      <c r="C251" s="3">
        <v>62</v>
      </c>
      <c r="D251" s="3">
        <v>25</v>
      </c>
      <c r="E251" s="3">
        <v>452.72399999999999</v>
      </c>
      <c r="F251" s="3"/>
      <c r="G251" s="3"/>
      <c r="H251" s="3"/>
      <c r="I251" s="3"/>
      <c r="J251" s="3"/>
      <c r="K251" s="3"/>
      <c r="L251" s="3"/>
      <c r="M251" s="3"/>
      <c r="N251" s="3">
        <v>31.666666666666668</v>
      </c>
      <c r="O251" s="3">
        <v>707.01926829268291</v>
      </c>
      <c r="P251" s="3">
        <v>66.67</v>
      </c>
      <c r="Q251" s="3">
        <v>67.907631578947473</v>
      </c>
      <c r="R251" s="4">
        <v>204.31239024390226</v>
      </c>
    </row>
    <row r="252" spans="2:18" x14ac:dyDescent="0.3">
      <c r="B252" s="2" t="s">
        <v>19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>
        <v>242.29</v>
      </c>
      <c r="P252" s="3"/>
      <c r="Q252" s="3">
        <v>4.9159999999999995</v>
      </c>
      <c r="R252" s="4">
        <v>44.478333333333332</v>
      </c>
    </row>
    <row r="253" spans="2:18" x14ac:dyDescent="0.3">
      <c r="B253" s="2" t="s">
        <v>6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>
        <v>4.7</v>
      </c>
      <c r="N253" s="3"/>
      <c r="O253" s="3">
        <v>365.57666666666665</v>
      </c>
      <c r="P253" s="3"/>
      <c r="Q253" s="3">
        <v>7.5611111111111109</v>
      </c>
      <c r="R253" s="4">
        <v>168.38200000000001</v>
      </c>
    </row>
    <row r="254" spans="2:18" x14ac:dyDescent="0.3">
      <c r="B254" s="2" t="s">
        <v>17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>
        <v>237.53000000000003</v>
      </c>
      <c r="P254" s="3"/>
      <c r="Q254" s="3">
        <v>6.5343749999999998</v>
      </c>
      <c r="R254" s="4">
        <v>52.733499999999992</v>
      </c>
    </row>
    <row r="255" spans="2:18" x14ac:dyDescent="0.3">
      <c r="B255" s="2" t="s">
        <v>2</v>
      </c>
      <c r="C255" s="3"/>
      <c r="D255" s="3"/>
      <c r="E255" s="3"/>
      <c r="F255" s="3"/>
      <c r="G255" s="3"/>
      <c r="H255" s="3"/>
      <c r="I255" s="3"/>
      <c r="J255" s="3">
        <v>4</v>
      </c>
      <c r="K255" s="3"/>
      <c r="L255" s="3"/>
      <c r="M255" s="3"/>
      <c r="N255" s="3"/>
      <c r="O255" s="3">
        <v>457.04571428571438</v>
      </c>
      <c r="P255" s="3"/>
      <c r="Q255" s="3">
        <v>57.28</v>
      </c>
      <c r="R255" s="4">
        <v>403.74500000000006</v>
      </c>
    </row>
    <row r="256" spans="2:18" x14ac:dyDescent="0.3">
      <c r="B256" s="2" t="s">
        <v>20</v>
      </c>
      <c r="C256" s="3"/>
      <c r="D256" s="3">
        <v>3.88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>
        <v>399</v>
      </c>
      <c r="P256" s="3"/>
      <c r="Q256" s="3">
        <v>24.070625</v>
      </c>
      <c r="R256" s="4">
        <v>43.778333333333336</v>
      </c>
    </row>
    <row r="257" spans="2:18" x14ac:dyDescent="0.3">
      <c r="B257" s="2" t="s">
        <v>150</v>
      </c>
      <c r="C257" s="3"/>
      <c r="D257" s="3">
        <v>2.9466666666666668</v>
      </c>
      <c r="E257" s="3">
        <v>190.29400000000001</v>
      </c>
      <c r="F257" s="3"/>
      <c r="G257" s="3"/>
      <c r="H257" s="3"/>
      <c r="I257" s="3"/>
      <c r="J257" s="3"/>
      <c r="K257" s="3"/>
      <c r="L257" s="3"/>
      <c r="M257" s="3"/>
      <c r="N257" s="3">
        <v>6</v>
      </c>
      <c r="O257" s="3">
        <v>213.08076923076922</v>
      </c>
      <c r="P257" s="3"/>
      <c r="Q257" s="3">
        <v>27.60074626865671</v>
      </c>
      <c r="R257" s="4">
        <v>62.75966292134833</v>
      </c>
    </row>
    <row r="258" spans="2:18" x14ac:dyDescent="0.3">
      <c r="B258" s="2" t="s">
        <v>18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>
        <v>705.47</v>
      </c>
      <c r="P258" s="3"/>
      <c r="Q258" s="3">
        <v>46.098301886792456</v>
      </c>
      <c r="R258" s="4">
        <v>52.260654205607494</v>
      </c>
    </row>
    <row r="259" spans="2:18" x14ac:dyDescent="0.3">
      <c r="B259" s="2" t="s">
        <v>8</v>
      </c>
      <c r="C259" s="3"/>
      <c r="D259" s="3"/>
      <c r="E259" s="3">
        <v>60</v>
      </c>
      <c r="F259" s="3"/>
      <c r="G259" s="3"/>
      <c r="H259" s="3"/>
      <c r="I259" s="3"/>
      <c r="J259" s="3"/>
      <c r="K259" s="3"/>
      <c r="L259" s="3"/>
      <c r="M259" s="3"/>
      <c r="N259" s="3"/>
      <c r="O259" s="3">
        <v>518.37200000000007</v>
      </c>
      <c r="P259" s="3"/>
      <c r="Q259" s="3">
        <v>19.879411764705882</v>
      </c>
      <c r="R259" s="4">
        <v>129.99173913043478</v>
      </c>
    </row>
    <row r="260" spans="2:18" x14ac:dyDescent="0.3">
      <c r="B260" s="2" t="s">
        <v>26</v>
      </c>
      <c r="C260" s="3">
        <v>34.200000000000003</v>
      </c>
      <c r="D260" s="3">
        <v>7.6578947368421071</v>
      </c>
      <c r="E260" s="3">
        <v>176.09793103448277</v>
      </c>
      <c r="F260" s="3">
        <v>7.35</v>
      </c>
      <c r="G260" s="3">
        <v>4.63</v>
      </c>
      <c r="H260" s="3">
        <v>5.29</v>
      </c>
      <c r="I260" s="3">
        <v>60</v>
      </c>
      <c r="J260" s="3">
        <v>533.07444444444445</v>
      </c>
      <c r="K260" s="3">
        <v>6.91</v>
      </c>
      <c r="L260" s="3">
        <v>15.43</v>
      </c>
      <c r="M260" s="3">
        <v>4.7</v>
      </c>
      <c r="N260" s="3">
        <v>23.083333333333332</v>
      </c>
      <c r="O260" s="3">
        <v>278.25305785124027</v>
      </c>
      <c r="P260" s="3">
        <v>66.67</v>
      </c>
      <c r="Q260" s="3">
        <v>25.066414715719098</v>
      </c>
      <c r="R260" s="3">
        <v>98.968615173674579</v>
      </c>
    </row>
    <row r="263" spans="2:18" x14ac:dyDescent="0.3">
      <c r="B263" s="1" t="s">
        <v>2052</v>
      </c>
      <c r="C263" s="1" t="s">
        <v>2053</v>
      </c>
    </row>
    <row r="264" spans="2:18" x14ac:dyDescent="0.3">
      <c r="B264" s="1" t="s">
        <v>0</v>
      </c>
      <c r="C264" t="s">
        <v>29</v>
      </c>
      <c r="D264" t="s">
        <v>31</v>
      </c>
      <c r="E264" t="s">
        <v>11</v>
      </c>
      <c r="F264" t="s">
        <v>14</v>
      </c>
      <c r="G264" t="s">
        <v>21</v>
      </c>
      <c r="H264" t="s">
        <v>7</v>
      </c>
      <c r="I264" t="s">
        <v>16</v>
      </c>
      <c r="J264" t="s">
        <v>27</v>
      </c>
      <c r="K264" t="s">
        <v>12</v>
      </c>
      <c r="L264" t="s">
        <v>10</v>
      </c>
      <c r="M264" t="s">
        <v>6</v>
      </c>
      <c r="N264" t="s">
        <v>30</v>
      </c>
      <c r="O264" t="s">
        <v>2</v>
      </c>
      <c r="P264" t="s">
        <v>28</v>
      </c>
      <c r="Q264" t="s">
        <v>18</v>
      </c>
      <c r="R264" t="s">
        <v>26</v>
      </c>
    </row>
    <row r="265" spans="2:18" x14ac:dyDescent="0.3">
      <c r="B265" s="2" t="s">
        <v>25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>
        <v>94</v>
      </c>
      <c r="R265" s="4">
        <v>94</v>
      </c>
    </row>
    <row r="266" spans="2:18" x14ac:dyDescent="0.3">
      <c r="B266" s="2" t="s">
        <v>3</v>
      </c>
      <c r="C266" s="3">
        <v>95</v>
      </c>
      <c r="D266" s="3"/>
      <c r="E266" s="3"/>
      <c r="F266" s="3"/>
      <c r="G266" s="3"/>
      <c r="H266" s="3"/>
      <c r="I266" s="3"/>
      <c r="J266" s="3">
        <v>94</v>
      </c>
      <c r="K266" s="3"/>
      <c r="L266" s="3"/>
      <c r="M266" s="3"/>
      <c r="N266" s="3"/>
      <c r="O266" s="3">
        <v>95</v>
      </c>
      <c r="P266" s="3"/>
      <c r="Q266" s="3">
        <v>94</v>
      </c>
      <c r="R266" s="4">
        <v>94.2</v>
      </c>
    </row>
    <row r="267" spans="2:18" x14ac:dyDescent="0.3">
      <c r="B267" s="2" t="s">
        <v>24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>
        <v>94.375</v>
      </c>
      <c r="R267" s="4">
        <v>94.375</v>
      </c>
    </row>
    <row r="268" spans="2:18" x14ac:dyDescent="0.3">
      <c r="B268" s="2" t="s">
        <v>11</v>
      </c>
      <c r="C268" s="3"/>
      <c r="D268" s="3"/>
      <c r="E268" s="3">
        <v>95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4">
        <v>95</v>
      </c>
    </row>
    <row r="269" spans="2:18" x14ac:dyDescent="0.3">
      <c r="B269" s="2" t="s">
        <v>14</v>
      </c>
      <c r="C269" s="3"/>
      <c r="D269" s="3">
        <v>94</v>
      </c>
      <c r="E269" s="3">
        <v>94</v>
      </c>
      <c r="F269" s="3">
        <v>94</v>
      </c>
      <c r="G269" s="3"/>
      <c r="H269" s="3"/>
      <c r="I269" s="3"/>
      <c r="J269" s="3">
        <v>95.166666666666671</v>
      </c>
      <c r="K269" s="3"/>
      <c r="L269" s="3"/>
      <c r="M269" s="3"/>
      <c r="N269" s="3">
        <v>94</v>
      </c>
      <c r="O269" s="3">
        <v>94.274509803921575</v>
      </c>
      <c r="P269" s="3"/>
      <c r="Q269" s="3">
        <v>94.554263565891475</v>
      </c>
      <c r="R269" s="4">
        <v>94.509316770186331</v>
      </c>
    </row>
    <row r="270" spans="2:18" x14ac:dyDescent="0.3">
      <c r="B270" s="2" t="s">
        <v>15</v>
      </c>
      <c r="C270" s="3"/>
      <c r="D270" s="3"/>
      <c r="E270" s="3">
        <v>94</v>
      </c>
      <c r="F270" s="3"/>
      <c r="G270" s="3"/>
      <c r="H270" s="3"/>
      <c r="I270" s="3"/>
      <c r="J270" s="3"/>
      <c r="K270" s="3"/>
      <c r="L270" s="3"/>
      <c r="M270" s="3"/>
      <c r="N270" s="3"/>
      <c r="O270" s="3">
        <v>94.291666666666671</v>
      </c>
      <c r="P270" s="3"/>
      <c r="Q270" s="3">
        <v>94.310344827586206</v>
      </c>
      <c r="R270" s="4">
        <v>94.301204819277103</v>
      </c>
    </row>
    <row r="271" spans="2:18" x14ac:dyDescent="0.3">
      <c r="B271" s="2" t="s">
        <v>23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>
        <v>94</v>
      </c>
      <c r="R271" s="4">
        <v>94</v>
      </c>
    </row>
    <row r="272" spans="2:18" x14ac:dyDescent="0.3">
      <c r="B272" s="2" t="s">
        <v>4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>
        <v>95</v>
      </c>
      <c r="P272" s="3"/>
      <c r="Q272" s="3">
        <v>94.6</v>
      </c>
      <c r="R272" s="4">
        <v>94.666666666666671</v>
      </c>
    </row>
    <row r="273" spans="2:18" x14ac:dyDescent="0.3">
      <c r="B273" s="2" t="s">
        <v>21</v>
      </c>
      <c r="C273" s="3"/>
      <c r="D273" s="3">
        <v>94</v>
      </c>
      <c r="E273" s="3">
        <v>94</v>
      </c>
      <c r="F273" s="3"/>
      <c r="G273" s="3">
        <v>94</v>
      </c>
      <c r="H273" s="3"/>
      <c r="I273" s="3"/>
      <c r="J273" s="3"/>
      <c r="K273" s="3"/>
      <c r="L273" s="3"/>
      <c r="M273" s="3"/>
      <c r="N273" s="3">
        <v>94</v>
      </c>
      <c r="O273" s="3">
        <v>94.333333333333329</v>
      </c>
      <c r="P273" s="3"/>
      <c r="Q273" s="3">
        <v>94.272727272727266</v>
      </c>
      <c r="R273" s="4">
        <v>94.259259259259252</v>
      </c>
    </row>
    <row r="274" spans="2:18" x14ac:dyDescent="0.3">
      <c r="B274" s="2" t="s">
        <v>9</v>
      </c>
      <c r="C274" s="3">
        <v>94</v>
      </c>
      <c r="D274" s="3">
        <v>94.2</v>
      </c>
      <c r="E274" s="3">
        <v>94.6</v>
      </c>
      <c r="F274" s="3"/>
      <c r="G274" s="3"/>
      <c r="H274" s="3"/>
      <c r="I274" s="3"/>
      <c r="J274" s="3">
        <v>95</v>
      </c>
      <c r="K274" s="3"/>
      <c r="L274" s="3"/>
      <c r="M274" s="3"/>
      <c r="N274" s="3">
        <v>94.25</v>
      </c>
      <c r="O274" s="3">
        <v>94.465454545454548</v>
      </c>
      <c r="P274" s="3"/>
      <c r="Q274" s="3">
        <v>94.441860465116278</v>
      </c>
      <c r="R274" s="4">
        <v>94.451562499999994</v>
      </c>
    </row>
    <row r="275" spans="2:18" x14ac:dyDescent="0.3">
      <c r="B275" s="2" t="s">
        <v>7</v>
      </c>
      <c r="C275" s="3"/>
      <c r="D275" s="3"/>
      <c r="E275" s="3"/>
      <c r="F275" s="3"/>
      <c r="G275" s="3"/>
      <c r="H275" s="3">
        <v>94.333333333333329</v>
      </c>
      <c r="I275" s="3"/>
      <c r="J275" s="3"/>
      <c r="K275" s="3"/>
      <c r="L275" s="3"/>
      <c r="M275" s="3"/>
      <c r="N275" s="3"/>
      <c r="O275" s="3">
        <v>94.410256410256409</v>
      </c>
      <c r="P275" s="3"/>
      <c r="Q275" s="3">
        <v>94.45</v>
      </c>
      <c r="R275" s="4">
        <v>94.423529411764704</v>
      </c>
    </row>
    <row r="276" spans="2:18" x14ac:dyDescent="0.3">
      <c r="B276" s="2" t="s">
        <v>13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>
        <v>94</v>
      </c>
      <c r="P276" s="3"/>
      <c r="Q276" s="3">
        <v>94</v>
      </c>
      <c r="R276" s="4">
        <v>94</v>
      </c>
    </row>
    <row r="277" spans="2:18" x14ac:dyDescent="0.3">
      <c r="B277" s="2" t="s">
        <v>16</v>
      </c>
      <c r="C277" s="3"/>
      <c r="D277" s="3">
        <v>94</v>
      </c>
      <c r="E277" s="3"/>
      <c r="F277" s="3"/>
      <c r="G277" s="3"/>
      <c r="H277" s="3"/>
      <c r="I277" s="3">
        <v>94</v>
      </c>
      <c r="J277" s="3"/>
      <c r="K277" s="3"/>
      <c r="L277" s="3"/>
      <c r="M277" s="3"/>
      <c r="N277" s="3">
        <v>94</v>
      </c>
      <c r="O277" s="3">
        <v>94.6</v>
      </c>
      <c r="P277" s="3"/>
      <c r="Q277" s="3">
        <v>94.347826086956516</v>
      </c>
      <c r="R277" s="4">
        <v>94.357142857142861</v>
      </c>
    </row>
    <row r="278" spans="2:18" x14ac:dyDescent="0.3">
      <c r="B278" s="2" t="s">
        <v>12</v>
      </c>
      <c r="C278" s="3"/>
      <c r="D278" s="3">
        <v>94</v>
      </c>
      <c r="E278" s="3">
        <v>95</v>
      </c>
      <c r="F278" s="3"/>
      <c r="G278" s="3"/>
      <c r="H278" s="3"/>
      <c r="I278" s="3"/>
      <c r="J278" s="3"/>
      <c r="K278" s="3">
        <v>94</v>
      </c>
      <c r="L278" s="3"/>
      <c r="M278" s="3"/>
      <c r="N278" s="3">
        <v>94</v>
      </c>
      <c r="O278" s="3">
        <v>94.67326732673267</v>
      </c>
      <c r="P278" s="3"/>
      <c r="Q278" s="3">
        <v>94.626728110599075</v>
      </c>
      <c r="R278" s="4">
        <v>94.632716049382722</v>
      </c>
    </row>
    <row r="279" spans="2:18" x14ac:dyDescent="0.3">
      <c r="B279" s="2" t="s">
        <v>10</v>
      </c>
      <c r="C279" s="3"/>
      <c r="D279" s="3"/>
      <c r="E279" s="3">
        <v>94</v>
      </c>
      <c r="F279" s="3"/>
      <c r="G279" s="3"/>
      <c r="H279" s="3"/>
      <c r="I279" s="3"/>
      <c r="J279" s="3"/>
      <c r="K279" s="3"/>
      <c r="L279" s="3">
        <v>94</v>
      </c>
      <c r="M279" s="3"/>
      <c r="N279" s="3"/>
      <c r="O279" s="3">
        <v>94.5</v>
      </c>
      <c r="P279" s="3"/>
      <c r="Q279" s="3">
        <v>94.285714285714292</v>
      </c>
      <c r="R279" s="4">
        <v>94.272727272727266</v>
      </c>
    </row>
    <row r="280" spans="2:18" x14ac:dyDescent="0.3">
      <c r="B280" s="2" t="s">
        <v>22</v>
      </c>
      <c r="C280" s="3"/>
      <c r="D280" s="3">
        <v>94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>
        <v>94.166666666666671</v>
      </c>
      <c r="R280" s="4">
        <v>94.15789473684211</v>
      </c>
    </row>
    <row r="281" spans="2:18" x14ac:dyDescent="0.3">
      <c r="B281" s="2" t="s">
        <v>5</v>
      </c>
      <c r="C281" s="3">
        <v>95.5</v>
      </c>
      <c r="D281" s="3">
        <v>94</v>
      </c>
      <c r="E281" s="3">
        <v>94.4</v>
      </c>
      <c r="F281" s="3"/>
      <c r="G281" s="3"/>
      <c r="H281" s="3"/>
      <c r="I281" s="3"/>
      <c r="J281" s="3"/>
      <c r="K281" s="3"/>
      <c r="L281" s="3"/>
      <c r="M281" s="3"/>
      <c r="N281" s="3">
        <v>94</v>
      </c>
      <c r="O281" s="3">
        <v>95.073170731707322</v>
      </c>
      <c r="P281" s="3">
        <v>96</v>
      </c>
      <c r="Q281" s="3">
        <v>95.059210526315795</v>
      </c>
      <c r="R281" s="4">
        <v>95.034146341463412</v>
      </c>
    </row>
    <row r="282" spans="2:18" x14ac:dyDescent="0.3">
      <c r="B282" s="2" t="s">
        <v>19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>
        <v>94</v>
      </c>
      <c r="P282" s="3"/>
      <c r="Q282" s="3">
        <v>94.2</v>
      </c>
      <c r="R282" s="4">
        <v>94.166666666666671</v>
      </c>
    </row>
    <row r="283" spans="2:18" x14ac:dyDescent="0.3">
      <c r="B283" s="2" t="s">
        <v>6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>
        <v>94</v>
      </c>
      <c r="N283" s="3"/>
      <c r="O283" s="3">
        <v>94.444444444444443</v>
      </c>
      <c r="P283" s="3"/>
      <c r="Q283" s="3">
        <v>94.222222222222229</v>
      </c>
      <c r="R283" s="4">
        <v>94.3</v>
      </c>
    </row>
    <row r="284" spans="2:18" x14ac:dyDescent="0.3">
      <c r="B284" s="2" t="s">
        <v>17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>
        <v>94.5</v>
      </c>
      <c r="P284" s="3"/>
      <c r="Q284" s="3">
        <v>94.3125</v>
      </c>
      <c r="R284" s="4">
        <v>94.35</v>
      </c>
    </row>
    <row r="285" spans="2:18" x14ac:dyDescent="0.3">
      <c r="B285" s="2" t="s">
        <v>2</v>
      </c>
      <c r="C285" s="3"/>
      <c r="D285" s="3"/>
      <c r="E285" s="3"/>
      <c r="F285" s="3"/>
      <c r="G285" s="3"/>
      <c r="H285" s="3"/>
      <c r="I285" s="3"/>
      <c r="J285" s="3">
        <v>94</v>
      </c>
      <c r="K285" s="3"/>
      <c r="L285" s="3"/>
      <c r="M285" s="3"/>
      <c r="N285" s="3"/>
      <c r="O285" s="3">
        <v>94.428571428571431</v>
      </c>
      <c r="P285" s="3"/>
      <c r="Q285" s="3">
        <v>94</v>
      </c>
      <c r="R285" s="4">
        <v>94.375</v>
      </c>
    </row>
    <row r="286" spans="2:18" x14ac:dyDescent="0.3">
      <c r="B286" s="2" t="s">
        <v>20</v>
      </c>
      <c r="C286" s="3"/>
      <c r="D286" s="3">
        <v>94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>
        <v>94</v>
      </c>
      <c r="P286" s="3"/>
      <c r="Q286" s="3">
        <v>94.6875</v>
      </c>
      <c r="R286" s="4">
        <v>94.611111111111114</v>
      </c>
    </row>
    <row r="287" spans="2:18" x14ac:dyDescent="0.3">
      <c r="B287" s="2" t="s">
        <v>18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>
        <v>94</v>
      </c>
      <c r="P287" s="3"/>
      <c r="Q287" s="3">
        <v>94.698113207547166</v>
      </c>
      <c r="R287" s="4">
        <v>94.691588785046733</v>
      </c>
    </row>
    <row r="288" spans="2:18" x14ac:dyDescent="0.3">
      <c r="B288" s="2" t="s">
        <v>8</v>
      </c>
      <c r="C288" s="3"/>
      <c r="D288" s="3"/>
      <c r="E288" s="3">
        <v>97</v>
      </c>
      <c r="F288" s="3"/>
      <c r="G288" s="3"/>
      <c r="H288" s="3"/>
      <c r="I288" s="3"/>
      <c r="J288" s="3"/>
      <c r="K288" s="3"/>
      <c r="L288" s="3"/>
      <c r="M288" s="3"/>
      <c r="N288" s="3"/>
      <c r="O288" s="3">
        <v>94.4</v>
      </c>
      <c r="P288" s="3"/>
      <c r="Q288" s="3">
        <v>94.882352941176464</v>
      </c>
      <c r="R288" s="4">
        <v>94.869565217391298</v>
      </c>
    </row>
    <row r="289" spans="2:18" x14ac:dyDescent="0.3">
      <c r="B289" s="2" t="s">
        <v>26</v>
      </c>
      <c r="C289" s="3">
        <v>95</v>
      </c>
      <c r="D289" s="3">
        <v>94.0625</v>
      </c>
      <c r="E289" s="3">
        <v>94.541666666666671</v>
      </c>
      <c r="F289" s="3">
        <v>94</v>
      </c>
      <c r="G289" s="3">
        <v>94</v>
      </c>
      <c r="H289" s="3">
        <v>94.333333333333329</v>
      </c>
      <c r="I289" s="3">
        <v>94</v>
      </c>
      <c r="J289" s="3">
        <v>94.888888888888886</v>
      </c>
      <c r="K289" s="3">
        <v>94</v>
      </c>
      <c r="L289" s="3">
        <v>94</v>
      </c>
      <c r="M289" s="3">
        <v>94</v>
      </c>
      <c r="N289" s="3">
        <v>94.090909090909093</v>
      </c>
      <c r="O289" s="3">
        <v>94.516891891891888</v>
      </c>
      <c r="P289" s="3">
        <v>96</v>
      </c>
      <c r="Q289" s="3">
        <v>94.556722689075627</v>
      </c>
      <c r="R289" s="4">
        <v>94.53930443068127</v>
      </c>
    </row>
  </sheetData>
  <pageMargins left="0.7" right="0.7" top="0.75" bottom="0.75" header="0.3" footer="0.3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B5BB-8C2B-4F58-9B81-42733265EE33}">
  <dimension ref="A2:O2195"/>
  <sheetViews>
    <sheetView topLeftCell="C2" zoomScale="73" workbookViewId="0">
      <selection activeCell="K3" sqref="K3"/>
    </sheetView>
  </sheetViews>
  <sheetFormatPr defaultRowHeight="14.4" x14ac:dyDescent="0.3"/>
  <cols>
    <col min="14" max="14" width="13.33203125" bestFit="1" customWidth="1"/>
    <col min="15" max="15" width="20.5546875" bestFit="1" customWidth="1"/>
  </cols>
  <sheetData>
    <row r="2" spans="2:15" x14ac:dyDescent="0.3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K2" t="s">
        <v>2059</v>
      </c>
      <c r="L2" t="s">
        <v>2060</v>
      </c>
    </row>
    <row r="3" spans="2:15" x14ac:dyDescent="0.3">
      <c r="B3" t="s">
        <v>40</v>
      </c>
      <c r="C3">
        <v>94</v>
      </c>
      <c r="D3" t="s">
        <v>41</v>
      </c>
      <c r="E3">
        <v>62</v>
      </c>
      <c r="F3">
        <v>82</v>
      </c>
      <c r="G3">
        <v>13.22</v>
      </c>
      <c r="H3" t="s">
        <v>18</v>
      </c>
      <c r="I3" t="s">
        <v>14</v>
      </c>
      <c r="K3" t="str" cm="1">
        <f t="array" ref="K3:K2190">IF(G3:G2190&gt;100, "premium", IF(G3:G2190&gt;25, "middle", "budget"))</f>
        <v>budget</v>
      </c>
      <c r="L3" cm="1">
        <f t="array" ref="L3:L2190">(E3:E2190+F3:F2190)/2</f>
        <v>72</v>
      </c>
      <c r="N3" s="1" t="s">
        <v>0</v>
      </c>
      <c r="O3" t="s">
        <v>2061</v>
      </c>
    </row>
    <row r="4" spans="2:15" x14ac:dyDescent="0.3">
      <c r="B4" t="s">
        <v>42</v>
      </c>
      <c r="C4">
        <v>94</v>
      </c>
      <c r="D4" t="s">
        <v>41</v>
      </c>
      <c r="E4">
        <v>63</v>
      </c>
      <c r="F4">
        <v>87</v>
      </c>
      <c r="G4">
        <v>10.14</v>
      </c>
      <c r="H4" t="s">
        <v>18</v>
      </c>
      <c r="I4" t="s">
        <v>14</v>
      </c>
      <c r="K4" t="str">
        <v>budget</v>
      </c>
      <c r="L4">
        <v>75</v>
      </c>
      <c r="N4" s="2" t="s">
        <v>2063</v>
      </c>
      <c r="O4" s="3">
        <v>67.610849056603769</v>
      </c>
    </row>
    <row r="5" spans="2:15" x14ac:dyDescent="0.3">
      <c r="B5" t="s">
        <v>43</v>
      </c>
      <c r="C5">
        <v>94</v>
      </c>
      <c r="D5" t="s">
        <v>41</v>
      </c>
      <c r="E5">
        <v>64</v>
      </c>
      <c r="F5">
        <v>88</v>
      </c>
      <c r="G5">
        <v>10</v>
      </c>
      <c r="H5" t="s">
        <v>18</v>
      </c>
      <c r="I5" t="s">
        <v>9</v>
      </c>
      <c r="K5" t="str">
        <v>budget</v>
      </c>
      <c r="L5">
        <v>76</v>
      </c>
      <c r="N5" s="2" t="s">
        <v>2064</v>
      </c>
      <c r="O5" s="3">
        <v>67.285593220338981</v>
      </c>
    </row>
    <row r="6" spans="2:15" x14ac:dyDescent="0.3">
      <c r="B6" t="s">
        <v>44</v>
      </c>
      <c r="C6">
        <v>96</v>
      </c>
      <c r="D6" t="s">
        <v>45</v>
      </c>
      <c r="E6">
        <v>55</v>
      </c>
      <c r="F6">
        <v>77</v>
      </c>
      <c r="G6">
        <v>110.23</v>
      </c>
      <c r="H6" t="s">
        <v>2</v>
      </c>
      <c r="I6" t="s">
        <v>9</v>
      </c>
      <c r="K6" t="str">
        <v>premium</v>
      </c>
      <c r="L6">
        <v>66</v>
      </c>
      <c r="N6" s="2" t="s">
        <v>2062</v>
      </c>
      <c r="O6" s="3">
        <v>67.271645021645028</v>
      </c>
    </row>
    <row r="7" spans="2:15" x14ac:dyDescent="0.3">
      <c r="B7" t="s">
        <v>46</v>
      </c>
      <c r="C7">
        <v>95</v>
      </c>
      <c r="D7" t="s">
        <v>45</v>
      </c>
      <c r="E7">
        <v>62</v>
      </c>
      <c r="F7">
        <v>78</v>
      </c>
      <c r="G7">
        <v>176.37</v>
      </c>
      <c r="H7" t="s">
        <v>2</v>
      </c>
      <c r="I7" t="s">
        <v>9</v>
      </c>
      <c r="K7" t="str">
        <v>premium</v>
      </c>
      <c r="L7">
        <v>70</v>
      </c>
      <c r="N7" s="2" t="s">
        <v>26</v>
      </c>
      <c r="O7" s="3">
        <v>67.308272394881172</v>
      </c>
    </row>
    <row r="8" spans="2:15" x14ac:dyDescent="0.3">
      <c r="B8" t="s">
        <v>47</v>
      </c>
      <c r="C8">
        <v>95</v>
      </c>
      <c r="D8" t="s">
        <v>45</v>
      </c>
      <c r="E8">
        <v>60</v>
      </c>
      <c r="F8">
        <v>78</v>
      </c>
      <c r="G8">
        <v>17.2</v>
      </c>
      <c r="H8" t="s">
        <v>2</v>
      </c>
      <c r="I8" t="s">
        <v>9</v>
      </c>
      <c r="K8" t="str">
        <v>budget</v>
      </c>
      <c r="L8">
        <v>69</v>
      </c>
    </row>
    <row r="9" spans="2:15" x14ac:dyDescent="0.3">
      <c r="B9" t="s">
        <v>48</v>
      </c>
      <c r="C9">
        <v>95</v>
      </c>
      <c r="D9" t="s">
        <v>45</v>
      </c>
      <c r="E9">
        <v>60</v>
      </c>
      <c r="F9">
        <v>78</v>
      </c>
      <c r="G9">
        <v>705.47</v>
      </c>
      <c r="H9" t="s">
        <v>2</v>
      </c>
      <c r="I9" t="s">
        <v>2</v>
      </c>
      <c r="K9" t="str">
        <v>premium</v>
      </c>
      <c r="L9">
        <v>69</v>
      </c>
    </row>
    <row r="10" spans="2:15" x14ac:dyDescent="0.3">
      <c r="B10" t="s">
        <v>49</v>
      </c>
      <c r="C10">
        <v>94</v>
      </c>
      <c r="D10" t="s">
        <v>45</v>
      </c>
      <c r="E10">
        <v>60</v>
      </c>
      <c r="F10">
        <v>80</v>
      </c>
      <c r="G10">
        <v>154.32</v>
      </c>
      <c r="H10" t="s">
        <v>2</v>
      </c>
      <c r="I10" t="s">
        <v>14</v>
      </c>
      <c r="K10" t="str">
        <v>premium</v>
      </c>
      <c r="L10">
        <v>70</v>
      </c>
      <c r="N10" s="1" t="s">
        <v>0</v>
      </c>
      <c r="O10" t="s">
        <v>2065</v>
      </c>
    </row>
    <row r="11" spans="2:15" x14ac:dyDescent="0.3">
      <c r="B11" t="s">
        <v>50</v>
      </c>
      <c r="C11">
        <v>94</v>
      </c>
      <c r="D11" t="s">
        <v>45</v>
      </c>
      <c r="E11">
        <v>58</v>
      </c>
      <c r="F11">
        <v>77</v>
      </c>
      <c r="G11">
        <v>264.55</v>
      </c>
      <c r="H11" t="s">
        <v>2</v>
      </c>
      <c r="I11" t="s">
        <v>6</v>
      </c>
      <c r="K11" t="str">
        <v>premium</v>
      </c>
      <c r="L11">
        <v>67.5</v>
      </c>
      <c r="N11" s="2" t="s">
        <v>2062</v>
      </c>
      <c r="O11" s="3">
        <v>1386</v>
      </c>
    </row>
    <row r="12" spans="2:15" x14ac:dyDescent="0.3">
      <c r="B12" t="s">
        <v>51</v>
      </c>
      <c r="C12">
        <v>94</v>
      </c>
      <c r="D12" t="s">
        <v>41</v>
      </c>
      <c r="E12">
        <v>60</v>
      </c>
      <c r="F12">
        <v>84</v>
      </c>
      <c r="G12">
        <v>529.1</v>
      </c>
      <c r="H12" t="s">
        <v>2</v>
      </c>
      <c r="I12" t="s">
        <v>2</v>
      </c>
      <c r="K12" t="str">
        <v>premium</v>
      </c>
      <c r="L12">
        <v>72</v>
      </c>
      <c r="N12" s="2" t="s">
        <v>2064</v>
      </c>
      <c r="O12" s="3">
        <v>590</v>
      </c>
    </row>
    <row r="13" spans="2:15" x14ac:dyDescent="0.3">
      <c r="B13" t="s">
        <v>52</v>
      </c>
      <c r="C13">
        <v>94</v>
      </c>
      <c r="D13" t="s">
        <v>41</v>
      </c>
      <c r="E13">
        <v>60</v>
      </c>
      <c r="F13">
        <v>86</v>
      </c>
      <c r="G13">
        <v>145.5</v>
      </c>
      <c r="H13" t="s">
        <v>2</v>
      </c>
      <c r="I13" t="s">
        <v>9</v>
      </c>
      <c r="K13" t="str">
        <v>premium</v>
      </c>
      <c r="L13">
        <v>73</v>
      </c>
      <c r="N13" s="2" t="s">
        <v>2063</v>
      </c>
      <c r="O13" s="3">
        <v>212</v>
      </c>
    </row>
    <row r="14" spans="2:15" x14ac:dyDescent="0.3">
      <c r="B14" t="s">
        <v>53</v>
      </c>
      <c r="C14">
        <v>95</v>
      </c>
      <c r="D14" t="s">
        <v>41</v>
      </c>
      <c r="E14">
        <v>60</v>
      </c>
      <c r="F14">
        <v>84</v>
      </c>
      <c r="G14">
        <v>11.9</v>
      </c>
      <c r="H14" t="s">
        <v>18</v>
      </c>
      <c r="I14" t="s">
        <v>14</v>
      </c>
      <c r="K14" t="str">
        <v>budget</v>
      </c>
      <c r="L14">
        <v>72</v>
      </c>
      <c r="N14" s="2" t="s">
        <v>26</v>
      </c>
      <c r="O14" s="3">
        <v>2188</v>
      </c>
    </row>
    <row r="15" spans="2:15" x14ac:dyDescent="0.3">
      <c r="B15" t="s">
        <v>54</v>
      </c>
      <c r="C15">
        <v>95</v>
      </c>
      <c r="D15" t="s">
        <v>41</v>
      </c>
      <c r="E15">
        <v>62</v>
      </c>
      <c r="F15">
        <v>84</v>
      </c>
      <c r="G15">
        <v>11.46</v>
      </c>
      <c r="H15" t="s">
        <v>18</v>
      </c>
      <c r="I15" t="s">
        <v>14</v>
      </c>
      <c r="K15" t="str">
        <v>budget</v>
      </c>
      <c r="L15">
        <v>73</v>
      </c>
    </row>
    <row r="16" spans="2:15" x14ac:dyDescent="0.3">
      <c r="B16" t="s">
        <v>55</v>
      </c>
      <c r="C16">
        <v>94</v>
      </c>
      <c r="D16" t="s">
        <v>45</v>
      </c>
      <c r="E16">
        <v>59</v>
      </c>
      <c r="F16">
        <v>81</v>
      </c>
      <c r="G16">
        <v>6.47</v>
      </c>
      <c r="H16" t="s">
        <v>18</v>
      </c>
      <c r="I16" t="s">
        <v>20</v>
      </c>
      <c r="K16" t="str">
        <v>budget</v>
      </c>
      <c r="L16">
        <v>70</v>
      </c>
    </row>
    <row r="17" spans="2:15" x14ac:dyDescent="0.3">
      <c r="B17" t="s">
        <v>56</v>
      </c>
      <c r="C17">
        <v>94</v>
      </c>
      <c r="D17" t="s">
        <v>41</v>
      </c>
      <c r="E17">
        <v>62</v>
      </c>
      <c r="F17">
        <v>82</v>
      </c>
      <c r="G17">
        <v>275</v>
      </c>
      <c r="H17" t="s">
        <v>2</v>
      </c>
      <c r="I17" t="s">
        <v>9</v>
      </c>
      <c r="K17" t="str">
        <v>premium</v>
      </c>
      <c r="L17">
        <v>72</v>
      </c>
      <c r="N17" s="1" t="s">
        <v>0</v>
      </c>
      <c r="O17" t="s">
        <v>2066</v>
      </c>
    </row>
    <row r="18" spans="2:15" x14ac:dyDescent="0.3">
      <c r="B18" t="s">
        <v>57</v>
      </c>
      <c r="C18">
        <v>94</v>
      </c>
      <c r="D18" t="s">
        <v>41</v>
      </c>
      <c r="E18">
        <v>63</v>
      </c>
      <c r="F18">
        <v>85</v>
      </c>
      <c r="G18">
        <v>275</v>
      </c>
      <c r="H18" t="s">
        <v>2</v>
      </c>
      <c r="I18" t="s">
        <v>9</v>
      </c>
      <c r="K18" t="str">
        <v>premium</v>
      </c>
      <c r="L18">
        <v>74</v>
      </c>
      <c r="N18" s="2" t="s">
        <v>2062</v>
      </c>
      <c r="O18" s="3">
        <v>95</v>
      </c>
    </row>
    <row r="19" spans="2:15" x14ac:dyDescent="0.3">
      <c r="B19" t="s">
        <v>58</v>
      </c>
      <c r="C19">
        <v>96</v>
      </c>
      <c r="D19" t="s">
        <v>45</v>
      </c>
      <c r="E19">
        <v>60</v>
      </c>
      <c r="F19">
        <v>77</v>
      </c>
      <c r="G19">
        <v>14.11</v>
      </c>
      <c r="H19" t="s">
        <v>18</v>
      </c>
      <c r="I19" t="s">
        <v>4</v>
      </c>
      <c r="K19" t="str">
        <v>budget</v>
      </c>
      <c r="L19">
        <v>68.5</v>
      </c>
      <c r="N19" s="2" t="s">
        <v>2064</v>
      </c>
      <c r="O19" s="3">
        <v>93</v>
      </c>
    </row>
    <row r="20" spans="2:15" x14ac:dyDescent="0.3">
      <c r="B20" t="s">
        <v>59</v>
      </c>
      <c r="C20">
        <v>95</v>
      </c>
      <c r="D20" t="s">
        <v>41</v>
      </c>
      <c r="E20">
        <v>60</v>
      </c>
      <c r="F20">
        <v>88</v>
      </c>
      <c r="G20">
        <v>8.82</v>
      </c>
      <c r="H20" t="s">
        <v>18</v>
      </c>
      <c r="I20" t="s">
        <v>15</v>
      </c>
      <c r="K20" t="str">
        <v>budget</v>
      </c>
      <c r="L20">
        <v>74</v>
      </c>
      <c r="N20" s="2" t="s">
        <v>2063</v>
      </c>
      <c r="O20" s="3">
        <v>84.5</v>
      </c>
    </row>
    <row r="21" spans="2:15" x14ac:dyDescent="0.3">
      <c r="B21" t="s">
        <v>60</v>
      </c>
      <c r="C21">
        <v>95</v>
      </c>
      <c r="D21" t="s">
        <v>41</v>
      </c>
      <c r="E21">
        <v>65</v>
      </c>
      <c r="F21">
        <v>87</v>
      </c>
      <c r="G21">
        <v>10.58</v>
      </c>
      <c r="H21" t="s">
        <v>18</v>
      </c>
      <c r="I21" t="s">
        <v>9</v>
      </c>
      <c r="K21" t="str">
        <v>budget</v>
      </c>
      <c r="L21">
        <v>76</v>
      </c>
      <c r="N21" s="2" t="s">
        <v>26</v>
      </c>
      <c r="O21" s="3">
        <v>95</v>
      </c>
    </row>
    <row r="22" spans="2:15" x14ac:dyDescent="0.3">
      <c r="B22" t="s">
        <v>61</v>
      </c>
      <c r="C22">
        <v>94</v>
      </c>
      <c r="D22" t="s">
        <v>45</v>
      </c>
      <c r="E22">
        <v>59</v>
      </c>
      <c r="F22">
        <v>77</v>
      </c>
      <c r="G22">
        <v>6.17</v>
      </c>
      <c r="H22" t="s">
        <v>18</v>
      </c>
      <c r="I22" t="s">
        <v>3</v>
      </c>
      <c r="K22" t="str">
        <v>budget</v>
      </c>
      <c r="L22">
        <v>68</v>
      </c>
    </row>
    <row r="23" spans="2:15" x14ac:dyDescent="0.3">
      <c r="B23" t="s">
        <v>62</v>
      </c>
      <c r="C23">
        <v>94</v>
      </c>
      <c r="D23" t="s">
        <v>41</v>
      </c>
      <c r="E23">
        <v>61</v>
      </c>
      <c r="F23">
        <v>82</v>
      </c>
      <c r="G23">
        <v>8.23</v>
      </c>
      <c r="H23" t="s">
        <v>18</v>
      </c>
      <c r="I23" t="s">
        <v>9</v>
      </c>
      <c r="K23" t="str">
        <v>budget</v>
      </c>
      <c r="L23">
        <v>71.5</v>
      </c>
    </row>
    <row r="24" spans="2:15" x14ac:dyDescent="0.3">
      <c r="B24" t="s">
        <v>63</v>
      </c>
      <c r="C24">
        <v>95</v>
      </c>
      <c r="D24" t="s">
        <v>41</v>
      </c>
      <c r="E24">
        <v>63</v>
      </c>
      <c r="F24">
        <v>87</v>
      </c>
      <c r="G24">
        <v>9.41</v>
      </c>
      <c r="H24" t="s">
        <v>18</v>
      </c>
      <c r="I24" t="s">
        <v>14</v>
      </c>
      <c r="K24" t="str">
        <v>budget</v>
      </c>
      <c r="L24">
        <v>75</v>
      </c>
      <c r="N24" s="1" t="s">
        <v>0</v>
      </c>
      <c r="O24" t="s">
        <v>2067</v>
      </c>
    </row>
    <row r="25" spans="2:15" x14ac:dyDescent="0.3">
      <c r="B25" t="s">
        <v>64</v>
      </c>
      <c r="C25">
        <v>94</v>
      </c>
      <c r="D25" t="s">
        <v>41</v>
      </c>
      <c r="E25">
        <v>61</v>
      </c>
      <c r="F25">
        <v>81</v>
      </c>
      <c r="G25">
        <v>246.47</v>
      </c>
      <c r="H25" t="s">
        <v>2</v>
      </c>
      <c r="I25" t="s">
        <v>14</v>
      </c>
      <c r="K25" t="str">
        <v>premium</v>
      </c>
      <c r="L25">
        <v>71</v>
      </c>
      <c r="N25" s="2" t="s">
        <v>2062</v>
      </c>
      <c r="O25" s="3">
        <v>42</v>
      </c>
    </row>
    <row r="26" spans="2:15" x14ac:dyDescent="0.3">
      <c r="B26" t="s">
        <v>65</v>
      </c>
      <c r="C26">
        <v>94</v>
      </c>
      <c r="D26" t="s">
        <v>41</v>
      </c>
      <c r="E26">
        <v>65</v>
      </c>
      <c r="F26">
        <v>87</v>
      </c>
      <c r="G26">
        <v>145.06</v>
      </c>
      <c r="H26" t="s">
        <v>2</v>
      </c>
      <c r="I26" t="s">
        <v>9</v>
      </c>
      <c r="K26" t="str">
        <v>premium</v>
      </c>
      <c r="L26">
        <v>76</v>
      </c>
      <c r="N26" s="2" t="s">
        <v>2063</v>
      </c>
      <c r="O26" s="3">
        <v>42</v>
      </c>
    </row>
    <row r="27" spans="2:15" x14ac:dyDescent="0.3">
      <c r="B27" t="s">
        <v>66</v>
      </c>
      <c r="C27">
        <v>94</v>
      </c>
      <c r="D27" t="s">
        <v>41</v>
      </c>
      <c r="E27">
        <v>66</v>
      </c>
      <c r="F27">
        <v>88</v>
      </c>
      <c r="G27">
        <v>470</v>
      </c>
      <c r="H27" t="s">
        <v>2</v>
      </c>
      <c r="I27" t="s">
        <v>14</v>
      </c>
      <c r="K27" t="str">
        <v>premium</v>
      </c>
      <c r="L27">
        <v>77</v>
      </c>
      <c r="N27" s="2" t="s">
        <v>2064</v>
      </c>
      <c r="O27" s="3">
        <v>33</v>
      </c>
    </row>
    <row r="28" spans="2:15" x14ac:dyDescent="0.3">
      <c r="B28" t="s">
        <v>67</v>
      </c>
      <c r="C28">
        <v>95</v>
      </c>
      <c r="D28" t="s">
        <v>41</v>
      </c>
      <c r="E28">
        <v>66</v>
      </c>
      <c r="F28">
        <v>86</v>
      </c>
      <c r="G28">
        <v>211.64</v>
      </c>
      <c r="H28" t="s">
        <v>2</v>
      </c>
      <c r="I28" t="s">
        <v>12</v>
      </c>
      <c r="K28" t="str">
        <v>premium</v>
      </c>
      <c r="L28">
        <v>76</v>
      </c>
      <c r="N28" s="2" t="s">
        <v>26</v>
      </c>
      <c r="O28" s="3">
        <v>33</v>
      </c>
    </row>
    <row r="29" spans="2:15" x14ac:dyDescent="0.3">
      <c r="B29" t="s">
        <v>68</v>
      </c>
      <c r="C29">
        <v>97</v>
      </c>
      <c r="D29" t="s">
        <v>41</v>
      </c>
      <c r="E29">
        <v>62</v>
      </c>
      <c r="F29">
        <v>84</v>
      </c>
      <c r="G29">
        <v>16.75</v>
      </c>
      <c r="H29" t="s">
        <v>18</v>
      </c>
      <c r="I29" t="s">
        <v>18</v>
      </c>
      <c r="K29" t="str">
        <v>budget</v>
      </c>
      <c r="L29">
        <v>73</v>
      </c>
    </row>
    <row r="30" spans="2:15" x14ac:dyDescent="0.3">
      <c r="B30" t="s">
        <v>69</v>
      </c>
      <c r="C30">
        <v>95</v>
      </c>
      <c r="D30" t="s">
        <v>45</v>
      </c>
      <c r="E30">
        <v>60</v>
      </c>
      <c r="F30">
        <v>80</v>
      </c>
      <c r="G30">
        <v>15.52</v>
      </c>
      <c r="H30" t="s">
        <v>18</v>
      </c>
      <c r="I30" t="s">
        <v>18</v>
      </c>
      <c r="K30" t="str">
        <v>budget</v>
      </c>
      <c r="L30">
        <v>70</v>
      </c>
    </row>
    <row r="31" spans="2:15" x14ac:dyDescent="0.3">
      <c r="B31" t="s">
        <v>70</v>
      </c>
      <c r="C31">
        <v>95</v>
      </c>
      <c r="D31" t="s">
        <v>41</v>
      </c>
      <c r="E31">
        <v>65</v>
      </c>
      <c r="F31">
        <v>87</v>
      </c>
      <c r="G31">
        <v>17.64</v>
      </c>
      <c r="H31" t="s">
        <v>18</v>
      </c>
      <c r="I31" t="s">
        <v>14</v>
      </c>
      <c r="K31" t="str">
        <v>budget</v>
      </c>
      <c r="L31">
        <v>76</v>
      </c>
    </row>
    <row r="32" spans="2:15" x14ac:dyDescent="0.3">
      <c r="B32" t="s">
        <v>71</v>
      </c>
      <c r="C32">
        <v>95</v>
      </c>
      <c r="D32" t="s">
        <v>41</v>
      </c>
      <c r="E32">
        <v>64</v>
      </c>
      <c r="F32">
        <v>86</v>
      </c>
      <c r="G32">
        <v>8.23</v>
      </c>
      <c r="H32" t="s">
        <v>18</v>
      </c>
      <c r="I32" t="s">
        <v>17</v>
      </c>
      <c r="K32" t="str">
        <v>budget</v>
      </c>
      <c r="L32">
        <v>75</v>
      </c>
    </row>
    <row r="33" spans="2:12" x14ac:dyDescent="0.3">
      <c r="B33" t="s">
        <v>72</v>
      </c>
      <c r="C33">
        <v>95</v>
      </c>
      <c r="D33" t="s">
        <v>41</v>
      </c>
      <c r="E33">
        <v>64</v>
      </c>
      <c r="F33">
        <v>86</v>
      </c>
      <c r="G33">
        <v>12.79</v>
      </c>
      <c r="H33" t="s">
        <v>18</v>
      </c>
      <c r="I33" t="s">
        <v>4</v>
      </c>
      <c r="K33" t="str">
        <v>budget</v>
      </c>
      <c r="L33">
        <v>75</v>
      </c>
    </row>
    <row r="34" spans="2:12" x14ac:dyDescent="0.3">
      <c r="B34" t="s">
        <v>73</v>
      </c>
      <c r="C34">
        <v>94</v>
      </c>
      <c r="D34" t="s">
        <v>45</v>
      </c>
      <c r="E34">
        <v>59</v>
      </c>
      <c r="F34">
        <v>80</v>
      </c>
      <c r="G34">
        <v>6.47</v>
      </c>
      <c r="H34" t="s">
        <v>18</v>
      </c>
      <c r="I34" t="s">
        <v>6</v>
      </c>
      <c r="K34" t="str">
        <v>budget</v>
      </c>
      <c r="L34">
        <v>69.5</v>
      </c>
    </row>
    <row r="35" spans="2:12" x14ac:dyDescent="0.3">
      <c r="B35" t="s">
        <v>74</v>
      </c>
      <c r="C35">
        <v>95</v>
      </c>
      <c r="D35" t="s">
        <v>41</v>
      </c>
      <c r="E35">
        <v>62</v>
      </c>
      <c r="F35">
        <v>84</v>
      </c>
      <c r="G35">
        <v>5.88</v>
      </c>
      <c r="H35" t="s">
        <v>18</v>
      </c>
      <c r="I35" t="s">
        <v>9</v>
      </c>
      <c r="K35" t="str">
        <v>budget</v>
      </c>
      <c r="L35">
        <v>73</v>
      </c>
    </row>
    <row r="36" spans="2:12" x14ac:dyDescent="0.3">
      <c r="B36" t="s">
        <v>75</v>
      </c>
      <c r="C36">
        <v>94</v>
      </c>
      <c r="D36" t="s">
        <v>45</v>
      </c>
      <c r="E36">
        <v>61</v>
      </c>
      <c r="F36">
        <v>79</v>
      </c>
      <c r="G36">
        <v>6.76</v>
      </c>
      <c r="H36" t="s">
        <v>18</v>
      </c>
      <c r="I36" t="s">
        <v>9</v>
      </c>
      <c r="K36" t="str">
        <v>budget</v>
      </c>
      <c r="L36">
        <v>70</v>
      </c>
    </row>
    <row r="37" spans="2:12" x14ac:dyDescent="0.3">
      <c r="B37" t="s">
        <v>76</v>
      </c>
      <c r="C37">
        <v>94</v>
      </c>
      <c r="D37" t="s">
        <v>45</v>
      </c>
      <c r="E37">
        <v>52</v>
      </c>
      <c r="F37">
        <v>73</v>
      </c>
      <c r="G37">
        <v>14.81</v>
      </c>
      <c r="H37" t="s">
        <v>18</v>
      </c>
      <c r="I37" t="s">
        <v>18</v>
      </c>
      <c r="K37" t="str">
        <v>budget</v>
      </c>
      <c r="L37">
        <v>62.5</v>
      </c>
    </row>
    <row r="38" spans="2:12" x14ac:dyDescent="0.3">
      <c r="B38" t="s">
        <v>77</v>
      </c>
      <c r="C38">
        <v>95</v>
      </c>
      <c r="D38" t="s">
        <v>45</v>
      </c>
      <c r="E38">
        <v>60</v>
      </c>
      <c r="F38">
        <v>78</v>
      </c>
      <c r="G38">
        <v>15.52</v>
      </c>
      <c r="H38" t="s">
        <v>18</v>
      </c>
      <c r="I38" t="s">
        <v>18</v>
      </c>
      <c r="K38" t="str">
        <v>budget</v>
      </c>
      <c r="L38">
        <v>69</v>
      </c>
    </row>
    <row r="39" spans="2:12" x14ac:dyDescent="0.3">
      <c r="B39" t="s">
        <v>78</v>
      </c>
      <c r="C39">
        <v>94</v>
      </c>
      <c r="D39" t="s">
        <v>45</v>
      </c>
      <c r="E39">
        <v>57</v>
      </c>
      <c r="F39">
        <v>78</v>
      </c>
      <c r="G39">
        <v>15.52</v>
      </c>
      <c r="H39" t="s">
        <v>18</v>
      </c>
      <c r="I39" t="s">
        <v>18</v>
      </c>
      <c r="K39" t="str">
        <v>budget</v>
      </c>
      <c r="L39">
        <v>67.5</v>
      </c>
    </row>
    <row r="40" spans="2:12" x14ac:dyDescent="0.3">
      <c r="B40" t="s">
        <v>79</v>
      </c>
      <c r="C40">
        <v>94</v>
      </c>
      <c r="D40" t="s">
        <v>45</v>
      </c>
      <c r="E40">
        <v>57</v>
      </c>
      <c r="F40">
        <v>79</v>
      </c>
      <c r="G40">
        <v>5.86</v>
      </c>
      <c r="H40" t="s">
        <v>18</v>
      </c>
      <c r="I40" t="s">
        <v>7</v>
      </c>
      <c r="K40" t="str">
        <v>budget</v>
      </c>
      <c r="L40">
        <v>68</v>
      </c>
    </row>
    <row r="41" spans="2:12" x14ac:dyDescent="0.3">
      <c r="B41" t="s">
        <v>80</v>
      </c>
      <c r="C41">
        <v>94</v>
      </c>
      <c r="D41" t="s">
        <v>45</v>
      </c>
      <c r="E41">
        <v>52</v>
      </c>
      <c r="F41">
        <v>74</v>
      </c>
      <c r="G41">
        <v>4.99</v>
      </c>
      <c r="H41" t="s">
        <v>18</v>
      </c>
      <c r="I41" t="s">
        <v>9</v>
      </c>
      <c r="K41" t="str">
        <v>budget</v>
      </c>
      <c r="L41">
        <v>63</v>
      </c>
    </row>
    <row r="42" spans="2:12" x14ac:dyDescent="0.3">
      <c r="B42" t="s">
        <v>81</v>
      </c>
      <c r="C42">
        <v>95</v>
      </c>
      <c r="D42" t="s">
        <v>82</v>
      </c>
      <c r="E42">
        <v>52</v>
      </c>
      <c r="F42">
        <v>64</v>
      </c>
      <c r="G42">
        <v>8.9700000000000006</v>
      </c>
      <c r="H42" t="s">
        <v>18</v>
      </c>
      <c r="I42" t="s">
        <v>14</v>
      </c>
      <c r="K42" t="str">
        <v>budget</v>
      </c>
      <c r="L42">
        <v>58</v>
      </c>
    </row>
    <row r="43" spans="2:12" x14ac:dyDescent="0.3">
      <c r="B43" t="s">
        <v>83</v>
      </c>
      <c r="C43">
        <v>94</v>
      </c>
      <c r="D43" t="s">
        <v>45</v>
      </c>
      <c r="E43">
        <v>59</v>
      </c>
      <c r="F43">
        <v>81</v>
      </c>
      <c r="G43">
        <v>11.01</v>
      </c>
      <c r="H43" t="s">
        <v>18</v>
      </c>
      <c r="I43" t="s">
        <v>14</v>
      </c>
      <c r="K43" t="str">
        <v>budget</v>
      </c>
      <c r="L43">
        <v>70</v>
      </c>
    </row>
    <row r="44" spans="2:12" x14ac:dyDescent="0.3">
      <c r="B44" t="s">
        <v>84</v>
      </c>
      <c r="C44">
        <v>94</v>
      </c>
      <c r="D44" t="s">
        <v>45</v>
      </c>
      <c r="E44">
        <v>58</v>
      </c>
      <c r="F44">
        <v>81</v>
      </c>
      <c r="G44">
        <v>35.26</v>
      </c>
      <c r="H44" t="s">
        <v>18</v>
      </c>
      <c r="I44" t="s">
        <v>5</v>
      </c>
      <c r="K44" t="str">
        <v>middle</v>
      </c>
      <c r="L44">
        <v>69.5</v>
      </c>
    </row>
    <row r="45" spans="2:12" x14ac:dyDescent="0.3">
      <c r="B45" t="s">
        <v>85</v>
      </c>
      <c r="C45">
        <v>94</v>
      </c>
      <c r="D45" t="s">
        <v>45</v>
      </c>
      <c r="E45">
        <v>56</v>
      </c>
      <c r="F45">
        <v>82</v>
      </c>
      <c r="G45">
        <v>6.47</v>
      </c>
      <c r="H45" t="s">
        <v>18</v>
      </c>
      <c r="I45" t="s">
        <v>15</v>
      </c>
      <c r="K45" t="str">
        <v>budget</v>
      </c>
      <c r="L45">
        <v>69</v>
      </c>
    </row>
    <row r="46" spans="2:12" x14ac:dyDescent="0.3">
      <c r="B46" t="s">
        <v>86</v>
      </c>
      <c r="C46">
        <v>94</v>
      </c>
      <c r="D46" t="s">
        <v>41</v>
      </c>
      <c r="E46">
        <v>67</v>
      </c>
      <c r="F46">
        <v>88</v>
      </c>
      <c r="G46">
        <v>220.26</v>
      </c>
      <c r="H46" t="s">
        <v>2</v>
      </c>
      <c r="I46" t="s">
        <v>9</v>
      </c>
      <c r="K46" t="str">
        <v>premium</v>
      </c>
      <c r="L46">
        <v>77.5</v>
      </c>
    </row>
    <row r="47" spans="2:12" x14ac:dyDescent="0.3">
      <c r="B47" t="s">
        <v>87</v>
      </c>
      <c r="C47">
        <v>95</v>
      </c>
      <c r="D47" t="s">
        <v>41</v>
      </c>
      <c r="E47">
        <v>61</v>
      </c>
      <c r="F47">
        <v>83</v>
      </c>
      <c r="G47">
        <v>6.17</v>
      </c>
      <c r="H47" t="s">
        <v>18</v>
      </c>
      <c r="I47" t="s">
        <v>12</v>
      </c>
      <c r="K47" t="str">
        <v>budget</v>
      </c>
      <c r="L47">
        <v>72</v>
      </c>
    </row>
    <row r="48" spans="2:12" x14ac:dyDescent="0.3">
      <c r="B48" t="s">
        <v>88</v>
      </c>
      <c r="C48">
        <v>96</v>
      </c>
      <c r="D48" t="s">
        <v>41</v>
      </c>
      <c r="E48">
        <v>64</v>
      </c>
      <c r="F48">
        <v>86</v>
      </c>
      <c r="G48">
        <v>12.79</v>
      </c>
      <c r="H48" t="s">
        <v>18</v>
      </c>
      <c r="I48" t="s">
        <v>14</v>
      </c>
      <c r="K48" t="str">
        <v>budget</v>
      </c>
      <c r="L48">
        <v>75</v>
      </c>
    </row>
    <row r="49" spans="2:12" x14ac:dyDescent="0.3">
      <c r="B49" t="s">
        <v>89</v>
      </c>
      <c r="C49">
        <v>95</v>
      </c>
      <c r="D49" t="s">
        <v>41</v>
      </c>
      <c r="E49">
        <v>62</v>
      </c>
      <c r="F49">
        <v>82</v>
      </c>
      <c r="G49">
        <v>11.02</v>
      </c>
      <c r="H49" t="s">
        <v>18</v>
      </c>
      <c r="I49" t="s">
        <v>14</v>
      </c>
      <c r="K49" t="str">
        <v>budget</v>
      </c>
      <c r="L49">
        <v>72</v>
      </c>
    </row>
    <row r="50" spans="2:12" x14ac:dyDescent="0.3">
      <c r="B50" t="s">
        <v>90</v>
      </c>
      <c r="C50">
        <v>95</v>
      </c>
      <c r="D50" t="s">
        <v>45</v>
      </c>
      <c r="E50">
        <v>59</v>
      </c>
      <c r="F50">
        <v>81</v>
      </c>
      <c r="G50">
        <v>7.35</v>
      </c>
      <c r="H50" t="s">
        <v>18</v>
      </c>
      <c r="I50" t="s">
        <v>12</v>
      </c>
      <c r="K50" t="str">
        <v>budget</v>
      </c>
      <c r="L50">
        <v>70</v>
      </c>
    </row>
    <row r="51" spans="2:12" x14ac:dyDescent="0.3">
      <c r="B51" t="s">
        <v>91</v>
      </c>
      <c r="C51">
        <v>95</v>
      </c>
      <c r="D51" t="s">
        <v>41</v>
      </c>
      <c r="E51">
        <v>62</v>
      </c>
      <c r="F51">
        <v>80</v>
      </c>
      <c r="G51">
        <v>11.9</v>
      </c>
      <c r="H51" t="s">
        <v>18</v>
      </c>
      <c r="I51" t="s">
        <v>14</v>
      </c>
      <c r="K51" t="str">
        <v>budget</v>
      </c>
      <c r="L51">
        <v>71</v>
      </c>
    </row>
    <row r="52" spans="2:12" x14ac:dyDescent="0.3">
      <c r="B52" t="s">
        <v>92</v>
      </c>
      <c r="C52">
        <v>94</v>
      </c>
      <c r="D52" t="s">
        <v>45</v>
      </c>
      <c r="E52">
        <v>54</v>
      </c>
      <c r="F52">
        <v>72</v>
      </c>
      <c r="G52">
        <v>5.29</v>
      </c>
      <c r="H52" t="s">
        <v>18</v>
      </c>
      <c r="I52" t="s">
        <v>10</v>
      </c>
      <c r="K52" t="str">
        <v>budget</v>
      </c>
      <c r="L52">
        <v>63</v>
      </c>
    </row>
    <row r="53" spans="2:12" x14ac:dyDescent="0.3">
      <c r="B53" t="s">
        <v>93</v>
      </c>
      <c r="C53">
        <v>96</v>
      </c>
      <c r="D53" t="s">
        <v>41</v>
      </c>
      <c r="E53">
        <v>62</v>
      </c>
      <c r="F53">
        <v>84</v>
      </c>
      <c r="G53">
        <v>154.32</v>
      </c>
      <c r="H53" t="s">
        <v>2</v>
      </c>
      <c r="I53" t="s">
        <v>9</v>
      </c>
      <c r="K53" t="str">
        <v>premium</v>
      </c>
      <c r="L53">
        <v>73</v>
      </c>
    </row>
    <row r="54" spans="2:12" x14ac:dyDescent="0.3">
      <c r="B54" t="s">
        <v>94</v>
      </c>
      <c r="C54">
        <v>95</v>
      </c>
      <c r="D54" t="s">
        <v>41</v>
      </c>
      <c r="E54">
        <v>62</v>
      </c>
      <c r="F54">
        <v>84</v>
      </c>
      <c r="G54">
        <v>10.58</v>
      </c>
      <c r="H54" t="s">
        <v>18</v>
      </c>
      <c r="I54" t="s">
        <v>15</v>
      </c>
      <c r="K54" t="str">
        <v>budget</v>
      </c>
      <c r="L54">
        <v>73</v>
      </c>
    </row>
    <row r="55" spans="2:12" x14ac:dyDescent="0.3">
      <c r="B55" t="s">
        <v>95</v>
      </c>
      <c r="C55">
        <v>94</v>
      </c>
      <c r="D55" t="s">
        <v>45</v>
      </c>
      <c r="E55">
        <v>58</v>
      </c>
      <c r="F55">
        <v>77</v>
      </c>
      <c r="G55">
        <v>370.37</v>
      </c>
      <c r="H55" t="s">
        <v>2</v>
      </c>
      <c r="I55" t="s">
        <v>7</v>
      </c>
      <c r="K55" t="str">
        <v>premium</v>
      </c>
      <c r="L55">
        <v>67.5</v>
      </c>
    </row>
    <row r="56" spans="2:12" x14ac:dyDescent="0.3">
      <c r="B56" t="s">
        <v>96</v>
      </c>
      <c r="C56">
        <v>94</v>
      </c>
      <c r="D56" t="s">
        <v>45</v>
      </c>
      <c r="E56">
        <v>56</v>
      </c>
      <c r="F56">
        <v>76</v>
      </c>
      <c r="G56">
        <v>370.37</v>
      </c>
      <c r="H56" t="s">
        <v>2</v>
      </c>
      <c r="I56" t="s">
        <v>7</v>
      </c>
      <c r="K56" t="str">
        <v>premium</v>
      </c>
      <c r="L56">
        <v>66</v>
      </c>
    </row>
    <row r="57" spans="2:12" x14ac:dyDescent="0.3">
      <c r="B57" t="s">
        <v>97</v>
      </c>
      <c r="C57">
        <v>94</v>
      </c>
      <c r="D57" t="s">
        <v>45</v>
      </c>
      <c r="E57">
        <v>57</v>
      </c>
      <c r="F57">
        <v>77</v>
      </c>
      <c r="G57">
        <v>114.64</v>
      </c>
      <c r="H57" t="s">
        <v>2</v>
      </c>
      <c r="I57" t="s">
        <v>7</v>
      </c>
      <c r="K57" t="str">
        <v>premium</v>
      </c>
      <c r="L57">
        <v>67</v>
      </c>
    </row>
    <row r="58" spans="2:12" x14ac:dyDescent="0.3">
      <c r="B58" t="s">
        <v>98</v>
      </c>
      <c r="C58">
        <v>97</v>
      </c>
      <c r="D58" t="s">
        <v>41</v>
      </c>
      <c r="E58">
        <v>62</v>
      </c>
      <c r="F58">
        <v>84</v>
      </c>
      <c r="G58">
        <v>8.82</v>
      </c>
      <c r="H58" t="s">
        <v>18</v>
      </c>
      <c r="I58" t="s">
        <v>14</v>
      </c>
      <c r="K58" t="str">
        <v>budget</v>
      </c>
      <c r="L58">
        <v>73</v>
      </c>
    </row>
    <row r="59" spans="2:12" x14ac:dyDescent="0.3">
      <c r="B59" t="s">
        <v>99</v>
      </c>
      <c r="C59">
        <v>94</v>
      </c>
      <c r="D59" t="s">
        <v>41</v>
      </c>
      <c r="E59">
        <v>63</v>
      </c>
      <c r="F59">
        <v>85</v>
      </c>
      <c r="G59">
        <v>5.29</v>
      </c>
      <c r="H59" t="s">
        <v>18</v>
      </c>
      <c r="I59" t="s">
        <v>14</v>
      </c>
      <c r="K59" t="str">
        <v>budget</v>
      </c>
      <c r="L59">
        <v>74</v>
      </c>
    </row>
    <row r="60" spans="2:12" x14ac:dyDescent="0.3">
      <c r="B60" t="s">
        <v>100</v>
      </c>
      <c r="C60">
        <v>96</v>
      </c>
      <c r="D60" t="s">
        <v>45</v>
      </c>
      <c r="E60">
        <v>61</v>
      </c>
      <c r="F60">
        <v>79</v>
      </c>
      <c r="G60">
        <v>16.75</v>
      </c>
      <c r="H60" t="s">
        <v>18</v>
      </c>
      <c r="I60" t="s">
        <v>4</v>
      </c>
      <c r="K60" t="str">
        <v>budget</v>
      </c>
      <c r="L60">
        <v>70</v>
      </c>
    </row>
    <row r="61" spans="2:12" x14ac:dyDescent="0.3">
      <c r="B61" t="s">
        <v>101</v>
      </c>
      <c r="C61">
        <v>95</v>
      </c>
      <c r="D61" t="s">
        <v>41</v>
      </c>
      <c r="E61">
        <v>62</v>
      </c>
      <c r="F61">
        <v>86</v>
      </c>
      <c r="G61">
        <v>18.52</v>
      </c>
      <c r="H61" t="s">
        <v>18</v>
      </c>
      <c r="I61" t="s">
        <v>8</v>
      </c>
      <c r="K61" t="str">
        <v>budget</v>
      </c>
      <c r="L61">
        <v>74</v>
      </c>
    </row>
    <row r="62" spans="2:12" x14ac:dyDescent="0.3">
      <c r="B62" t="s">
        <v>102</v>
      </c>
      <c r="C62">
        <v>95</v>
      </c>
      <c r="D62" t="s">
        <v>41</v>
      </c>
      <c r="E62">
        <v>62</v>
      </c>
      <c r="F62">
        <v>80</v>
      </c>
      <c r="G62">
        <v>528.63</v>
      </c>
      <c r="H62" t="s">
        <v>2</v>
      </c>
      <c r="I62" t="s">
        <v>12</v>
      </c>
      <c r="K62" t="str">
        <v>premium</v>
      </c>
      <c r="L62">
        <v>71</v>
      </c>
    </row>
    <row r="63" spans="2:12" x14ac:dyDescent="0.3">
      <c r="B63" t="s">
        <v>103</v>
      </c>
      <c r="C63">
        <v>94</v>
      </c>
      <c r="D63" t="s">
        <v>45</v>
      </c>
      <c r="E63">
        <v>57</v>
      </c>
      <c r="F63">
        <v>81</v>
      </c>
      <c r="G63">
        <v>528.63</v>
      </c>
      <c r="H63" t="s">
        <v>2</v>
      </c>
      <c r="I63" t="s">
        <v>8</v>
      </c>
      <c r="K63" t="str">
        <v>premium</v>
      </c>
      <c r="L63">
        <v>69</v>
      </c>
    </row>
    <row r="64" spans="2:12" x14ac:dyDescent="0.3">
      <c r="B64" t="s">
        <v>104</v>
      </c>
      <c r="C64">
        <v>94</v>
      </c>
      <c r="D64" t="s">
        <v>45</v>
      </c>
      <c r="E64">
        <v>59</v>
      </c>
      <c r="F64">
        <v>79</v>
      </c>
      <c r="G64">
        <v>528.63</v>
      </c>
      <c r="H64" t="s">
        <v>2</v>
      </c>
      <c r="I64" t="s">
        <v>7</v>
      </c>
      <c r="K64" t="str">
        <v>premium</v>
      </c>
      <c r="L64">
        <v>69</v>
      </c>
    </row>
    <row r="65" spans="2:12" x14ac:dyDescent="0.3">
      <c r="B65" t="s">
        <v>105</v>
      </c>
      <c r="C65">
        <v>94</v>
      </c>
      <c r="D65" t="s">
        <v>41</v>
      </c>
      <c r="E65">
        <v>64</v>
      </c>
      <c r="F65">
        <v>88</v>
      </c>
      <c r="G65">
        <v>300</v>
      </c>
      <c r="H65" t="s">
        <v>2</v>
      </c>
      <c r="I65" t="s">
        <v>9</v>
      </c>
      <c r="K65" t="str">
        <v>premium</v>
      </c>
      <c r="L65">
        <v>76</v>
      </c>
    </row>
    <row r="66" spans="2:12" x14ac:dyDescent="0.3">
      <c r="B66" t="s">
        <v>106</v>
      </c>
      <c r="C66">
        <v>96</v>
      </c>
      <c r="D66" t="s">
        <v>41</v>
      </c>
      <c r="E66">
        <v>63</v>
      </c>
      <c r="F66">
        <v>88</v>
      </c>
      <c r="G66">
        <v>9.6999999999999993</v>
      </c>
      <c r="H66" t="s">
        <v>18</v>
      </c>
      <c r="I66" t="s">
        <v>14</v>
      </c>
      <c r="K66" t="str">
        <v>budget</v>
      </c>
      <c r="L66">
        <v>75.5</v>
      </c>
    </row>
    <row r="67" spans="2:12" x14ac:dyDescent="0.3">
      <c r="B67" t="s">
        <v>107</v>
      </c>
      <c r="C67">
        <v>95</v>
      </c>
      <c r="D67" t="s">
        <v>41</v>
      </c>
      <c r="E67">
        <v>68</v>
      </c>
      <c r="F67">
        <v>84</v>
      </c>
      <c r="G67">
        <v>44.09</v>
      </c>
      <c r="H67" t="s">
        <v>18</v>
      </c>
      <c r="I67" t="s">
        <v>18</v>
      </c>
      <c r="K67" t="str">
        <v>middle</v>
      </c>
      <c r="L67">
        <v>76</v>
      </c>
    </row>
    <row r="68" spans="2:12" x14ac:dyDescent="0.3">
      <c r="B68" t="s">
        <v>108</v>
      </c>
      <c r="C68">
        <v>94</v>
      </c>
      <c r="D68" t="s">
        <v>45</v>
      </c>
      <c r="E68">
        <v>57</v>
      </c>
      <c r="F68">
        <v>79</v>
      </c>
      <c r="G68">
        <v>5.4</v>
      </c>
      <c r="H68" t="s">
        <v>6</v>
      </c>
      <c r="I68" t="s">
        <v>6</v>
      </c>
      <c r="K68" t="str">
        <v>budget</v>
      </c>
      <c r="L68">
        <v>68</v>
      </c>
    </row>
    <row r="69" spans="2:12" x14ac:dyDescent="0.3">
      <c r="B69" t="s">
        <v>109</v>
      </c>
      <c r="C69">
        <v>95</v>
      </c>
      <c r="D69" t="s">
        <v>41</v>
      </c>
      <c r="E69">
        <v>60</v>
      </c>
      <c r="F69">
        <v>82</v>
      </c>
      <c r="G69">
        <v>7.35</v>
      </c>
      <c r="H69" t="s">
        <v>18</v>
      </c>
      <c r="I69" t="s">
        <v>12</v>
      </c>
      <c r="K69" t="str">
        <v>budget</v>
      </c>
      <c r="L69">
        <v>71</v>
      </c>
    </row>
    <row r="70" spans="2:12" x14ac:dyDescent="0.3">
      <c r="B70" t="s">
        <v>110</v>
      </c>
      <c r="C70">
        <v>94</v>
      </c>
      <c r="D70" t="s">
        <v>45</v>
      </c>
      <c r="E70">
        <v>57</v>
      </c>
      <c r="F70">
        <v>77</v>
      </c>
      <c r="G70">
        <v>6.47</v>
      </c>
      <c r="H70" t="s">
        <v>18</v>
      </c>
      <c r="I70" t="s">
        <v>15</v>
      </c>
      <c r="K70" t="str">
        <v>budget</v>
      </c>
      <c r="L70">
        <v>67</v>
      </c>
    </row>
    <row r="71" spans="2:12" x14ac:dyDescent="0.3">
      <c r="B71" t="s">
        <v>111</v>
      </c>
      <c r="C71">
        <v>94</v>
      </c>
      <c r="D71" t="s">
        <v>41</v>
      </c>
      <c r="E71">
        <v>62</v>
      </c>
      <c r="F71">
        <v>84</v>
      </c>
      <c r="G71">
        <v>10.29</v>
      </c>
      <c r="H71" t="s">
        <v>18</v>
      </c>
      <c r="I71" t="s">
        <v>15</v>
      </c>
      <c r="K71" t="str">
        <v>budget</v>
      </c>
      <c r="L71">
        <v>73</v>
      </c>
    </row>
    <row r="72" spans="2:12" x14ac:dyDescent="0.3">
      <c r="B72" t="s">
        <v>112</v>
      </c>
      <c r="C72">
        <v>94</v>
      </c>
      <c r="D72" t="s">
        <v>45</v>
      </c>
      <c r="E72">
        <v>59</v>
      </c>
      <c r="F72">
        <v>79</v>
      </c>
      <c r="G72">
        <v>6.47</v>
      </c>
      <c r="H72" t="s">
        <v>18</v>
      </c>
      <c r="I72" t="s">
        <v>9</v>
      </c>
      <c r="K72" t="str">
        <v>budget</v>
      </c>
      <c r="L72">
        <v>69</v>
      </c>
    </row>
    <row r="73" spans="2:12" x14ac:dyDescent="0.3">
      <c r="B73" t="s">
        <v>113</v>
      </c>
      <c r="C73">
        <v>94</v>
      </c>
      <c r="D73" t="s">
        <v>41</v>
      </c>
      <c r="E73">
        <v>68</v>
      </c>
      <c r="F73">
        <v>94</v>
      </c>
      <c r="G73">
        <v>352.42</v>
      </c>
      <c r="H73" t="s">
        <v>2</v>
      </c>
      <c r="I73" t="s">
        <v>5</v>
      </c>
      <c r="K73" t="str">
        <v>premium</v>
      </c>
      <c r="L73">
        <v>81</v>
      </c>
    </row>
    <row r="74" spans="2:12" x14ac:dyDescent="0.3">
      <c r="B74" t="s">
        <v>114</v>
      </c>
      <c r="C74">
        <v>95</v>
      </c>
      <c r="D74" t="s">
        <v>41</v>
      </c>
      <c r="E74">
        <v>64</v>
      </c>
      <c r="F74">
        <v>88</v>
      </c>
      <c r="G74">
        <v>325</v>
      </c>
      <c r="H74" t="s">
        <v>2</v>
      </c>
      <c r="I74" t="s">
        <v>14</v>
      </c>
      <c r="K74" t="str">
        <v>premium</v>
      </c>
      <c r="L74">
        <v>76</v>
      </c>
    </row>
    <row r="75" spans="2:12" x14ac:dyDescent="0.3">
      <c r="B75" t="s">
        <v>115</v>
      </c>
      <c r="C75">
        <v>94</v>
      </c>
      <c r="D75" t="s">
        <v>41</v>
      </c>
      <c r="E75">
        <v>62</v>
      </c>
      <c r="F75">
        <v>80</v>
      </c>
      <c r="G75">
        <v>2</v>
      </c>
      <c r="H75" t="s">
        <v>2</v>
      </c>
      <c r="I75" t="s">
        <v>2</v>
      </c>
      <c r="K75" t="str">
        <v>budget</v>
      </c>
      <c r="L75">
        <v>71</v>
      </c>
    </row>
    <row r="76" spans="2:12" x14ac:dyDescent="0.3">
      <c r="B76" t="s">
        <v>116</v>
      </c>
      <c r="C76">
        <v>95</v>
      </c>
      <c r="D76" t="s">
        <v>41</v>
      </c>
      <c r="E76">
        <v>62</v>
      </c>
      <c r="F76">
        <v>86</v>
      </c>
      <c r="G76">
        <v>11.02</v>
      </c>
      <c r="H76" t="s">
        <v>18</v>
      </c>
      <c r="I76" t="s">
        <v>14</v>
      </c>
      <c r="K76" t="str">
        <v>budget</v>
      </c>
      <c r="L76">
        <v>74</v>
      </c>
    </row>
    <row r="77" spans="2:12" x14ac:dyDescent="0.3">
      <c r="B77" t="s">
        <v>117</v>
      </c>
      <c r="C77">
        <v>95</v>
      </c>
      <c r="D77" t="s">
        <v>45</v>
      </c>
      <c r="E77">
        <v>58</v>
      </c>
      <c r="F77">
        <v>78</v>
      </c>
      <c r="G77">
        <v>6.76</v>
      </c>
      <c r="H77" t="s">
        <v>18</v>
      </c>
      <c r="I77" t="s">
        <v>9</v>
      </c>
      <c r="K77" t="str">
        <v>budget</v>
      </c>
      <c r="L77">
        <v>68</v>
      </c>
    </row>
    <row r="78" spans="2:12" x14ac:dyDescent="0.3">
      <c r="B78" t="s">
        <v>118</v>
      </c>
      <c r="C78">
        <v>94</v>
      </c>
      <c r="D78" t="s">
        <v>45</v>
      </c>
      <c r="E78">
        <v>57</v>
      </c>
      <c r="F78">
        <v>80</v>
      </c>
      <c r="G78">
        <v>6.76</v>
      </c>
      <c r="H78" t="s">
        <v>18</v>
      </c>
      <c r="I78" t="s">
        <v>16</v>
      </c>
      <c r="K78" t="str">
        <v>budget</v>
      </c>
      <c r="L78">
        <v>68.5</v>
      </c>
    </row>
    <row r="79" spans="2:12" x14ac:dyDescent="0.3">
      <c r="B79" t="s">
        <v>119</v>
      </c>
      <c r="C79">
        <v>94</v>
      </c>
      <c r="D79" t="s">
        <v>41</v>
      </c>
      <c r="E79">
        <v>65</v>
      </c>
      <c r="F79">
        <v>93</v>
      </c>
      <c r="G79">
        <v>149.47</v>
      </c>
      <c r="H79" t="s">
        <v>2</v>
      </c>
      <c r="I79" t="s">
        <v>9</v>
      </c>
      <c r="K79" t="str">
        <v>premium</v>
      </c>
      <c r="L79">
        <v>79</v>
      </c>
    </row>
    <row r="80" spans="2:12" x14ac:dyDescent="0.3">
      <c r="B80" t="s">
        <v>120</v>
      </c>
      <c r="C80">
        <v>94</v>
      </c>
      <c r="D80" t="s">
        <v>45</v>
      </c>
      <c r="E80">
        <v>60</v>
      </c>
      <c r="F80">
        <v>78</v>
      </c>
      <c r="G80">
        <v>5.88</v>
      </c>
      <c r="H80" t="s">
        <v>18</v>
      </c>
      <c r="I80" t="s">
        <v>7</v>
      </c>
      <c r="K80" t="str">
        <v>budget</v>
      </c>
      <c r="L80">
        <v>69</v>
      </c>
    </row>
    <row r="81" spans="2:12" x14ac:dyDescent="0.3">
      <c r="B81" t="s">
        <v>121</v>
      </c>
      <c r="C81">
        <v>94</v>
      </c>
      <c r="D81" t="s">
        <v>41</v>
      </c>
      <c r="E81">
        <v>66</v>
      </c>
      <c r="F81">
        <v>88</v>
      </c>
      <c r="G81">
        <v>743.36</v>
      </c>
      <c r="H81" t="s">
        <v>2</v>
      </c>
      <c r="I81" t="s">
        <v>9</v>
      </c>
      <c r="K81" t="str">
        <v>premium</v>
      </c>
      <c r="L81">
        <v>77</v>
      </c>
    </row>
    <row r="82" spans="2:12" x14ac:dyDescent="0.3">
      <c r="B82" t="s">
        <v>122</v>
      </c>
      <c r="C82">
        <v>95</v>
      </c>
      <c r="D82" t="s">
        <v>41</v>
      </c>
      <c r="E82">
        <v>64</v>
      </c>
      <c r="F82">
        <v>88</v>
      </c>
      <c r="G82">
        <v>10.23</v>
      </c>
      <c r="H82" t="s">
        <v>18</v>
      </c>
      <c r="I82" t="s">
        <v>21</v>
      </c>
      <c r="K82" t="str">
        <v>budget</v>
      </c>
      <c r="L82">
        <v>76</v>
      </c>
    </row>
    <row r="83" spans="2:12" x14ac:dyDescent="0.3">
      <c r="B83" t="s">
        <v>123</v>
      </c>
      <c r="C83">
        <v>94</v>
      </c>
      <c r="D83" t="s">
        <v>41</v>
      </c>
      <c r="E83">
        <v>58</v>
      </c>
      <c r="F83">
        <v>84</v>
      </c>
      <c r="G83">
        <v>8.82</v>
      </c>
      <c r="H83" t="s">
        <v>18</v>
      </c>
      <c r="I83" t="s">
        <v>15</v>
      </c>
      <c r="K83" t="str">
        <v>budget</v>
      </c>
      <c r="L83">
        <v>71</v>
      </c>
    </row>
    <row r="84" spans="2:12" x14ac:dyDescent="0.3">
      <c r="B84" t="s">
        <v>124</v>
      </c>
      <c r="C84">
        <v>94</v>
      </c>
      <c r="D84" t="s">
        <v>41</v>
      </c>
      <c r="E84">
        <v>64</v>
      </c>
      <c r="F84">
        <v>88</v>
      </c>
      <c r="G84">
        <v>5.88</v>
      </c>
      <c r="H84" t="s">
        <v>18</v>
      </c>
      <c r="I84" t="s">
        <v>9</v>
      </c>
      <c r="K84" t="str">
        <v>budget</v>
      </c>
      <c r="L84">
        <v>76</v>
      </c>
    </row>
    <row r="85" spans="2:12" x14ac:dyDescent="0.3">
      <c r="B85" t="s">
        <v>125</v>
      </c>
      <c r="C85">
        <v>94</v>
      </c>
      <c r="D85" t="s">
        <v>45</v>
      </c>
      <c r="E85">
        <v>58</v>
      </c>
      <c r="F85">
        <v>82</v>
      </c>
      <c r="G85">
        <v>10.4</v>
      </c>
      <c r="H85" t="s">
        <v>18</v>
      </c>
      <c r="I85" t="s">
        <v>12</v>
      </c>
      <c r="K85" t="str">
        <v>budget</v>
      </c>
      <c r="L85">
        <v>70</v>
      </c>
    </row>
    <row r="86" spans="2:12" x14ac:dyDescent="0.3">
      <c r="B86" t="s">
        <v>126</v>
      </c>
      <c r="C86">
        <v>94</v>
      </c>
      <c r="D86" t="s">
        <v>45</v>
      </c>
      <c r="E86">
        <v>58</v>
      </c>
      <c r="F86">
        <v>80</v>
      </c>
      <c r="G86">
        <v>202.82</v>
      </c>
      <c r="H86" t="s">
        <v>2</v>
      </c>
      <c r="I86" t="s">
        <v>9</v>
      </c>
      <c r="K86" t="str">
        <v>premium</v>
      </c>
      <c r="L86">
        <v>69</v>
      </c>
    </row>
    <row r="87" spans="2:12" x14ac:dyDescent="0.3">
      <c r="B87" t="s">
        <v>127</v>
      </c>
      <c r="C87">
        <v>94</v>
      </c>
      <c r="D87" t="s">
        <v>41</v>
      </c>
      <c r="E87">
        <v>66</v>
      </c>
      <c r="F87">
        <v>89</v>
      </c>
      <c r="G87">
        <v>317.45999999999998</v>
      </c>
      <c r="H87" t="s">
        <v>2</v>
      </c>
      <c r="I87" t="s">
        <v>9</v>
      </c>
      <c r="K87" t="str">
        <v>premium</v>
      </c>
      <c r="L87">
        <v>77.5</v>
      </c>
    </row>
    <row r="88" spans="2:12" x14ac:dyDescent="0.3">
      <c r="B88" t="s">
        <v>128</v>
      </c>
      <c r="C88">
        <v>96</v>
      </c>
      <c r="D88" t="s">
        <v>45</v>
      </c>
      <c r="E88">
        <v>58</v>
      </c>
      <c r="F88">
        <v>82</v>
      </c>
      <c r="G88">
        <v>6.91</v>
      </c>
      <c r="H88" t="s">
        <v>18</v>
      </c>
      <c r="I88" t="s">
        <v>12</v>
      </c>
      <c r="K88" t="str">
        <v>budget</v>
      </c>
      <c r="L88">
        <v>70</v>
      </c>
    </row>
    <row r="89" spans="2:12" x14ac:dyDescent="0.3">
      <c r="B89" t="s">
        <v>129</v>
      </c>
      <c r="C89">
        <v>94</v>
      </c>
      <c r="D89" t="s">
        <v>41</v>
      </c>
      <c r="E89">
        <v>61</v>
      </c>
      <c r="F89">
        <v>85</v>
      </c>
      <c r="G89">
        <v>175</v>
      </c>
      <c r="H89" t="s">
        <v>2</v>
      </c>
      <c r="I89" t="s">
        <v>9</v>
      </c>
      <c r="K89" t="str">
        <v>premium</v>
      </c>
      <c r="L89">
        <v>73</v>
      </c>
    </row>
    <row r="90" spans="2:12" x14ac:dyDescent="0.3">
      <c r="B90" t="s">
        <v>130</v>
      </c>
      <c r="C90">
        <v>95</v>
      </c>
      <c r="D90" t="s">
        <v>41</v>
      </c>
      <c r="E90">
        <v>64</v>
      </c>
      <c r="F90">
        <v>88</v>
      </c>
      <c r="G90">
        <v>7.05</v>
      </c>
      <c r="H90" t="s">
        <v>18</v>
      </c>
      <c r="I90" t="s">
        <v>9</v>
      </c>
      <c r="K90" t="str">
        <v>budget</v>
      </c>
      <c r="L90">
        <v>76</v>
      </c>
    </row>
    <row r="91" spans="2:12" x14ac:dyDescent="0.3">
      <c r="B91" t="s">
        <v>131</v>
      </c>
      <c r="C91">
        <v>94</v>
      </c>
      <c r="D91" t="s">
        <v>41</v>
      </c>
      <c r="E91">
        <v>60</v>
      </c>
      <c r="F91">
        <v>84</v>
      </c>
      <c r="G91">
        <v>7.94</v>
      </c>
      <c r="H91" t="s">
        <v>18</v>
      </c>
      <c r="I91" t="s">
        <v>14</v>
      </c>
      <c r="K91" t="str">
        <v>budget</v>
      </c>
      <c r="L91">
        <v>72</v>
      </c>
    </row>
    <row r="92" spans="2:12" x14ac:dyDescent="0.3">
      <c r="B92" t="s">
        <v>132</v>
      </c>
      <c r="C92">
        <v>94</v>
      </c>
      <c r="D92" t="s">
        <v>41</v>
      </c>
      <c r="E92">
        <v>66</v>
      </c>
      <c r="F92">
        <v>89</v>
      </c>
      <c r="G92">
        <v>60</v>
      </c>
      <c r="H92" t="s">
        <v>18</v>
      </c>
      <c r="I92" t="s">
        <v>9</v>
      </c>
      <c r="K92" t="str">
        <v>middle</v>
      </c>
      <c r="L92">
        <v>77.5</v>
      </c>
    </row>
    <row r="93" spans="2:12" x14ac:dyDescent="0.3">
      <c r="B93" t="s">
        <v>133</v>
      </c>
      <c r="C93">
        <v>97</v>
      </c>
      <c r="D93" t="s">
        <v>41</v>
      </c>
      <c r="E93">
        <v>64</v>
      </c>
      <c r="F93">
        <v>88</v>
      </c>
      <c r="G93">
        <v>2000</v>
      </c>
      <c r="H93" t="s">
        <v>18</v>
      </c>
      <c r="I93" t="s">
        <v>5</v>
      </c>
      <c r="K93" t="str">
        <v>premium</v>
      </c>
      <c r="L93">
        <v>76</v>
      </c>
    </row>
    <row r="94" spans="2:12" x14ac:dyDescent="0.3">
      <c r="B94" t="s">
        <v>134</v>
      </c>
      <c r="C94">
        <v>96</v>
      </c>
      <c r="D94" t="s">
        <v>41</v>
      </c>
      <c r="E94">
        <v>65</v>
      </c>
      <c r="F94">
        <v>90</v>
      </c>
      <c r="G94">
        <v>2000</v>
      </c>
      <c r="H94" t="s">
        <v>18</v>
      </c>
      <c r="I94" t="s">
        <v>5</v>
      </c>
      <c r="K94" t="str">
        <v>premium</v>
      </c>
      <c r="L94">
        <v>77.5</v>
      </c>
    </row>
    <row r="95" spans="2:12" x14ac:dyDescent="0.3">
      <c r="B95" t="s">
        <v>135</v>
      </c>
      <c r="C95">
        <v>95</v>
      </c>
      <c r="D95" t="s">
        <v>41</v>
      </c>
      <c r="E95">
        <v>64</v>
      </c>
      <c r="F95">
        <v>88</v>
      </c>
      <c r="G95">
        <v>176.37</v>
      </c>
      <c r="H95" t="s">
        <v>18</v>
      </c>
      <c r="I95" t="s">
        <v>18</v>
      </c>
      <c r="K95" t="str">
        <v>premium</v>
      </c>
      <c r="L95">
        <v>76</v>
      </c>
    </row>
    <row r="96" spans="2:12" x14ac:dyDescent="0.3">
      <c r="B96" t="s">
        <v>136</v>
      </c>
      <c r="C96">
        <v>94</v>
      </c>
      <c r="D96" t="s">
        <v>41</v>
      </c>
      <c r="E96">
        <v>64</v>
      </c>
      <c r="F96">
        <v>84</v>
      </c>
      <c r="G96">
        <v>6.47</v>
      </c>
      <c r="H96" t="s">
        <v>18</v>
      </c>
      <c r="I96" t="s">
        <v>9</v>
      </c>
      <c r="K96" t="str">
        <v>budget</v>
      </c>
      <c r="L96">
        <v>74</v>
      </c>
    </row>
    <row r="97" spans="2:12" x14ac:dyDescent="0.3">
      <c r="B97" t="s">
        <v>137</v>
      </c>
      <c r="C97">
        <v>94</v>
      </c>
      <c r="D97" t="s">
        <v>41</v>
      </c>
      <c r="E97">
        <v>64</v>
      </c>
      <c r="F97">
        <v>88</v>
      </c>
      <c r="G97">
        <v>12.35</v>
      </c>
      <c r="H97" t="s">
        <v>18</v>
      </c>
      <c r="I97" t="s">
        <v>14</v>
      </c>
      <c r="K97" t="str">
        <v>budget</v>
      </c>
      <c r="L97">
        <v>76</v>
      </c>
    </row>
    <row r="98" spans="2:12" x14ac:dyDescent="0.3">
      <c r="B98" t="s">
        <v>138</v>
      </c>
      <c r="C98">
        <v>94</v>
      </c>
      <c r="D98" t="s">
        <v>41</v>
      </c>
      <c r="E98">
        <v>62</v>
      </c>
      <c r="F98">
        <v>84</v>
      </c>
      <c r="G98">
        <v>6.47</v>
      </c>
      <c r="H98" t="s">
        <v>18</v>
      </c>
      <c r="I98" t="s">
        <v>14</v>
      </c>
      <c r="K98" t="str">
        <v>budget</v>
      </c>
      <c r="L98">
        <v>73</v>
      </c>
    </row>
    <row r="99" spans="2:12" x14ac:dyDescent="0.3">
      <c r="B99" t="s">
        <v>139</v>
      </c>
      <c r="C99">
        <v>94</v>
      </c>
      <c r="D99" t="s">
        <v>45</v>
      </c>
      <c r="E99">
        <v>60</v>
      </c>
      <c r="F99">
        <v>78</v>
      </c>
      <c r="G99">
        <v>6.47</v>
      </c>
      <c r="H99" t="s">
        <v>18</v>
      </c>
      <c r="I99" t="s">
        <v>12</v>
      </c>
      <c r="K99" t="str">
        <v>budget</v>
      </c>
      <c r="L99">
        <v>69</v>
      </c>
    </row>
    <row r="100" spans="2:12" x14ac:dyDescent="0.3">
      <c r="B100" t="s">
        <v>140</v>
      </c>
      <c r="C100">
        <v>95</v>
      </c>
      <c r="D100" t="s">
        <v>45</v>
      </c>
      <c r="E100">
        <v>58</v>
      </c>
      <c r="F100">
        <v>79</v>
      </c>
      <c r="G100">
        <v>119.05</v>
      </c>
      <c r="H100" t="s">
        <v>2</v>
      </c>
      <c r="I100" t="s">
        <v>9</v>
      </c>
      <c r="K100" t="str">
        <v>premium</v>
      </c>
      <c r="L100">
        <v>68.5</v>
      </c>
    </row>
    <row r="101" spans="2:12" x14ac:dyDescent="0.3">
      <c r="B101" t="s">
        <v>141</v>
      </c>
      <c r="C101">
        <v>95</v>
      </c>
      <c r="D101" t="s">
        <v>41</v>
      </c>
      <c r="E101">
        <v>62</v>
      </c>
      <c r="F101">
        <v>84</v>
      </c>
      <c r="G101">
        <v>423.28</v>
      </c>
      <c r="H101" t="s">
        <v>2</v>
      </c>
      <c r="I101" t="s">
        <v>9</v>
      </c>
      <c r="K101" t="str">
        <v>premium</v>
      </c>
      <c r="L101">
        <v>73</v>
      </c>
    </row>
    <row r="102" spans="2:12" x14ac:dyDescent="0.3">
      <c r="B102" t="s">
        <v>142</v>
      </c>
      <c r="C102">
        <v>95</v>
      </c>
      <c r="D102" t="s">
        <v>41</v>
      </c>
      <c r="E102">
        <v>64</v>
      </c>
      <c r="F102">
        <v>84</v>
      </c>
      <c r="G102">
        <v>141.09</v>
      </c>
      <c r="H102" t="s">
        <v>2</v>
      </c>
      <c r="I102" t="s">
        <v>9</v>
      </c>
      <c r="K102" t="str">
        <v>premium</v>
      </c>
      <c r="L102">
        <v>74</v>
      </c>
    </row>
    <row r="103" spans="2:12" x14ac:dyDescent="0.3">
      <c r="B103" t="s">
        <v>143</v>
      </c>
      <c r="C103">
        <v>94</v>
      </c>
      <c r="D103" t="s">
        <v>41</v>
      </c>
      <c r="E103">
        <v>64</v>
      </c>
      <c r="F103">
        <v>88</v>
      </c>
      <c r="G103">
        <v>141.09</v>
      </c>
      <c r="H103" t="s">
        <v>2</v>
      </c>
      <c r="I103" t="s">
        <v>9</v>
      </c>
      <c r="K103" t="str">
        <v>premium</v>
      </c>
      <c r="L103">
        <v>76</v>
      </c>
    </row>
    <row r="104" spans="2:12" x14ac:dyDescent="0.3">
      <c r="B104" t="s">
        <v>144</v>
      </c>
      <c r="C104">
        <v>95</v>
      </c>
      <c r="D104" t="s">
        <v>41</v>
      </c>
      <c r="E104">
        <v>62</v>
      </c>
      <c r="F104">
        <v>84</v>
      </c>
      <c r="G104">
        <v>7.76</v>
      </c>
      <c r="H104" t="s">
        <v>18</v>
      </c>
      <c r="I104" t="s">
        <v>7</v>
      </c>
      <c r="K104" t="str">
        <v>budget</v>
      </c>
      <c r="L104">
        <v>73</v>
      </c>
    </row>
    <row r="105" spans="2:12" x14ac:dyDescent="0.3">
      <c r="B105" t="s">
        <v>145</v>
      </c>
      <c r="C105">
        <v>95</v>
      </c>
      <c r="D105" t="s">
        <v>41</v>
      </c>
      <c r="E105">
        <v>64</v>
      </c>
      <c r="F105">
        <v>86</v>
      </c>
      <c r="G105">
        <v>163.13999999999999</v>
      </c>
      <c r="H105" t="s">
        <v>2</v>
      </c>
      <c r="I105" t="s">
        <v>9</v>
      </c>
      <c r="K105" t="str">
        <v>premium</v>
      </c>
      <c r="L105">
        <v>75</v>
      </c>
    </row>
    <row r="106" spans="2:12" x14ac:dyDescent="0.3">
      <c r="B106" t="s">
        <v>146</v>
      </c>
      <c r="C106">
        <v>95</v>
      </c>
      <c r="D106" t="s">
        <v>41</v>
      </c>
      <c r="E106">
        <v>62</v>
      </c>
      <c r="F106">
        <v>84</v>
      </c>
      <c r="G106">
        <v>23.52</v>
      </c>
      <c r="H106" t="s">
        <v>18</v>
      </c>
      <c r="I106" t="s">
        <v>9</v>
      </c>
      <c r="K106" t="str">
        <v>budget</v>
      </c>
      <c r="L106">
        <v>73</v>
      </c>
    </row>
    <row r="107" spans="2:12" x14ac:dyDescent="0.3">
      <c r="B107" t="s">
        <v>147</v>
      </c>
      <c r="C107">
        <v>95</v>
      </c>
      <c r="D107" t="s">
        <v>41</v>
      </c>
      <c r="E107">
        <v>64</v>
      </c>
      <c r="F107">
        <v>88</v>
      </c>
      <c r="G107">
        <v>34.17</v>
      </c>
      <c r="H107" t="s">
        <v>18</v>
      </c>
      <c r="I107" t="s">
        <v>5</v>
      </c>
      <c r="K107" t="str">
        <v>middle</v>
      </c>
      <c r="L107">
        <v>76</v>
      </c>
    </row>
    <row r="108" spans="2:12" x14ac:dyDescent="0.3">
      <c r="B108" t="s">
        <v>148</v>
      </c>
      <c r="C108">
        <v>94</v>
      </c>
      <c r="D108" t="s">
        <v>41</v>
      </c>
      <c r="E108">
        <v>62</v>
      </c>
      <c r="F108">
        <v>84</v>
      </c>
      <c r="G108">
        <v>7.35</v>
      </c>
      <c r="H108" t="s">
        <v>18</v>
      </c>
      <c r="I108" t="s">
        <v>14</v>
      </c>
      <c r="K108" t="str">
        <v>budget</v>
      </c>
      <c r="L108">
        <v>73</v>
      </c>
    </row>
    <row r="109" spans="2:12" x14ac:dyDescent="0.3">
      <c r="B109" t="s">
        <v>149</v>
      </c>
      <c r="C109">
        <v>94</v>
      </c>
      <c r="D109" t="s">
        <v>45</v>
      </c>
      <c r="E109">
        <v>50</v>
      </c>
      <c r="F109">
        <v>77</v>
      </c>
      <c r="G109">
        <v>7.05</v>
      </c>
      <c r="H109" t="s">
        <v>18</v>
      </c>
      <c r="I109" t="s">
        <v>150</v>
      </c>
      <c r="K109" t="str">
        <v>budget</v>
      </c>
      <c r="L109">
        <v>63.5</v>
      </c>
    </row>
    <row r="110" spans="2:12" x14ac:dyDescent="0.3">
      <c r="B110" t="s">
        <v>151</v>
      </c>
      <c r="C110">
        <v>94</v>
      </c>
      <c r="D110" t="s">
        <v>45</v>
      </c>
      <c r="E110">
        <v>54</v>
      </c>
      <c r="F110">
        <v>72</v>
      </c>
      <c r="G110">
        <v>10.58</v>
      </c>
      <c r="H110" t="s">
        <v>18</v>
      </c>
      <c r="I110" t="s">
        <v>150</v>
      </c>
      <c r="K110" t="str">
        <v>budget</v>
      </c>
      <c r="L110">
        <v>63</v>
      </c>
    </row>
    <row r="111" spans="2:12" x14ac:dyDescent="0.3">
      <c r="B111" t="s">
        <v>152</v>
      </c>
      <c r="C111">
        <v>94</v>
      </c>
      <c r="D111" t="s">
        <v>41</v>
      </c>
      <c r="E111">
        <v>63</v>
      </c>
      <c r="F111">
        <v>87</v>
      </c>
      <c r="G111">
        <v>6.47</v>
      </c>
      <c r="H111" t="s">
        <v>18</v>
      </c>
      <c r="I111" t="s">
        <v>9</v>
      </c>
      <c r="K111" t="str">
        <v>budget</v>
      </c>
      <c r="L111">
        <v>75</v>
      </c>
    </row>
    <row r="112" spans="2:12" x14ac:dyDescent="0.3">
      <c r="B112" t="s">
        <v>153</v>
      </c>
      <c r="C112">
        <v>94</v>
      </c>
      <c r="D112" t="s">
        <v>41</v>
      </c>
      <c r="E112">
        <v>62</v>
      </c>
      <c r="F112">
        <v>84</v>
      </c>
      <c r="G112">
        <v>11.02</v>
      </c>
      <c r="H112" t="s">
        <v>18</v>
      </c>
      <c r="I112" t="s">
        <v>14</v>
      </c>
      <c r="K112" t="str">
        <v>budget</v>
      </c>
      <c r="L112">
        <v>73</v>
      </c>
    </row>
    <row r="113" spans="2:12" x14ac:dyDescent="0.3">
      <c r="B113" t="s">
        <v>154</v>
      </c>
      <c r="C113">
        <v>94</v>
      </c>
      <c r="D113" t="s">
        <v>45</v>
      </c>
      <c r="E113">
        <v>59</v>
      </c>
      <c r="F113">
        <v>77</v>
      </c>
      <c r="G113">
        <v>9.6999999999999993</v>
      </c>
      <c r="H113" t="s">
        <v>18</v>
      </c>
      <c r="I113" t="s">
        <v>14</v>
      </c>
      <c r="K113" t="str">
        <v>budget</v>
      </c>
      <c r="L113">
        <v>68</v>
      </c>
    </row>
    <row r="114" spans="2:12" x14ac:dyDescent="0.3">
      <c r="B114" t="s">
        <v>155</v>
      </c>
      <c r="C114">
        <v>96</v>
      </c>
      <c r="D114" t="s">
        <v>41</v>
      </c>
      <c r="E114">
        <v>64</v>
      </c>
      <c r="F114">
        <v>90</v>
      </c>
      <c r="G114">
        <v>666.67</v>
      </c>
      <c r="H114" t="s">
        <v>2</v>
      </c>
      <c r="I114" t="s">
        <v>2</v>
      </c>
      <c r="K114" t="str">
        <v>premium</v>
      </c>
      <c r="L114">
        <v>77</v>
      </c>
    </row>
    <row r="115" spans="2:12" x14ac:dyDescent="0.3">
      <c r="B115" t="s">
        <v>156</v>
      </c>
      <c r="C115">
        <v>96</v>
      </c>
      <c r="D115" t="s">
        <v>41</v>
      </c>
      <c r="E115">
        <v>62</v>
      </c>
      <c r="F115">
        <v>84</v>
      </c>
      <c r="G115">
        <v>7.05</v>
      </c>
      <c r="H115" t="s">
        <v>18</v>
      </c>
      <c r="I115" t="s">
        <v>9</v>
      </c>
      <c r="K115" t="str">
        <v>budget</v>
      </c>
      <c r="L115">
        <v>73</v>
      </c>
    </row>
    <row r="116" spans="2:12" x14ac:dyDescent="0.3">
      <c r="B116" t="s">
        <v>157</v>
      </c>
      <c r="C116">
        <v>96</v>
      </c>
      <c r="D116" t="s">
        <v>41</v>
      </c>
      <c r="E116">
        <v>60</v>
      </c>
      <c r="F116">
        <v>84</v>
      </c>
      <c r="G116">
        <v>20.28</v>
      </c>
      <c r="H116" t="s">
        <v>18</v>
      </c>
      <c r="I116" t="s">
        <v>14</v>
      </c>
      <c r="K116" t="str">
        <v>budget</v>
      </c>
      <c r="L116">
        <v>72</v>
      </c>
    </row>
    <row r="117" spans="2:12" x14ac:dyDescent="0.3">
      <c r="B117" t="s">
        <v>158</v>
      </c>
      <c r="C117">
        <v>95</v>
      </c>
      <c r="D117" t="s">
        <v>41</v>
      </c>
      <c r="E117">
        <v>66</v>
      </c>
      <c r="F117">
        <v>92</v>
      </c>
      <c r="G117">
        <v>7.05</v>
      </c>
      <c r="H117" t="s">
        <v>18</v>
      </c>
      <c r="I117" t="s">
        <v>9</v>
      </c>
      <c r="K117" t="str">
        <v>budget</v>
      </c>
      <c r="L117">
        <v>79</v>
      </c>
    </row>
    <row r="118" spans="2:12" x14ac:dyDescent="0.3">
      <c r="B118" t="s">
        <v>159</v>
      </c>
      <c r="C118">
        <v>94</v>
      </c>
      <c r="D118" t="s">
        <v>41</v>
      </c>
      <c r="E118">
        <v>62</v>
      </c>
      <c r="F118">
        <v>84</v>
      </c>
      <c r="G118">
        <v>8.3800000000000008</v>
      </c>
      <c r="H118" t="s">
        <v>18</v>
      </c>
      <c r="I118" t="s">
        <v>15</v>
      </c>
      <c r="K118" t="str">
        <v>budget</v>
      </c>
      <c r="L118">
        <v>73</v>
      </c>
    </row>
    <row r="119" spans="2:12" x14ac:dyDescent="0.3">
      <c r="B119" t="s">
        <v>160</v>
      </c>
      <c r="C119">
        <v>94</v>
      </c>
      <c r="D119" t="s">
        <v>41</v>
      </c>
      <c r="E119">
        <v>58</v>
      </c>
      <c r="F119">
        <v>88</v>
      </c>
      <c r="G119">
        <v>7.35</v>
      </c>
      <c r="H119" t="s">
        <v>18</v>
      </c>
      <c r="I119" t="s">
        <v>15</v>
      </c>
      <c r="K119" t="str">
        <v>budget</v>
      </c>
      <c r="L119">
        <v>73</v>
      </c>
    </row>
    <row r="120" spans="2:12" x14ac:dyDescent="0.3">
      <c r="B120" t="s">
        <v>161</v>
      </c>
      <c r="C120">
        <v>94</v>
      </c>
      <c r="D120" t="s">
        <v>41</v>
      </c>
      <c r="E120">
        <v>68</v>
      </c>
      <c r="F120">
        <v>94</v>
      </c>
      <c r="G120">
        <v>9.6999999999999993</v>
      </c>
      <c r="H120" t="s">
        <v>18</v>
      </c>
      <c r="I120" t="s">
        <v>21</v>
      </c>
      <c r="K120" t="str">
        <v>budget</v>
      </c>
      <c r="L120">
        <v>81</v>
      </c>
    </row>
    <row r="121" spans="2:12" x14ac:dyDescent="0.3">
      <c r="B121" t="s">
        <v>162</v>
      </c>
      <c r="C121">
        <v>94</v>
      </c>
      <c r="D121" t="s">
        <v>41</v>
      </c>
      <c r="E121">
        <v>64</v>
      </c>
      <c r="F121">
        <v>88</v>
      </c>
      <c r="G121">
        <v>6.76</v>
      </c>
      <c r="H121" t="s">
        <v>18</v>
      </c>
      <c r="I121" t="s">
        <v>14</v>
      </c>
      <c r="K121" t="str">
        <v>budget</v>
      </c>
      <c r="L121">
        <v>76</v>
      </c>
    </row>
    <row r="122" spans="2:12" x14ac:dyDescent="0.3">
      <c r="B122" t="s">
        <v>163</v>
      </c>
      <c r="C122">
        <v>94</v>
      </c>
      <c r="D122" t="s">
        <v>41</v>
      </c>
      <c r="E122">
        <v>60</v>
      </c>
      <c r="F122">
        <v>82</v>
      </c>
      <c r="G122">
        <v>7.05</v>
      </c>
      <c r="H122" t="s">
        <v>7</v>
      </c>
      <c r="I122" t="s">
        <v>7</v>
      </c>
      <c r="K122" t="str">
        <v>budget</v>
      </c>
      <c r="L122">
        <v>71</v>
      </c>
    </row>
    <row r="123" spans="2:12" x14ac:dyDescent="0.3">
      <c r="B123" t="s">
        <v>164</v>
      </c>
      <c r="C123">
        <v>94</v>
      </c>
      <c r="D123" t="s">
        <v>41</v>
      </c>
      <c r="E123">
        <v>62</v>
      </c>
      <c r="F123">
        <v>84</v>
      </c>
      <c r="G123">
        <v>4.7</v>
      </c>
      <c r="H123" t="s">
        <v>18</v>
      </c>
      <c r="I123" t="s">
        <v>15</v>
      </c>
      <c r="K123" t="str">
        <v>budget</v>
      </c>
      <c r="L123">
        <v>73</v>
      </c>
    </row>
    <row r="124" spans="2:12" x14ac:dyDescent="0.3">
      <c r="B124" t="s">
        <v>165</v>
      </c>
      <c r="C124">
        <v>94</v>
      </c>
      <c r="D124" t="s">
        <v>45</v>
      </c>
      <c r="E124">
        <v>58</v>
      </c>
      <c r="F124">
        <v>80</v>
      </c>
      <c r="G124">
        <v>10.58</v>
      </c>
      <c r="H124" t="s">
        <v>18</v>
      </c>
      <c r="I124" t="s">
        <v>21</v>
      </c>
      <c r="K124" t="str">
        <v>budget</v>
      </c>
      <c r="L124">
        <v>69</v>
      </c>
    </row>
    <row r="125" spans="2:12" x14ac:dyDescent="0.3">
      <c r="B125" t="s">
        <v>166</v>
      </c>
      <c r="C125">
        <v>94</v>
      </c>
      <c r="D125" t="s">
        <v>45</v>
      </c>
      <c r="E125">
        <v>60</v>
      </c>
      <c r="F125">
        <v>80</v>
      </c>
      <c r="G125">
        <v>171.52</v>
      </c>
      <c r="H125" t="s">
        <v>2</v>
      </c>
      <c r="I125" t="s">
        <v>12</v>
      </c>
      <c r="K125" t="str">
        <v>premium</v>
      </c>
      <c r="L125">
        <v>70</v>
      </c>
    </row>
    <row r="126" spans="2:12" x14ac:dyDescent="0.3">
      <c r="B126" t="s">
        <v>167</v>
      </c>
      <c r="C126">
        <v>94</v>
      </c>
      <c r="D126" t="s">
        <v>41</v>
      </c>
      <c r="E126">
        <v>64</v>
      </c>
      <c r="F126">
        <v>86</v>
      </c>
      <c r="G126">
        <v>153.88</v>
      </c>
      <c r="H126" t="s">
        <v>2</v>
      </c>
      <c r="I126" t="s">
        <v>9</v>
      </c>
      <c r="K126" t="str">
        <v>premium</v>
      </c>
      <c r="L126">
        <v>75</v>
      </c>
    </row>
    <row r="127" spans="2:12" x14ac:dyDescent="0.3">
      <c r="B127" t="s">
        <v>168</v>
      </c>
      <c r="C127">
        <v>95</v>
      </c>
      <c r="D127" t="s">
        <v>41</v>
      </c>
      <c r="E127">
        <v>60</v>
      </c>
      <c r="F127">
        <v>88</v>
      </c>
      <c r="G127">
        <v>8.52</v>
      </c>
      <c r="H127" t="s">
        <v>18</v>
      </c>
      <c r="I127" t="s">
        <v>15</v>
      </c>
      <c r="K127" t="str">
        <v>budget</v>
      </c>
      <c r="L127">
        <v>74</v>
      </c>
    </row>
    <row r="128" spans="2:12" x14ac:dyDescent="0.3">
      <c r="B128" t="s">
        <v>169</v>
      </c>
      <c r="C128">
        <v>94</v>
      </c>
      <c r="D128" t="s">
        <v>41</v>
      </c>
      <c r="E128">
        <v>62</v>
      </c>
      <c r="F128">
        <v>86</v>
      </c>
      <c r="G128">
        <v>8.23</v>
      </c>
      <c r="H128" t="s">
        <v>18</v>
      </c>
      <c r="I128" t="s">
        <v>15</v>
      </c>
      <c r="K128" t="str">
        <v>budget</v>
      </c>
      <c r="L128">
        <v>74</v>
      </c>
    </row>
    <row r="129" spans="2:12" x14ac:dyDescent="0.3">
      <c r="B129" t="s">
        <v>170</v>
      </c>
      <c r="C129">
        <v>94</v>
      </c>
      <c r="D129" t="s">
        <v>41</v>
      </c>
      <c r="E129">
        <v>66</v>
      </c>
      <c r="F129">
        <v>88</v>
      </c>
      <c r="G129">
        <v>8.82</v>
      </c>
      <c r="H129" t="s">
        <v>18</v>
      </c>
      <c r="I129" t="s">
        <v>13</v>
      </c>
      <c r="K129" t="str">
        <v>budget</v>
      </c>
      <c r="L129">
        <v>77</v>
      </c>
    </row>
    <row r="130" spans="2:12" x14ac:dyDescent="0.3">
      <c r="B130" t="s">
        <v>171</v>
      </c>
      <c r="C130">
        <v>94</v>
      </c>
      <c r="D130" t="s">
        <v>41</v>
      </c>
      <c r="E130">
        <v>62</v>
      </c>
      <c r="F130">
        <v>80</v>
      </c>
      <c r="G130">
        <v>6.47</v>
      </c>
      <c r="H130" t="s">
        <v>18</v>
      </c>
      <c r="I130" t="s">
        <v>12</v>
      </c>
      <c r="K130" t="str">
        <v>budget</v>
      </c>
      <c r="L130">
        <v>71</v>
      </c>
    </row>
    <row r="131" spans="2:12" x14ac:dyDescent="0.3">
      <c r="B131" t="s">
        <v>172</v>
      </c>
      <c r="C131">
        <v>94</v>
      </c>
      <c r="D131" t="s">
        <v>41</v>
      </c>
      <c r="E131">
        <v>60</v>
      </c>
      <c r="F131">
        <v>82</v>
      </c>
      <c r="G131">
        <v>9.6999999999999993</v>
      </c>
      <c r="H131" t="s">
        <v>18</v>
      </c>
      <c r="I131" t="s">
        <v>4</v>
      </c>
      <c r="K131" t="str">
        <v>budget</v>
      </c>
      <c r="L131">
        <v>71</v>
      </c>
    </row>
    <row r="132" spans="2:12" x14ac:dyDescent="0.3">
      <c r="B132" t="s">
        <v>173</v>
      </c>
      <c r="C132">
        <v>94</v>
      </c>
      <c r="D132" t="s">
        <v>45</v>
      </c>
      <c r="E132">
        <v>58</v>
      </c>
      <c r="F132">
        <v>82</v>
      </c>
      <c r="G132">
        <v>8.82</v>
      </c>
      <c r="H132" t="s">
        <v>18</v>
      </c>
      <c r="I132" t="s">
        <v>14</v>
      </c>
      <c r="K132" t="str">
        <v>budget</v>
      </c>
      <c r="L132">
        <v>70</v>
      </c>
    </row>
    <row r="133" spans="2:12" x14ac:dyDescent="0.3">
      <c r="B133" t="s">
        <v>174</v>
      </c>
      <c r="C133">
        <v>94</v>
      </c>
      <c r="D133" t="s">
        <v>41</v>
      </c>
      <c r="E133">
        <v>64</v>
      </c>
      <c r="F133">
        <v>86</v>
      </c>
      <c r="G133">
        <v>8.82</v>
      </c>
      <c r="H133" t="s">
        <v>18</v>
      </c>
      <c r="I133" t="s">
        <v>15</v>
      </c>
      <c r="K133" t="str">
        <v>budget</v>
      </c>
      <c r="L133">
        <v>75</v>
      </c>
    </row>
    <row r="134" spans="2:12" x14ac:dyDescent="0.3">
      <c r="B134" t="s">
        <v>175</v>
      </c>
      <c r="C134">
        <v>94</v>
      </c>
      <c r="D134" t="s">
        <v>45</v>
      </c>
      <c r="E134">
        <v>56</v>
      </c>
      <c r="F134">
        <v>74</v>
      </c>
      <c r="G134">
        <v>5.42</v>
      </c>
      <c r="H134" t="s">
        <v>18</v>
      </c>
      <c r="I134" t="s">
        <v>3</v>
      </c>
      <c r="K134" t="str">
        <v>budget</v>
      </c>
      <c r="L134">
        <v>65</v>
      </c>
    </row>
    <row r="135" spans="2:12" x14ac:dyDescent="0.3">
      <c r="B135" t="s">
        <v>176</v>
      </c>
      <c r="C135">
        <v>94</v>
      </c>
      <c r="D135" t="s">
        <v>41</v>
      </c>
      <c r="E135">
        <v>66</v>
      </c>
      <c r="F135">
        <v>90</v>
      </c>
      <c r="G135">
        <v>220.46</v>
      </c>
      <c r="H135" t="s">
        <v>2</v>
      </c>
      <c r="I135" t="s">
        <v>9</v>
      </c>
      <c r="K135" t="str">
        <v>premium</v>
      </c>
      <c r="L135">
        <v>78</v>
      </c>
    </row>
    <row r="136" spans="2:12" x14ac:dyDescent="0.3">
      <c r="B136" t="s">
        <v>177</v>
      </c>
      <c r="C136">
        <v>97</v>
      </c>
      <c r="D136" t="s">
        <v>41</v>
      </c>
      <c r="E136">
        <v>64</v>
      </c>
      <c r="F136">
        <v>88</v>
      </c>
      <c r="G136">
        <v>0.88</v>
      </c>
      <c r="H136" t="s">
        <v>2</v>
      </c>
      <c r="I136" t="s">
        <v>5</v>
      </c>
      <c r="K136" t="str">
        <v>budget</v>
      </c>
      <c r="L136">
        <v>76</v>
      </c>
    </row>
    <row r="137" spans="2:12" x14ac:dyDescent="0.3">
      <c r="B137" t="s">
        <v>178</v>
      </c>
      <c r="C137">
        <v>95</v>
      </c>
      <c r="D137" t="s">
        <v>41</v>
      </c>
      <c r="E137">
        <v>70</v>
      </c>
      <c r="F137">
        <v>94</v>
      </c>
      <c r="G137">
        <v>58</v>
      </c>
      <c r="H137" t="s">
        <v>27</v>
      </c>
      <c r="I137" t="s">
        <v>14</v>
      </c>
      <c r="K137" t="str">
        <v>middle</v>
      </c>
      <c r="L137">
        <v>82</v>
      </c>
    </row>
    <row r="138" spans="2:12" x14ac:dyDescent="0.3">
      <c r="B138" t="s">
        <v>179</v>
      </c>
      <c r="C138">
        <v>94</v>
      </c>
      <c r="D138" t="s">
        <v>41</v>
      </c>
      <c r="E138">
        <v>66</v>
      </c>
      <c r="F138">
        <v>88</v>
      </c>
      <c r="G138">
        <v>6.47</v>
      </c>
      <c r="H138" t="s">
        <v>18</v>
      </c>
      <c r="I138" t="s">
        <v>9</v>
      </c>
      <c r="K138" t="str">
        <v>budget</v>
      </c>
      <c r="L138">
        <v>77</v>
      </c>
    </row>
    <row r="139" spans="2:12" x14ac:dyDescent="0.3">
      <c r="B139" t="s">
        <v>180</v>
      </c>
      <c r="C139">
        <v>94</v>
      </c>
      <c r="D139" t="s">
        <v>41</v>
      </c>
      <c r="E139">
        <v>62</v>
      </c>
      <c r="F139">
        <v>84</v>
      </c>
      <c r="G139">
        <v>24.25</v>
      </c>
      <c r="H139" t="s">
        <v>18</v>
      </c>
      <c r="I139" t="s">
        <v>5</v>
      </c>
      <c r="K139" t="str">
        <v>budget</v>
      </c>
      <c r="L139">
        <v>73</v>
      </c>
    </row>
    <row r="140" spans="2:12" x14ac:dyDescent="0.3">
      <c r="B140" t="s">
        <v>181</v>
      </c>
      <c r="C140">
        <v>97</v>
      </c>
      <c r="D140" t="s">
        <v>41</v>
      </c>
      <c r="E140">
        <v>66</v>
      </c>
      <c r="F140">
        <v>88</v>
      </c>
      <c r="G140">
        <v>77.599999999999994</v>
      </c>
      <c r="H140" t="s">
        <v>18</v>
      </c>
      <c r="I140" t="s">
        <v>5</v>
      </c>
      <c r="K140" t="str">
        <v>middle</v>
      </c>
      <c r="L140">
        <v>77</v>
      </c>
    </row>
    <row r="141" spans="2:12" x14ac:dyDescent="0.3">
      <c r="B141" t="s">
        <v>182</v>
      </c>
      <c r="C141">
        <v>96</v>
      </c>
      <c r="D141" t="s">
        <v>41</v>
      </c>
      <c r="E141">
        <v>67</v>
      </c>
      <c r="F141">
        <v>94</v>
      </c>
      <c r="G141">
        <v>88.18</v>
      </c>
      <c r="H141" t="s">
        <v>18</v>
      </c>
      <c r="I141" t="s">
        <v>18</v>
      </c>
      <c r="K141" t="str">
        <v>middle</v>
      </c>
      <c r="L141">
        <v>80.5</v>
      </c>
    </row>
    <row r="142" spans="2:12" x14ac:dyDescent="0.3">
      <c r="B142" t="s">
        <v>183</v>
      </c>
      <c r="C142">
        <v>96</v>
      </c>
      <c r="D142" t="s">
        <v>41</v>
      </c>
      <c r="E142">
        <v>64</v>
      </c>
      <c r="F142">
        <v>88</v>
      </c>
      <c r="G142">
        <v>88.18</v>
      </c>
      <c r="H142" t="s">
        <v>18</v>
      </c>
      <c r="I142" t="s">
        <v>18</v>
      </c>
      <c r="K142" t="str">
        <v>middle</v>
      </c>
      <c r="L142">
        <v>76</v>
      </c>
    </row>
    <row r="143" spans="2:12" x14ac:dyDescent="0.3">
      <c r="B143" t="s">
        <v>184</v>
      </c>
      <c r="C143">
        <v>96</v>
      </c>
      <c r="D143" t="s">
        <v>41</v>
      </c>
      <c r="E143">
        <v>62</v>
      </c>
      <c r="F143">
        <v>88</v>
      </c>
      <c r="G143">
        <v>28</v>
      </c>
      <c r="H143" t="s">
        <v>18</v>
      </c>
      <c r="I143" t="s">
        <v>14</v>
      </c>
      <c r="K143" t="str">
        <v>middle</v>
      </c>
      <c r="L143">
        <v>75</v>
      </c>
    </row>
    <row r="144" spans="2:12" x14ac:dyDescent="0.3">
      <c r="B144" t="s">
        <v>185</v>
      </c>
      <c r="C144">
        <v>95</v>
      </c>
      <c r="D144" t="s">
        <v>41</v>
      </c>
      <c r="E144">
        <v>66</v>
      </c>
      <c r="F144">
        <v>92</v>
      </c>
      <c r="G144">
        <v>28</v>
      </c>
      <c r="H144" t="s">
        <v>18</v>
      </c>
      <c r="I144" t="s">
        <v>14</v>
      </c>
      <c r="K144" t="str">
        <v>middle</v>
      </c>
      <c r="L144">
        <v>79</v>
      </c>
    </row>
    <row r="145" spans="2:12" x14ac:dyDescent="0.3">
      <c r="B145" t="s">
        <v>186</v>
      </c>
      <c r="C145">
        <v>97</v>
      </c>
      <c r="D145" t="s">
        <v>41</v>
      </c>
      <c r="E145">
        <v>64</v>
      </c>
      <c r="F145">
        <v>88</v>
      </c>
      <c r="G145">
        <v>617.28</v>
      </c>
      <c r="H145" t="s">
        <v>2</v>
      </c>
      <c r="I145" t="s">
        <v>5</v>
      </c>
      <c r="K145" t="str">
        <v>premium</v>
      </c>
      <c r="L145">
        <v>76</v>
      </c>
    </row>
    <row r="146" spans="2:12" x14ac:dyDescent="0.3">
      <c r="B146" t="s">
        <v>187</v>
      </c>
      <c r="C146">
        <v>95</v>
      </c>
      <c r="D146" t="s">
        <v>41</v>
      </c>
      <c r="E146">
        <v>66</v>
      </c>
      <c r="F146">
        <v>84</v>
      </c>
      <c r="G146">
        <v>5.59</v>
      </c>
      <c r="H146" t="s">
        <v>18</v>
      </c>
      <c r="I146" t="s">
        <v>12</v>
      </c>
      <c r="K146" t="str">
        <v>budget</v>
      </c>
      <c r="L146">
        <v>75</v>
      </c>
    </row>
    <row r="147" spans="2:12" x14ac:dyDescent="0.3">
      <c r="B147" t="s">
        <v>188</v>
      </c>
      <c r="C147">
        <v>94</v>
      </c>
      <c r="D147" t="s">
        <v>41</v>
      </c>
      <c r="E147">
        <v>62</v>
      </c>
      <c r="F147">
        <v>80</v>
      </c>
      <c r="G147">
        <v>9.41</v>
      </c>
      <c r="H147" t="s">
        <v>18</v>
      </c>
      <c r="I147" t="s">
        <v>15</v>
      </c>
      <c r="K147" t="str">
        <v>budget</v>
      </c>
      <c r="L147">
        <v>71</v>
      </c>
    </row>
    <row r="148" spans="2:12" x14ac:dyDescent="0.3">
      <c r="B148" t="s">
        <v>189</v>
      </c>
      <c r="C148">
        <v>94</v>
      </c>
      <c r="D148" t="s">
        <v>41</v>
      </c>
      <c r="E148">
        <v>64</v>
      </c>
      <c r="F148">
        <v>84</v>
      </c>
      <c r="G148">
        <v>5.59</v>
      </c>
      <c r="H148" t="s">
        <v>18</v>
      </c>
      <c r="I148" t="s">
        <v>9</v>
      </c>
      <c r="K148" t="str">
        <v>budget</v>
      </c>
      <c r="L148">
        <v>74</v>
      </c>
    </row>
    <row r="149" spans="2:12" x14ac:dyDescent="0.3">
      <c r="B149" t="s">
        <v>190</v>
      </c>
      <c r="C149">
        <v>96</v>
      </c>
      <c r="D149" t="s">
        <v>82</v>
      </c>
      <c r="E149">
        <v>44</v>
      </c>
      <c r="F149">
        <v>60</v>
      </c>
      <c r="G149">
        <v>418.87</v>
      </c>
      <c r="H149" t="s">
        <v>2</v>
      </c>
      <c r="I149" t="s">
        <v>12</v>
      </c>
      <c r="K149" t="str">
        <v>premium</v>
      </c>
      <c r="L149">
        <v>52</v>
      </c>
    </row>
    <row r="150" spans="2:12" x14ac:dyDescent="0.3">
      <c r="B150" t="s">
        <v>191</v>
      </c>
      <c r="C150">
        <v>96</v>
      </c>
      <c r="D150" t="s">
        <v>82</v>
      </c>
      <c r="E150">
        <v>46</v>
      </c>
      <c r="F150">
        <v>72</v>
      </c>
      <c r="G150">
        <v>396.83</v>
      </c>
      <c r="H150" t="s">
        <v>2</v>
      </c>
      <c r="I150" t="s">
        <v>12</v>
      </c>
      <c r="K150" t="str">
        <v>premium</v>
      </c>
      <c r="L150">
        <v>59</v>
      </c>
    </row>
    <row r="151" spans="2:12" x14ac:dyDescent="0.3">
      <c r="B151" t="s">
        <v>192</v>
      </c>
      <c r="C151">
        <v>96</v>
      </c>
      <c r="D151" t="s">
        <v>82</v>
      </c>
      <c r="E151">
        <v>50</v>
      </c>
      <c r="F151">
        <v>64</v>
      </c>
      <c r="G151">
        <v>7.35</v>
      </c>
      <c r="H151" t="s">
        <v>7</v>
      </c>
      <c r="I151" t="s">
        <v>7</v>
      </c>
      <c r="K151" t="str">
        <v>budget</v>
      </c>
      <c r="L151">
        <v>57</v>
      </c>
    </row>
    <row r="152" spans="2:12" x14ac:dyDescent="0.3">
      <c r="B152" t="s">
        <v>193</v>
      </c>
      <c r="C152">
        <v>98</v>
      </c>
      <c r="D152" t="s">
        <v>45</v>
      </c>
      <c r="E152">
        <v>54</v>
      </c>
      <c r="F152">
        <v>84</v>
      </c>
      <c r="G152">
        <v>44.07</v>
      </c>
      <c r="H152" t="s">
        <v>18</v>
      </c>
      <c r="I152" t="s">
        <v>150</v>
      </c>
      <c r="K152" t="str">
        <v>middle</v>
      </c>
      <c r="L152">
        <v>69</v>
      </c>
    </row>
    <row r="153" spans="2:12" x14ac:dyDescent="0.3">
      <c r="B153" t="s">
        <v>194</v>
      </c>
      <c r="C153">
        <v>97</v>
      </c>
      <c r="D153" t="s">
        <v>45</v>
      </c>
      <c r="E153">
        <v>58</v>
      </c>
      <c r="F153">
        <v>80</v>
      </c>
      <c r="G153">
        <v>264.55</v>
      </c>
      <c r="H153" t="s">
        <v>2</v>
      </c>
      <c r="I153" t="s">
        <v>12</v>
      </c>
      <c r="K153" t="str">
        <v>premium</v>
      </c>
      <c r="L153">
        <v>69</v>
      </c>
    </row>
    <row r="154" spans="2:12" x14ac:dyDescent="0.3">
      <c r="B154" t="s">
        <v>195</v>
      </c>
      <c r="C154">
        <v>96</v>
      </c>
      <c r="D154" t="s">
        <v>41</v>
      </c>
      <c r="E154">
        <v>58</v>
      </c>
      <c r="F154">
        <v>84</v>
      </c>
      <c r="G154">
        <v>35.25</v>
      </c>
      <c r="H154" t="s">
        <v>18</v>
      </c>
      <c r="I154" t="s">
        <v>18</v>
      </c>
      <c r="K154" t="str">
        <v>middle</v>
      </c>
      <c r="L154">
        <v>71</v>
      </c>
    </row>
    <row r="155" spans="2:12" x14ac:dyDescent="0.3">
      <c r="B155" t="s">
        <v>196</v>
      </c>
      <c r="C155">
        <v>96</v>
      </c>
      <c r="D155" t="s">
        <v>41</v>
      </c>
      <c r="E155">
        <v>64</v>
      </c>
      <c r="F155">
        <v>84</v>
      </c>
      <c r="G155">
        <v>12.79</v>
      </c>
      <c r="H155" t="s">
        <v>18</v>
      </c>
      <c r="I155" t="s">
        <v>14</v>
      </c>
      <c r="K155" t="str">
        <v>budget</v>
      </c>
      <c r="L155">
        <v>74</v>
      </c>
    </row>
    <row r="156" spans="2:12" x14ac:dyDescent="0.3">
      <c r="B156" t="s">
        <v>197</v>
      </c>
      <c r="C156">
        <v>95</v>
      </c>
      <c r="D156" t="s">
        <v>41</v>
      </c>
      <c r="E156">
        <v>60</v>
      </c>
      <c r="F156">
        <v>82</v>
      </c>
      <c r="G156">
        <v>211.64</v>
      </c>
      <c r="H156" t="s">
        <v>2</v>
      </c>
      <c r="I156" t="s">
        <v>9</v>
      </c>
      <c r="K156" t="str">
        <v>premium</v>
      </c>
      <c r="L156">
        <v>71</v>
      </c>
    </row>
    <row r="157" spans="2:12" x14ac:dyDescent="0.3">
      <c r="B157" t="s">
        <v>198</v>
      </c>
      <c r="C157">
        <v>95</v>
      </c>
      <c r="D157" t="s">
        <v>41</v>
      </c>
      <c r="E157">
        <v>57</v>
      </c>
      <c r="F157">
        <v>88</v>
      </c>
      <c r="G157">
        <v>211.64</v>
      </c>
      <c r="H157" t="s">
        <v>2</v>
      </c>
      <c r="I157" t="s">
        <v>9</v>
      </c>
      <c r="K157" t="str">
        <v>premium</v>
      </c>
      <c r="L157">
        <v>72.5</v>
      </c>
    </row>
    <row r="158" spans="2:12" x14ac:dyDescent="0.3">
      <c r="B158" t="s">
        <v>199</v>
      </c>
      <c r="C158">
        <v>95</v>
      </c>
      <c r="D158" t="s">
        <v>41</v>
      </c>
      <c r="E158">
        <v>62</v>
      </c>
      <c r="F158">
        <v>84</v>
      </c>
      <c r="G158">
        <v>0.88</v>
      </c>
      <c r="H158" t="s">
        <v>2</v>
      </c>
      <c r="I158" t="s">
        <v>2</v>
      </c>
      <c r="K158" t="str">
        <v>budget</v>
      </c>
      <c r="L158">
        <v>73</v>
      </c>
    </row>
    <row r="159" spans="2:12" x14ac:dyDescent="0.3">
      <c r="B159" t="s">
        <v>200</v>
      </c>
      <c r="C159">
        <v>94</v>
      </c>
      <c r="D159" t="s">
        <v>45</v>
      </c>
      <c r="E159">
        <v>58</v>
      </c>
      <c r="F159">
        <v>78</v>
      </c>
      <c r="G159">
        <v>154.32</v>
      </c>
      <c r="H159" t="s">
        <v>2</v>
      </c>
      <c r="I159" t="s">
        <v>12</v>
      </c>
      <c r="K159" t="str">
        <v>premium</v>
      </c>
      <c r="L159">
        <v>68</v>
      </c>
    </row>
    <row r="160" spans="2:12" x14ac:dyDescent="0.3">
      <c r="B160" t="s">
        <v>201</v>
      </c>
      <c r="C160">
        <v>95</v>
      </c>
      <c r="D160" t="s">
        <v>45</v>
      </c>
      <c r="E160">
        <v>58</v>
      </c>
      <c r="F160">
        <v>80</v>
      </c>
      <c r="G160">
        <v>7.05</v>
      </c>
      <c r="H160" t="s">
        <v>18</v>
      </c>
      <c r="I160" t="s">
        <v>12</v>
      </c>
      <c r="K160" t="str">
        <v>budget</v>
      </c>
      <c r="L160">
        <v>69</v>
      </c>
    </row>
    <row r="161" spans="2:12" x14ac:dyDescent="0.3">
      <c r="B161" t="s">
        <v>202</v>
      </c>
      <c r="C161">
        <v>94</v>
      </c>
      <c r="D161" t="s">
        <v>41</v>
      </c>
      <c r="E161">
        <v>62</v>
      </c>
      <c r="F161">
        <v>86</v>
      </c>
      <c r="G161">
        <v>7.94</v>
      </c>
      <c r="H161" t="s">
        <v>18</v>
      </c>
      <c r="I161" t="s">
        <v>9</v>
      </c>
      <c r="K161" t="str">
        <v>budget</v>
      </c>
      <c r="L161">
        <v>74</v>
      </c>
    </row>
    <row r="162" spans="2:12" x14ac:dyDescent="0.3">
      <c r="B162" t="s">
        <v>203</v>
      </c>
      <c r="C162">
        <v>94</v>
      </c>
      <c r="D162" t="s">
        <v>45</v>
      </c>
      <c r="E162">
        <v>56</v>
      </c>
      <c r="F162">
        <v>74</v>
      </c>
      <c r="G162">
        <v>114.64</v>
      </c>
      <c r="H162" t="s">
        <v>2</v>
      </c>
      <c r="I162" t="s">
        <v>7</v>
      </c>
      <c r="K162" t="str">
        <v>premium</v>
      </c>
      <c r="L162">
        <v>65</v>
      </c>
    </row>
    <row r="163" spans="2:12" x14ac:dyDescent="0.3">
      <c r="B163" t="s">
        <v>204</v>
      </c>
      <c r="C163">
        <v>94</v>
      </c>
      <c r="D163" t="s">
        <v>45</v>
      </c>
      <c r="E163">
        <v>58</v>
      </c>
      <c r="F163">
        <v>80</v>
      </c>
      <c r="G163">
        <v>145.5</v>
      </c>
      <c r="H163" t="s">
        <v>2</v>
      </c>
      <c r="I163" t="s">
        <v>9</v>
      </c>
      <c r="K163" t="str">
        <v>premium</v>
      </c>
      <c r="L163">
        <v>69</v>
      </c>
    </row>
    <row r="164" spans="2:12" x14ac:dyDescent="0.3">
      <c r="B164" t="s">
        <v>205</v>
      </c>
      <c r="C164">
        <v>94</v>
      </c>
      <c r="D164" t="s">
        <v>45</v>
      </c>
      <c r="E164">
        <v>60</v>
      </c>
      <c r="F164">
        <v>77</v>
      </c>
      <c r="G164">
        <v>432.1</v>
      </c>
      <c r="H164" t="s">
        <v>2</v>
      </c>
      <c r="I164" t="s">
        <v>9</v>
      </c>
      <c r="K164" t="str">
        <v>premium</v>
      </c>
      <c r="L164">
        <v>68.5</v>
      </c>
    </row>
    <row r="165" spans="2:12" x14ac:dyDescent="0.3">
      <c r="B165" t="s">
        <v>206</v>
      </c>
      <c r="C165">
        <v>94</v>
      </c>
      <c r="D165" t="s">
        <v>45</v>
      </c>
      <c r="E165">
        <v>60</v>
      </c>
      <c r="F165">
        <v>77</v>
      </c>
      <c r="G165">
        <v>0.88</v>
      </c>
      <c r="H165" t="s">
        <v>2</v>
      </c>
      <c r="I165" t="s">
        <v>2</v>
      </c>
      <c r="K165" t="str">
        <v>budget</v>
      </c>
      <c r="L165">
        <v>68.5</v>
      </c>
    </row>
    <row r="166" spans="2:12" x14ac:dyDescent="0.3">
      <c r="B166" t="s">
        <v>207</v>
      </c>
      <c r="C166">
        <v>96</v>
      </c>
      <c r="D166" t="s">
        <v>45</v>
      </c>
      <c r="E166">
        <v>58</v>
      </c>
      <c r="F166">
        <v>82</v>
      </c>
      <c r="G166">
        <v>14.55</v>
      </c>
      <c r="H166" t="s">
        <v>18</v>
      </c>
      <c r="I166" t="s">
        <v>14</v>
      </c>
      <c r="K166" t="str">
        <v>budget</v>
      </c>
      <c r="L166">
        <v>70</v>
      </c>
    </row>
    <row r="167" spans="2:12" x14ac:dyDescent="0.3">
      <c r="B167" t="s">
        <v>208</v>
      </c>
      <c r="C167">
        <v>94</v>
      </c>
      <c r="D167" t="s">
        <v>45</v>
      </c>
      <c r="E167">
        <v>60</v>
      </c>
      <c r="F167">
        <v>79</v>
      </c>
      <c r="G167">
        <v>5.88</v>
      </c>
      <c r="H167" t="s">
        <v>18</v>
      </c>
      <c r="I167" t="s">
        <v>9</v>
      </c>
      <c r="K167" t="str">
        <v>budget</v>
      </c>
      <c r="L167">
        <v>69.5</v>
      </c>
    </row>
    <row r="168" spans="2:12" x14ac:dyDescent="0.3">
      <c r="B168" t="s">
        <v>209</v>
      </c>
      <c r="C168">
        <v>94</v>
      </c>
      <c r="D168" t="s">
        <v>45</v>
      </c>
      <c r="E168">
        <v>59</v>
      </c>
      <c r="F168">
        <v>77</v>
      </c>
      <c r="G168">
        <v>5.88</v>
      </c>
      <c r="H168" t="s">
        <v>18</v>
      </c>
      <c r="I168" t="s">
        <v>16</v>
      </c>
      <c r="K168" t="str">
        <v>budget</v>
      </c>
      <c r="L168">
        <v>68</v>
      </c>
    </row>
    <row r="169" spans="2:12" x14ac:dyDescent="0.3">
      <c r="B169" t="s">
        <v>210</v>
      </c>
      <c r="C169">
        <v>96</v>
      </c>
      <c r="D169" t="s">
        <v>41</v>
      </c>
      <c r="E169">
        <v>60</v>
      </c>
      <c r="F169">
        <v>82</v>
      </c>
      <c r="G169">
        <v>16</v>
      </c>
      <c r="H169" t="s">
        <v>18</v>
      </c>
      <c r="I169" t="s">
        <v>8</v>
      </c>
      <c r="K169" t="str">
        <v>budget</v>
      </c>
      <c r="L169">
        <v>71</v>
      </c>
    </row>
    <row r="170" spans="2:12" x14ac:dyDescent="0.3">
      <c r="B170" t="s">
        <v>211</v>
      </c>
      <c r="C170">
        <v>95</v>
      </c>
      <c r="D170" t="s">
        <v>45</v>
      </c>
      <c r="E170">
        <v>59</v>
      </c>
      <c r="F170">
        <v>81</v>
      </c>
      <c r="G170">
        <v>264.32</v>
      </c>
      <c r="H170" t="s">
        <v>2</v>
      </c>
      <c r="I170" t="s">
        <v>9</v>
      </c>
      <c r="K170" t="str">
        <v>premium</v>
      </c>
      <c r="L170">
        <v>70</v>
      </c>
    </row>
    <row r="171" spans="2:12" x14ac:dyDescent="0.3">
      <c r="B171" t="s">
        <v>212</v>
      </c>
      <c r="C171">
        <v>95</v>
      </c>
      <c r="D171" t="s">
        <v>41</v>
      </c>
      <c r="E171">
        <v>62</v>
      </c>
      <c r="F171">
        <v>94</v>
      </c>
      <c r="G171">
        <v>264.32</v>
      </c>
      <c r="H171" t="s">
        <v>2</v>
      </c>
      <c r="I171" t="s">
        <v>14</v>
      </c>
      <c r="K171" t="str">
        <v>premium</v>
      </c>
      <c r="L171">
        <v>78</v>
      </c>
    </row>
    <row r="172" spans="2:12" x14ac:dyDescent="0.3">
      <c r="B172" t="s">
        <v>213</v>
      </c>
      <c r="C172">
        <v>94</v>
      </c>
      <c r="D172" t="s">
        <v>45</v>
      </c>
      <c r="E172">
        <v>60</v>
      </c>
      <c r="F172">
        <v>77</v>
      </c>
      <c r="G172">
        <v>198.24</v>
      </c>
      <c r="H172" t="s">
        <v>2</v>
      </c>
      <c r="I172" t="s">
        <v>9</v>
      </c>
      <c r="K172" t="str">
        <v>premium</v>
      </c>
      <c r="L172">
        <v>68.5</v>
      </c>
    </row>
    <row r="173" spans="2:12" x14ac:dyDescent="0.3">
      <c r="B173" t="s">
        <v>214</v>
      </c>
      <c r="C173">
        <v>94</v>
      </c>
      <c r="D173" t="s">
        <v>45</v>
      </c>
      <c r="E173">
        <v>55</v>
      </c>
      <c r="F173">
        <v>79</v>
      </c>
      <c r="G173">
        <v>5.59</v>
      </c>
      <c r="H173" t="s">
        <v>18</v>
      </c>
      <c r="I173" t="s">
        <v>9</v>
      </c>
      <c r="K173" t="str">
        <v>budget</v>
      </c>
      <c r="L173">
        <v>67</v>
      </c>
    </row>
    <row r="174" spans="2:12" x14ac:dyDescent="0.3">
      <c r="B174" t="s">
        <v>215</v>
      </c>
      <c r="C174">
        <v>94</v>
      </c>
      <c r="D174" t="s">
        <v>45</v>
      </c>
      <c r="E174">
        <v>55</v>
      </c>
      <c r="F174">
        <v>79</v>
      </c>
      <c r="G174">
        <v>343.61</v>
      </c>
      <c r="H174" t="s">
        <v>2</v>
      </c>
      <c r="I174" t="s">
        <v>9</v>
      </c>
      <c r="K174" t="str">
        <v>premium</v>
      </c>
      <c r="L174">
        <v>67</v>
      </c>
    </row>
    <row r="175" spans="2:12" x14ac:dyDescent="0.3">
      <c r="B175" t="s">
        <v>216</v>
      </c>
      <c r="C175">
        <v>94</v>
      </c>
      <c r="D175" t="s">
        <v>41</v>
      </c>
      <c r="E175">
        <v>65</v>
      </c>
      <c r="F175">
        <v>81</v>
      </c>
      <c r="G175">
        <v>171.81</v>
      </c>
      <c r="H175" t="s">
        <v>2</v>
      </c>
      <c r="I175" t="s">
        <v>9</v>
      </c>
      <c r="K175" t="str">
        <v>premium</v>
      </c>
      <c r="L175">
        <v>73</v>
      </c>
    </row>
    <row r="176" spans="2:12" x14ac:dyDescent="0.3">
      <c r="B176" t="s">
        <v>217</v>
      </c>
      <c r="C176">
        <v>94</v>
      </c>
      <c r="D176" t="s">
        <v>41</v>
      </c>
      <c r="E176">
        <v>64</v>
      </c>
      <c r="F176">
        <v>88</v>
      </c>
      <c r="G176">
        <v>211.45</v>
      </c>
      <c r="H176" t="s">
        <v>2</v>
      </c>
      <c r="I176" t="s">
        <v>12</v>
      </c>
      <c r="K176" t="str">
        <v>premium</v>
      </c>
      <c r="L176">
        <v>76</v>
      </c>
    </row>
    <row r="177" spans="2:12" x14ac:dyDescent="0.3">
      <c r="B177" t="s">
        <v>218</v>
      </c>
      <c r="C177">
        <v>94</v>
      </c>
      <c r="D177" t="s">
        <v>41</v>
      </c>
      <c r="E177">
        <v>60</v>
      </c>
      <c r="F177">
        <v>83</v>
      </c>
      <c r="G177">
        <v>16.75</v>
      </c>
      <c r="H177" t="s">
        <v>18</v>
      </c>
      <c r="I177" t="s">
        <v>14</v>
      </c>
      <c r="K177" t="str">
        <v>budget</v>
      </c>
      <c r="L177">
        <v>71.5</v>
      </c>
    </row>
    <row r="178" spans="2:12" x14ac:dyDescent="0.3">
      <c r="B178" t="s">
        <v>219</v>
      </c>
      <c r="C178">
        <v>97</v>
      </c>
      <c r="D178" t="s">
        <v>41</v>
      </c>
      <c r="E178">
        <v>66</v>
      </c>
      <c r="F178">
        <v>84</v>
      </c>
      <c r="G178">
        <v>70.55</v>
      </c>
      <c r="H178" t="s">
        <v>2</v>
      </c>
      <c r="I178" t="s">
        <v>5</v>
      </c>
      <c r="K178" t="str">
        <v>middle</v>
      </c>
      <c r="L178">
        <v>75</v>
      </c>
    </row>
    <row r="179" spans="2:12" x14ac:dyDescent="0.3">
      <c r="B179" t="s">
        <v>220</v>
      </c>
      <c r="C179">
        <v>95</v>
      </c>
      <c r="D179" t="s">
        <v>41</v>
      </c>
      <c r="E179">
        <v>62</v>
      </c>
      <c r="F179">
        <v>84</v>
      </c>
      <c r="G179">
        <v>11.54</v>
      </c>
      <c r="H179" t="s">
        <v>18</v>
      </c>
      <c r="I179" t="s">
        <v>21</v>
      </c>
      <c r="K179" t="str">
        <v>budget</v>
      </c>
      <c r="L179">
        <v>73</v>
      </c>
    </row>
    <row r="180" spans="2:12" x14ac:dyDescent="0.3">
      <c r="B180" t="s">
        <v>221</v>
      </c>
      <c r="C180">
        <v>95</v>
      </c>
      <c r="D180" t="s">
        <v>41</v>
      </c>
      <c r="E180">
        <v>66</v>
      </c>
      <c r="F180">
        <v>90</v>
      </c>
      <c r="G180">
        <v>13.89</v>
      </c>
      <c r="H180" t="s">
        <v>18</v>
      </c>
      <c r="I180" t="s">
        <v>14</v>
      </c>
      <c r="K180" t="str">
        <v>budget</v>
      </c>
      <c r="L180">
        <v>78</v>
      </c>
    </row>
    <row r="181" spans="2:12" x14ac:dyDescent="0.3">
      <c r="B181" t="s">
        <v>222</v>
      </c>
      <c r="C181">
        <v>95</v>
      </c>
      <c r="D181" t="s">
        <v>41</v>
      </c>
      <c r="E181">
        <v>64</v>
      </c>
      <c r="F181">
        <v>88</v>
      </c>
      <c r="G181">
        <v>244.44</v>
      </c>
      <c r="H181" t="s">
        <v>2</v>
      </c>
      <c r="I181" t="s">
        <v>9</v>
      </c>
      <c r="K181" t="str">
        <v>premium</v>
      </c>
      <c r="L181">
        <v>76</v>
      </c>
    </row>
    <row r="182" spans="2:12" x14ac:dyDescent="0.3">
      <c r="B182" t="s">
        <v>223</v>
      </c>
      <c r="C182">
        <v>94</v>
      </c>
      <c r="D182" t="s">
        <v>41</v>
      </c>
      <c r="E182">
        <v>64</v>
      </c>
      <c r="F182">
        <v>84</v>
      </c>
      <c r="G182">
        <v>211.64</v>
      </c>
      <c r="H182" t="s">
        <v>2</v>
      </c>
      <c r="I182" t="s">
        <v>9</v>
      </c>
      <c r="K182" t="str">
        <v>premium</v>
      </c>
      <c r="L182">
        <v>74</v>
      </c>
    </row>
    <row r="183" spans="2:12" x14ac:dyDescent="0.3">
      <c r="B183" t="s">
        <v>224</v>
      </c>
      <c r="C183">
        <v>96</v>
      </c>
      <c r="D183" t="s">
        <v>41</v>
      </c>
      <c r="E183">
        <v>64</v>
      </c>
      <c r="F183">
        <v>86</v>
      </c>
      <c r="G183">
        <v>8.81</v>
      </c>
      <c r="H183" t="s">
        <v>18</v>
      </c>
      <c r="I183" t="s">
        <v>14</v>
      </c>
      <c r="K183" t="str">
        <v>budget</v>
      </c>
      <c r="L183">
        <v>75</v>
      </c>
    </row>
    <row r="184" spans="2:12" x14ac:dyDescent="0.3">
      <c r="B184" t="s">
        <v>225</v>
      </c>
      <c r="C184">
        <v>94</v>
      </c>
      <c r="D184" t="s">
        <v>41</v>
      </c>
      <c r="E184">
        <v>64</v>
      </c>
      <c r="F184">
        <v>84</v>
      </c>
      <c r="G184">
        <v>8.81</v>
      </c>
      <c r="H184" t="s">
        <v>18</v>
      </c>
      <c r="I184" t="s">
        <v>14</v>
      </c>
      <c r="K184" t="str">
        <v>budget</v>
      </c>
      <c r="L184">
        <v>74</v>
      </c>
    </row>
    <row r="185" spans="2:12" x14ac:dyDescent="0.3">
      <c r="B185" t="s">
        <v>226</v>
      </c>
      <c r="C185">
        <v>94</v>
      </c>
      <c r="D185" t="s">
        <v>45</v>
      </c>
      <c r="E185">
        <v>59</v>
      </c>
      <c r="F185">
        <v>79</v>
      </c>
      <c r="G185">
        <v>5.59</v>
      </c>
      <c r="H185" t="s">
        <v>18</v>
      </c>
      <c r="I185" t="s">
        <v>9</v>
      </c>
      <c r="K185" t="str">
        <v>budget</v>
      </c>
      <c r="L185">
        <v>69</v>
      </c>
    </row>
    <row r="186" spans="2:12" x14ac:dyDescent="0.3">
      <c r="B186" t="s">
        <v>227</v>
      </c>
      <c r="C186">
        <v>95</v>
      </c>
      <c r="D186" t="s">
        <v>41</v>
      </c>
      <c r="E186">
        <v>58</v>
      </c>
      <c r="F186">
        <v>84</v>
      </c>
      <c r="G186">
        <v>6.47</v>
      </c>
      <c r="H186" t="s">
        <v>18</v>
      </c>
      <c r="I186" t="s">
        <v>9</v>
      </c>
      <c r="K186" t="str">
        <v>budget</v>
      </c>
      <c r="L186">
        <v>71</v>
      </c>
    </row>
    <row r="187" spans="2:12" x14ac:dyDescent="0.3">
      <c r="B187" t="s">
        <v>228</v>
      </c>
      <c r="C187">
        <v>94</v>
      </c>
      <c r="D187" t="s">
        <v>41</v>
      </c>
      <c r="E187">
        <v>66</v>
      </c>
      <c r="F187">
        <v>93</v>
      </c>
      <c r="G187">
        <v>10.23</v>
      </c>
      <c r="H187" t="s">
        <v>18</v>
      </c>
      <c r="I187" t="s">
        <v>14</v>
      </c>
      <c r="K187" t="str">
        <v>budget</v>
      </c>
      <c r="L187">
        <v>79.5</v>
      </c>
    </row>
    <row r="188" spans="2:12" x14ac:dyDescent="0.3">
      <c r="B188" t="s">
        <v>229</v>
      </c>
      <c r="C188">
        <v>95</v>
      </c>
      <c r="D188" t="s">
        <v>41</v>
      </c>
      <c r="E188">
        <v>69</v>
      </c>
      <c r="F188">
        <v>88</v>
      </c>
      <c r="G188">
        <v>950</v>
      </c>
      <c r="H188" t="s">
        <v>2</v>
      </c>
      <c r="I188" t="s">
        <v>7</v>
      </c>
      <c r="K188" t="str">
        <v>premium</v>
      </c>
      <c r="L188">
        <v>78.5</v>
      </c>
    </row>
    <row r="189" spans="2:12" x14ac:dyDescent="0.3">
      <c r="B189" t="s">
        <v>230</v>
      </c>
      <c r="C189">
        <v>94</v>
      </c>
      <c r="D189" t="s">
        <v>41</v>
      </c>
      <c r="E189">
        <v>60</v>
      </c>
      <c r="F189">
        <v>88</v>
      </c>
      <c r="G189">
        <v>20.87</v>
      </c>
      <c r="H189" t="s">
        <v>2</v>
      </c>
      <c r="I189" t="s">
        <v>7</v>
      </c>
      <c r="K189" t="str">
        <v>budget</v>
      </c>
      <c r="L189">
        <v>74</v>
      </c>
    </row>
    <row r="190" spans="2:12" x14ac:dyDescent="0.3">
      <c r="B190" t="s">
        <v>231</v>
      </c>
      <c r="C190">
        <v>94</v>
      </c>
      <c r="D190" t="s">
        <v>45</v>
      </c>
      <c r="E190">
        <v>56</v>
      </c>
      <c r="F190">
        <v>84</v>
      </c>
      <c r="G190">
        <v>19.36</v>
      </c>
      <c r="H190" t="s">
        <v>2</v>
      </c>
      <c r="I190" t="s">
        <v>7</v>
      </c>
      <c r="K190" t="str">
        <v>budget</v>
      </c>
      <c r="L190">
        <v>70</v>
      </c>
    </row>
    <row r="191" spans="2:12" x14ac:dyDescent="0.3">
      <c r="B191" t="s">
        <v>232</v>
      </c>
      <c r="C191">
        <v>95</v>
      </c>
      <c r="D191" t="s">
        <v>41</v>
      </c>
      <c r="E191">
        <v>63</v>
      </c>
      <c r="F191">
        <v>81</v>
      </c>
      <c r="G191">
        <v>6.76</v>
      </c>
      <c r="H191" t="s">
        <v>18</v>
      </c>
      <c r="I191" t="s">
        <v>9</v>
      </c>
      <c r="K191" t="str">
        <v>budget</v>
      </c>
      <c r="L191">
        <v>72</v>
      </c>
    </row>
    <row r="192" spans="2:12" x14ac:dyDescent="0.3">
      <c r="B192" t="s">
        <v>233</v>
      </c>
      <c r="C192">
        <v>95</v>
      </c>
      <c r="D192" t="s">
        <v>45</v>
      </c>
      <c r="E192">
        <v>59</v>
      </c>
      <c r="F192">
        <v>77</v>
      </c>
      <c r="G192">
        <v>9.6999999999999993</v>
      </c>
      <c r="H192" t="s">
        <v>18</v>
      </c>
      <c r="I192" t="s">
        <v>14</v>
      </c>
      <c r="K192" t="str">
        <v>budget</v>
      </c>
      <c r="L192">
        <v>68</v>
      </c>
    </row>
    <row r="193" spans="2:12" x14ac:dyDescent="0.3">
      <c r="B193" t="s">
        <v>234</v>
      </c>
      <c r="C193">
        <v>96</v>
      </c>
      <c r="D193" t="s">
        <v>45</v>
      </c>
      <c r="E193">
        <v>61</v>
      </c>
      <c r="F193">
        <v>78</v>
      </c>
      <c r="G193">
        <v>5.88</v>
      </c>
      <c r="H193" t="s">
        <v>18</v>
      </c>
      <c r="I193" t="s">
        <v>9</v>
      </c>
      <c r="K193" t="str">
        <v>budget</v>
      </c>
      <c r="L193">
        <v>69.5</v>
      </c>
    </row>
    <row r="194" spans="2:12" x14ac:dyDescent="0.3">
      <c r="B194" t="s">
        <v>235</v>
      </c>
      <c r="C194">
        <v>95</v>
      </c>
      <c r="D194" t="s">
        <v>41</v>
      </c>
      <c r="E194">
        <v>62</v>
      </c>
      <c r="F194">
        <v>80</v>
      </c>
      <c r="G194">
        <v>7.05</v>
      </c>
      <c r="H194" t="s">
        <v>18</v>
      </c>
      <c r="I194" t="s">
        <v>9</v>
      </c>
      <c r="K194" t="str">
        <v>budget</v>
      </c>
      <c r="L194">
        <v>71</v>
      </c>
    </row>
    <row r="195" spans="2:12" x14ac:dyDescent="0.3">
      <c r="B195" t="s">
        <v>236</v>
      </c>
      <c r="C195">
        <v>94</v>
      </c>
      <c r="D195" t="s">
        <v>45</v>
      </c>
      <c r="E195">
        <v>60</v>
      </c>
      <c r="F195">
        <v>79</v>
      </c>
      <c r="G195">
        <v>6.76</v>
      </c>
      <c r="H195" t="s">
        <v>18</v>
      </c>
      <c r="I195" t="s">
        <v>16</v>
      </c>
      <c r="K195" t="str">
        <v>budget</v>
      </c>
      <c r="L195">
        <v>69.5</v>
      </c>
    </row>
    <row r="196" spans="2:12" x14ac:dyDescent="0.3">
      <c r="B196" t="s">
        <v>237</v>
      </c>
      <c r="C196">
        <v>94</v>
      </c>
      <c r="D196" t="s">
        <v>45</v>
      </c>
      <c r="E196">
        <v>60</v>
      </c>
      <c r="F196">
        <v>77</v>
      </c>
      <c r="G196">
        <v>4.7</v>
      </c>
      <c r="H196" t="s">
        <v>18</v>
      </c>
      <c r="I196" t="s">
        <v>21</v>
      </c>
      <c r="K196" t="str">
        <v>budget</v>
      </c>
      <c r="L196">
        <v>68.5</v>
      </c>
    </row>
    <row r="197" spans="2:12" x14ac:dyDescent="0.3">
      <c r="B197" t="s">
        <v>238</v>
      </c>
      <c r="C197">
        <v>94</v>
      </c>
      <c r="D197" t="s">
        <v>45</v>
      </c>
      <c r="E197">
        <v>59</v>
      </c>
      <c r="F197">
        <v>81</v>
      </c>
      <c r="G197">
        <v>8.23</v>
      </c>
      <c r="H197" t="s">
        <v>18</v>
      </c>
      <c r="I197" t="s">
        <v>12</v>
      </c>
      <c r="K197" t="str">
        <v>budget</v>
      </c>
      <c r="L197">
        <v>70</v>
      </c>
    </row>
    <row r="198" spans="2:12" x14ac:dyDescent="0.3">
      <c r="B198" t="s">
        <v>239</v>
      </c>
      <c r="C198">
        <v>95</v>
      </c>
      <c r="D198" t="s">
        <v>41</v>
      </c>
      <c r="E198">
        <v>64</v>
      </c>
      <c r="F198">
        <v>86</v>
      </c>
      <c r="G198">
        <v>242.29</v>
      </c>
      <c r="H198" t="s">
        <v>2</v>
      </c>
      <c r="I198" t="s">
        <v>9</v>
      </c>
      <c r="K198" t="str">
        <v>premium</v>
      </c>
      <c r="L198">
        <v>75</v>
      </c>
    </row>
    <row r="199" spans="2:12" x14ac:dyDescent="0.3">
      <c r="B199" t="s">
        <v>240</v>
      </c>
      <c r="C199">
        <v>94</v>
      </c>
      <c r="D199" t="s">
        <v>41</v>
      </c>
      <c r="E199">
        <v>65</v>
      </c>
      <c r="F199">
        <v>89</v>
      </c>
      <c r="G199">
        <v>22.33</v>
      </c>
      <c r="H199" t="s">
        <v>18</v>
      </c>
      <c r="I199" t="s">
        <v>14</v>
      </c>
      <c r="K199" t="str">
        <v>budget</v>
      </c>
      <c r="L199">
        <v>77</v>
      </c>
    </row>
    <row r="200" spans="2:12" x14ac:dyDescent="0.3">
      <c r="B200" t="s">
        <v>241</v>
      </c>
      <c r="C200">
        <v>94</v>
      </c>
      <c r="D200" t="s">
        <v>41</v>
      </c>
      <c r="E200">
        <v>62</v>
      </c>
      <c r="F200">
        <v>80</v>
      </c>
      <c r="G200">
        <v>136.24</v>
      </c>
      <c r="H200" t="s">
        <v>2</v>
      </c>
      <c r="I200" t="s">
        <v>12</v>
      </c>
      <c r="K200" t="str">
        <v>premium</v>
      </c>
      <c r="L200">
        <v>71</v>
      </c>
    </row>
    <row r="201" spans="2:12" x14ac:dyDescent="0.3">
      <c r="B201" t="s">
        <v>242</v>
      </c>
      <c r="C201">
        <v>94</v>
      </c>
      <c r="D201" t="s">
        <v>41</v>
      </c>
      <c r="E201">
        <v>64</v>
      </c>
      <c r="F201">
        <v>84</v>
      </c>
      <c r="G201">
        <v>149.47</v>
      </c>
      <c r="H201" t="s">
        <v>2</v>
      </c>
      <c r="I201" t="s">
        <v>9</v>
      </c>
      <c r="K201" t="str">
        <v>premium</v>
      </c>
      <c r="L201">
        <v>74</v>
      </c>
    </row>
    <row r="202" spans="2:12" x14ac:dyDescent="0.3">
      <c r="B202" t="s">
        <v>243</v>
      </c>
      <c r="C202">
        <v>94</v>
      </c>
      <c r="D202" t="s">
        <v>41</v>
      </c>
      <c r="E202">
        <v>66</v>
      </c>
      <c r="F202">
        <v>90</v>
      </c>
      <c r="G202">
        <v>197.97</v>
      </c>
      <c r="H202" t="s">
        <v>2</v>
      </c>
      <c r="I202" t="s">
        <v>9</v>
      </c>
      <c r="K202" t="str">
        <v>premium</v>
      </c>
      <c r="L202">
        <v>78</v>
      </c>
    </row>
    <row r="203" spans="2:12" x14ac:dyDescent="0.3">
      <c r="B203" t="s">
        <v>244</v>
      </c>
      <c r="C203">
        <v>97</v>
      </c>
      <c r="D203" t="s">
        <v>41</v>
      </c>
      <c r="E203">
        <v>62</v>
      </c>
      <c r="F203">
        <v>84</v>
      </c>
      <c r="G203">
        <v>6000</v>
      </c>
      <c r="H203" t="s">
        <v>2</v>
      </c>
      <c r="I203" t="s">
        <v>5</v>
      </c>
      <c r="K203" t="str">
        <v>premium</v>
      </c>
      <c r="L203">
        <v>73</v>
      </c>
    </row>
    <row r="204" spans="2:12" x14ac:dyDescent="0.3">
      <c r="B204" t="s">
        <v>245</v>
      </c>
      <c r="C204">
        <v>96</v>
      </c>
      <c r="D204" t="s">
        <v>82</v>
      </c>
      <c r="E204">
        <v>47</v>
      </c>
      <c r="F204">
        <v>69</v>
      </c>
      <c r="G204">
        <v>127.87</v>
      </c>
      <c r="H204" t="s">
        <v>2</v>
      </c>
      <c r="I204" t="s">
        <v>12</v>
      </c>
      <c r="K204" t="str">
        <v>premium</v>
      </c>
      <c r="L204">
        <v>58</v>
      </c>
    </row>
    <row r="205" spans="2:12" x14ac:dyDescent="0.3">
      <c r="B205" t="s">
        <v>246</v>
      </c>
      <c r="C205">
        <v>95</v>
      </c>
      <c r="D205" t="s">
        <v>45</v>
      </c>
      <c r="E205">
        <v>58</v>
      </c>
      <c r="F205">
        <v>82</v>
      </c>
      <c r="G205">
        <v>154.32</v>
      </c>
      <c r="H205" t="s">
        <v>2</v>
      </c>
      <c r="I205" t="s">
        <v>12</v>
      </c>
      <c r="K205" t="str">
        <v>premium</v>
      </c>
      <c r="L205">
        <v>70</v>
      </c>
    </row>
    <row r="206" spans="2:12" x14ac:dyDescent="0.3">
      <c r="B206" t="s">
        <v>247</v>
      </c>
      <c r="C206">
        <v>95</v>
      </c>
      <c r="D206" t="s">
        <v>41</v>
      </c>
      <c r="E206">
        <v>62</v>
      </c>
      <c r="F206">
        <v>84</v>
      </c>
      <c r="G206">
        <v>145.5</v>
      </c>
      <c r="H206" t="s">
        <v>2</v>
      </c>
      <c r="I206" t="s">
        <v>9</v>
      </c>
      <c r="K206" t="str">
        <v>premium</v>
      </c>
      <c r="L206">
        <v>73</v>
      </c>
    </row>
    <row r="207" spans="2:12" x14ac:dyDescent="0.3">
      <c r="B207" t="s">
        <v>248</v>
      </c>
      <c r="C207">
        <v>94</v>
      </c>
      <c r="D207" t="s">
        <v>41</v>
      </c>
      <c r="E207">
        <v>64</v>
      </c>
      <c r="F207">
        <v>86</v>
      </c>
      <c r="G207">
        <v>8.82</v>
      </c>
      <c r="H207" t="s">
        <v>18</v>
      </c>
      <c r="I207" t="s">
        <v>4</v>
      </c>
      <c r="K207" t="str">
        <v>budget</v>
      </c>
      <c r="L207">
        <v>75</v>
      </c>
    </row>
    <row r="208" spans="2:12" x14ac:dyDescent="0.3">
      <c r="B208" t="s">
        <v>249</v>
      </c>
      <c r="C208">
        <v>95</v>
      </c>
      <c r="D208" t="s">
        <v>41</v>
      </c>
      <c r="E208">
        <v>64</v>
      </c>
      <c r="F208">
        <v>88</v>
      </c>
      <c r="G208">
        <v>15.43</v>
      </c>
      <c r="H208" t="s">
        <v>18</v>
      </c>
      <c r="I208" t="s">
        <v>150</v>
      </c>
      <c r="K208" t="str">
        <v>budget</v>
      </c>
      <c r="L208">
        <v>76</v>
      </c>
    </row>
    <row r="209" spans="2:12" x14ac:dyDescent="0.3">
      <c r="B209" t="s">
        <v>250</v>
      </c>
      <c r="C209">
        <v>95</v>
      </c>
      <c r="D209" t="s">
        <v>41</v>
      </c>
      <c r="E209">
        <v>64</v>
      </c>
      <c r="F209">
        <v>82</v>
      </c>
      <c r="G209">
        <v>6.17</v>
      </c>
      <c r="H209" t="s">
        <v>18</v>
      </c>
      <c r="I209" t="s">
        <v>9</v>
      </c>
      <c r="K209" t="str">
        <v>budget</v>
      </c>
      <c r="L209">
        <v>73</v>
      </c>
    </row>
    <row r="210" spans="2:12" x14ac:dyDescent="0.3">
      <c r="B210" t="s">
        <v>251</v>
      </c>
      <c r="C210">
        <v>94</v>
      </c>
      <c r="D210" t="s">
        <v>41</v>
      </c>
      <c r="E210">
        <v>62</v>
      </c>
      <c r="F210">
        <v>80</v>
      </c>
      <c r="G210">
        <v>6.17</v>
      </c>
      <c r="H210" t="s">
        <v>18</v>
      </c>
      <c r="I210" t="s">
        <v>9</v>
      </c>
      <c r="K210" t="str">
        <v>budget</v>
      </c>
      <c r="L210">
        <v>71</v>
      </c>
    </row>
    <row r="211" spans="2:12" x14ac:dyDescent="0.3">
      <c r="B211" t="s">
        <v>252</v>
      </c>
      <c r="C211">
        <v>94</v>
      </c>
      <c r="D211" t="s">
        <v>41</v>
      </c>
      <c r="E211">
        <v>64</v>
      </c>
      <c r="F211">
        <v>86</v>
      </c>
      <c r="G211">
        <v>4.41</v>
      </c>
      <c r="H211" t="s">
        <v>18</v>
      </c>
      <c r="I211" t="s">
        <v>14</v>
      </c>
      <c r="K211" t="str">
        <v>budget</v>
      </c>
      <c r="L211">
        <v>75</v>
      </c>
    </row>
    <row r="212" spans="2:12" x14ac:dyDescent="0.3">
      <c r="B212" t="s">
        <v>253</v>
      </c>
      <c r="C212">
        <v>94</v>
      </c>
      <c r="D212" t="s">
        <v>41</v>
      </c>
      <c r="E212">
        <v>65</v>
      </c>
      <c r="F212">
        <v>87</v>
      </c>
      <c r="G212">
        <v>175</v>
      </c>
      <c r="H212" t="s">
        <v>2</v>
      </c>
      <c r="I212" t="s">
        <v>9</v>
      </c>
      <c r="K212" t="str">
        <v>premium</v>
      </c>
      <c r="L212">
        <v>76</v>
      </c>
    </row>
    <row r="213" spans="2:12" x14ac:dyDescent="0.3">
      <c r="B213" t="s">
        <v>254</v>
      </c>
      <c r="C213">
        <v>94</v>
      </c>
      <c r="D213" t="s">
        <v>41</v>
      </c>
      <c r="E213">
        <v>66</v>
      </c>
      <c r="F213">
        <v>88</v>
      </c>
      <c r="G213">
        <v>264.32</v>
      </c>
      <c r="H213" t="s">
        <v>2</v>
      </c>
      <c r="I213" t="s">
        <v>9</v>
      </c>
      <c r="K213" t="str">
        <v>premium</v>
      </c>
      <c r="L213">
        <v>77</v>
      </c>
    </row>
    <row r="214" spans="2:12" x14ac:dyDescent="0.3">
      <c r="B214" t="s">
        <v>255</v>
      </c>
      <c r="C214">
        <v>94</v>
      </c>
      <c r="D214" t="s">
        <v>41</v>
      </c>
      <c r="E214">
        <v>66</v>
      </c>
      <c r="F214">
        <v>84</v>
      </c>
      <c r="G214">
        <v>190</v>
      </c>
      <c r="H214" t="s">
        <v>2</v>
      </c>
      <c r="I214" t="s">
        <v>9</v>
      </c>
      <c r="K214" t="str">
        <v>premium</v>
      </c>
      <c r="L214">
        <v>75</v>
      </c>
    </row>
    <row r="215" spans="2:12" x14ac:dyDescent="0.3">
      <c r="B215" t="s">
        <v>256</v>
      </c>
      <c r="C215">
        <v>95</v>
      </c>
      <c r="D215" t="s">
        <v>41</v>
      </c>
      <c r="E215">
        <v>66</v>
      </c>
      <c r="F215">
        <v>88</v>
      </c>
      <c r="G215">
        <v>211.64</v>
      </c>
      <c r="H215" t="s">
        <v>2</v>
      </c>
      <c r="I215" t="s">
        <v>9</v>
      </c>
      <c r="K215" t="str">
        <v>premium</v>
      </c>
      <c r="L215">
        <v>77</v>
      </c>
    </row>
    <row r="216" spans="2:12" x14ac:dyDescent="0.3">
      <c r="B216" t="s">
        <v>257</v>
      </c>
      <c r="C216">
        <v>96</v>
      </c>
      <c r="D216" t="s">
        <v>45</v>
      </c>
      <c r="E216">
        <v>58</v>
      </c>
      <c r="F216">
        <v>80</v>
      </c>
      <c r="G216">
        <v>10.58</v>
      </c>
      <c r="H216" t="s">
        <v>18</v>
      </c>
      <c r="I216" t="s">
        <v>20</v>
      </c>
      <c r="K216" t="str">
        <v>budget</v>
      </c>
      <c r="L216">
        <v>69</v>
      </c>
    </row>
    <row r="217" spans="2:12" x14ac:dyDescent="0.3">
      <c r="B217" t="s">
        <v>258</v>
      </c>
      <c r="C217">
        <v>95</v>
      </c>
      <c r="D217" t="s">
        <v>45</v>
      </c>
      <c r="E217">
        <v>57</v>
      </c>
      <c r="F217">
        <v>77</v>
      </c>
      <c r="G217">
        <v>10.58</v>
      </c>
      <c r="H217" t="s">
        <v>18</v>
      </c>
      <c r="I217" t="s">
        <v>20</v>
      </c>
      <c r="K217" t="str">
        <v>budget</v>
      </c>
      <c r="L217">
        <v>67</v>
      </c>
    </row>
    <row r="218" spans="2:12" x14ac:dyDescent="0.3">
      <c r="B218" t="s">
        <v>259</v>
      </c>
      <c r="C218">
        <v>96</v>
      </c>
      <c r="D218" t="s">
        <v>41</v>
      </c>
      <c r="E218">
        <v>59</v>
      </c>
      <c r="F218">
        <v>93</v>
      </c>
      <c r="G218">
        <v>8.82</v>
      </c>
      <c r="H218" t="s">
        <v>18</v>
      </c>
      <c r="I218" t="s">
        <v>14</v>
      </c>
      <c r="K218" t="str">
        <v>budget</v>
      </c>
      <c r="L218">
        <v>76</v>
      </c>
    </row>
    <row r="219" spans="2:12" x14ac:dyDescent="0.3">
      <c r="B219" t="s">
        <v>260</v>
      </c>
      <c r="C219">
        <v>94</v>
      </c>
      <c r="D219" t="s">
        <v>41</v>
      </c>
      <c r="E219">
        <v>63</v>
      </c>
      <c r="F219">
        <v>82</v>
      </c>
      <c r="G219">
        <v>255.51</v>
      </c>
      <c r="H219" t="s">
        <v>2</v>
      </c>
      <c r="I219" t="s">
        <v>9</v>
      </c>
      <c r="K219" t="str">
        <v>premium</v>
      </c>
      <c r="L219">
        <v>72.5</v>
      </c>
    </row>
    <row r="220" spans="2:12" x14ac:dyDescent="0.3">
      <c r="B220" t="s">
        <v>261</v>
      </c>
      <c r="C220">
        <v>94</v>
      </c>
      <c r="D220" t="s">
        <v>41</v>
      </c>
      <c r="E220">
        <v>63</v>
      </c>
      <c r="F220">
        <v>85</v>
      </c>
      <c r="G220">
        <v>5.88</v>
      </c>
      <c r="H220" t="s">
        <v>18</v>
      </c>
      <c r="I220" t="s">
        <v>14</v>
      </c>
      <c r="K220" t="str">
        <v>budget</v>
      </c>
      <c r="L220">
        <v>74</v>
      </c>
    </row>
    <row r="221" spans="2:12" x14ac:dyDescent="0.3">
      <c r="B221" t="s">
        <v>262</v>
      </c>
      <c r="C221">
        <v>96</v>
      </c>
      <c r="D221" t="s">
        <v>41</v>
      </c>
      <c r="E221">
        <v>66</v>
      </c>
      <c r="F221">
        <v>88</v>
      </c>
      <c r="G221">
        <v>79.37</v>
      </c>
      <c r="H221" t="s">
        <v>2</v>
      </c>
      <c r="I221" t="s">
        <v>5</v>
      </c>
      <c r="K221" t="str">
        <v>middle</v>
      </c>
      <c r="L221">
        <v>77</v>
      </c>
    </row>
    <row r="222" spans="2:12" x14ac:dyDescent="0.3">
      <c r="B222" t="s">
        <v>263</v>
      </c>
      <c r="C222">
        <v>95</v>
      </c>
      <c r="D222" t="s">
        <v>41</v>
      </c>
      <c r="E222">
        <v>72</v>
      </c>
      <c r="F222">
        <v>102</v>
      </c>
      <c r="G222">
        <v>8.23</v>
      </c>
      <c r="H222" t="s">
        <v>18</v>
      </c>
      <c r="I222" t="s">
        <v>15</v>
      </c>
      <c r="K222" t="str">
        <v>budget</v>
      </c>
      <c r="L222">
        <v>87</v>
      </c>
    </row>
    <row r="223" spans="2:12" x14ac:dyDescent="0.3">
      <c r="B223" t="s">
        <v>264</v>
      </c>
      <c r="C223">
        <v>94</v>
      </c>
      <c r="D223" t="s">
        <v>41</v>
      </c>
      <c r="E223">
        <v>66</v>
      </c>
      <c r="F223">
        <v>88</v>
      </c>
      <c r="G223">
        <v>12.4</v>
      </c>
      <c r="H223" t="s">
        <v>18</v>
      </c>
      <c r="I223" t="s">
        <v>14</v>
      </c>
      <c r="K223" t="str">
        <v>budget</v>
      </c>
      <c r="L223">
        <v>77</v>
      </c>
    </row>
    <row r="224" spans="2:12" x14ac:dyDescent="0.3">
      <c r="B224" t="s">
        <v>265</v>
      </c>
      <c r="C224">
        <v>94</v>
      </c>
      <c r="D224" t="s">
        <v>41</v>
      </c>
      <c r="E224">
        <v>65</v>
      </c>
      <c r="F224">
        <v>90</v>
      </c>
      <c r="G224">
        <v>12.4</v>
      </c>
      <c r="H224" t="s">
        <v>18</v>
      </c>
      <c r="I224" t="s">
        <v>14</v>
      </c>
      <c r="K224" t="str">
        <v>budget</v>
      </c>
      <c r="L224">
        <v>77.5</v>
      </c>
    </row>
    <row r="225" spans="2:12" x14ac:dyDescent="0.3">
      <c r="B225" t="s">
        <v>266</v>
      </c>
      <c r="C225">
        <v>96</v>
      </c>
      <c r="D225" t="s">
        <v>41</v>
      </c>
      <c r="E225">
        <v>68</v>
      </c>
      <c r="F225">
        <v>92</v>
      </c>
      <c r="G225">
        <v>24.8</v>
      </c>
      <c r="H225" t="s">
        <v>18</v>
      </c>
      <c r="I225" t="s">
        <v>14</v>
      </c>
      <c r="K225" t="str">
        <v>budget</v>
      </c>
      <c r="L225">
        <v>80</v>
      </c>
    </row>
    <row r="226" spans="2:12" x14ac:dyDescent="0.3">
      <c r="B226" t="s">
        <v>267</v>
      </c>
      <c r="C226">
        <v>95</v>
      </c>
      <c r="D226" t="s">
        <v>41</v>
      </c>
      <c r="E226">
        <v>65</v>
      </c>
      <c r="F226">
        <v>92</v>
      </c>
      <c r="G226">
        <v>24.8</v>
      </c>
      <c r="H226" t="s">
        <v>18</v>
      </c>
      <c r="I226" t="s">
        <v>14</v>
      </c>
      <c r="K226" t="str">
        <v>budget</v>
      </c>
      <c r="L226">
        <v>78.5</v>
      </c>
    </row>
    <row r="227" spans="2:12" x14ac:dyDescent="0.3">
      <c r="B227" t="s">
        <v>268</v>
      </c>
      <c r="C227">
        <v>94</v>
      </c>
      <c r="D227" t="s">
        <v>45</v>
      </c>
      <c r="E227">
        <v>58</v>
      </c>
      <c r="F227">
        <v>78</v>
      </c>
      <c r="G227">
        <v>7.5</v>
      </c>
      <c r="H227" t="s">
        <v>18</v>
      </c>
      <c r="I227" t="s">
        <v>9</v>
      </c>
      <c r="K227" t="str">
        <v>budget</v>
      </c>
      <c r="L227">
        <v>68</v>
      </c>
    </row>
    <row r="228" spans="2:12" x14ac:dyDescent="0.3">
      <c r="B228" t="s">
        <v>269</v>
      </c>
      <c r="C228">
        <v>96</v>
      </c>
      <c r="D228" t="s">
        <v>41</v>
      </c>
      <c r="E228">
        <v>59</v>
      </c>
      <c r="F228">
        <v>83</v>
      </c>
      <c r="G228">
        <v>799</v>
      </c>
      <c r="H228" t="s">
        <v>2</v>
      </c>
      <c r="I228" t="s">
        <v>9</v>
      </c>
      <c r="K228" t="str">
        <v>premium</v>
      </c>
      <c r="L228">
        <v>71</v>
      </c>
    </row>
    <row r="229" spans="2:12" x14ac:dyDescent="0.3">
      <c r="B229" t="s">
        <v>270</v>
      </c>
      <c r="C229">
        <v>95</v>
      </c>
      <c r="D229" t="s">
        <v>41</v>
      </c>
      <c r="E229">
        <v>64</v>
      </c>
      <c r="F229">
        <v>88</v>
      </c>
      <c r="G229">
        <v>158.29</v>
      </c>
      <c r="H229" t="s">
        <v>2</v>
      </c>
      <c r="I229" t="s">
        <v>9</v>
      </c>
      <c r="K229" t="str">
        <v>premium</v>
      </c>
      <c r="L229">
        <v>76</v>
      </c>
    </row>
    <row r="230" spans="2:12" x14ac:dyDescent="0.3">
      <c r="B230" t="s">
        <v>271</v>
      </c>
      <c r="C230">
        <v>94</v>
      </c>
      <c r="D230" t="s">
        <v>41</v>
      </c>
      <c r="E230">
        <v>64</v>
      </c>
      <c r="F230">
        <v>86</v>
      </c>
      <c r="G230">
        <v>254.55</v>
      </c>
      <c r="H230" t="s">
        <v>2</v>
      </c>
      <c r="I230" t="s">
        <v>9</v>
      </c>
      <c r="K230" t="str">
        <v>premium</v>
      </c>
      <c r="L230">
        <v>75</v>
      </c>
    </row>
    <row r="231" spans="2:12" x14ac:dyDescent="0.3">
      <c r="B231" t="s">
        <v>272</v>
      </c>
      <c r="C231">
        <v>94</v>
      </c>
      <c r="D231" t="s">
        <v>45</v>
      </c>
      <c r="E231">
        <v>57</v>
      </c>
      <c r="F231">
        <v>76</v>
      </c>
      <c r="G231">
        <v>264.11</v>
      </c>
      <c r="H231" t="s">
        <v>2</v>
      </c>
      <c r="I231" t="s">
        <v>9</v>
      </c>
      <c r="K231" t="str">
        <v>premium</v>
      </c>
      <c r="L231">
        <v>66.5</v>
      </c>
    </row>
    <row r="232" spans="2:12" x14ac:dyDescent="0.3">
      <c r="B232" t="s">
        <v>273</v>
      </c>
      <c r="C232">
        <v>96</v>
      </c>
      <c r="D232" t="s">
        <v>45</v>
      </c>
      <c r="E232">
        <v>60</v>
      </c>
      <c r="F232">
        <v>77</v>
      </c>
      <c r="G232">
        <v>154.32</v>
      </c>
      <c r="H232" t="s">
        <v>2</v>
      </c>
      <c r="I232" t="s">
        <v>9</v>
      </c>
      <c r="K232" t="str">
        <v>premium</v>
      </c>
      <c r="L232">
        <v>68.5</v>
      </c>
    </row>
    <row r="233" spans="2:12" x14ac:dyDescent="0.3">
      <c r="B233" t="s">
        <v>274</v>
      </c>
      <c r="C233">
        <v>95</v>
      </c>
      <c r="D233" t="s">
        <v>41</v>
      </c>
      <c r="E233">
        <v>64</v>
      </c>
      <c r="F233">
        <v>84</v>
      </c>
      <c r="G233">
        <v>198.41</v>
      </c>
      <c r="H233" t="s">
        <v>2</v>
      </c>
      <c r="I233" t="s">
        <v>6</v>
      </c>
      <c r="K233" t="str">
        <v>premium</v>
      </c>
      <c r="L233">
        <v>74</v>
      </c>
    </row>
    <row r="234" spans="2:12" x14ac:dyDescent="0.3">
      <c r="B234" t="s">
        <v>275</v>
      </c>
      <c r="C234">
        <v>94</v>
      </c>
      <c r="D234" t="s">
        <v>41</v>
      </c>
      <c r="E234">
        <v>64</v>
      </c>
      <c r="F234">
        <v>88</v>
      </c>
      <c r="G234">
        <v>180.78</v>
      </c>
      <c r="H234" t="s">
        <v>2</v>
      </c>
      <c r="I234" t="s">
        <v>6</v>
      </c>
      <c r="K234" t="str">
        <v>premium</v>
      </c>
      <c r="L234">
        <v>76</v>
      </c>
    </row>
    <row r="235" spans="2:12" x14ac:dyDescent="0.3">
      <c r="B235" t="s">
        <v>276</v>
      </c>
      <c r="C235">
        <v>94</v>
      </c>
      <c r="D235" t="s">
        <v>45</v>
      </c>
      <c r="E235">
        <v>58</v>
      </c>
      <c r="F235">
        <v>76</v>
      </c>
      <c r="G235">
        <v>6.76</v>
      </c>
      <c r="H235" t="s">
        <v>18</v>
      </c>
      <c r="I235" t="s">
        <v>12</v>
      </c>
      <c r="K235" t="str">
        <v>budget</v>
      </c>
      <c r="L235">
        <v>67</v>
      </c>
    </row>
    <row r="236" spans="2:12" x14ac:dyDescent="0.3">
      <c r="B236" t="s">
        <v>277</v>
      </c>
      <c r="C236">
        <v>94</v>
      </c>
      <c r="D236" t="s">
        <v>41</v>
      </c>
      <c r="E236">
        <v>57</v>
      </c>
      <c r="F236">
        <v>87</v>
      </c>
      <c r="G236">
        <v>14.99</v>
      </c>
      <c r="H236" t="s">
        <v>18</v>
      </c>
      <c r="I236" t="s">
        <v>14</v>
      </c>
      <c r="K236" t="str">
        <v>budget</v>
      </c>
      <c r="L236">
        <v>72</v>
      </c>
    </row>
    <row r="237" spans="2:12" x14ac:dyDescent="0.3">
      <c r="B237" t="s">
        <v>278</v>
      </c>
      <c r="C237">
        <v>95</v>
      </c>
      <c r="D237" t="s">
        <v>41</v>
      </c>
      <c r="E237">
        <v>58</v>
      </c>
      <c r="F237">
        <v>86</v>
      </c>
      <c r="G237">
        <v>211.45</v>
      </c>
      <c r="H237" t="s">
        <v>2</v>
      </c>
      <c r="I237" t="s">
        <v>9</v>
      </c>
      <c r="K237" t="str">
        <v>premium</v>
      </c>
      <c r="L237">
        <v>72</v>
      </c>
    </row>
    <row r="238" spans="2:12" x14ac:dyDescent="0.3">
      <c r="B238" t="s">
        <v>279</v>
      </c>
      <c r="C238">
        <v>94</v>
      </c>
      <c r="D238" t="s">
        <v>41</v>
      </c>
      <c r="E238">
        <v>66</v>
      </c>
      <c r="F238">
        <v>88</v>
      </c>
      <c r="G238">
        <v>330.4</v>
      </c>
      <c r="H238" t="s">
        <v>2</v>
      </c>
      <c r="I238" t="s">
        <v>9</v>
      </c>
      <c r="K238" t="str">
        <v>premium</v>
      </c>
      <c r="L238">
        <v>77</v>
      </c>
    </row>
    <row r="239" spans="2:12" x14ac:dyDescent="0.3">
      <c r="B239" t="s">
        <v>280</v>
      </c>
      <c r="C239">
        <v>94</v>
      </c>
      <c r="D239" t="s">
        <v>41</v>
      </c>
      <c r="E239">
        <v>58</v>
      </c>
      <c r="F239">
        <v>86</v>
      </c>
      <c r="G239">
        <v>330.4</v>
      </c>
      <c r="H239" t="s">
        <v>2</v>
      </c>
      <c r="I239" t="s">
        <v>14</v>
      </c>
      <c r="K239" t="str">
        <v>premium</v>
      </c>
      <c r="L239">
        <v>72</v>
      </c>
    </row>
    <row r="240" spans="2:12" x14ac:dyDescent="0.3">
      <c r="B240" t="s">
        <v>281</v>
      </c>
      <c r="C240">
        <v>95</v>
      </c>
      <c r="D240" t="s">
        <v>41</v>
      </c>
      <c r="E240">
        <v>63</v>
      </c>
      <c r="F240">
        <v>81</v>
      </c>
      <c r="G240">
        <v>11.02</v>
      </c>
      <c r="H240" t="s">
        <v>18</v>
      </c>
      <c r="I240" t="s">
        <v>14</v>
      </c>
      <c r="K240" t="str">
        <v>budget</v>
      </c>
      <c r="L240">
        <v>72</v>
      </c>
    </row>
    <row r="241" spans="2:12" x14ac:dyDescent="0.3">
      <c r="B241" t="s">
        <v>282</v>
      </c>
      <c r="C241">
        <v>94</v>
      </c>
      <c r="D241" t="s">
        <v>45</v>
      </c>
      <c r="E241">
        <v>58</v>
      </c>
      <c r="F241">
        <v>82</v>
      </c>
      <c r="G241">
        <v>7.05</v>
      </c>
      <c r="H241" t="s">
        <v>18</v>
      </c>
      <c r="I241" t="s">
        <v>15</v>
      </c>
      <c r="K241" t="str">
        <v>budget</v>
      </c>
      <c r="L241">
        <v>70</v>
      </c>
    </row>
    <row r="242" spans="2:12" x14ac:dyDescent="0.3">
      <c r="B242" t="s">
        <v>283</v>
      </c>
      <c r="C242">
        <v>94</v>
      </c>
      <c r="D242" t="s">
        <v>45</v>
      </c>
      <c r="E242">
        <v>56</v>
      </c>
      <c r="F242">
        <v>76</v>
      </c>
      <c r="G242">
        <v>18.64</v>
      </c>
      <c r="H242" t="s">
        <v>18</v>
      </c>
      <c r="I242" t="s">
        <v>18</v>
      </c>
      <c r="K242" t="str">
        <v>budget</v>
      </c>
      <c r="L242">
        <v>66</v>
      </c>
    </row>
    <row r="243" spans="2:12" x14ac:dyDescent="0.3">
      <c r="B243" t="s">
        <v>284</v>
      </c>
      <c r="C243">
        <v>95</v>
      </c>
      <c r="D243" t="s">
        <v>45</v>
      </c>
      <c r="E243">
        <v>58</v>
      </c>
      <c r="F243">
        <v>77</v>
      </c>
      <c r="G243">
        <v>123.46</v>
      </c>
      <c r="H243" t="s">
        <v>2</v>
      </c>
      <c r="I243" t="s">
        <v>9</v>
      </c>
      <c r="K243" t="str">
        <v>premium</v>
      </c>
      <c r="L243">
        <v>67.5</v>
      </c>
    </row>
    <row r="244" spans="2:12" x14ac:dyDescent="0.3">
      <c r="B244" t="s">
        <v>285</v>
      </c>
      <c r="C244">
        <v>94</v>
      </c>
      <c r="D244" t="s">
        <v>41</v>
      </c>
      <c r="E244">
        <v>64</v>
      </c>
      <c r="F244">
        <v>86</v>
      </c>
      <c r="G244">
        <v>132.28</v>
      </c>
      <c r="H244" t="s">
        <v>2</v>
      </c>
      <c r="I244" t="s">
        <v>9</v>
      </c>
      <c r="K244" t="str">
        <v>premium</v>
      </c>
      <c r="L244">
        <v>75</v>
      </c>
    </row>
    <row r="245" spans="2:12" x14ac:dyDescent="0.3">
      <c r="B245" t="s">
        <v>286</v>
      </c>
      <c r="C245">
        <v>94</v>
      </c>
      <c r="D245" t="s">
        <v>41</v>
      </c>
      <c r="E245">
        <v>62</v>
      </c>
      <c r="F245">
        <v>80</v>
      </c>
      <c r="G245">
        <v>352.73</v>
      </c>
      <c r="H245" t="s">
        <v>2</v>
      </c>
      <c r="I245" t="s">
        <v>2</v>
      </c>
      <c r="K245" t="str">
        <v>premium</v>
      </c>
      <c r="L245">
        <v>71</v>
      </c>
    </row>
    <row r="246" spans="2:12" x14ac:dyDescent="0.3">
      <c r="B246" t="s">
        <v>287</v>
      </c>
      <c r="C246">
        <v>96</v>
      </c>
      <c r="D246" t="s">
        <v>41</v>
      </c>
      <c r="E246">
        <v>64</v>
      </c>
      <c r="F246">
        <v>88</v>
      </c>
      <c r="G246">
        <v>16.309999999999999</v>
      </c>
      <c r="H246" t="s">
        <v>18</v>
      </c>
      <c r="I246" t="s">
        <v>14</v>
      </c>
      <c r="K246" t="str">
        <v>budget</v>
      </c>
      <c r="L246">
        <v>76</v>
      </c>
    </row>
    <row r="247" spans="2:12" x14ac:dyDescent="0.3">
      <c r="B247" t="s">
        <v>288</v>
      </c>
      <c r="C247">
        <v>94</v>
      </c>
      <c r="D247" t="s">
        <v>45</v>
      </c>
      <c r="E247">
        <v>59</v>
      </c>
      <c r="F247">
        <v>81</v>
      </c>
      <c r="G247">
        <v>6.16</v>
      </c>
      <c r="H247" t="s">
        <v>18</v>
      </c>
      <c r="I247" t="s">
        <v>14</v>
      </c>
      <c r="K247" t="str">
        <v>budget</v>
      </c>
      <c r="L247">
        <v>70</v>
      </c>
    </row>
    <row r="248" spans="2:12" x14ac:dyDescent="0.3">
      <c r="B248" t="s">
        <v>289</v>
      </c>
      <c r="C248">
        <v>94</v>
      </c>
      <c r="D248" t="s">
        <v>41</v>
      </c>
      <c r="E248">
        <v>63</v>
      </c>
      <c r="F248">
        <v>86</v>
      </c>
      <c r="G248">
        <v>18.670000000000002</v>
      </c>
      <c r="H248" t="s">
        <v>27</v>
      </c>
      <c r="I248" t="s">
        <v>14</v>
      </c>
      <c r="K248" t="str">
        <v>budget</v>
      </c>
      <c r="L248">
        <v>74.5</v>
      </c>
    </row>
    <row r="249" spans="2:12" x14ac:dyDescent="0.3">
      <c r="B249" t="s">
        <v>290</v>
      </c>
      <c r="C249">
        <v>94</v>
      </c>
      <c r="D249" t="s">
        <v>45</v>
      </c>
      <c r="E249">
        <v>51</v>
      </c>
      <c r="F249">
        <v>80</v>
      </c>
      <c r="G249">
        <v>175</v>
      </c>
      <c r="H249" t="s">
        <v>2</v>
      </c>
      <c r="I249" t="s">
        <v>9</v>
      </c>
      <c r="K249" t="str">
        <v>premium</v>
      </c>
      <c r="L249">
        <v>65.5</v>
      </c>
    </row>
    <row r="250" spans="2:12" x14ac:dyDescent="0.3">
      <c r="B250" t="s">
        <v>291</v>
      </c>
      <c r="C250">
        <v>94</v>
      </c>
      <c r="D250" t="s">
        <v>45</v>
      </c>
      <c r="E250">
        <v>58</v>
      </c>
      <c r="F250">
        <v>80</v>
      </c>
      <c r="G250">
        <v>399</v>
      </c>
      <c r="H250" t="s">
        <v>2</v>
      </c>
      <c r="I250" t="s">
        <v>20</v>
      </c>
      <c r="K250" t="str">
        <v>premium</v>
      </c>
      <c r="L250">
        <v>69</v>
      </c>
    </row>
    <row r="251" spans="2:12" x14ac:dyDescent="0.3">
      <c r="B251" t="s">
        <v>292</v>
      </c>
      <c r="C251">
        <v>95</v>
      </c>
      <c r="D251" t="s">
        <v>41</v>
      </c>
      <c r="E251">
        <v>62</v>
      </c>
      <c r="F251">
        <v>84</v>
      </c>
      <c r="G251">
        <v>11.02</v>
      </c>
      <c r="H251" t="s">
        <v>18</v>
      </c>
      <c r="I251" t="s">
        <v>14</v>
      </c>
      <c r="K251" t="str">
        <v>budget</v>
      </c>
      <c r="L251">
        <v>73</v>
      </c>
    </row>
    <row r="252" spans="2:12" x14ac:dyDescent="0.3">
      <c r="B252" t="s">
        <v>293</v>
      </c>
      <c r="C252">
        <v>94</v>
      </c>
      <c r="D252" t="s">
        <v>41</v>
      </c>
      <c r="E252">
        <v>62</v>
      </c>
      <c r="F252">
        <v>86</v>
      </c>
      <c r="G252">
        <v>8.82</v>
      </c>
      <c r="H252" t="s">
        <v>18</v>
      </c>
      <c r="I252" t="s">
        <v>14</v>
      </c>
      <c r="K252" t="str">
        <v>budget</v>
      </c>
      <c r="L252">
        <v>74</v>
      </c>
    </row>
    <row r="253" spans="2:12" x14ac:dyDescent="0.3">
      <c r="B253" t="s">
        <v>294</v>
      </c>
      <c r="C253">
        <v>94</v>
      </c>
      <c r="D253" t="s">
        <v>45</v>
      </c>
      <c r="E253">
        <v>59</v>
      </c>
      <c r="F253">
        <v>82</v>
      </c>
      <c r="G253">
        <v>17.64</v>
      </c>
      <c r="H253" t="s">
        <v>18</v>
      </c>
      <c r="I253" t="s">
        <v>14</v>
      </c>
      <c r="K253" t="str">
        <v>budget</v>
      </c>
      <c r="L253">
        <v>70.5</v>
      </c>
    </row>
    <row r="254" spans="2:12" x14ac:dyDescent="0.3">
      <c r="B254" t="s">
        <v>295</v>
      </c>
      <c r="C254">
        <v>94</v>
      </c>
      <c r="D254" t="s">
        <v>41</v>
      </c>
      <c r="E254">
        <v>63</v>
      </c>
      <c r="F254">
        <v>86</v>
      </c>
      <c r="G254">
        <v>18.52</v>
      </c>
      <c r="H254" t="s">
        <v>18</v>
      </c>
      <c r="I254" t="s">
        <v>14</v>
      </c>
      <c r="K254" t="str">
        <v>budget</v>
      </c>
      <c r="L254">
        <v>74.5</v>
      </c>
    </row>
    <row r="255" spans="2:12" x14ac:dyDescent="0.3">
      <c r="B255" t="s">
        <v>296</v>
      </c>
      <c r="C255">
        <v>94</v>
      </c>
      <c r="D255" t="s">
        <v>41</v>
      </c>
      <c r="E255">
        <v>64</v>
      </c>
      <c r="F255">
        <v>97</v>
      </c>
      <c r="G255">
        <v>12.78</v>
      </c>
      <c r="H255" t="s">
        <v>18</v>
      </c>
      <c r="I255" t="s">
        <v>14</v>
      </c>
      <c r="K255" t="str">
        <v>budget</v>
      </c>
      <c r="L255">
        <v>80.5</v>
      </c>
    </row>
    <row r="256" spans="2:12" x14ac:dyDescent="0.3">
      <c r="B256" t="s">
        <v>297</v>
      </c>
      <c r="C256">
        <v>94</v>
      </c>
      <c r="D256" t="s">
        <v>41</v>
      </c>
      <c r="E256">
        <v>59</v>
      </c>
      <c r="F256">
        <v>94</v>
      </c>
      <c r="G256">
        <v>93.77</v>
      </c>
      <c r="H256" t="s">
        <v>2</v>
      </c>
      <c r="I256" t="s">
        <v>9</v>
      </c>
      <c r="K256" t="str">
        <v>middle</v>
      </c>
      <c r="L256">
        <v>76.5</v>
      </c>
    </row>
    <row r="257" spans="2:12" x14ac:dyDescent="0.3">
      <c r="B257" t="s">
        <v>298</v>
      </c>
      <c r="C257">
        <v>94</v>
      </c>
      <c r="D257" t="s">
        <v>41</v>
      </c>
      <c r="E257">
        <v>64</v>
      </c>
      <c r="F257">
        <v>82</v>
      </c>
      <c r="G257">
        <v>220.26</v>
      </c>
      <c r="H257" t="s">
        <v>2</v>
      </c>
      <c r="I257" t="s">
        <v>9</v>
      </c>
      <c r="K257" t="str">
        <v>premium</v>
      </c>
      <c r="L257">
        <v>73</v>
      </c>
    </row>
    <row r="258" spans="2:12" x14ac:dyDescent="0.3">
      <c r="B258" t="s">
        <v>299</v>
      </c>
      <c r="C258">
        <v>94</v>
      </c>
      <c r="D258" t="s">
        <v>41</v>
      </c>
      <c r="E258">
        <v>62</v>
      </c>
      <c r="F258">
        <v>82</v>
      </c>
      <c r="G258">
        <v>264.32</v>
      </c>
      <c r="H258" t="s">
        <v>2</v>
      </c>
      <c r="I258" t="s">
        <v>9</v>
      </c>
      <c r="K258" t="str">
        <v>premium</v>
      </c>
      <c r="L258">
        <v>72</v>
      </c>
    </row>
    <row r="259" spans="2:12" x14ac:dyDescent="0.3">
      <c r="B259" t="s">
        <v>300</v>
      </c>
      <c r="C259">
        <v>94</v>
      </c>
      <c r="D259" t="s">
        <v>45</v>
      </c>
      <c r="E259">
        <v>57</v>
      </c>
      <c r="F259">
        <v>79</v>
      </c>
      <c r="G259">
        <v>5.88</v>
      </c>
      <c r="H259" t="s">
        <v>18</v>
      </c>
      <c r="I259" t="s">
        <v>7</v>
      </c>
      <c r="K259" t="str">
        <v>budget</v>
      </c>
      <c r="L259">
        <v>68</v>
      </c>
    </row>
    <row r="260" spans="2:12" x14ac:dyDescent="0.3">
      <c r="B260" t="s">
        <v>301</v>
      </c>
      <c r="C260">
        <v>95</v>
      </c>
      <c r="D260" t="s">
        <v>41</v>
      </c>
      <c r="E260">
        <v>57</v>
      </c>
      <c r="F260">
        <v>89</v>
      </c>
      <c r="G260">
        <v>11.46</v>
      </c>
      <c r="H260" t="s">
        <v>18</v>
      </c>
      <c r="I260" t="s">
        <v>14</v>
      </c>
      <c r="K260" t="str">
        <v>budget</v>
      </c>
      <c r="L260">
        <v>73</v>
      </c>
    </row>
    <row r="261" spans="2:12" x14ac:dyDescent="0.3">
      <c r="B261" t="s">
        <v>302</v>
      </c>
      <c r="C261">
        <v>94</v>
      </c>
      <c r="D261" t="s">
        <v>41</v>
      </c>
      <c r="E261">
        <v>60</v>
      </c>
      <c r="F261">
        <v>88</v>
      </c>
      <c r="G261">
        <v>6.76</v>
      </c>
      <c r="H261" t="s">
        <v>18</v>
      </c>
      <c r="I261" t="s">
        <v>16</v>
      </c>
      <c r="K261" t="str">
        <v>budget</v>
      </c>
      <c r="L261">
        <v>74</v>
      </c>
    </row>
    <row r="262" spans="2:12" x14ac:dyDescent="0.3">
      <c r="B262" t="s">
        <v>303</v>
      </c>
      <c r="C262">
        <v>95</v>
      </c>
      <c r="D262" t="s">
        <v>41</v>
      </c>
      <c r="E262">
        <v>65</v>
      </c>
      <c r="F262">
        <v>89</v>
      </c>
      <c r="G262">
        <v>17</v>
      </c>
      <c r="H262" t="s">
        <v>18</v>
      </c>
      <c r="I262" t="s">
        <v>14</v>
      </c>
      <c r="K262" t="str">
        <v>budget</v>
      </c>
      <c r="L262">
        <v>77</v>
      </c>
    </row>
    <row r="263" spans="2:12" x14ac:dyDescent="0.3">
      <c r="B263" t="s">
        <v>304</v>
      </c>
      <c r="C263">
        <v>94</v>
      </c>
      <c r="D263" t="s">
        <v>41</v>
      </c>
      <c r="E263">
        <v>66</v>
      </c>
      <c r="F263">
        <v>88</v>
      </c>
      <c r="G263">
        <v>6.76</v>
      </c>
      <c r="H263" t="s">
        <v>18</v>
      </c>
      <c r="I263" t="s">
        <v>12</v>
      </c>
      <c r="K263" t="str">
        <v>budget</v>
      </c>
      <c r="L263">
        <v>77</v>
      </c>
    </row>
    <row r="264" spans="2:12" x14ac:dyDescent="0.3">
      <c r="B264" t="s">
        <v>305</v>
      </c>
      <c r="C264">
        <v>96</v>
      </c>
      <c r="D264" t="s">
        <v>41</v>
      </c>
      <c r="E264">
        <v>62</v>
      </c>
      <c r="F264">
        <v>80</v>
      </c>
      <c r="G264">
        <v>158.72999999999999</v>
      </c>
      <c r="H264" t="s">
        <v>2</v>
      </c>
      <c r="I264" t="s">
        <v>12</v>
      </c>
      <c r="K264" t="str">
        <v>premium</v>
      </c>
      <c r="L264">
        <v>71</v>
      </c>
    </row>
    <row r="265" spans="2:12" x14ac:dyDescent="0.3">
      <c r="B265" t="s">
        <v>306</v>
      </c>
      <c r="C265">
        <v>95</v>
      </c>
      <c r="D265" t="s">
        <v>41</v>
      </c>
      <c r="E265">
        <v>66</v>
      </c>
      <c r="F265">
        <v>86</v>
      </c>
      <c r="G265">
        <v>97</v>
      </c>
      <c r="H265" t="s">
        <v>2</v>
      </c>
      <c r="I265" t="s">
        <v>9</v>
      </c>
      <c r="K265" t="str">
        <v>middle</v>
      </c>
      <c r="L265">
        <v>76</v>
      </c>
    </row>
    <row r="266" spans="2:12" x14ac:dyDescent="0.3">
      <c r="B266" t="s">
        <v>97</v>
      </c>
      <c r="C266">
        <v>94</v>
      </c>
      <c r="D266" t="s">
        <v>45</v>
      </c>
      <c r="E266">
        <v>57</v>
      </c>
      <c r="F266">
        <v>77</v>
      </c>
      <c r="G266">
        <v>114.64</v>
      </c>
      <c r="H266" t="s">
        <v>2</v>
      </c>
      <c r="I266" t="s">
        <v>7</v>
      </c>
      <c r="K266" t="str">
        <v>premium</v>
      </c>
      <c r="L266">
        <v>67</v>
      </c>
    </row>
    <row r="267" spans="2:12" x14ac:dyDescent="0.3">
      <c r="B267" t="s">
        <v>307</v>
      </c>
      <c r="C267">
        <v>94</v>
      </c>
      <c r="D267" t="s">
        <v>41</v>
      </c>
      <c r="E267">
        <v>62</v>
      </c>
      <c r="F267">
        <v>80</v>
      </c>
      <c r="G267">
        <v>264.55</v>
      </c>
      <c r="H267" t="s">
        <v>2</v>
      </c>
      <c r="I267" t="s">
        <v>7</v>
      </c>
      <c r="K267" t="str">
        <v>premium</v>
      </c>
      <c r="L267">
        <v>71</v>
      </c>
    </row>
    <row r="268" spans="2:12" x14ac:dyDescent="0.3">
      <c r="B268" t="s">
        <v>308</v>
      </c>
      <c r="C268">
        <v>95</v>
      </c>
      <c r="D268" t="s">
        <v>41</v>
      </c>
      <c r="E268">
        <v>66</v>
      </c>
      <c r="F268">
        <v>88</v>
      </c>
      <c r="G268">
        <v>143.30000000000001</v>
      </c>
      <c r="H268" t="s">
        <v>2</v>
      </c>
      <c r="I268" t="s">
        <v>9</v>
      </c>
      <c r="K268" t="str">
        <v>premium</v>
      </c>
      <c r="L268">
        <v>77</v>
      </c>
    </row>
    <row r="269" spans="2:12" x14ac:dyDescent="0.3">
      <c r="B269" t="s">
        <v>309</v>
      </c>
      <c r="C269">
        <v>95</v>
      </c>
      <c r="D269" t="s">
        <v>41</v>
      </c>
      <c r="E269">
        <v>67</v>
      </c>
      <c r="F269">
        <v>92</v>
      </c>
      <c r="G269">
        <v>140.65</v>
      </c>
      <c r="H269" t="s">
        <v>2</v>
      </c>
      <c r="I269" t="s">
        <v>9</v>
      </c>
      <c r="K269" t="str">
        <v>premium</v>
      </c>
      <c r="L269">
        <v>79.5</v>
      </c>
    </row>
    <row r="270" spans="2:12" x14ac:dyDescent="0.3">
      <c r="B270" t="s">
        <v>310</v>
      </c>
      <c r="C270">
        <v>94</v>
      </c>
      <c r="D270" t="s">
        <v>41</v>
      </c>
      <c r="E270">
        <v>62</v>
      </c>
      <c r="F270">
        <v>81</v>
      </c>
      <c r="G270">
        <v>268.52</v>
      </c>
      <c r="H270" t="s">
        <v>2</v>
      </c>
      <c r="I270" t="s">
        <v>14</v>
      </c>
      <c r="K270" t="str">
        <v>premium</v>
      </c>
      <c r="L270">
        <v>71.5</v>
      </c>
    </row>
    <row r="271" spans="2:12" x14ac:dyDescent="0.3">
      <c r="B271" t="s">
        <v>311</v>
      </c>
      <c r="C271">
        <v>94</v>
      </c>
      <c r="D271" t="s">
        <v>41</v>
      </c>
      <c r="E271">
        <v>67</v>
      </c>
      <c r="F271">
        <v>90</v>
      </c>
      <c r="G271">
        <v>123.02</v>
      </c>
      <c r="H271" t="s">
        <v>2</v>
      </c>
      <c r="I271" t="s">
        <v>9</v>
      </c>
      <c r="K271" t="str">
        <v>premium</v>
      </c>
      <c r="L271">
        <v>78.5</v>
      </c>
    </row>
    <row r="272" spans="2:12" x14ac:dyDescent="0.3">
      <c r="B272" t="s">
        <v>312</v>
      </c>
      <c r="C272">
        <v>94</v>
      </c>
      <c r="D272" t="s">
        <v>41</v>
      </c>
      <c r="E272">
        <v>64</v>
      </c>
      <c r="F272">
        <v>88</v>
      </c>
      <c r="G272">
        <v>1.18</v>
      </c>
      <c r="H272" t="s">
        <v>18</v>
      </c>
      <c r="I272" t="s">
        <v>14</v>
      </c>
      <c r="K272" t="str">
        <v>budget</v>
      </c>
      <c r="L272">
        <v>76</v>
      </c>
    </row>
    <row r="273" spans="2:12" x14ac:dyDescent="0.3">
      <c r="B273" t="s">
        <v>313</v>
      </c>
      <c r="C273">
        <v>94</v>
      </c>
      <c r="D273" t="s">
        <v>41</v>
      </c>
      <c r="E273">
        <v>65</v>
      </c>
      <c r="F273">
        <v>86</v>
      </c>
      <c r="G273">
        <v>1.18</v>
      </c>
      <c r="H273" t="s">
        <v>18</v>
      </c>
      <c r="I273" t="s">
        <v>14</v>
      </c>
      <c r="K273" t="str">
        <v>budget</v>
      </c>
      <c r="L273">
        <v>75.5</v>
      </c>
    </row>
    <row r="274" spans="2:12" x14ac:dyDescent="0.3">
      <c r="B274" t="s">
        <v>314</v>
      </c>
      <c r="C274">
        <v>95</v>
      </c>
      <c r="D274" t="s">
        <v>41</v>
      </c>
      <c r="E274">
        <v>62</v>
      </c>
      <c r="F274">
        <v>80</v>
      </c>
      <c r="G274">
        <v>14.81</v>
      </c>
      <c r="H274" t="s">
        <v>18</v>
      </c>
      <c r="I274" t="s">
        <v>14</v>
      </c>
      <c r="K274" t="str">
        <v>budget</v>
      </c>
      <c r="L274">
        <v>71</v>
      </c>
    </row>
    <row r="275" spans="2:12" x14ac:dyDescent="0.3">
      <c r="B275" t="s">
        <v>315</v>
      </c>
      <c r="C275">
        <v>94</v>
      </c>
      <c r="D275" t="s">
        <v>41</v>
      </c>
      <c r="E275">
        <v>62</v>
      </c>
      <c r="F275">
        <v>84</v>
      </c>
      <c r="G275">
        <v>8.16</v>
      </c>
      <c r="H275" t="s">
        <v>18</v>
      </c>
      <c r="I275" t="s">
        <v>17</v>
      </c>
      <c r="K275" t="str">
        <v>budget</v>
      </c>
      <c r="L275">
        <v>73</v>
      </c>
    </row>
    <row r="276" spans="2:12" x14ac:dyDescent="0.3">
      <c r="B276" t="s">
        <v>316</v>
      </c>
      <c r="C276">
        <v>94</v>
      </c>
      <c r="D276" t="s">
        <v>41</v>
      </c>
      <c r="E276">
        <v>64</v>
      </c>
      <c r="F276">
        <v>86</v>
      </c>
      <c r="G276">
        <v>153.85</v>
      </c>
      <c r="H276" t="s">
        <v>2</v>
      </c>
      <c r="I276" t="s">
        <v>9</v>
      </c>
      <c r="K276" t="str">
        <v>premium</v>
      </c>
      <c r="L276">
        <v>75</v>
      </c>
    </row>
    <row r="277" spans="2:12" x14ac:dyDescent="0.3">
      <c r="B277" t="s">
        <v>317</v>
      </c>
      <c r="C277">
        <v>94</v>
      </c>
      <c r="D277" t="s">
        <v>45</v>
      </c>
      <c r="E277">
        <v>60</v>
      </c>
      <c r="F277">
        <v>79</v>
      </c>
      <c r="G277">
        <v>136.68</v>
      </c>
      <c r="H277" t="s">
        <v>2</v>
      </c>
      <c r="I277" t="s">
        <v>5</v>
      </c>
      <c r="K277" t="str">
        <v>premium</v>
      </c>
      <c r="L277">
        <v>69.5</v>
      </c>
    </row>
    <row r="278" spans="2:12" x14ac:dyDescent="0.3">
      <c r="B278" t="s">
        <v>318</v>
      </c>
      <c r="C278">
        <v>95</v>
      </c>
      <c r="D278" t="s">
        <v>41</v>
      </c>
      <c r="E278">
        <v>59</v>
      </c>
      <c r="F278">
        <v>84</v>
      </c>
      <c r="G278">
        <v>70.55</v>
      </c>
      <c r="H278" t="s">
        <v>18</v>
      </c>
      <c r="I278" t="s">
        <v>18</v>
      </c>
      <c r="K278" t="str">
        <v>middle</v>
      </c>
      <c r="L278">
        <v>71.5</v>
      </c>
    </row>
    <row r="279" spans="2:12" x14ac:dyDescent="0.3">
      <c r="B279" t="s">
        <v>319</v>
      </c>
      <c r="C279">
        <v>94</v>
      </c>
      <c r="D279" t="s">
        <v>41</v>
      </c>
      <c r="E279">
        <v>62</v>
      </c>
      <c r="F279">
        <v>84</v>
      </c>
      <c r="G279">
        <v>8.82</v>
      </c>
      <c r="H279" t="s">
        <v>18</v>
      </c>
      <c r="I279" t="s">
        <v>14</v>
      </c>
      <c r="K279" t="str">
        <v>budget</v>
      </c>
      <c r="L279">
        <v>73</v>
      </c>
    </row>
    <row r="280" spans="2:12" x14ac:dyDescent="0.3">
      <c r="B280" t="s">
        <v>320</v>
      </c>
      <c r="C280">
        <v>94</v>
      </c>
      <c r="D280" t="s">
        <v>45</v>
      </c>
      <c r="E280">
        <v>59</v>
      </c>
      <c r="F280">
        <v>81</v>
      </c>
      <c r="G280">
        <v>9.92</v>
      </c>
      <c r="H280" t="s">
        <v>18</v>
      </c>
      <c r="I280" t="s">
        <v>14</v>
      </c>
      <c r="K280" t="str">
        <v>budget</v>
      </c>
      <c r="L280">
        <v>70</v>
      </c>
    </row>
    <row r="281" spans="2:12" x14ac:dyDescent="0.3">
      <c r="B281" t="s">
        <v>321</v>
      </c>
      <c r="C281">
        <v>94</v>
      </c>
      <c r="D281" t="s">
        <v>41</v>
      </c>
      <c r="E281">
        <v>60</v>
      </c>
      <c r="F281">
        <v>82</v>
      </c>
      <c r="G281">
        <v>8.23</v>
      </c>
      <c r="H281" t="s">
        <v>18</v>
      </c>
      <c r="I281" t="s">
        <v>15</v>
      </c>
      <c r="K281" t="str">
        <v>budget</v>
      </c>
      <c r="L281">
        <v>71</v>
      </c>
    </row>
    <row r="282" spans="2:12" x14ac:dyDescent="0.3">
      <c r="B282" t="s">
        <v>322</v>
      </c>
      <c r="C282">
        <v>96</v>
      </c>
      <c r="D282" t="s">
        <v>41</v>
      </c>
      <c r="E282">
        <v>66</v>
      </c>
      <c r="F282">
        <v>91</v>
      </c>
      <c r="G282">
        <v>16.170000000000002</v>
      </c>
      <c r="H282" t="s">
        <v>18</v>
      </c>
      <c r="I282" t="s">
        <v>9</v>
      </c>
      <c r="K282" t="str">
        <v>budget</v>
      </c>
      <c r="L282">
        <v>78.5</v>
      </c>
    </row>
    <row r="283" spans="2:12" x14ac:dyDescent="0.3">
      <c r="B283" t="s">
        <v>323</v>
      </c>
      <c r="C283">
        <v>96</v>
      </c>
      <c r="D283" t="s">
        <v>41</v>
      </c>
      <c r="E283">
        <v>67</v>
      </c>
      <c r="F283">
        <v>90</v>
      </c>
      <c r="G283">
        <v>300</v>
      </c>
      <c r="H283" t="s">
        <v>2</v>
      </c>
      <c r="I283" t="s">
        <v>9</v>
      </c>
      <c r="K283" t="str">
        <v>premium</v>
      </c>
      <c r="L283">
        <v>78.5</v>
      </c>
    </row>
    <row r="284" spans="2:12" x14ac:dyDescent="0.3">
      <c r="B284" t="s">
        <v>324</v>
      </c>
      <c r="C284">
        <v>94</v>
      </c>
      <c r="D284" t="s">
        <v>41</v>
      </c>
      <c r="E284">
        <v>60</v>
      </c>
      <c r="F284">
        <v>84</v>
      </c>
      <c r="G284">
        <v>9.6999999999999993</v>
      </c>
      <c r="H284" t="s">
        <v>18</v>
      </c>
      <c r="I284" t="s">
        <v>4</v>
      </c>
      <c r="K284" t="str">
        <v>budget</v>
      </c>
      <c r="L284">
        <v>72</v>
      </c>
    </row>
    <row r="285" spans="2:12" x14ac:dyDescent="0.3">
      <c r="B285" t="s">
        <v>325</v>
      </c>
      <c r="C285">
        <v>94</v>
      </c>
      <c r="D285" t="s">
        <v>45</v>
      </c>
      <c r="E285">
        <v>61</v>
      </c>
      <c r="F285">
        <v>79</v>
      </c>
      <c r="G285">
        <v>9.6999999999999993</v>
      </c>
      <c r="H285" t="s">
        <v>18</v>
      </c>
      <c r="I285" t="s">
        <v>14</v>
      </c>
      <c r="K285" t="str">
        <v>budget</v>
      </c>
      <c r="L285">
        <v>70</v>
      </c>
    </row>
    <row r="286" spans="2:12" x14ac:dyDescent="0.3">
      <c r="B286" t="s">
        <v>326</v>
      </c>
      <c r="C286">
        <v>94</v>
      </c>
      <c r="D286" t="s">
        <v>45</v>
      </c>
      <c r="E286">
        <v>56</v>
      </c>
      <c r="F286">
        <v>79</v>
      </c>
      <c r="G286">
        <v>7.94</v>
      </c>
      <c r="H286" t="s">
        <v>18</v>
      </c>
      <c r="I286" t="s">
        <v>16</v>
      </c>
      <c r="K286" t="str">
        <v>budget</v>
      </c>
      <c r="L286">
        <v>67.5</v>
      </c>
    </row>
    <row r="287" spans="2:12" x14ac:dyDescent="0.3">
      <c r="B287" t="s">
        <v>327</v>
      </c>
      <c r="C287">
        <v>94</v>
      </c>
      <c r="D287" t="s">
        <v>45</v>
      </c>
      <c r="E287">
        <v>59</v>
      </c>
      <c r="F287">
        <v>77</v>
      </c>
      <c r="G287">
        <v>7.64</v>
      </c>
      <c r="H287" t="s">
        <v>18</v>
      </c>
      <c r="I287" t="s">
        <v>17</v>
      </c>
      <c r="K287" t="str">
        <v>budget</v>
      </c>
      <c r="L287">
        <v>68</v>
      </c>
    </row>
    <row r="288" spans="2:12" x14ac:dyDescent="0.3">
      <c r="B288" t="s">
        <v>328</v>
      </c>
      <c r="C288">
        <v>95</v>
      </c>
      <c r="D288" t="s">
        <v>41</v>
      </c>
      <c r="E288">
        <v>66</v>
      </c>
      <c r="F288">
        <v>90</v>
      </c>
      <c r="G288">
        <v>24</v>
      </c>
      <c r="H288" t="s">
        <v>18</v>
      </c>
      <c r="I288" t="s">
        <v>14</v>
      </c>
      <c r="K288" t="str">
        <v>budget</v>
      </c>
      <c r="L288">
        <v>78</v>
      </c>
    </row>
    <row r="289" spans="2:12" x14ac:dyDescent="0.3">
      <c r="B289" t="s">
        <v>329</v>
      </c>
      <c r="C289">
        <v>94</v>
      </c>
      <c r="D289" t="s">
        <v>41</v>
      </c>
      <c r="E289">
        <v>75</v>
      </c>
      <c r="F289">
        <v>90</v>
      </c>
      <c r="G289">
        <v>396.83</v>
      </c>
      <c r="H289" t="s">
        <v>2</v>
      </c>
      <c r="I289" t="s">
        <v>14</v>
      </c>
      <c r="K289" t="str">
        <v>premium</v>
      </c>
      <c r="L289">
        <v>82.5</v>
      </c>
    </row>
    <row r="290" spans="2:12" x14ac:dyDescent="0.3">
      <c r="B290" t="s">
        <v>330</v>
      </c>
      <c r="C290">
        <v>94</v>
      </c>
      <c r="D290" t="s">
        <v>41</v>
      </c>
      <c r="E290">
        <v>66</v>
      </c>
      <c r="F290">
        <v>83</v>
      </c>
      <c r="G290">
        <v>10.58</v>
      </c>
      <c r="H290" t="s">
        <v>18</v>
      </c>
      <c r="I290" t="s">
        <v>14</v>
      </c>
      <c r="K290" t="str">
        <v>budget</v>
      </c>
      <c r="L290">
        <v>74.5</v>
      </c>
    </row>
    <row r="291" spans="2:12" x14ac:dyDescent="0.3">
      <c r="B291" t="s">
        <v>331</v>
      </c>
      <c r="C291">
        <v>94</v>
      </c>
      <c r="D291" t="s">
        <v>41</v>
      </c>
      <c r="E291">
        <v>62</v>
      </c>
      <c r="F291">
        <v>84</v>
      </c>
      <c r="G291">
        <v>22.49</v>
      </c>
      <c r="H291" t="s">
        <v>18</v>
      </c>
      <c r="I291" t="s">
        <v>14</v>
      </c>
      <c r="K291" t="str">
        <v>budget</v>
      </c>
      <c r="L291">
        <v>73</v>
      </c>
    </row>
    <row r="292" spans="2:12" x14ac:dyDescent="0.3">
      <c r="B292" t="s">
        <v>252</v>
      </c>
      <c r="C292">
        <v>95</v>
      </c>
      <c r="D292" t="s">
        <v>41</v>
      </c>
      <c r="E292">
        <v>62</v>
      </c>
      <c r="F292">
        <v>80</v>
      </c>
      <c r="G292">
        <v>4.41</v>
      </c>
      <c r="H292" t="s">
        <v>18</v>
      </c>
      <c r="I292" t="s">
        <v>14</v>
      </c>
      <c r="K292" t="str">
        <v>budget</v>
      </c>
      <c r="L292">
        <v>71</v>
      </c>
    </row>
    <row r="293" spans="2:12" x14ac:dyDescent="0.3">
      <c r="B293" t="s">
        <v>332</v>
      </c>
      <c r="C293">
        <v>94</v>
      </c>
      <c r="D293" t="s">
        <v>41</v>
      </c>
      <c r="E293">
        <v>66</v>
      </c>
      <c r="F293">
        <v>88</v>
      </c>
      <c r="G293">
        <v>7.35</v>
      </c>
      <c r="H293" t="s">
        <v>18</v>
      </c>
      <c r="I293" t="s">
        <v>14</v>
      </c>
      <c r="K293" t="str">
        <v>budget</v>
      </c>
      <c r="L293">
        <v>77</v>
      </c>
    </row>
    <row r="294" spans="2:12" x14ac:dyDescent="0.3">
      <c r="B294" t="s">
        <v>333</v>
      </c>
      <c r="C294">
        <v>94</v>
      </c>
      <c r="D294" t="s">
        <v>45</v>
      </c>
      <c r="E294">
        <v>59</v>
      </c>
      <c r="F294">
        <v>82</v>
      </c>
      <c r="G294">
        <v>15.87</v>
      </c>
      <c r="H294" t="s">
        <v>18</v>
      </c>
      <c r="I294" t="s">
        <v>14</v>
      </c>
      <c r="K294" t="str">
        <v>budget</v>
      </c>
      <c r="L294">
        <v>70.5</v>
      </c>
    </row>
    <row r="295" spans="2:12" x14ac:dyDescent="0.3">
      <c r="B295" t="s">
        <v>334</v>
      </c>
      <c r="C295">
        <v>94</v>
      </c>
      <c r="D295" t="s">
        <v>45</v>
      </c>
      <c r="E295">
        <v>59</v>
      </c>
      <c r="F295">
        <v>81</v>
      </c>
      <c r="G295">
        <v>127.75</v>
      </c>
      <c r="H295" t="s">
        <v>2</v>
      </c>
      <c r="I295" t="s">
        <v>9</v>
      </c>
      <c r="K295" t="str">
        <v>premium</v>
      </c>
      <c r="L295">
        <v>70</v>
      </c>
    </row>
    <row r="296" spans="2:12" x14ac:dyDescent="0.3">
      <c r="B296" t="s">
        <v>335</v>
      </c>
      <c r="C296">
        <v>94</v>
      </c>
      <c r="D296" t="s">
        <v>41</v>
      </c>
      <c r="E296">
        <v>65</v>
      </c>
      <c r="F296">
        <v>87</v>
      </c>
      <c r="G296">
        <v>500</v>
      </c>
      <c r="H296" t="s">
        <v>2</v>
      </c>
      <c r="I296" t="s">
        <v>14</v>
      </c>
      <c r="K296" t="str">
        <v>premium</v>
      </c>
      <c r="L296">
        <v>76</v>
      </c>
    </row>
    <row r="297" spans="2:12" x14ac:dyDescent="0.3">
      <c r="B297" t="s">
        <v>336</v>
      </c>
      <c r="C297">
        <v>95</v>
      </c>
      <c r="D297" t="s">
        <v>41</v>
      </c>
      <c r="E297">
        <v>66</v>
      </c>
      <c r="F297">
        <v>92</v>
      </c>
      <c r="G297">
        <v>300</v>
      </c>
      <c r="H297" t="s">
        <v>2</v>
      </c>
      <c r="I297" t="s">
        <v>14</v>
      </c>
      <c r="K297" t="str">
        <v>premium</v>
      </c>
      <c r="L297">
        <v>79</v>
      </c>
    </row>
    <row r="298" spans="2:12" x14ac:dyDescent="0.3">
      <c r="B298" t="s">
        <v>337</v>
      </c>
      <c r="C298">
        <v>96</v>
      </c>
      <c r="D298" t="s">
        <v>41</v>
      </c>
      <c r="E298">
        <v>64</v>
      </c>
      <c r="F298">
        <v>86</v>
      </c>
      <c r="G298">
        <v>88.18</v>
      </c>
      <c r="H298" t="s">
        <v>18</v>
      </c>
      <c r="I298" t="s">
        <v>18</v>
      </c>
      <c r="K298" t="str">
        <v>middle</v>
      </c>
      <c r="L298">
        <v>75</v>
      </c>
    </row>
    <row r="299" spans="2:12" x14ac:dyDescent="0.3">
      <c r="B299" t="s">
        <v>338</v>
      </c>
      <c r="C299">
        <v>95</v>
      </c>
      <c r="D299" t="s">
        <v>45</v>
      </c>
      <c r="E299">
        <v>58</v>
      </c>
      <c r="F299">
        <v>82</v>
      </c>
      <c r="G299">
        <v>24.23</v>
      </c>
      <c r="H299" t="s">
        <v>18</v>
      </c>
      <c r="I299" t="s">
        <v>18</v>
      </c>
      <c r="K299" t="str">
        <v>budget</v>
      </c>
      <c r="L299">
        <v>70</v>
      </c>
    </row>
    <row r="300" spans="2:12" x14ac:dyDescent="0.3">
      <c r="B300" t="s">
        <v>130</v>
      </c>
      <c r="C300">
        <v>95</v>
      </c>
      <c r="D300" t="s">
        <v>41</v>
      </c>
      <c r="E300">
        <v>65</v>
      </c>
      <c r="F300">
        <v>86</v>
      </c>
      <c r="G300">
        <v>7.05</v>
      </c>
      <c r="H300" t="s">
        <v>18</v>
      </c>
      <c r="I300" t="s">
        <v>9</v>
      </c>
      <c r="K300" t="str">
        <v>budget</v>
      </c>
      <c r="L300">
        <v>75.5</v>
      </c>
    </row>
    <row r="301" spans="2:12" x14ac:dyDescent="0.3">
      <c r="B301" t="s">
        <v>339</v>
      </c>
      <c r="C301">
        <v>94</v>
      </c>
      <c r="D301" t="s">
        <v>41</v>
      </c>
      <c r="E301">
        <v>62</v>
      </c>
      <c r="F301">
        <v>86</v>
      </c>
      <c r="G301">
        <v>145.06</v>
      </c>
      <c r="H301" t="s">
        <v>2</v>
      </c>
      <c r="I301" t="s">
        <v>9</v>
      </c>
      <c r="K301" t="str">
        <v>premium</v>
      </c>
      <c r="L301">
        <v>74</v>
      </c>
    </row>
    <row r="302" spans="2:12" x14ac:dyDescent="0.3">
      <c r="B302" t="s">
        <v>340</v>
      </c>
      <c r="C302">
        <v>94</v>
      </c>
      <c r="D302" t="s">
        <v>41</v>
      </c>
      <c r="E302">
        <v>62</v>
      </c>
      <c r="F302">
        <v>80</v>
      </c>
      <c r="G302">
        <v>6.47</v>
      </c>
      <c r="H302" t="s">
        <v>18</v>
      </c>
      <c r="I302" t="s">
        <v>12</v>
      </c>
      <c r="K302" t="str">
        <v>budget</v>
      </c>
      <c r="L302">
        <v>71</v>
      </c>
    </row>
    <row r="303" spans="2:12" x14ac:dyDescent="0.3">
      <c r="B303" t="s">
        <v>341</v>
      </c>
      <c r="C303">
        <v>95</v>
      </c>
      <c r="D303" t="s">
        <v>41</v>
      </c>
      <c r="E303">
        <v>66</v>
      </c>
      <c r="F303">
        <v>103</v>
      </c>
      <c r="G303">
        <v>26.67</v>
      </c>
      <c r="H303" t="s">
        <v>18</v>
      </c>
      <c r="I303" t="s">
        <v>14</v>
      </c>
      <c r="K303" t="str">
        <v>middle</v>
      </c>
      <c r="L303">
        <v>84.5</v>
      </c>
    </row>
    <row r="304" spans="2:12" x14ac:dyDescent="0.3">
      <c r="B304" t="s">
        <v>342</v>
      </c>
      <c r="C304">
        <v>94</v>
      </c>
      <c r="D304" t="s">
        <v>82</v>
      </c>
      <c r="E304">
        <v>45</v>
      </c>
      <c r="F304">
        <v>62</v>
      </c>
      <c r="G304">
        <v>286.33999999999997</v>
      </c>
      <c r="H304" t="s">
        <v>2</v>
      </c>
      <c r="I304" t="s">
        <v>15</v>
      </c>
      <c r="K304" t="str">
        <v>premium</v>
      </c>
      <c r="L304">
        <v>53.5</v>
      </c>
    </row>
    <row r="305" spans="2:12" x14ac:dyDescent="0.3">
      <c r="B305" t="s">
        <v>343</v>
      </c>
      <c r="C305">
        <v>94</v>
      </c>
      <c r="D305" t="s">
        <v>41</v>
      </c>
      <c r="E305">
        <v>68</v>
      </c>
      <c r="F305">
        <v>90</v>
      </c>
      <c r="G305">
        <v>195</v>
      </c>
      <c r="H305" t="s">
        <v>2</v>
      </c>
      <c r="I305" t="s">
        <v>9</v>
      </c>
      <c r="K305" t="str">
        <v>premium</v>
      </c>
      <c r="L305">
        <v>79</v>
      </c>
    </row>
    <row r="306" spans="2:12" x14ac:dyDescent="0.3">
      <c r="B306" t="s">
        <v>344</v>
      </c>
      <c r="C306">
        <v>95</v>
      </c>
      <c r="D306" t="s">
        <v>41</v>
      </c>
      <c r="E306">
        <v>60</v>
      </c>
      <c r="F306">
        <v>84</v>
      </c>
      <c r="G306">
        <v>5.88</v>
      </c>
      <c r="H306" t="s">
        <v>18</v>
      </c>
      <c r="I306" t="s">
        <v>9</v>
      </c>
      <c r="K306" t="str">
        <v>budget</v>
      </c>
      <c r="L306">
        <v>72</v>
      </c>
    </row>
    <row r="307" spans="2:12" x14ac:dyDescent="0.3">
      <c r="B307" t="s">
        <v>345</v>
      </c>
      <c r="C307">
        <v>95</v>
      </c>
      <c r="D307" t="s">
        <v>41</v>
      </c>
      <c r="E307">
        <v>64</v>
      </c>
      <c r="F307">
        <v>86</v>
      </c>
      <c r="G307">
        <v>123.46</v>
      </c>
      <c r="H307" t="s">
        <v>2</v>
      </c>
      <c r="I307" t="s">
        <v>9</v>
      </c>
      <c r="K307" t="str">
        <v>premium</v>
      </c>
      <c r="L307">
        <v>75</v>
      </c>
    </row>
    <row r="308" spans="2:12" x14ac:dyDescent="0.3">
      <c r="B308" t="s">
        <v>346</v>
      </c>
      <c r="C308">
        <v>94</v>
      </c>
      <c r="D308" t="s">
        <v>45</v>
      </c>
      <c r="E308">
        <v>58</v>
      </c>
      <c r="F308">
        <v>78</v>
      </c>
      <c r="G308">
        <v>88.18</v>
      </c>
      <c r="H308" t="s">
        <v>2</v>
      </c>
      <c r="I308" t="s">
        <v>9</v>
      </c>
      <c r="K308" t="str">
        <v>middle</v>
      </c>
      <c r="L308">
        <v>68</v>
      </c>
    </row>
    <row r="309" spans="2:12" x14ac:dyDescent="0.3">
      <c r="B309" t="s">
        <v>347</v>
      </c>
      <c r="C309">
        <v>94</v>
      </c>
      <c r="D309" t="s">
        <v>41</v>
      </c>
      <c r="E309">
        <v>64</v>
      </c>
      <c r="F309">
        <v>82</v>
      </c>
      <c r="G309">
        <v>110.23</v>
      </c>
      <c r="H309" t="s">
        <v>2</v>
      </c>
      <c r="I309" t="s">
        <v>9</v>
      </c>
      <c r="K309" t="str">
        <v>premium</v>
      </c>
      <c r="L309">
        <v>73</v>
      </c>
    </row>
    <row r="310" spans="2:12" x14ac:dyDescent="0.3">
      <c r="B310" t="s">
        <v>348</v>
      </c>
      <c r="C310">
        <v>94</v>
      </c>
      <c r="D310" t="s">
        <v>41</v>
      </c>
      <c r="E310">
        <v>62</v>
      </c>
      <c r="F310">
        <v>84</v>
      </c>
      <c r="G310">
        <v>136.68</v>
      </c>
      <c r="H310" t="s">
        <v>2</v>
      </c>
      <c r="I310" t="s">
        <v>9</v>
      </c>
      <c r="K310" t="str">
        <v>premium</v>
      </c>
      <c r="L310">
        <v>73</v>
      </c>
    </row>
    <row r="311" spans="2:12" x14ac:dyDescent="0.3">
      <c r="B311" t="s">
        <v>349</v>
      </c>
      <c r="C311">
        <v>94</v>
      </c>
      <c r="D311" t="s">
        <v>45</v>
      </c>
      <c r="E311">
        <v>56</v>
      </c>
      <c r="F311">
        <v>74</v>
      </c>
      <c r="G311">
        <v>141.09</v>
      </c>
      <c r="H311" t="s">
        <v>2</v>
      </c>
      <c r="I311" t="s">
        <v>7</v>
      </c>
      <c r="K311" t="str">
        <v>premium</v>
      </c>
      <c r="L311">
        <v>65</v>
      </c>
    </row>
    <row r="312" spans="2:12" x14ac:dyDescent="0.3">
      <c r="B312" t="s">
        <v>350</v>
      </c>
      <c r="C312">
        <v>94</v>
      </c>
      <c r="D312" t="s">
        <v>41</v>
      </c>
      <c r="E312">
        <v>62</v>
      </c>
      <c r="F312">
        <v>82</v>
      </c>
      <c r="G312">
        <v>176.37</v>
      </c>
      <c r="H312" t="s">
        <v>2</v>
      </c>
      <c r="I312" t="s">
        <v>12</v>
      </c>
      <c r="K312" t="str">
        <v>premium</v>
      </c>
      <c r="L312">
        <v>72</v>
      </c>
    </row>
    <row r="313" spans="2:12" x14ac:dyDescent="0.3">
      <c r="B313" t="s">
        <v>351</v>
      </c>
      <c r="C313">
        <v>94</v>
      </c>
      <c r="D313" t="s">
        <v>41</v>
      </c>
      <c r="E313">
        <v>64</v>
      </c>
      <c r="F313">
        <v>82</v>
      </c>
      <c r="G313">
        <v>5.59</v>
      </c>
      <c r="H313" t="s">
        <v>18</v>
      </c>
      <c r="I313" t="s">
        <v>14</v>
      </c>
      <c r="K313" t="str">
        <v>budget</v>
      </c>
      <c r="L313">
        <v>73</v>
      </c>
    </row>
    <row r="314" spans="2:12" x14ac:dyDescent="0.3">
      <c r="B314" t="s">
        <v>352</v>
      </c>
      <c r="C314">
        <v>94</v>
      </c>
      <c r="D314" t="s">
        <v>45</v>
      </c>
      <c r="E314">
        <v>60</v>
      </c>
      <c r="F314">
        <v>78</v>
      </c>
      <c r="G314">
        <v>5.59</v>
      </c>
      <c r="H314" t="s">
        <v>18</v>
      </c>
      <c r="I314" t="s">
        <v>7</v>
      </c>
      <c r="K314" t="str">
        <v>budget</v>
      </c>
      <c r="L314">
        <v>69</v>
      </c>
    </row>
    <row r="315" spans="2:12" x14ac:dyDescent="0.3">
      <c r="B315" t="s">
        <v>353</v>
      </c>
      <c r="C315">
        <v>95</v>
      </c>
      <c r="D315" t="s">
        <v>41</v>
      </c>
      <c r="E315">
        <v>67</v>
      </c>
      <c r="F315">
        <v>88</v>
      </c>
      <c r="G315">
        <v>21.6</v>
      </c>
      <c r="H315" t="s">
        <v>18</v>
      </c>
      <c r="I315" t="s">
        <v>14</v>
      </c>
      <c r="K315" t="str">
        <v>budget</v>
      </c>
      <c r="L315">
        <v>77.5</v>
      </c>
    </row>
    <row r="316" spans="2:12" x14ac:dyDescent="0.3">
      <c r="B316" t="s">
        <v>354</v>
      </c>
      <c r="C316">
        <v>95</v>
      </c>
      <c r="D316" t="s">
        <v>45</v>
      </c>
      <c r="E316">
        <v>52</v>
      </c>
      <c r="F316">
        <v>74</v>
      </c>
      <c r="G316">
        <v>215</v>
      </c>
      <c r="H316" t="s">
        <v>2</v>
      </c>
      <c r="I316" t="s">
        <v>14</v>
      </c>
      <c r="K316" t="str">
        <v>premium</v>
      </c>
      <c r="L316">
        <v>63</v>
      </c>
    </row>
    <row r="317" spans="2:12" x14ac:dyDescent="0.3">
      <c r="B317" t="s">
        <v>355</v>
      </c>
      <c r="C317">
        <v>95</v>
      </c>
      <c r="D317" t="s">
        <v>41</v>
      </c>
      <c r="E317">
        <v>60</v>
      </c>
      <c r="F317">
        <v>84</v>
      </c>
      <c r="G317">
        <v>7.35</v>
      </c>
      <c r="H317" t="s">
        <v>18</v>
      </c>
      <c r="I317" t="s">
        <v>14</v>
      </c>
      <c r="K317" t="str">
        <v>budget</v>
      </c>
      <c r="L317">
        <v>72</v>
      </c>
    </row>
    <row r="318" spans="2:12" x14ac:dyDescent="0.3">
      <c r="B318" t="s">
        <v>356</v>
      </c>
      <c r="C318">
        <v>94</v>
      </c>
      <c r="D318" t="s">
        <v>41</v>
      </c>
      <c r="E318">
        <v>65</v>
      </c>
      <c r="F318">
        <v>85</v>
      </c>
      <c r="G318">
        <v>396.48</v>
      </c>
      <c r="H318" t="s">
        <v>2</v>
      </c>
      <c r="I318" t="s">
        <v>9</v>
      </c>
      <c r="K318" t="str">
        <v>premium</v>
      </c>
      <c r="L318">
        <v>75</v>
      </c>
    </row>
    <row r="319" spans="2:12" x14ac:dyDescent="0.3">
      <c r="B319" t="s">
        <v>357</v>
      </c>
      <c r="C319">
        <v>94</v>
      </c>
      <c r="D319" t="s">
        <v>41</v>
      </c>
      <c r="E319">
        <v>62</v>
      </c>
      <c r="F319">
        <v>83</v>
      </c>
      <c r="G319">
        <v>282.61</v>
      </c>
      <c r="H319" t="s">
        <v>2</v>
      </c>
      <c r="I319" t="s">
        <v>9</v>
      </c>
      <c r="K319" t="str">
        <v>premium</v>
      </c>
      <c r="L319">
        <v>72.5</v>
      </c>
    </row>
    <row r="320" spans="2:12" x14ac:dyDescent="0.3">
      <c r="B320" t="s">
        <v>358</v>
      </c>
      <c r="C320">
        <v>94</v>
      </c>
      <c r="D320" t="s">
        <v>82</v>
      </c>
      <c r="E320">
        <v>50</v>
      </c>
      <c r="F320">
        <v>65</v>
      </c>
      <c r="G320">
        <v>8.82</v>
      </c>
      <c r="H320" t="s">
        <v>2</v>
      </c>
      <c r="I320" t="s">
        <v>14</v>
      </c>
      <c r="K320" t="str">
        <v>budget</v>
      </c>
      <c r="L320">
        <v>57.5</v>
      </c>
    </row>
    <row r="321" spans="2:12" x14ac:dyDescent="0.3">
      <c r="B321" t="s">
        <v>359</v>
      </c>
      <c r="C321">
        <v>94</v>
      </c>
      <c r="D321" t="s">
        <v>45</v>
      </c>
      <c r="E321">
        <v>58</v>
      </c>
      <c r="F321">
        <v>74</v>
      </c>
      <c r="G321">
        <v>30.84</v>
      </c>
      <c r="H321" t="s">
        <v>18</v>
      </c>
      <c r="I321" t="s">
        <v>18</v>
      </c>
      <c r="K321" t="str">
        <v>middle</v>
      </c>
      <c r="L321">
        <v>66</v>
      </c>
    </row>
    <row r="322" spans="2:12" x14ac:dyDescent="0.3">
      <c r="B322" t="s">
        <v>360</v>
      </c>
      <c r="C322">
        <v>94</v>
      </c>
      <c r="D322" t="s">
        <v>41</v>
      </c>
      <c r="E322">
        <v>66</v>
      </c>
      <c r="F322">
        <v>97</v>
      </c>
      <c r="G322">
        <v>5.88</v>
      </c>
      <c r="H322" t="s">
        <v>18</v>
      </c>
      <c r="I322" t="s">
        <v>21</v>
      </c>
      <c r="K322" t="str">
        <v>budget</v>
      </c>
      <c r="L322">
        <v>81.5</v>
      </c>
    </row>
    <row r="323" spans="2:12" x14ac:dyDescent="0.3">
      <c r="B323" t="s">
        <v>361</v>
      </c>
      <c r="C323">
        <v>94</v>
      </c>
      <c r="D323" t="s">
        <v>45</v>
      </c>
      <c r="E323">
        <v>57</v>
      </c>
      <c r="F323">
        <v>74</v>
      </c>
      <c r="G323">
        <v>352.42</v>
      </c>
      <c r="H323" t="s">
        <v>2</v>
      </c>
      <c r="I323" t="s">
        <v>14</v>
      </c>
      <c r="K323" t="str">
        <v>premium</v>
      </c>
      <c r="L323">
        <v>65.5</v>
      </c>
    </row>
    <row r="324" spans="2:12" x14ac:dyDescent="0.3">
      <c r="B324" t="s">
        <v>362</v>
      </c>
      <c r="C324">
        <v>94</v>
      </c>
      <c r="D324" t="s">
        <v>41</v>
      </c>
      <c r="E324">
        <v>62</v>
      </c>
      <c r="F324">
        <v>81</v>
      </c>
      <c r="G324">
        <v>11.76</v>
      </c>
      <c r="H324" t="s">
        <v>18</v>
      </c>
      <c r="I324" t="s">
        <v>14</v>
      </c>
      <c r="K324" t="str">
        <v>budget</v>
      </c>
      <c r="L324">
        <v>71.5</v>
      </c>
    </row>
    <row r="325" spans="2:12" x14ac:dyDescent="0.3">
      <c r="B325" t="s">
        <v>363</v>
      </c>
      <c r="C325">
        <v>94</v>
      </c>
      <c r="D325" t="s">
        <v>82</v>
      </c>
      <c r="E325">
        <v>40</v>
      </c>
      <c r="F325">
        <v>67</v>
      </c>
      <c r="G325">
        <v>244.44</v>
      </c>
      <c r="H325" t="s">
        <v>2</v>
      </c>
      <c r="I325" t="s">
        <v>17</v>
      </c>
      <c r="K325" t="str">
        <v>premium</v>
      </c>
      <c r="L325">
        <v>53.5</v>
      </c>
    </row>
    <row r="326" spans="2:12" x14ac:dyDescent="0.3">
      <c r="B326" t="s">
        <v>364</v>
      </c>
      <c r="C326">
        <v>94</v>
      </c>
      <c r="D326" t="s">
        <v>41</v>
      </c>
      <c r="E326">
        <v>62</v>
      </c>
      <c r="F326">
        <v>84</v>
      </c>
      <c r="G326">
        <v>8.82</v>
      </c>
      <c r="H326" t="s">
        <v>18</v>
      </c>
      <c r="I326" t="s">
        <v>14</v>
      </c>
      <c r="K326" t="str">
        <v>budget</v>
      </c>
      <c r="L326">
        <v>73</v>
      </c>
    </row>
    <row r="327" spans="2:12" x14ac:dyDescent="0.3">
      <c r="B327" t="s">
        <v>365</v>
      </c>
      <c r="C327">
        <v>94</v>
      </c>
      <c r="D327" t="s">
        <v>82</v>
      </c>
      <c r="E327">
        <v>41</v>
      </c>
      <c r="F327">
        <v>76</v>
      </c>
      <c r="G327">
        <v>6.47</v>
      </c>
      <c r="H327" t="s">
        <v>18</v>
      </c>
      <c r="I327" t="s">
        <v>9</v>
      </c>
      <c r="K327" t="str">
        <v>budget</v>
      </c>
      <c r="L327">
        <v>58.5</v>
      </c>
    </row>
    <row r="328" spans="2:12" x14ac:dyDescent="0.3">
      <c r="B328" t="s">
        <v>366</v>
      </c>
      <c r="C328">
        <v>95</v>
      </c>
      <c r="D328" t="s">
        <v>41</v>
      </c>
      <c r="E328">
        <v>59</v>
      </c>
      <c r="F328">
        <v>86</v>
      </c>
      <c r="G328">
        <v>9.41</v>
      </c>
      <c r="H328" t="s">
        <v>18</v>
      </c>
      <c r="I328" t="s">
        <v>14</v>
      </c>
      <c r="K328" t="str">
        <v>budget</v>
      </c>
      <c r="L328">
        <v>72.5</v>
      </c>
    </row>
    <row r="329" spans="2:12" x14ac:dyDescent="0.3">
      <c r="B329" t="s">
        <v>367</v>
      </c>
      <c r="C329">
        <v>94</v>
      </c>
      <c r="D329" t="s">
        <v>45</v>
      </c>
      <c r="E329">
        <v>54</v>
      </c>
      <c r="F329">
        <v>78</v>
      </c>
      <c r="G329">
        <v>8.52</v>
      </c>
      <c r="H329" t="s">
        <v>18</v>
      </c>
      <c r="I329" t="s">
        <v>9</v>
      </c>
      <c r="K329" t="str">
        <v>budget</v>
      </c>
      <c r="L329">
        <v>66</v>
      </c>
    </row>
    <row r="330" spans="2:12" x14ac:dyDescent="0.3">
      <c r="B330" t="s">
        <v>368</v>
      </c>
      <c r="C330">
        <v>95</v>
      </c>
      <c r="D330" t="s">
        <v>41</v>
      </c>
      <c r="E330">
        <v>65</v>
      </c>
      <c r="F330">
        <v>81</v>
      </c>
      <c r="G330">
        <v>12</v>
      </c>
      <c r="H330" t="s">
        <v>18</v>
      </c>
      <c r="I330" t="s">
        <v>14</v>
      </c>
      <c r="K330" t="str">
        <v>budget</v>
      </c>
      <c r="L330">
        <v>73</v>
      </c>
    </row>
    <row r="331" spans="2:12" x14ac:dyDescent="0.3">
      <c r="B331" t="s">
        <v>369</v>
      </c>
      <c r="C331">
        <v>95</v>
      </c>
      <c r="D331" t="s">
        <v>41</v>
      </c>
      <c r="E331">
        <v>65</v>
      </c>
      <c r="F331">
        <v>81</v>
      </c>
      <c r="G331">
        <v>52.91</v>
      </c>
      <c r="H331" t="s">
        <v>18</v>
      </c>
      <c r="I331" t="s">
        <v>18</v>
      </c>
      <c r="K331" t="str">
        <v>middle</v>
      </c>
      <c r="L331">
        <v>73</v>
      </c>
    </row>
    <row r="332" spans="2:12" x14ac:dyDescent="0.3">
      <c r="B332" t="s">
        <v>370</v>
      </c>
      <c r="C332">
        <v>94</v>
      </c>
      <c r="D332" t="s">
        <v>41</v>
      </c>
      <c r="E332">
        <v>64</v>
      </c>
      <c r="F332">
        <v>84</v>
      </c>
      <c r="G332">
        <v>35.270000000000003</v>
      </c>
      <c r="H332" t="s">
        <v>18</v>
      </c>
      <c r="I332" t="s">
        <v>14</v>
      </c>
      <c r="K332" t="str">
        <v>middle</v>
      </c>
      <c r="L332">
        <v>74</v>
      </c>
    </row>
    <row r="333" spans="2:12" x14ac:dyDescent="0.3">
      <c r="B333" t="s">
        <v>371</v>
      </c>
      <c r="C333">
        <v>95</v>
      </c>
      <c r="D333" t="s">
        <v>45</v>
      </c>
      <c r="E333">
        <v>60</v>
      </c>
      <c r="F333">
        <v>78</v>
      </c>
      <c r="G333">
        <v>9.6999999999999993</v>
      </c>
      <c r="H333" t="s">
        <v>18</v>
      </c>
      <c r="I333" t="s">
        <v>9</v>
      </c>
      <c r="K333" t="str">
        <v>budget</v>
      </c>
      <c r="L333">
        <v>69</v>
      </c>
    </row>
    <row r="334" spans="2:12" x14ac:dyDescent="0.3">
      <c r="B334" t="s">
        <v>372</v>
      </c>
      <c r="C334">
        <v>94</v>
      </c>
      <c r="D334" t="s">
        <v>41</v>
      </c>
      <c r="E334">
        <v>64</v>
      </c>
      <c r="F334">
        <v>86</v>
      </c>
      <c r="G334">
        <v>6.17</v>
      </c>
      <c r="H334" t="s">
        <v>18</v>
      </c>
      <c r="I334" t="s">
        <v>14</v>
      </c>
      <c r="K334" t="str">
        <v>budget</v>
      </c>
      <c r="L334">
        <v>75</v>
      </c>
    </row>
    <row r="335" spans="2:12" x14ac:dyDescent="0.3">
      <c r="B335" t="s">
        <v>373</v>
      </c>
      <c r="C335">
        <v>95</v>
      </c>
      <c r="D335" t="s">
        <v>41</v>
      </c>
      <c r="E335">
        <v>64</v>
      </c>
      <c r="F335">
        <v>80</v>
      </c>
      <c r="G335">
        <v>396.83</v>
      </c>
      <c r="H335" t="s">
        <v>2</v>
      </c>
      <c r="I335" t="s">
        <v>14</v>
      </c>
      <c r="K335" t="str">
        <v>premium</v>
      </c>
      <c r="L335">
        <v>72</v>
      </c>
    </row>
    <row r="336" spans="2:12" x14ac:dyDescent="0.3">
      <c r="B336" t="s">
        <v>374</v>
      </c>
      <c r="C336">
        <v>94</v>
      </c>
      <c r="D336" t="s">
        <v>45</v>
      </c>
      <c r="E336">
        <v>60</v>
      </c>
      <c r="F336">
        <v>80</v>
      </c>
      <c r="G336">
        <v>127.87</v>
      </c>
      <c r="H336" t="s">
        <v>2</v>
      </c>
      <c r="I336" t="s">
        <v>12</v>
      </c>
      <c r="K336" t="str">
        <v>premium</v>
      </c>
      <c r="L336">
        <v>70</v>
      </c>
    </row>
    <row r="337" spans="2:12" x14ac:dyDescent="0.3">
      <c r="B337" t="s">
        <v>375</v>
      </c>
      <c r="C337">
        <v>94</v>
      </c>
      <c r="D337" t="s">
        <v>41</v>
      </c>
      <c r="E337">
        <v>62</v>
      </c>
      <c r="F337">
        <v>84</v>
      </c>
      <c r="G337">
        <v>396.83</v>
      </c>
      <c r="H337" t="s">
        <v>2</v>
      </c>
      <c r="I337" t="s">
        <v>14</v>
      </c>
      <c r="K337" t="str">
        <v>premium</v>
      </c>
      <c r="L337">
        <v>73</v>
      </c>
    </row>
    <row r="338" spans="2:12" x14ac:dyDescent="0.3">
      <c r="B338" t="s">
        <v>376</v>
      </c>
      <c r="C338">
        <v>95</v>
      </c>
      <c r="D338" t="s">
        <v>45</v>
      </c>
      <c r="E338">
        <v>59</v>
      </c>
      <c r="F338">
        <v>77</v>
      </c>
      <c r="G338">
        <v>6.76</v>
      </c>
      <c r="H338" t="s">
        <v>18</v>
      </c>
      <c r="I338" t="s">
        <v>16</v>
      </c>
      <c r="K338" t="str">
        <v>budget</v>
      </c>
      <c r="L338">
        <v>68</v>
      </c>
    </row>
    <row r="339" spans="2:12" x14ac:dyDescent="0.3">
      <c r="B339" t="s">
        <v>377</v>
      </c>
      <c r="C339">
        <v>95</v>
      </c>
      <c r="D339" t="s">
        <v>41</v>
      </c>
      <c r="E339">
        <v>62</v>
      </c>
      <c r="F339">
        <v>82</v>
      </c>
      <c r="G339">
        <v>375</v>
      </c>
      <c r="H339" t="s">
        <v>2</v>
      </c>
      <c r="I339" t="s">
        <v>14</v>
      </c>
      <c r="K339" t="str">
        <v>premium</v>
      </c>
      <c r="L339">
        <v>72</v>
      </c>
    </row>
    <row r="340" spans="2:12" x14ac:dyDescent="0.3">
      <c r="B340" t="s">
        <v>378</v>
      </c>
      <c r="C340">
        <v>94</v>
      </c>
      <c r="D340" t="s">
        <v>41</v>
      </c>
      <c r="E340">
        <v>62</v>
      </c>
      <c r="F340">
        <v>80</v>
      </c>
      <c r="G340">
        <v>175</v>
      </c>
      <c r="H340" t="s">
        <v>2</v>
      </c>
      <c r="I340" t="s">
        <v>12</v>
      </c>
      <c r="K340" t="str">
        <v>premium</v>
      </c>
      <c r="L340">
        <v>71</v>
      </c>
    </row>
    <row r="341" spans="2:12" x14ac:dyDescent="0.3">
      <c r="B341" t="s">
        <v>302</v>
      </c>
      <c r="C341">
        <v>94</v>
      </c>
      <c r="D341" t="s">
        <v>45</v>
      </c>
      <c r="E341">
        <v>59</v>
      </c>
      <c r="F341">
        <v>77</v>
      </c>
      <c r="G341">
        <v>6.76</v>
      </c>
      <c r="H341" t="s">
        <v>18</v>
      </c>
      <c r="I341" t="s">
        <v>16</v>
      </c>
      <c r="K341" t="str">
        <v>budget</v>
      </c>
      <c r="L341">
        <v>68</v>
      </c>
    </row>
    <row r="342" spans="2:12" x14ac:dyDescent="0.3">
      <c r="B342" t="s">
        <v>379</v>
      </c>
      <c r="C342">
        <v>94</v>
      </c>
      <c r="D342" t="s">
        <v>41</v>
      </c>
      <c r="E342">
        <v>67</v>
      </c>
      <c r="F342">
        <v>86</v>
      </c>
      <c r="G342">
        <v>154.19</v>
      </c>
      <c r="H342" t="s">
        <v>2</v>
      </c>
      <c r="I342" t="s">
        <v>9</v>
      </c>
      <c r="K342" t="str">
        <v>premium</v>
      </c>
      <c r="L342">
        <v>76.5</v>
      </c>
    </row>
    <row r="343" spans="2:12" x14ac:dyDescent="0.3">
      <c r="B343" t="s">
        <v>380</v>
      </c>
      <c r="C343">
        <v>94</v>
      </c>
      <c r="D343" t="s">
        <v>41</v>
      </c>
      <c r="E343">
        <v>62</v>
      </c>
      <c r="F343">
        <v>80</v>
      </c>
      <c r="G343">
        <v>6.17</v>
      </c>
      <c r="H343" t="s">
        <v>18</v>
      </c>
      <c r="I343" t="s">
        <v>12</v>
      </c>
      <c r="K343" t="str">
        <v>budget</v>
      </c>
      <c r="L343">
        <v>71</v>
      </c>
    </row>
    <row r="344" spans="2:12" x14ac:dyDescent="0.3">
      <c r="B344" t="s">
        <v>112</v>
      </c>
      <c r="C344">
        <v>94</v>
      </c>
      <c r="D344" t="s">
        <v>45</v>
      </c>
      <c r="E344">
        <v>58</v>
      </c>
      <c r="F344">
        <v>77</v>
      </c>
      <c r="G344">
        <v>7.64</v>
      </c>
      <c r="H344" t="s">
        <v>18</v>
      </c>
      <c r="I344" t="s">
        <v>9</v>
      </c>
      <c r="K344" t="str">
        <v>budget</v>
      </c>
      <c r="L344">
        <v>67.5</v>
      </c>
    </row>
    <row r="345" spans="2:12" x14ac:dyDescent="0.3">
      <c r="B345" t="s">
        <v>381</v>
      </c>
      <c r="C345">
        <v>94</v>
      </c>
      <c r="D345" t="s">
        <v>45</v>
      </c>
      <c r="E345">
        <v>56</v>
      </c>
      <c r="F345">
        <v>80</v>
      </c>
      <c r="G345">
        <v>99.21</v>
      </c>
      <c r="H345" t="s">
        <v>2</v>
      </c>
      <c r="I345" t="s">
        <v>14</v>
      </c>
      <c r="K345" t="str">
        <v>middle</v>
      </c>
      <c r="L345">
        <v>68</v>
      </c>
    </row>
    <row r="346" spans="2:12" x14ac:dyDescent="0.3">
      <c r="B346" t="s">
        <v>382</v>
      </c>
      <c r="C346">
        <v>94</v>
      </c>
      <c r="D346" t="s">
        <v>41</v>
      </c>
      <c r="E346">
        <v>63</v>
      </c>
      <c r="F346">
        <v>81</v>
      </c>
      <c r="G346">
        <v>149.91</v>
      </c>
      <c r="H346" t="s">
        <v>2</v>
      </c>
      <c r="I346" t="s">
        <v>9</v>
      </c>
      <c r="K346" t="str">
        <v>premium</v>
      </c>
      <c r="L346">
        <v>72</v>
      </c>
    </row>
    <row r="347" spans="2:12" x14ac:dyDescent="0.3">
      <c r="B347" t="s">
        <v>383</v>
      </c>
      <c r="C347">
        <v>94</v>
      </c>
      <c r="D347" t="s">
        <v>41</v>
      </c>
      <c r="E347">
        <v>63</v>
      </c>
      <c r="F347">
        <v>81</v>
      </c>
      <c r="G347">
        <v>6.27</v>
      </c>
      <c r="H347" t="s">
        <v>18</v>
      </c>
      <c r="I347" t="s">
        <v>7</v>
      </c>
      <c r="K347" t="str">
        <v>budget</v>
      </c>
      <c r="L347">
        <v>72</v>
      </c>
    </row>
    <row r="348" spans="2:12" x14ac:dyDescent="0.3">
      <c r="B348" t="s">
        <v>384</v>
      </c>
      <c r="C348">
        <v>95</v>
      </c>
      <c r="D348" t="s">
        <v>45</v>
      </c>
      <c r="E348">
        <v>58</v>
      </c>
      <c r="F348">
        <v>80</v>
      </c>
      <c r="G348">
        <v>5.57</v>
      </c>
      <c r="H348" t="s">
        <v>18</v>
      </c>
      <c r="I348" t="s">
        <v>15</v>
      </c>
      <c r="K348" t="str">
        <v>budget</v>
      </c>
      <c r="L348">
        <v>69</v>
      </c>
    </row>
    <row r="349" spans="2:12" x14ac:dyDescent="0.3">
      <c r="B349" t="s">
        <v>385</v>
      </c>
      <c r="C349">
        <v>95</v>
      </c>
      <c r="D349" t="s">
        <v>82</v>
      </c>
      <c r="E349">
        <v>44</v>
      </c>
      <c r="F349">
        <v>62</v>
      </c>
      <c r="G349">
        <v>275</v>
      </c>
      <c r="H349" t="s">
        <v>2</v>
      </c>
      <c r="I349" t="s">
        <v>12</v>
      </c>
      <c r="K349" t="str">
        <v>premium</v>
      </c>
      <c r="L349">
        <v>53</v>
      </c>
    </row>
    <row r="350" spans="2:12" x14ac:dyDescent="0.3">
      <c r="B350" t="s">
        <v>386</v>
      </c>
      <c r="C350">
        <v>94</v>
      </c>
      <c r="D350" t="s">
        <v>45</v>
      </c>
      <c r="E350">
        <v>60</v>
      </c>
      <c r="F350">
        <v>78</v>
      </c>
      <c r="G350">
        <v>6.47</v>
      </c>
      <c r="H350" t="s">
        <v>18</v>
      </c>
      <c r="I350" t="s">
        <v>12</v>
      </c>
      <c r="K350" t="str">
        <v>budget</v>
      </c>
      <c r="L350">
        <v>69</v>
      </c>
    </row>
    <row r="351" spans="2:12" x14ac:dyDescent="0.3">
      <c r="B351" t="s">
        <v>387</v>
      </c>
      <c r="C351">
        <v>95</v>
      </c>
      <c r="D351" t="s">
        <v>41</v>
      </c>
      <c r="E351">
        <v>64</v>
      </c>
      <c r="F351">
        <v>84</v>
      </c>
      <c r="G351">
        <v>9.41</v>
      </c>
      <c r="H351" t="s">
        <v>18</v>
      </c>
      <c r="I351" t="s">
        <v>14</v>
      </c>
      <c r="K351" t="str">
        <v>budget</v>
      </c>
      <c r="L351">
        <v>74</v>
      </c>
    </row>
    <row r="352" spans="2:12" x14ac:dyDescent="0.3">
      <c r="B352" t="s">
        <v>388</v>
      </c>
      <c r="C352">
        <v>94</v>
      </c>
      <c r="D352" t="s">
        <v>41</v>
      </c>
      <c r="E352">
        <v>62</v>
      </c>
      <c r="F352">
        <v>80</v>
      </c>
      <c r="G352">
        <v>7.05</v>
      </c>
      <c r="H352" t="s">
        <v>18</v>
      </c>
      <c r="I352" t="s">
        <v>9</v>
      </c>
      <c r="K352" t="str">
        <v>budget</v>
      </c>
      <c r="L352">
        <v>71</v>
      </c>
    </row>
    <row r="353" spans="2:12" x14ac:dyDescent="0.3">
      <c r="B353" t="s">
        <v>389</v>
      </c>
      <c r="C353">
        <v>94</v>
      </c>
      <c r="D353" t="s">
        <v>41</v>
      </c>
      <c r="E353">
        <v>64</v>
      </c>
      <c r="F353">
        <v>86</v>
      </c>
      <c r="G353">
        <v>7.05</v>
      </c>
      <c r="H353" t="s">
        <v>18</v>
      </c>
      <c r="I353" t="s">
        <v>7</v>
      </c>
      <c r="K353" t="str">
        <v>budget</v>
      </c>
      <c r="L353">
        <v>75</v>
      </c>
    </row>
    <row r="354" spans="2:12" x14ac:dyDescent="0.3">
      <c r="B354" t="s">
        <v>390</v>
      </c>
      <c r="C354">
        <v>94</v>
      </c>
      <c r="D354" t="s">
        <v>45</v>
      </c>
      <c r="E354">
        <v>60</v>
      </c>
      <c r="F354">
        <v>78</v>
      </c>
      <c r="G354">
        <v>6.47</v>
      </c>
      <c r="H354" t="s">
        <v>18</v>
      </c>
      <c r="I354" t="s">
        <v>16</v>
      </c>
      <c r="K354" t="str">
        <v>budget</v>
      </c>
      <c r="L354">
        <v>69</v>
      </c>
    </row>
    <row r="355" spans="2:12" x14ac:dyDescent="0.3">
      <c r="B355" t="s">
        <v>391</v>
      </c>
      <c r="C355">
        <v>94</v>
      </c>
      <c r="D355" t="s">
        <v>41</v>
      </c>
      <c r="E355">
        <v>64</v>
      </c>
      <c r="F355">
        <v>84</v>
      </c>
      <c r="G355">
        <v>10.29</v>
      </c>
      <c r="H355" t="s">
        <v>18</v>
      </c>
      <c r="I355" t="s">
        <v>15</v>
      </c>
      <c r="K355" t="str">
        <v>budget</v>
      </c>
      <c r="L355">
        <v>74</v>
      </c>
    </row>
    <row r="356" spans="2:12" x14ac:dyDescent="0.3">
      <c r="B356" t="s">
        <v>392</v>
      </c>
      <c r="C356">
        <v>95</v>
      </c>
      <c r="D356" t="s">
        <v>41</v>
      </c>
      <c r="E356">
        <v>60</v>
      </c>
      <c r="F356">
        <v>82</v>
      </c>
      <c r="G356">
        <v>52.91</v>
      </c>
      <c r="H356" t="s">
        <v>18</v>
      </c>
      <c r="I356" t="s">
        <v>18</v>
      </c>
      <c r="K356" t="str">
        <v>middle</v>
      </c>
      <c r="L356">
        <v>71</v>
      </c>
    </row>
    <row r="357" spans="2:12" x14ac:dyDescent="0.3">
      <c r="B357" t="s">
        <v>393</v>
      </c>
      <c r="C357">
        <v>95</v>
      </c>
      <c r="D357" t="s">
        <v>45</v>
      </c>
      <c r="E357">
        <v>61</v>
      </c>
      <c r="F357">
        <v>80</v>
      </c>
      <c r="G357">
        <v>8.82</v>
      </c>
      <c r="H357" t="s">
        <v>18</v>
      </c>
      <c r="I357" t="s">
        <v>14</v>
      </c>
      <c r="K357" t="str">
        <v>budget</v>
      </c>
      <c r="L357">
        <v>70.5</v>
      </c>
    </row>
    <row r="358" spans="2:12" x14ac:dyDescent="0.3">
      <c r="B358" t="s">
        <v>394</v>
      </c>
      <c r="C358">
        <v>94</v>
      </c>
      <c r="D358" t="s">
        <v>45</v>
      </c>
      <c r="E358">
        <v>56</v>
      </c>
      <c r="F358">
        <v>84</v>
      </c>
      <c r="G358">
        <v>190</v>
      </c>
      <c r="H358" t="s">
        <v>2</v>
      </c>
      <c r="I358" t="s">
        <v>9</v>
      </c>
      <c r="K358" t="str">
        <v>premium</v>
      </c>
      <c r="L358">
        <v>70</v>
      </c>
    </row>
    <row r="359" spans="2:12" x14ac:dyDescent="0.3">
      <c r="B359" t="s">
        <v>395</v>
      </c>
      <c r="C359">
        <v>94</v>
      </c>
      <c r="D359" t="s">
        <v>41</v>
      </c>
      <c r="E359">
        <v>65</v>
      </c>
      <c r="F359">
        <v>84</v>
      </c>
      <c r="G359">
        <v>35.270000000000003</v>
      </c>
      <c r="H359" t="s">
        <v>18</v>
      </c>
      <c r="I359" t="s">
        <v>5</v>
      </c>
      <c r="K359" t="str">
        <v>middle</v>
      </c>
      <c r="L359">
        <v>74.5</v>
      </c>
    </row>
    <row r="360" spans="2:12" x14ac:dyDescent="0.3">
      <c r="B360" t="s">
        <v>396</v>
      </c>
      <c r="C360">
        <v>94</v>
      </c>
      <c r="D360" t="s">
        <v>41</v>
      </c>
      <c r="E360">
        <v>74</v>
      </c>
      <c r="F360">
        <v>100</v>
      </c>
      <c r="G360">
        <v>6.32</v>
      </c>
      <c r="H360" t="s">
        <v>18</v>
      </c>
      <c r="I360" t="s">
        <v>9</v>
      </c>
      <c r="K360" t="str">
        <v>budget</v>
      </c>
      <c r="L360">
        <v>87</v>
      </c>
    </row>
    <row r="361" spans="2:12" x14ac:dyDescent="0.3">
      <c r="B361" t="s">
        <v>397</v>
      </c>
      <c r="C361">
        <v>95</v>
      </c>
      <c r="D361" t="s">
        <v>41</v>
      </c>
      <c r="E361">
        <v>62</v>
      </c>
      <c r="F361">
        <v>84</v>
      </c>
      <c r="G361">
        <v>20.81</v>
      </c>
      <c r="H361" t="s">
        <v>18</v>
      </c>
      <c r="I361" t="s">
        <v>18</v>
      </c>
      <c r="K361" t="str">
        <v>budget</v>
      </c>
      <c r="L361">
        <v>73</v>
      </c>
    </row>
    <row r="362" spans="2:12" x14ac:dyDescent="0.3">
      <c r="B362" t="s">
        <v>398</v>
      </c>
      <c r="C362">
        <v>97</v>
      </c>
      <c r="D362" t="s">
        <v>41</v>
      </c>
      <c r="E362">
        <v>62</v>
      </c>
      <c r="F362">
        <v>80</v>
      </c>
      <c r="G362">
        <v>30.84</v>
      </c>
      <c r="H362" t="s">
        <v>18</v>
      </c>
      <c r="I362" t="s">
        <v>150</v>
      </c>
      <c r="K362" t="str">
        <v>middle</v>
      </c>
      <c r="L362">
        <v>71</v>
      </c>
    </row>
    <row r="363" spans="2:12" x14ac:dyDescent="0.3">
      <c r="B363" t="s">
        <v>399</v>
      </c>
      <c r="C363">
        <v>96</v>
      </c>
      <c r="D363" t="s">
        <v>41</v>
      </c>
      <c r="E363">
        <v>64</v>
      </c>
      <c r="F363">
        <v>82</v>
      </c>
      <c r="G363">
        <v>220.46</v>
      </c>
      <c r="H363" t="s">
        <v>18</v>
      </c>
      <c r="I363" t="s">
        <v>5</v>
      </c>
      <c r="K363" t="str">
        <v>premium</v>
      </c>
      <c r="L363">
        <v>73</v>
      </c>
    </row>
    <row r="364" spans="2:12" x14ac:dyDescent="0.3">
      <c r="B364" t="s">
        <v>400</v>
      </c>
      <c r="C364">
        <v>95</v>
      </c>
      <c r="D364" t="s">
        <v>45</v>
      </c>
      <c r="E364">
        <v>58</v>
      </c>
      <c r="F364">
        <v>76</v>
      </c>
      <c r="G364">
        <v>25.57</v>
      </c>
      <c r="H364" t="s">
        <v>18</v>
      </c>
      <c r="I364" t="s">
        <v>18</v>
      </c>
      <c r="K364" t="str">
        <v>middle</v>
      </c>
      <c r="L364">
        <v>67</v>
      </c>
    </row>
    <row r="365" spans="2:12" x14ac:dyDescent="0.3">
      <c r="B365" t="s">
        <v>401</v>
      </c>
      <c r="C365">
        <v>94</v>
      </c>
      <c r="D365" t="s">
        <v>45</v>
      </c>
      <c r="E365">
        <v>58</v>
      </c>
      <c r="F365">
        <v>77</v>
      </c>
      <c r="G365">
        <v>72.31</v>
      </c>
      <c r="H365" t="s">
        <v>18</v>
      </c>
      <c r="I365" t="s">
        <v>150</v>
      </c>
      <c r="K365" t="str">
        <v>middle</v>
      </c>
      <c r="L365">
        <v>67.5</v>
      </c>
    </row>
    <row r="366" spans="2:12" x14ac:dyDescent="0.3">
      <c r="B366" t="s">
        <v>402</v>
      </c>
      <c r="C366">
        <v>94</v>
      </c>
      <c r="D366" t="s">
        <v>41</v>
      </c>
      <c r="E366">
        <v>64</v>
      </c>
      <c r="F366">
        <v>82</v>
      </c>
      <c r="G366">
        <v>14.11</v>
      </c>
      <c r="H366" t="s">
        <v>18</v>
      </c>
      <c r="I366" t="s">
        <v>150</v>
      </c>
      <c r="K366" t="str">
        <v>budget</v>
      </c>
      <c r="L366">
        <v>73</v>
      </c>
    </row>
    <row r="367" spans="2:12" x14ac:dyDescent="0.3">
      <c r="B367" t="s">
        <v>403</v>
      </c>
      <c r="C367">
        <v>94</v>
      </c>
      <c r="D367" t="s">
        <v>45</v>
      </c>
      <c r="E367">
        <v>58</v>
      </c>
      <c r="F367">
        <v>74</v>
      </c>
      <c r="G367">
        <v>15.12</v>
      </c>
      <c r="H367" t="s">
        <v>18</v>
      </c>
      <c r="I367" t="s">
        <v>18</v>
      </c>
      <c r="K367" t="str">
        <v>budget</v>
      </c>
      <c r="L367">
        <v>66</v>
      </c>
    </row>
    <row r="368" spans="2:12" x14ac:dyDescent="0.3">
      <c r="B368" t="s">
        <v>404</v>
      </c>
      <c r="C368">
        <v>94</v>
      </c>
      <c r="D368" t="s">
        <v>45</v>
      </c>
      <c r="E368">
        <v>58</v>
      </c>
      <c r="F368">
        <v>80</v>
      </c>
      <c r="G368">
        <v>14.08</v>
      </c>
      <c r="H368" t="s">
        <v>18</v>
      </c>
      <c r="I368" t="s">
        <v>18</v>
      </c>
      <c r="K368" t="str">
        <v>budget</v>
      </c>
      <c r="L368">
        <v>69</v>
      </c>
    </row>
    <row r="369" spans="2:12" x14ac:dyDescent="0.3">
      <c r="B369" t="s">
        <v>405</v>
      </c>
      <c r="C369">
        <v>95</v>
      </c>
      <c r="D369" t="s">
        <v>41</v>
      </c>
      <c r="E369">
        <v>62</v>
      </c>
      <c r="F369">
        <v>82</v>
      </c>
      <c r="G369">
        <v>8.82</v>
      </c>
      <c r="H369" t="s">
        <v>18</v>
      </c>
      <c r="I369" t="s">
        <v>14</v>
      </c>
      <c r="K369" t="str">
        <v>budget</v>
      </c>
      <c r="L369">
        <v>72</v>
      </c>
    </row>
    <row r="370" spans="2:12" x14ac:dyDescent="0.3">
      <c r="B370" t="s">
        <v>406</v>
      </c>
      <c r="C370">
        <v>94</v>
      </c>
      <c r="D370" t="s">
        <v>45</v>
      </c>
      <c r="E370">
        <v>58</v>
      </c>
      <c r="F370">
        <v>78</v>
      </c>
      <c r="G370">
        <v>8.82</v>
      </c>
      <c r="H370" t="s">
        <v>18</v>
      </c>
      <c r="I370" t="s">
        <v>14</v>
      </c>
      <c r="K370" t="str">
        <v>budget</v>
      </c>
      <c r="L370">
        <v>68</v>
      </c>
    </row>
    <row r="371" spans="2:12" x14ac:dyDescent="0.3">
      <c r="B371" t="s">
        <v>407</v>
      </c>
      <c r="C371">
        <v>94</v>
      </c>
      <c r="D371" t="s">
        <v>82</v>
      </c>
      <c r="E371">
        <v>43</v>
      </c>
      <c r="F371">
        <v>61</v>
      </c>
      <c r="G371">
        <v>17.64</v>
      </c>
      <c r="H371" t="s">
        <v>2</v>
      </c>
      <c r="I371" t="s">
        <v>9</v>
      </c>
      <c r="K371" t="str">
        <v>budget</v>
      </c>
      <c r="L371">
        <v>52</v>
      </c>
    </row>
    <row r="372" spans="2:12" x14ac:dyDescent="0.3">
      <c r="B372" t="s">
        <v>408</v>
      </c>
      <c r="C372">
        <v>95</v>
      </c>
      <c r="D372" t="s">
        <v>41</v>
      </c>
      <c r="E372">
        <v>62</v>
      </c>
      <c r="F372">
        <v>80</v>
      </c>
      <c r="G372">
        <v>6.76</v>
      </c>
      <c r="H372" t="s">
        <v>18</v>
      </c>
      <c r="I372" t="s">
        <v>9</v>
      </c>
      <c r="K372" t="str">
        <v>budget</v>
      </c>
      <c r="L372">
        <v>71</v>
      </c>
    </row>
    <row r="373" spans="2:12" x14ac:dyDescent="0.3">
      <c r="B373" t="s">
        <v>409</v>
      </c>
      <c r="C373">
        <v>94</v>
      </c>
      <c r="D373" t="s">
        <v>45</v>
      </c>
      <c r="E373">
        <v>58</v>
      </c>
      <c r="F373">
        <v>76</v>
      </c>
      <c r="G373">
        <v>7.2</v>
      </c>
      <c r="H373" t="s">
        <v>18</v>
      </c>
      <c r="I373" t="s">
        <v>9</v>
      </c>
      <c r="K373" t="str">
        <v>budget</v>
      </c>
      <c r="L373">
        <v>67</v>
      </c>
    </row>
    <row r="374" spans="2:12" x14ac:dyDescent="0.3">
      <c r="B374" t="s">
        <v>410</v>
      </c>
      <c r="C374">
        <v>95</v>
      </c>
      <c r="D374" t="s">
        <v>41</v>
      </c>
      <c r="E374">
        <v>66</v>
      </c>
      <c r="F374">
        <v>84</v>
      </c>
      <c r="G374">
        <v>343.61</v>
      </c>
      <c r="H374" t="s">
        <v>2</v>
      </c>
      <c r="I374" t="s">
        <v>14</v>
      </c>
      <c r="K374" t="str">
        <v>premium</v>
      </c>
      <c r="L374">
        <v>75</v>
      </c>
    </row>
    <row r="375" spans="2:12" x14ac:dyDescent="0.3">
      <c r="B375" t="s">
        <v>411</v>
      </c>
      <c r="C375">
        <v>94</v>
      </c>
      <c r="D375" t="s">
        <v>41</v>
      </c>
      <c r="E375">
        <v>64</v>
      </c>
      <c r="F375">
        <v>86</v>
      </c>
      <c r="G375">
        <v>88.18</v>
      </c>
      <c r="H375" t="s">
        <v>2</v>
      </c>
      <c r="I375" t="s">
        <v>9</v>
      </c>
      <c r="K375" t="str">
        <v>middle</v>
      </c>
      <c r="L375">
        <v>75</v>
      </c>
    </row>
    <row r="376" spans="2:12" x14ac:dyDescent="0.3">
      <c r="B376" t="s">
        <v>412</v>
      </c>
      <c r="C376">
        <v>94</v>
      </c>
      <c r="D376" t="s">
        <v>45</v>
      </c>
      <c r="E376">
        <v>60</v>
      </c>
      <c r="F376">
        <v>76</v>
      </c>
      <c r="G376">
        <v>312.77999999999997</v>
      </c>
      <c r="H376" t="s">
        <v>2</v>
      </c>
      <c r="I376" t="s">
        <v>14</v>
      </c>
      <c r="K376" t="str">
        <v>premium</v>
      </c>
      <c r="L376">
        <v>68</v>
      </c>
    </row>
    <row r="377" spans="2:12" x14ac:dyDescent="0.3">
      <c r="B377" t="s">
        <v>413</v>
      </c>
      <c r="C377">
        <v>94</v>
      </c>
      <c r="D377" t="s">
        <v>45</v>
      </c>
      <c r="E377">
        <v>60</v>
      </c>
      <c r="F377">
        <v>78</v>
      </c>
      <c r="G377">
        <v>105.73</v>
      </c>
      <c r="H377" t="s">
        <v>2</v>
      </c>
      <c r="I377" t="s">
        <v>12</v>
      </c>
      <c r="K377" t="str">
        <v>premium</v>
      </c>
      <c r="L377">
        <v>69</v>
      </c>
    </row>
    <row r="378" spans="2:12" x14ac:dyDescent="0.3">
      <c r="B378" t="s">
        <v>414</v>
      </c>
      <c r="C378">
        <v>94</v>
      </c>
      <c r="D378" t="s">
        <v>45</v>
      </c>
      <c r="E378">
        <v>60</v>
      </c>
      <c r="F378">
        <v>80</v>
      </c>
      <c r="G378">
        <v>286.33999999999997</v>
      </c>
      <c r="H378" t="s">
        <v>2</v>
      </c>
      <c r="I378" t="s">
        <v>14</v>
      </c>
      <c r="K378" t="str">
        <v>premium</v>
      </c>
      <c r="L378">
        <v>70</v>
      </c>
    </row>
    <row r="379" spans="2:12" x14ac:dyDescent="0.3">
      <c r="B379" t="s">
        <v>54</v>
      </c>
      <c r="C379">
        <v>96</v>
      </c>
      <c r="D379" t="s">
        <v>41</v>
      </c>
      <c r="E379">
        <v>62</v>
      </c>
      <c r="F379">
        <v>80</v>
      </c>
      <c r="G379">
        <v>11.9</v>
      </c>
      <c r="H379" t="s">
        <v>18</v>
      </c>
      <c r="I379" t="s">
        <v>14</v>
      </c>
      <c r="K379" t="str">
        <v>budget</v>
      </c>
      <c r="L379">
        <v>71</v>
      </c>
    </row>
    <row r="380" spans="2:12" x14ac:dyDescent="0.3">
      <c r="B380" t="s">
        <v>415</v>
      </c>
      <c r="C380">
        <v>95</v>
      </c>
      <c r="D380" t="s">
        <v>45</v>
      </c>
      <c r="E380">
        <v>62</v>
      </c>
      <c r="F380">
        <v>78</v>
      </c>
      <c r="G380">
        <v>143.30000000000001</v>
      </c>
      <c r="H380" t="s">
        <v>2</v>
      </c>
      <c r="I380" t="s">
        <v>9</v>
      </c>
      <c r="K380" t="str">
        <v>premium</v>
      </c>
      <c r="L380">
        <v>70</v>
      </c>
    </row>
    <row r="381" spans="2:12" x14ac:dyDescent="0.3">
      <c r="B381" t="s">
        <v>416</v>
      </c>
      <c r="C381">
        <v>95</v>
      </c>
      <c r="D381" t="s">
        <v>41</v>
      </c>
      <c r="E381">
        <v>64</v>
      </c>
      <c r="F381">
        <v>86</v>
      </c>
      <c r="G381">
        <v>143.30000000000001</v>
      </c>
      <c r="H381" t="s">
        <v>2</v>
      </c>
      <c r="I381" t="s">
        <v>9</v>
      </c>
      <c r="K381" t="str">
        <v>premium</v>
      </c>
      <c r="L381">
        <v>75</v>
      </c>
    </row>
    <row r="382" spans="2:12" x14ac:dyDescent="0.3">
      <c r="B382" t="s">
        <v>417</v>
      </c>
      <c r="C382">
        <v>94</v>
      </c>
      <c r="D382" t="s">
        <v>45</v>
      </c>
      <c r="E382">
        <v>58</v>
      </c>
      <c r="F382">
        <v>78</v>
      </c>
      <c r="G382">
        <v>110.23</v>
      </c>
      <c r="H382" t="s">
        <v>2</v>
      </c>
      <c r="I382" t="s">
        <v>6</v>
      </c>
      <c r="K382" t="str">
        <v>premium</v>
      </c>
      <c r="L382">
        <v>68</v>
      </c>
    </row>
    <row r="383" spans="2:12" x14ac:dyDescent="0.3">
      <c r="B383" t="s">
        <v>418</v>
      </c>
      <c r="C383">
        <v>94</v>
      </c>
      <c r="D383" t="s">
        <v>45</v>
      </c>
      <c r="E383">
        <v>58</v>
      </c>
      <c r="F383">
        <v>74</v>
      </c>
      <c r="G383">
        <v>238.1</v>
      </c>
      <c r="H383" t="s">
        <v>2</v>
      </c>
      <c r="I383" t="s">
        <v>15</v>
      </c>
      <c r="K383" t="str">
        <v>premium</v>
      </c>
      <c r="L383">
        <v>66</v>
      </c>
    </row>
    <row r="384" spans="2:12" x14ac:dyDescent="0.3">
      <c r="B384" t="s">
        <v>419</v>
      </c>
      <c r="C384">
        <v>94</v>
      </c>
      <c r="D384" t="s">
        <v>41</v>
      </c>
      <c r="E384">
        <v>62</v>
      </c>
      <c r="F384">
        <v>80</v>
      </c>
      <c r="G384">
        <v>132.28</v>
      </c>
      <c r="H384" t="s">
        <v>2</v>
      </c>
      <c r="I384" t="s">
        <v>9</v>
      </c>
      <c r="K384" t="str">
        <v>premium</v>
      </c>
      <c r="L384">
        <v>71</v>
      </c>
    </row>
    <row r="385" spans="2:12" x14ac:dyDescent="0.3">
      <c r="B385" t="s">
        <v>420</v>
      </c>
      <c r="C385">
        <v>94</v>
      </c>
      <c r="D385" t="s">
        <v>41</v>
      </c>
      <c r="E385">
        <v>64</v>
      </c>
      <c r="F385">
        <v>86</v>
      </c>
      <c r="G385">
        <v>143.30000000000001</v>
      </c>
      <c r="H385" t="s">
        <v>2</v>
      </c>
      <c r="I385" t="s">
        <v>12</v>
      </c>
      <c r="K385" t="str">
        <v>premium</v>
      </c>
      <c r="L385">
        <v>75</v>
      </c>
    </row>
    <row r="386" spans="2:12" x14ac:dyDescent="0.3">
      <c r="B386" t="s">
        <v>421</v>
      </c>
      <c r="C386">
        <v>94</v>
      </c>
      <c r="D386" t="s">
        <v>41</v>
      </c>
      <c r="E386">
        <v>62</v>
      </c>
      <c r="F386">
        <v>84</v>
      </c>
      <c r="G386">
        <v>161.38</v>
      </c>
      <c r="H386" t="s">
        <v>2</v>
      </c>
      <c r="I386" t="s">
        <v>14</v>
      </c>
      <c r="K386" t="str">
        <v>premium</v>
      </c>
      <c r="L386">
        <v>73</v>
      </c>
    </row>
    <row r="387" spans="2:12" x14ac:dyDescent="0.3">
      <c r="B387" t="s">
        <v>422</v>
      </c>
      <c r="C387">
        <v>94</v>
      </c>
      <c r="D387" t="s">
        <v>41</v>
      </c>
      <c r="E387">
        <v>62</v>
      </c>
      <c r="F387">
        <v>82</v>
      </c>
      <c r="G387">
        <v>11.76</v>
      </c>
      <c r="H387" t="s">
        <v>18</v>
      </c>
      <c r="I387" t="s">
        <v>14</v>
      </c>
      <c r="K387" t="str">
        <v>budget</v>
      </c>
      <c r="L387">
        <v>72</v>
      </c>
    </row>
    <row r="388" spans="2:12" x14ac:dyDescent="0.3">
      <c r="B388" t="s">
        <v>423</v>
      </c>
      <c r="C388">
        <v>94</v>
      </c>
      <c r="D388" t="s">
        <v>45</v>
      </c>
      <c r="E388">
        <v>59</v>
      </c>
      <c r="F388">
        <v>77</v>
      </c>
      <c r="G388">
        <v>7.94</v>
      </c>
      <c r="H388" t="s">
        <v>18</v>
      </c>
      <c r="I388" t="s">
        <v>15</v>
      </c>
      <c r="K388" t="str">
        <v>budget</v>
      </c>
      <c r="L388">
        <v>68</v>
      </c>
    </row>
    <row r="389" spans="2:12" x14ac:dyDescent="0.3">
      <c r="B389" t="s">
        <v>276</v>
      </c>
      <c r="C389">
        <v>94</v>
      </c>
      <c r="D389" t="s">
        <v>45</v>
      </c>
      <c r="E389">
        <v>56</v>
      </c>
      <c r="F389">
        <v>74</v>
      </c>
      <c r="G389">
        <v>6.47</v>
      </c>
      <c r="H389" t="s">
        <v>18</v>
      </c>
      <c r="I389" t="s">
        <v>12</v>
      </c>
      <c r="K389" t="str">
        <v>budget</v>
      </c>
      <c r="L389">
        <v>65</v>
      </c>
    </row>
    <row r="390" spans="2:12" x14ac:dyDescent="0.3">
      <c r="B390" t="s">
        <v>424</v>
      </c>
      <c r="C390">
        <v>94</v>
      </c>
      <c r="D390" t="s">
        <v>41</v>
      </c>
      <c r="E390">
        <v>64</v>
      </c>
      <c r="F390">
        <v>86</v>
      </c>
      <c r="G390">
        <v>242.29</v>
      </c>
      <c r="H390" t="s">
        <v>2</v>
      </c>
      <c r="I390" t="s">
        <v>9</v>
      </c>
      <c r="K390" t="str">
        <v>premium</v>
      </c>
      <c r="L390">
        <v>75</v>
      </c>
    </row>
    <row r="391" spans="2:12" x14ac:dyDescent="0.3">
      <c r="B391" t="s">
        <v>425</v>
      </c>
      <c r="C391">
        <v>94</v>
      </c>
      <c r="D391" t="s">
        <v>45</v>
      </c>
      <c r="E391">
        <v>60</v>
      </c>
      <c r="F391">
        <v>78</v>
      </c>
      <c r="G391">
        <v>6.47</v>
      </c>
      <c r="H391" t="s">
        <v>18</v>
      </c>
      <c r="I391" t="s">
        <v>9</v>
      </c>
      <c r="K391" t="str">
        <v>budget</v>
      </c>
      <c r="L391">
        <v>69</v>
      </c>
    </row>
    <row r="392" spans="2:12" x14ac:dyDescent="0.3">
      <c r="B392" t="s">
        <v>426</v>
      </c>
      <c r="C392">
        <v>95</v>
      </c>
      <c r="D392" t="s">
        <v>41</v>
      </c>
      <c r="E392">
        <v>64</v>
      </c>
      <c r="F392">
        <v>86</v>
      </c>
      <c r="G392">
        <v>88.18</v>
      </c>
      <c r="H392" t="s">
        <v>18</v>
      </c>
      <c r="I392" t="s">
        <v>18</v>
      </c>
      <c r="K392" t="str">
        <v>middle</v>
      </c>
      <c r="L392">
        <v>75</v>
      </c>
    </row>
    <row r="393" spans="2:12" x14ac:dyDescent="0.3">
      <c r="B393" t="s">
        <v>427</v>
      </c>
      <c r="C393">
        <v>94</v>
      </c>
      <c r="D393" t="s">
        <v>41</v>
      </c>
      <c r="E393">
        <v>64</v>
      </c>
      <c r="F393">
        <v>82</v>
      </c>
      <c r="G393">
        <v>200</v>
      </c>
      <c r="H393" t="s">
        <v>2</v>
      </c>
      <c r="I393" t="s">
        <v>9</v>
      </c>
      <c r="K393" t="str">
        <v>premium</v>
      </c>
      <c r="L393">
        <v>73</v>
      </c>
    </row>
    <row r="394" spans="2:12" x14ac:dyDescent="0.3">
      <c r="B394" t="s">
        <v>428</v>
      </c>
      <c r="C394">
        <v>94</v>
      </c>
      <c r="D394" t="s">
        <v>41</v>
      </c>
      <c r="E394">
        <v>64</v>
      </c>
      <c r="F394">
        <v>86</v>
      </c>
      <c r="G394">
        <v>427.31</v>
      </c>
      <c r="H394" t="s">
        <v>2</v>
      </c>
      <c r="I394" t="s">
        <v>9</v>
      </c>
      <c r="K394" t="str">
        <v>premium</v>
      </c>
      <c r="L394">
        <v>75</v>
      </c>
    </row>
    <row r="395" spans="2:12" x14ac:dyDescent="0.3">
      <c r="B395" t="s">
        <v>429</v>
      </c>
      <c r="C395">
        <v>94</v>
      </c>
      <c r="D395" t="s">
        <v>45</v>
      </c>
      <c r="E395">
        <v>52</v>
      </c>
      <c r="F395">
        <v>78</v>
      </c>
      <c r="G395">
        <v>237.65</v>
      </c>
      <c r="H395" t="s">
        <v>2</v>
      </c>
      <c r="I395" t="s">
        <v>14</v>
      </c>
      <c r="K395" t="str">
        <v>premium</v>
      </c>
      <c r="L395">
        <v>65</v>
      </c>
    </row>
    <row r="396" spans="2:12" x14ac:dyDescent="0.3">
      <c r="B396" t="s">
        <v>430</v>
      </c>
      <c r="C396">
        <v>94</v>
      </c>
      <c r="D396" t="s">
        <v>41</v>
      </c>
      <c r="E396">
        <v>64</v>
      </c>
      <c r="F396">
        <v>80</v>
      </c>
      <c r="G396">
        <v>26.01</v>
      </c>
      <c r="H396" t="s">
        <v>18</v>
      </c>
      <c r="I396" t="s">
        <v>15</v>
      </c>
      <c r="K396" t="str">
        <v>middle</v>
      </c>
      <c r="L396">
        <v>72</v>
      </c>
    </row>
    <row r="397" spans="2:12" x14ac:dyDescent="0.3">
      <c r="B397" t="s">
        <v>431</v>
      </c>
      <c r="C397">
        <v>94</v>
      </c>
      <c r="D397" t="s">
        <v>82</v>
      </c>
      <c r="E397">
        <v>46</v>
      </c>
      <c r="F397">
        <v>70</v>
      </c>
      <c r="G397">
        <v>286.60000000000002</v>
      </c>
      <c r="H397" t="s">
        <v>2</v>
      </c>
      <c r="I397" t="s">
        <v>9</v>
      </c>
      <c r="K397" t="str">
        <v>premium</v>
      </c>
      <c r="L397">
        <v>58</v>
      </c>
    </row>
    <row r="398" spans="2:12" x14ac:dyDescent="0.3">
      <c r="B398" t="s">
        <v>432</v>
      </c>
      <c r="C398">
        <v>98</v>
      </c>
      <c r="D398" t="s">
        <v>45</v>
      </c>
      <c r="E398">
        <v>58</v>
      </c>
      <c r="F398">
        <v>74</v>
      </c>
      <c r="G398">
        <v>10</v>
      </c>
      <c r="H398" t="s">
        <v>2</v>
      </c>
      <c r="I398" t="s">
        <v>5</v>
      </c>
      <c r="K398" t="str">
        <v>budget</v>
      </c>
      <c r="L398">
        <v>66</v>
      </c>
    </row>
    <row r="399" spans="2:12" x14ac:dyDescent="0.3">
      <c r="B399" t="s">
        <v>433</v>
      </c>
      <c r="C399">
        <v>94</v>
      </c>
      <c r="D399" t="s">
        <v>45</v>
      </c>
      <c r="E399">
        <v>58</v>
      </c>
      <c r="F399">
        <v>78</v>
      </c>
      <c r="G399">
        <v>5.88</v>
      </c>
      <c r="H399" t="s">
        <v>18</v>
      </c>
      <c r="I399" t="s">
        <v>21</v>
      </c>
      <c r="K399" t="str">
        <v>budget</v>
      </c>
      <c r="L399">
        <v>68</v>
      </c>
    </row>
    <row r="400" spans="2:12" x14ac:dyDescent="0.3">
      <c r="B400" t="s">
        <v>434</v>
      </c>
      <c r="C400">
        <v>94</v>
      </c>
      <c r="D400" t="s">
        <v>45</v>
      </c>
      <c r="E400">
        <v>60</v>
      </c>
      <c r="F400">
        <v>78</v>
      </c>
      <c r="G400">
        <v>6.76</v>
      </c>
      <c r="H400" t="s">
        <v>18</v>
      </c>
      <c r="I400" t="s">
        <v>15</v>
      </c>
      <c r="K400" t="str">
        <v>budget</v>
      </c>
      <c r="L400">
        <v>69</v>
      </c>
    </row>
    <row r="401" spans="2:12" x14ac:dyDescent="0.3">
      <c r="B401" t="s">
        <v>435</v>
      </c>
      <c r="C401">
        <v>95</v>
      </c>
      <c r="D401" t="s">
        <v>41</v>
      </c>
      <c r="E401">
        <v>48</v>
      </c>
      <c r="F401">
        <v>68</v>
      </c>
      <c r="G401">
        <v>352.73</v>
      </c>
      <c r="H401" t="s">
        <v>2</v>
      </c>
      <c r="I401" t="s">
        <v>17</v>
      </c>
      <c r="K401" t="str">
        <v>premium</v>
      </c>
      <c r="L401">
        <v>58</v>
      </c>
    </row>
    <row r="402" spans="2:12" x14ac:dyDescent="0.3">
      <c r="B402" t="s">
        <v>436</v>
      </c>
      <c r="C402">
        <v>95</v>
      </c>
      <c r="D402" t="s">
        <v>41</v>
      </c>
      <c r="E402">
        <v>70</v>
      </c>
      <c r="F402">
        <v>85</v>
      </c>
      <c r="G402">
        <v>27</v>
      </c>
      <c r="H402" t="s">
        <v>27</v>
      </c>
      <c r="I402" t="s">
        <v>14</v>
      </c>
      <c r="K402" t="str">
        <v>middle</v>
      </c>
      <c r="L402">
        <v>77.5</v>
      </c>
    </row>
    <row r="403" spans="2:12" x14ac:dyDescent="0.3">
      <c r="B403" t="s">
        <v>430</v>
      </c>
      <c r="C403">
        <v>95</v>
      </c>
      <c r="D403" t="s">
        <v>41</v>
      </c>
      <c r="E403">
        <v>66</v>
      </c>
      <c r="F403">
        <v>82</v>
      </c>
      <c r="G403">
        <v>11.46</v>
      </c>
      <c r="H403" t="s">
        <v>18</v>
      </c>
      <c r="I403" t="s">
        <v>15</v>
      </c>
      <c r="K403" t="str">
        <v>budget</v>
      </c>
      <c r="L403">
        <v>74</v>
      </c>
    </row>
    <row r="404" spans="2:12" x14ac:dyDescent="0.3">
      <c r="B404" t="s">
        <v>437</v>
      </c>
      <c r="C404">
        <v>97</v>
      </c>
      <c r="D404" t="s">
        <v>45</v>
      </c>
      <c r="E404">
        <v>52</v>
      </c>
      <c r="F404">
        <v>72</v>
      </c>
      <c r="G404">
        <v>30.84</v>
      </c>
      <c r="H404" t="s">
        <v>18</v>
      </c>
      <c r="I404" t="s">
        <v>18</v>
      </c>
      <c r="K404" t="str">
        <v>middle</v>
      </c>
      <c r="L404">
        <v>62</v>
      </c>
    </row>
    <row r="405" spans="2:12" x14ac:dyDescent="0.3">
      <c r="B405" t="s">
        <v>438</v>
      </c>
      <c r="C405">
        <v>96</v>
      </c>
      <c r="D405" t="s">
        <v>45</v>
      </c>
      <c r="E405">
        <v>60</v>
      </c>
      <c r="F405">
        <v>78</v>
      </c>
      <c r="G405">
        <v>9.48</v>
      </c>
      <c r="H405" t="s">
        <v>18</v>
      </c>
      <c r="I405" t="s">
        <v>14</v>
      </c>
      <c r="K405" t="str">
        <v>budget</v>
      </c>
      <c r="L405">
        <v>69</v>
      </c>
    </row>
    <row r="406" spans="2:12" x14ac:dyDescent="0.3">
      <c r="B406" t="s">
        <v>439</v>
      </c>
      <c r="C406">
        <v>95</v>
      </c>
      <c r="D406" t="s">
        <v>45</v>
      </c>
      <c r="E406">
        <v>58</v>
      </c>
      <c r="F406">
        <v>78</v>
      </c>
      <c r="G406">
        <v>24.23</v>
      </c>
      <c r="H406" t="s">
        <v>18</v>
      </c>
      <c r="I406" t="s">
        <v>18</v>
      </c>
      <c r="K406" t="str">
        <v>budget</v>
      </c>
      <c r="L406">
        <v>68</v>
      </c>
    </row>
    <row r="407" spans="2:12" x14ac:dyDescent="0.3">
      <c r="B407" t="s">
        <v>440</v>
      </c>
      <c r="C407">
        <v>96</v>
      </c>
      <c r="D407" t="s">
        <v>41</v>
      </c>
      <c r="E407">
        <v>65</v>
      </c>
      <c r="F407">
        <v>83</v>
      </c>
      <c r="G407">
        <v>24</v>
      </c>
      <c r="H407" t="s">
        <v>18</v>
      </c>
      <c r="I407" t="s">
        <v>14</v>
      </c>
      <c r="K407" t="str">
        <v>budget</v>
      </c>
      <c r="L407">
        <v>74</v>
      </c>
    </row>
    <row r="408" spans="2:12" x14ac:dyDescent="0.3">
      <c r="B408" t="s">
        <v>441</v>
      </c>
      <c r="C408">
        <v>95</v>
      </c>
      <c r="D408" t="s">
        <v>41</v>
      </c>
      <c r="E408">
        <v>64</v>
      </c>
      <c r="F408">
        <v>88</v>
      </c>
      <c r="G408">
        <v>8.52</v>
      </c>
      <c r="H408" t="s">
        <v>18</v>
      </c>
      <c r="I408" t="s">
        <v>6</v>
      </c>
      <c r="K408" t="str">
        <v>budget</v>
      </c>
      <c r="L408">
        <v>76</v>
      </c>
    </row>
    <row r="409" spans="2:12" x14ac:dyDescent="0.3">
      <c r="B409" t="s">
        <v>130</v>
      </c>
      <c r="C409">
        <v>95</v>
      </c>
      <c r="D409" t="s">
        <v>41</v>
      </c>
      <c r="E409">
        <v>64</v>
      </c>
      <c r="F409">
        <v>84</v>
      </c>
      <c r="G409">
        <v>7.05</v>
      </c>
      <c r="H409" t="s">
        <v>18</v>
      </c>
      <c r="I409" t="s">
        <v>9</v>
      </c>
      <c r="K409" t="str">
        <v>budget</v>
      </c>
      <c r="L409">
        <v>74</v>
      </c>
    </row>
    <row r="410" spans="2:12" x14ac:dyDescent="0.3">
      <c r="B410" t="s">
        <v>442</v>
      </c>
      <c r="C410">
        <v>95</v>
      </c>
      <c r="D410" t="s">
        <v>41</v>
      </c>
      <c r="E410">
        <v>62</v>
      </c>
      <c r="F410">
        <v>80</v>
      </c>
      <c r="G410">
        <v>7.64</v>
      </c>
      <c r="H410" t="s">
        <v>18</v>
      </c>
      <c r="I410" t="s">
        <v>12</v>
      </c>
      <c r="K410" t="str">
        <v>budget</v>
      </c>
      <c r="L410">
        <v>71</v>
      </c>
    </row>
    <row r="411" spans="2:12" x14ac:dyDescent="0.3">
      <c r="B411" t="s">
        <v>443</v>
      </c>
      <c r="C411">
        <v>95</v>
      </c>
      <c r="D411" t="s">
        <v>41</v>
      </c>
      <c r="E411">
        <v>62</v>
      </c>
      <c r="F411">
        <v>80</v>
      </c>
      <c r="G411">
        <v>229.28</v>
      </c>
      <c r="H411" t="s">
        <v>2</v>
      </c>
      <c r="I411" t="s">
        <v>14</v>
      </c>
      <c r="K411" t="str">
        <v>premium</v>
      </c>
      <c r="L411">
        <v>71</v>
      </c>
    </row>
    <row r="412" spans="2:12" x14ac:dyDescent="0.3">
      <c r="B412" t="s">
        <v>444</v>
      </c>
      <c r="C412">
        <v>94</v>
      </c>
      <c r="D412" t="s">
        <v>41</v>
      </c>
      <c r="E412">
        <v>74</v>
      </c>
      <c r="F412">
        <v>90</v>
      </c>
      <c r="G412">
        <v>14.55</v>
      </c>
      <c r="H412" t="s">
        <v>18</v>
      </c>
      <c r="I412" t="s">
        <v>14</v>
      </c>
      <c r="K412" t="str">
        <v>budget</v>
      </c>
      <c r="L412">
        <v>82</v>
      </c>
    </row>
    <row r="413" spans="2:12" x14ac:dyDescent="0.3">
      <c r="B413" t="s">
        <v>445</v>
      </c>
      <c r="C413">
        <v>94</v>
      </c>
      <c r="D413" t="s">
        <v>45</v>
      </c>
      <c r="E413">
        <v>60</v>
      </c>
      <c r="F413">
        <v>78</v>
      </c>
      <c r="G413">
        <v>8.8000000000000007</v>
      </c>
      <c r="H413" t="s">
        <v>18</v>
      </c>
      <c r="I413" t="s">
        <v>14</v>
      </c>
      <c r="K413" t="str">
        <v>budget</v>
      </c>
      <c r="L413">
        <v>69</v>
      </c>
    </row>
    <row r="414" spans="2:12" x14ac:dyDescent="0.3">
      <c r="B414" t="s">
        <v>446</v>
      </c>
      <c r="C414">
        <v>94</v>
      </c>
      <c r="D414" t="s">
        <v>45</v>
      </c>
      <c r="E414">
        <v>60</v>
      </c>
      <c r="F414">
        <v>78</v>
      </c>
      <c r="G414">
        <v>9.99</v>
      </c>
      <c r="H414" t="s">
        <v>2</v>
      </c>
      <c r="I414" t="s">
        <v>7</v>
      </c>
      <c r="K414" t="str">
        <v>budget</v>
      </c>
      <c r="L414">
        <v>69</v>
      </c>
    </row>
    <row r="415" spans="2:12" x14ac:dyDescent="0.3">
      <c r="B415" t="s">
        <v>447</v>
      </c>
      <c r="C415">
        <v>94</v>
      </c>
      <c r="D415" t="s">
        <v>45</v>
      </c>
      <c r="E415">
        <v>58</v>
      </c>
      <c r="F415">
        <v>78</v>
      </c>
      <c r="G415">
        <v>6.61</v>
      </c>
      <c r="H415" t="s">
        <v>2</v>
      </c>
      <c r="I415" t="s">
        <v>7</v>
      </c>
      <c r="K415" t="str">
        <v>budget</v>
      </c>
      <c r="L415">
        <v>68</v>
      </c>
    </row>
    <row r="416" spans="2:12" x14ac:dyDescent="0.3">
      <c r="B416" t="s">
        <v>448</v>
      </c>
      <c r="C416">
        <v>95</v>
      </c>
      <c r="D416" t="s">
        <v>41</v>
      </c>
      <c r="E416">
        <v>64</v>
      </c>
      <c r="F416">
        <v>80</v>
      </c>
      <c r="G416">
        <v>7.64</v>
      </c>
      <c r="H416" t="s">
        <v>18</v>
      </c>
      <c r="I416" t="s">
        <v>12</v>
      </c>
      <c r="K416" t="str">
        <v>budget</v>
      </c>
      <c r="L416">
        <v>72</v>
      </c>
    </row>
    <row r="417" spans="2:12" x14ac:dyDescent="0.3">
      <c r="B417" t="s">
        <v>449</v>
      </c>
      <c r="C417">
        <v>95</v>
      </c>
      <c r="D417" t="s">
        <v>45</v>
      </c>
      <c r="E417">
        <v>60</v>
      </c>
      <c r="F417">
        <v>77</v>
      </c>
      <c r="G417">
        <v>661.38</v>
      </c>
      <c r="H417" t="s">
        <v>2</v>
      </c>
      <c r="I417" t="s">
        <v>7</v>
      </c>
      <c r="K417" t="str">
        <v>premium</v>
      </c>
      <c r="L417">
        <v>68.5</v>
      </c>
    </row>
    <row r="418" spans="2:12" x14ac:dyDescent="0.3">
      <c r="B418" t="s">
        <v>450</v>
      </c>
      <c r="C418">
        <v>94</v>
      </c>
      <c r="D418" t="s">
        <v>41</v>
      </c>
      <c r="E418">
        <v>62</v>
      </c>
      <c r="F418">
        <v>80</v>
      </c>
      <c r="G418">
        <v>198.41</v>
      </c>
      <c r="H418" t="s">
        <v>2</v>
      </c>
      <c r="I418" t="s">
        <v>9</v>
      </c>
      <c r="K418" t="str">
        <v>premium</v>
      </c>
      <c r="L418">
        <v>71</v>
      </c>
    </row>
    <row r="419" spans="2:12" x14ac:dyDescent="0.3">
      <c r="B419" t="s">
        <v>451</v>
      </c>
      <c r="C419">
        <v>96</v>
      </c>
      <c r="D419" t="s">
        <v>41</v>
      </c>
      <c r="E419">
        <v>62</v>
      </c>
      <c r="F419">
        <v>82</v>
      </c>
      <c r="G419">
        <v>180.34</v>
      </c>
      <c r="H419" t="s">
        <v>2</v>
      </c>
      <c r="I419" t="s">
        <v>12</v>
      </c>
      <c r="K419" t="str">
        <v>premium</v>
      </c>
      <c r="L419">
        <v>72</v>
      </c>
    </row>
    <row r="420" spans="2:12" x14ac:dyDescent="0.3">
      <c r="B420" t="s">
        <v>452</v>
      </c>
      <c r="C420">
        <v>95</v>
      </c>
      <c r="D420" t="s">
        <v>45</v>
      </c>
      <c r="E420">
        <v>58</v>
      </c>
      <c r="F420">
        <v>77</v>
      </c>
      <c r="G420">
        <v>114.64</v>
      </c>
      <c r="H420" t="s">
        <v>2</v>
      </c>
      <c r="I420" t="s">
        <v>16</v>
      </c>
      <c r="K420" t="str">
        <v>premium</v>
      </c>
      <c r="L420">
        <v>67.5</v>
      </c>
    </row>
    <row r="421" spans="2:12" x14ac:dyDescent="0.3">
      <c r="B421" t="s">
        <v>453</v>
      </c>
      <c r="C421">
        <v>95</v>
      </c>
      <c r="D421" t="s">
        <v>45</v>
      </c>
      <c r="E421">
        <v>60</v>
      </c>
      <c r="F421">
        <v>80</v>
      </c>
      <c r="G421">
        <v>154.32</v>
      </c>
      <c r="H421" t="s">
        <v>2</v>
      </c>
      <c r="I421" t="s">
        <v>9</v>
      </c>
      <c r="K421" t="str">
        <v>premium</v>
      </c>
      <c r="L421">
        <v>70</v>
      </c>
    </row>
    <row r="422" spans="2:12" x14ac:dyDescent="0.3">
      <c r="B422" t="s">
        <v>454</v>
      </c>
      <c r="C422">
        <v>94</v>
      </c>
      <c r="D422" t="s">
        <v>45</v>
      </c>
      <c r="E422">
        <v>58</v>
      </c>
      <c r="F422">
        <v>79</v>
      </c>
      <c r="G422">
        <v>97</v>
      </c>
      <c r="H422" t="s">
        <v>2</v>
      </c>
      <c r="I422" t="s">
        <v>7</v>
      </c>
      <c r="K422" t="str">
        <v>middle</v>
      </c>
      <c r="L422">
        <v>68.5</v>
      </c>
    </row>
    <row r="423" spans="2:12" x14ac:dyDescent="0.3">
      <c r="B423" t="s">
        <v>455</v>
      </c>
      <c r="C423">
        <v>94</v>
      </c>
      <c r="D423" t="s">
        <v>45</v>
      </c>
      <c r="E423">
        <v>58</v>
      </c>
      <c r="F423">
        <v>78</v>
      </c>
      <c r="G423">
        <v>149.91</v>
      </c>
      <c r="H423" t="s">
        <v>2</v>
      </c>
      <c r="I423" t="s">
        <v>9</v>
      </c>
      <c r="K423" t="str">
        <v>premium</v>
      </c>
      <c r="L423">
        <v>68</v>
      </c>
    </row>
    <row r="424" spans="2:12" x14ac:dyDescent="0.3">
      <c r="B424" t="s">
        <v>456</v>
      </c>
      <c r="C424">
        <v>94</v>
      </c>
      <c r="D424" t="s">
        <v>41</v>
      </c>
      <c r="E424">
        <v>64</v>
      </c>
      <c r="F424">
        <v>78</v>
      </c>
      <c r="G424">
        <v>171.96</v>
      </c>
      <c r="H424" t="s">
        <v>2</v>
      </c>
      <c r="I424" t="s">
        <v>9</v>
      </c>
      <c r="K424" t="str">
        <v>premium</v>
      </c>
      <c r="L424">
        <v>71</v>
      </c>
    </row>
    <row r="425" spans="2:12" x14ac:dyDescent="0.3">
      <c r="B425" t="s">
        <v>457</v>
      </c>
      <c r="C425">
        <v>96</v>
      </c>
      <c r="D425" t="s">
        <v>45</v>
      </c>
      <c r="E425">
        <v>60</v>
      </c>
      <c r="F425">
        <v>78</v>
      </c>
      <c r="G425">
        <v>25.57</v>
      </c>
      <c r="H425" t="s">
        <v>18</v>
      </c>
      <c r="I425" t="s">
        <v>14</v>
      </c>
      <c r="K425" t="str">
        <v>middle</v>
      </c>
      <c r="L425">
        <v>69</v>
      </c>
    </row>
    <row r="426" spans="2:12" x14ac:dyDescent="0.3">
      <c r="B426" t="s">
        <v>218</v>
      </c>
      <c r="C426">
        <v>95</v>
      </c>
      <c r="D426" t="s">
        <v>45</v>
      </c>
      <c r="E426">
        <v>60</v>
      </c>
      <c r="F426">
        <v>78</v>
      </c>
      <c r="G426">
        <v>16.75</v>
      </c>
      <c r="H426" t="s">
        <v>18</v>
      </c>
      <c r="I426" t="s">
        <v>14</v>
      </c>
      <c r="K426" t="str">
        <v>budget</v>
      </c>
      <c r="L426">
        <v>69</v>
      </c>
    </row>
    <row r="427" spans="2:12" x14ac:dyDescent="0.3">
      <c r="B427" t="s">
        <v>458</v>
      </c>
      <c r="C427">
        <v>94</v>
      </c>
      <c r="D427" t="s">
        <v>41</v>
      </c>
      <c r="E427">
        <v>61</v>
      </c>
      <c r="F427">
        <v>83</v>
      </c>
      <c r="G427">
        <v>15.43</v>
      </c>
      <c r="H427" t="s">
        <v>18</v>
      </c>
      <c r="I427" t="s">
        <v>14</v>
      </c>
      <c r="K427" t="str">
        <v>budget</v>
      </c>
      <c r="L427">
        <v>72</v>
      </c>
    </row>
    <row r="428" spans="2:12" x14ac:dyDescent="0.3">
      <c r="B428" t="s">
        <v>459</v>
      </c>
      <c r="C428">
        <v>94</v>
      </c>
      <c r="D428" t="s">
        <v>45</v>
      </c>
      <c r="E428">
        <v>60</v>
      </c>
      <c r="F428">
        <v>77</v>
      </c>
      <c r="G428">
        <v>15.43</v>
      </c>
      <c r="H428" t="s">
        <v>18</v>
      </c>
      <c r="I428" t="s">
        <v>14</v>
      </c>
      <c r="K428" t="str">
        <v>budget</v>
      </c>
      <c r="L428">
        <v>68.5</v>
      </c>
    </row>
    <row r="429" spans="2:12" x14ac:dyDescent="0.3">
      <c r="B429" t="s">
        <v>460</v>
      </c>
      <c r="C429">
        <v>94</v>
      </c>
      <c r="D429" t="s">
        <v>45</v>
      </c>
      <c r="E429">
        <v>60</v>
      </c>
      <c r="F429">
        <v>76</v>
      </c>
      <c r="G429">
        <v>176.37</v>
      </c>
      <c r="H429" t="s">
        <v>2</v>
      </c>
      <c r="I429" t="s">
        <v>9</v>
      </c>
      <c r="K429" t="str">
        <v>premium</v>
      </c>
      <c r="L429">
        <v>68</v>
      </c>
    </row>
    <row r="430" spans="2:12" x14ac:dyDescent="0.3">
      <c r="B430" t="s">
        <v>461</v>
      </c>
      <c r="C430">
        <v>97</v>
      </c>
      <c r="D430" t="s">
        <v>45</v>
      </c>
      <c r="E430">
        <v>60</v>
      </c>
      <c r="F430">
        <v>78</v>
      </c>
      <c r="G430">
        <v>275</v>
      </c>
      <c r="H430" t="s">
        <v>2</v>
      </c>
      <c r="I430" t="s">
        <v>12</v>
      </c>
      <c r="K430" t="str">
        <v>premium</v>
      </c>
      <c r="L430">
        <v>69</v>
      </c>
    </row>
    <row r="431" spans="2:12" x14ac:dyDescent="0.3">
      <c r="B431" t="s">
        <v>462</v>
      </c>
      <c r="C431">
        <v>95</v>
      </c>
      <c r="D431" t="s">
        <v>41</v>
      </c>
      <c r="E431">
        <v>62</v>
      </c>
      <c r="F431">
        <v>82</v>
      </c>
      <c r="G431">
        <v>12</v>
      </c>
      <c r="H431" t="s">
        <v>2</v>
      </c>
      <c r="I431" t="s">
        <v>5</v>
      </c>
      <c r="K431" t="str">
        <v>budget</v>
      </c>
      <c r="L431">
        <v>72</v>
      </c>
    </row>
    <row r="432" spans="2:12" x14ac:dyDescent="0.3">
      <c r="B432" t="s">
        <v>332</v>
      </c>
      <c r="C432">
        <v>94</v>
      </c>
      <c r="D432" t="s">
        <v>45</v>
      </c>
      <c r="E432">
        <v>60</v>
      </c>
      <c r="F432">
        <v>76</v>
      </c>
      <c r="G432">
        <v>8.23</v>
      </c>
      <c r="H432" t="s">
        <v>18</v>
      </c>
      <c r="I432" t="s">
        <v>14</v>
      </c>
      <c r="K432" t="str">
        <v>budget</v>
      </c>
      <c r="L432">
        <v>68</v>
      </c>
    </row>
    <row r="433" spans="2:12" x14ac:dyDescent="0.3">
      <c r="B433" t="s">
        <v>463</v>
      </c>
      <c r="C433">
        <v>95</v>
      </c>
      <c r="D433" t="s">
        <v>41</v>
      </c>
      <c r="E433">
        <v>65</v>
      </c>
      <c r="F433">
        <v>82</v>
      </c>
      <c r="G433">
        <v>12.35</v>
      </c>
      <c r="H433" t="s">
        <v>18</v>
      </c>
      <c r="I433" t="s">
        <v>10</v>
      </c>
      <c r="K433" t="str">
        <v>budget</v>
      </c>
      <c r="L433">
        <v>73.5</v>
      </c>
    </row>
    <row r="434" spans="2:12" x14ac:dyDescent="0.3">
      <c r="B434" t="s">
        <v>464</v>
      </c>
      <c r="C434">
        <v>95</v>
      </c>
      <c r="D434" t="s">
        <v>41</v>
      </c>
      <c r="E434">
        <v>64</v>
      </c>
      <c r="F434">
        <v>80</v>
      </c>
      <c r="G434">
        <v>220.46</v>
      </c>
      <c r="H434" t="s">
        <v>2</v>
      </c>
      <c r="I434" t="s">
        <v>9</v>
      </c>
      <c r="K434" t="str">
        <v>premium</v>
      </c>
      <c r="L434">
        <v>72</v>
      </c>
    </row>
    <row r="435" spans="2:12" x14ac:dyDescent="0.3">
      <c r="B435" t="s">
        <v>465</v>
      </c>
      <c r="C435">
        <v>94</v>
      </c>
      <c r="D435" t="s">
        <v>41</v>
      </c>
      <c r="E435">
        <v>64</v>
      </c>
      <c r="F435">
        <v>80</v>
      </c>
      <c r="G435">
        <v>0.44</v>
      </c>
      <c r="H435" t="s">
        <v>2</v>
      </c>
      <c r="I435" t="s">
        <v>7</v>
      </c>
      <c r="K435" t="str">
        <v>budget</v>
      </c>
      <c r="L435">
        <v>72</v>
      </c>
    </row>
    <row r="436" spans="2:12" x14ac:dyDescent="0.3">
      <c r="B436" t="s">
        <v>466</v>
      </c>
      <c r="C436">
        <v>96</v>
      </c>
      <c r="D436" t="s">
        <v>41</v>
      </c>
      <c r="E436">
        <v>64</v>
      </c>
      <c r="F436">
        <v>82</v>
      </c>
      <c r="G436">
        <v>6.47</v>
      </c>
      <c r="H436" t="s">
        <v>18</v>
      </c>
      <c r="I436" t="s">
        <v>9</v>
      </c>
      <c r="K436" t="str">
        <v>budget</v>
      </c>
      <c r="L436">
        <v>73</v>
      </c>
    </row>
    <row r="437" spans="2:12" x14ac:dyDescent="0.3">
      <c r="B437" t="s">
        <v>467</v>
      </c>
      <c r="C437">
        <v>95</v>
      </c>
      <c r="D437" t="s">
        <v>45</v>
      </c>
      <c r="E437">
        <v>58</v>
      </c>
      <c r="F437">
        <v>74</v>
      </c>
      <c r="G437">
        <v>49.8</v>
      </c>
      <c r="H437" t="s">
        <v>18</v>
      </c>
      <c r="I437" t="s">
        <v>18</v>
      </c>
      <c r="K437" t="str">
        <v>middle</v>
      </c>
      <c r="L437">
        <v>66</v>
      </c>
    </row>
    <row r="438" spans="2:12" x14ac:dyDescent="0.3">
      <c r="B438" t="s">
        <v>468</v>
      </c>
      <c r="C438">
        <v>96</v>
      </c>
      <c r="D438" t="s">
        <v>45</v>
      </c>
      <c r="E438">
        <v>60</v>
      </c>
      <c r="F438">
        <v>78</v>
      </c>
      <c r="G438">
        <v>6.76</v>
      </c>
      <c r="H438" t="s">
        <v>18</v>
      </c>
      <c r="I438" t="s">
        <v>9</v>
      </c>
      <c r="K438" t="str">
        <v>budget</v>
      </c>
      <c r="L438">
        <v>69</v>
      </c>
    </row>
    <row r="439" spans="2:12" x14ac:dyDescent="0.3">
      <c r="B439" t="s">
        <v>469</v>
      </c>
      <c r="C439">
        <v>94</v>
      </c>
      <c r="D439" t="s">
        <v>41</v>
      </c>
      <c r="E439">
        <v>62</v>
      </c>
      <c r="F439">
        <v>80</v>
      </c>
      <c r="G439">
        <v>7.05</v>
      </c>
      <c r="H439" t="s">
        <v>18</v>
      </c>
      <c r="I439" t="s">
        <v>14</v>
      </c>
      <c r="K439" t="str">
        <v>budget</v>
      </c>
      <c r="L439">
        <v>71</v>
      </c>
    </row>
    <row r="440" spans="2:12" x14ac:dyDescent="0.3">
      <c r="B440" t="s">
        <v>470</v>
      </c>
      <c r="C440">
        <v>95</v>
      </c>
      <c r="D440" t="s">
        <v>45</v>
      </c>
      <c r="E440">
        <v>60</v>
      </c>
      <c r="F440">
        <v>80</v>
      </c>
      <c r="G440">
        <v>23.37</v>
      </c>
      <c r="H440" t="s">
        <v>18</v>
      </c>
      <c r="I440" t="s">
        <v>14</v>
      </c>
      <c r="K440" t="str">
        <v>budget</v>
      </c>
      <c r="L440">
        <v>70</v>
      </c>
    </row>
    <row r="441" spans="2:12" x14ac:dyDescent="0.3">
      <c r="B441" t="s">
        <v>471</v>
      </c>
      <c r="C441">
        <v>94</v>
      </c>
      <c r="D441" t="s">
        <v>45</v>
      </c>
      <c r="E441">
        <v>60</v>
      </c>
      <c r="F441">
        <v>77</v>
      </c>
      <c r="G441">
        <v>22.05</v>
      </c>
      <c r="H441" t="s">
        <v>18</v>
      </c>
      <c r="I441" t="s">
        <v>18</v>
      </c>
      <c r="K441" t="str">
        <v>budget</v>
      </c>
      <c r="L441">
        <v>68.5</v>
      </c>
    </row>
    <row r="442" spans="2:12" x14ac:dyDescent="0.3">
      <c r="B442" t="s">
        <v>472</v>
      </c>
      <c r="C442">
        <v>94</v>
      </c>
      <c r="D442" t="s">
        <v>41</v>
      </c>
      <c r="E442">
        <v>68</v>
      </c>
      <c r="F442">
        <v>84</v>
      </c>
      <c r="G442">
        <v>110.23</v>
      </c>
      <c r="H442" t="s">
        <v>2</v>
      </c>
      <c r="I442" t="s">
        <v>9</v>
      </c>
      <c r="K442" t="str">
        <v>premium</v>
      </c>
      <c r="L442">
        <v>76</v>
      </c>
    </row>
    <row r="443" spans="2:12" x14ac:dyDescent="0.3">
      <c r="B443" t="s">
        <v>165</v>
      </c>
      <c r="C443">
        <v>94</v>
      </c>
      <c r="D443" t="s">
        <v>45</v>
      </c>
      <c r="E443">
        <v>56</v>
      </c>
      <c r="F443">
        <v>78</v>
      </c>
      <c r="G443">
        <v>7.05</v>
      </c>
      <c r="H443" t="s">
        <v>18</v>
      </c>
      <c r="I443" t="s">
        <v>21</v>
      </c>
      <c r="K443" t="str">
        <v>budget</v>
      </c>
      <c r="L443">
        <v>67</v>
      </c>
    </row>
    <row r="444" spans="2:12" x14ac:dyDescent="0.3">
      <c r="B444" t="s">
        <v>473</v>
      </c>
      <c r="C444">
        <v>94</v>
      </c>
      <c r="D444" t="s">
        <v>45</v>
      </c>
      <c r="E444">
        <v>58</v>
      </c>
      <c r="F444">
        <v>72</v>
      </c>
      <c r="G444">
        <v>5.29</v>
      </c>
      <c r="H444" t="s">
        <v>2</v>
      </c>
      <c r="I444" t="s">
        <v>9</v>
      </c>
      <c r="K444" t="str">
        <v>budget</v>
      </c>
      <c r="L444">
        <v>65</v>
      </c>
    </row>
    <row r="445" spans="2:12" x14ac:dyDescent="0.3">
      <c r="B445" t="s">
        <v>474</v>
      </c>
      <c r="C445">
        <v>95</v>
      </c>
      <c r="D445" t="s">
        <v>45</v>
      </c>
      <c r="E445">
        <v>59</v>
      </c>
      <c r="F445">
        <v>75</v>
      </c>
      <c r="G445">
        <v>6.47</v>
      </c>
      <c r="H445" t="s">
        <v>18</v>
      </c>
      <c r="I445" t="s">
        <v>12</v>
      </c>
      <c r="K445" t="str">
        <v>budget</v>
      </c>
      <c r="L445">
        <v>67</v>
      </c>
    </row>
    <row r="446" spans="2:12" x14ac:dyDescent="0.3">
      <c r="B446" t="s">
        <v>475</v>
      </c>
      <c r="C446">
        <v>95</v>
      </c>
      <c r="D446" t="s">
        <v>45</v>
      </c>
      <c r="E446">
        <v>59</v>
      </c>
      <c r="F446">
        <v>77</v>
      </c>
      <c r="G446">
        <v>8.3800000000000008</v>
      </c>
      <c r="H446" t="s">
        <v>18</v>
      </c>
      <c r="I446" t="s">
        <v>15</v>
      </c>
      <c r="K446" t="str">
        <v>budget</v>
      </c>
      <c r="L446">
        <v>68</v>
      </c>
    </row>
    <row r="447" spans="2:12" x14ac:dyDescent="0.3">
      <c r="B447" t="s">
        <v>476</v>
      </c>
      <c r="C447">
        <v>94</v>
      </c>
      <c r="D447" t="s">
        <v>45</v>
      </c>
      <c r="E447">
        <v>59</v>
      </c>
      <c r="F447">
        <v>77</v>
      </c>
      <c r="G447">
        <v>5.59</v>
      </c>
      <c r="H447" t="s">
        <v>18</v>
      </c>
      <c r="I447" t="s">
        <v>6</v>
      </c>
      <c r="K447" t="str">
        <v>budget</v>
      </c>
      <c r="L447">
        <v>68</v>
      </c>
    </row>
    <row r="448" spans="2:12" x14ac:dyDescent="0.3">
      <c r="B448" t="s">
        <v>477</v>
      </c>
      <c r="C448">
        <v>95</v>
      </c>
      <c r="D448" t="s">
        <v>41</v>
      </c>
      <c r="E448">
        <v>63</v>
      </c>
      <c r="F448">
        <v>81</v>
      </c>
      <c r="G448">
        <v>13.67</v>
      </c>
      <c r="H448" t="s">
        <v>18</v>
      </c>
      <c r="I448" t="s">
        <v>14</v>
      </c>
      <c r="K448" t="str">
        <v>budget</v>
      </c>
      <c r="L448">
        <v>72</v>
      </c>
    </row>
    <row r="449" spans="2:12" x14ac:dyDescent="0.3">
      <c r="B449" t="s">
        <v>478</v>
      </c>
      <c r="C449">
        <v>95</v>
      </c>
      <c r="D449" t="s">
        <v>41</v>
      </c>
      <c r="E449">
        <v>62</v>
      </c>
      <c r="F449">
        <v>83</v>
      </c>
      <c r="G449">
        <v>14.55</v>
      </c>
      <c r="H449" t="s">
        <v>18</v>
      </c>
      <c r="I449" t="s">
        <v>14</v>
      </c>
      <c r="K449" t="str">
        <v>budget</v>
      </c>
      <c r="L449">
        <v>72.5</v>
      </c>
    </row>
    <row r="450" spans="2:12" x14ac:dyDescent="0.3">
      <c r="B450" t="s">
        <v>479</v>
      </c>
      <c r="C450">
        <v>95</v>
      </c>
      <c r="D450" t="s">
        <v>41</v>
      </c>
      <c r="E450">
        <v>62</v>
      </c>
      <c r="F450">
        <v>81</v>
      </c>
      <c r="G450">
        <v>242.5</v>
      </c>
      <c r="H450" t="s">
        <v>2</v>
      </c>
      <c r="I450" t="s">
        <v>14</v>
      </c>
      <c r="K450" t="str">
        <v>premium</v>
      </c>
      <c r="L450">
        <v>71.5</v>
      </c>
    </row>
    <row r="451" spans="2:12" x14ac:dyDescent="0.3">
      <c r="B451" t="s">
        <v>480</v>
      </c>
      <c r="C451">
        <v>95</v>
      </c>
      <c r="D451" t="s">
        <v>41</v>
      </c>
      <c r="E451">
        <v>64</v>
      </c>
      <c r="F451">
        <v>80</v>
      </c>
      <c r="G451">
        <v>14.11</v>
      </c>
      <c r="H451" t="s">
        <v>2</v>
      </c>
      <c r="I451" t="s">
        <v>4</v>
      </c>
      <c r="K451" t="str">
        <v>budget</v>
      </c>
      <c r="L451">
        <v>72</v>
      </c>
    </row>
    <row r="452" spans="2:12" x14ac:dyDescent="0.3">
      <c r="B452" t="s">
        <v>481</v>
      </c>
      <c r="C452">
        <v>94</v>
      </c>
      <c r="D452" t="s">
        <v>45</v>
      </c>
      <c r="E452">
        <v>58</v>
      </c>
      <c r="F452">
        <v>78</v>
      </c>
      <c r="G452">
        <v>325</v>
      </c>
      <c r="H452" t="s">
        <v>2</v>
      </c>
      <c r="I452" t="s">
        <v>14</v>
      </c>
      <c r="K452" t="str">
        <v>premium</v>
      </c>
      <c r="L452">
        <v>68</v>
      </c>
    </row>
    <row r="453" spans="2:12" x14ac:dyDescent="0.3">
      <c r="B453" t="s">
        <v>482</v>
      </c>
      <c r="C453">
        <v>94</v>
      </c>
      <c r="D453" t="s">
        <v>45</v>
      </c>
      <c r="E453">
        <v>62</v>
      </c>
      <c r="F453">
        <v>79</v>
      </c>
      <c r="G453">
        <v>10.58</v>
      </c>
      <c r="H453" t="s">
        <v>18</v>
      </c>
      <c r="I453" t="s">
        <v>7</v>
      </c>
      <c r="K453" t="str">
        <v>budget</v>
      </c>
      <c r="L453">
        <v>70.5</v>
      </c>
    </row>
    <row r="454" spans="2:12" x14ac:dyDescent="0.3">
      <c r="B454" t="s">
        <v>259</v>
      </c>
      <c r="C454">
        <v>96</v>
      </c>
      <c r="D454" t="s">
        <v>45</v>
      </c>
      <c r="E454">
        <v>60</v>
      </c>
      <c r="F454">
        <v>74</v>
      </c>
      <c r="G454">
        <v>11.02</v>
      </c>
      <c r="H454" t="s">
        <v>18</v>
      </c>
      <c r="I454" t="s">
        <v>14</v>
      </c>
      <c r="K454" t="str">
        <v>budget</v>
      </c>
      <c r="L454">
        <v>67</v>
      </c>
    </row>
    <row r="455" spans="2:12" x14ac:dyDescent="0.3">
      <c r="B455" t="s">
        <v>483</v>
      </c>
      <c r="C455">
        <v>94</v>
      </c>
      <c r="D455" t="s">
        <v>45</v>
      </c>
      <c r="E455">
        <v>57</v>
      </c>
      <c r="F455">
        <v>77</v>
      </c>
      <c r="G455">
        <v>17.64</v>
      </c>
      <c r="H455" t="s">
        <v>2</v>
      </c>
      <c r="I455" t="s">
        <v>9</v>
      </c>
      <c r="K455" t="str">
        <v>budget</v>
      </c>
      <c r="L455">
        <v>67</v>
      </c>
    </row>
    <row r="456" spans="2:12" x14ac:dyDescent="0.3">
      <c r="B456" t="s">
        <v>484</v>
      </c>
      <c r="C456">
        <v>96</v>
      </c>
      <c r="D456" t="s">
        <v>41</v>
      </c>
      <c r="E456">
        <v>65</v>
      </c>
      <c r="F456">
        <v>90</v>
      </c>
      <c r="G456">
        <v>39.68</v>
      </c>
      <c r="H456" t="s">
        <v>18</v>
      </c>
      <c r="I456" t="s">
        <v>5</v>
      </c>
      <c r="K456" t="str">
        <v>middle</v>
      </c>
      <c r="L456">
        <v>77.5</v>
      </c>
    </row>
    <row r="457" spans="2:12" x14ac:dyDescent="0.3">
      <c r="B457" t="s">
        <v>485</v>
      </c>
      <c r="C457">
        <v>96</v>
      </c>
      <c r="D457" t="s">
        <v>41</v>
      </c>
      <c r="E457">
        <v>62</v>
      </c>
      <c r="F457">
        <v>80</v>
      </c>
      <c r="G457">
        <v>396.83</v>
      </c>
      <c r="H457" t="s">
        <v>2</v>
      </c>
      <c r="I457" t="s">
        <v>9</v>
      </c>
      <c r="K457" t="str">
        <v>premium</v>
      </c>
      <c r="L457">
        <v>71</v>
      </c>
    </row>
    <row r="458" spans="2:12" x14ac:dyDescent="0.3">
      <c r="B458" t="s">
        <v>486</v>
      </c>
      <c r="C458">
        <v>95</v>
      </c>
      <c r="D458" t="s">
        <v>45</v>
      </c>
      <c r="E458">
        <v>56</v>
      </c>
      <c r="F458">
        <v>72</v>
      </c>
      <c r="G458">
        <v>143.30000000000001</v>
      </c>
      <c r="H458" t="s">
        <v>2</v>
      </c>
      <c r="I458" t="s">
        <v>7</v>
      </c>
      <c r="K458" t="str">
        <v>premium</v>
      </c>
      <c r="L458">
        <v>64</v>
      </c>
    </row>
    <row r="459" spans="2:12" x14ac:dyDescent="0.3">
      <c r="B459" t="s">
        <v>487</v>
      </c>
      <c r="C459">
        <v>95</v>
      </c>
      <c r="D459" t="s">
        <v>41</v>
      </c>
      <c r="E459">
        <v>64</v>
      </c>
      <c r="F459">
        <v>80</v>
      </c>
      <c r="G459">
        <v>255.73</v>
      </c>
      <c r="H459" t="s">
        <v>2</v>
      </c>
      <c r="I459" t="s">
        <v>14</v>
      </c>
      <c r="K459" t="str">
        <v>premium</v>
      </c>
      <c r="L459">
        <v>72</v>
      </c>
    </row>
    <row r="460" spans="2:12" x14ac:dyDescent="0.3">
      <c r="B460" t="s">
        <v>488</v>
      </c>
      <c r="C460">
        <v>95</v>
      </c>
      <c r="D460" t="s">
        <v>45</v>
      </c>
      <c r="E460">
        <v>63</v>
      </c>
      <c r="F460">
        <v>77</v>
      </c>
      <c r="G460">
        <v>9.8800000000000008</v>
      </c>
      <c r="H460" t="s">
        <v>18</v>
      </c>
      <c r="I460" t="s">
        <v>14</v>
      </c>
      <c r="K460" t="str">
        <v>budget</v>
      </c>
      <c r="L460">
        <v>70</v>
      </c>
    </row>
    <row r="461" spans="2:12" x14ac:dyDescent="0.3">
      <c r="B461" t="s">
        <v>489</v>
      </c>
      <c r="C461">
        <v>94</v>
      </c>
      <c r="D461" t="s">
        <v>45</v>
      </c>
      <c r="E461">
        <v>57</v>
      </c>
      <c r="F461">
        <v>74</v>
      </c>
      <c r="G461">
        <v>11.76</v>
      </c>
      <c r="H461" t="s">
        <v>18</v>
      </c>
      <c r="I461" t="s">
        <v>7</v>
      </c>
      <c r="K461" t="str">
        <v>budget</v>
      </c>
      <c r="L461">
        <v>65.5</v>
      </c>
    </row>
    <row r="462" spans="2:12" x14ac:dyDescent="0.3">
      <c r="B462" t="s">
        <v>490</v>
      </c>
      <c r="C462">
        <v>95</v>
      </c>
      <c r="D462" t="s">
        <v>45</v>
      </c>
      <c r="E462">
        <v>58</v>
      </c>
      <c r="F462">
        <v>66</v>
      </c>
      <c r="G462">
        <v>30.84</v>
      </c>
      <c r="H462" t="s">
        <v>18</v>
      </c>
      <c r="I462" t="s">
        <v>150</v>
      </c>
      <c r="K462" t="str">
        <v>middle</v>
      </c>
      <c r="L462">
        <v>62</v>
      </c>
    </row>
    <row r="463" spans="2:12" x14ac:dyDescent="0.3">
      <c r="B463" t="s">
        <v>491</v>
      </c>
      <c r="C463">
        <v>95</v>
      </c>
      <c r="D463" t="s">
        <v>45</v>
      </c>
      <c r="E463">
        <v>58</v>
      </c>
      <c r="F463">
        <v>77</v>
      </c>
      <c r="G463">
        <v>6.47</v>
      </c>
      <c r="H463" t="s">
        <v>18</v>
      </c>
      <c r="I463" t="s">
        <v>12</v>
      </c>
      <c r="K463" t="str">
        <v>budget</v>
      </c>
      <c r="L463">
        <v>67.5</v>
      </c>
    </row>
    <row r="464" spans="2:12" x14ac:dyDescent="0.3">
      <c r="B464" t="s">
        <v>492</v>
      </c>
      <c r="C464">
        <v>95</v>
      </c>
      <c r="D464" t="s">
        <v>45</v>
      </c>
      <c r="E464">
        <v>60</v>
      </c>
      <c r="F464">
        <v>78</v>
      </c>
      <c r="G464">
        <v>6.16</v>
      </c>
      <c r="H464" t="s">
        <v>18</v>
      </c>
      <c r="I464" t="s">
        <v>12</v>
      </c>
      <c r="K464" t="str">
        <v>budget</v>
      </c>
      <c r="L464">
        <v>69</v>
      </c>
    </row>
    <row r="465" spans="2:12" x14ac:dyDescent="0.3">
      <c r="B465" t="s">
        <v>493</v>
      </c>
      <c r="C465">
        <v>94</v>
      </c>
      <c r="D465" t="s">
        <v>41</v>
      </c>
      <c r="E465">
        <v>62</v>
      </c>
      <c r="F465">
        <v>80</v>
      </c>
      <c r="G465">
        <v>9.83</v>
      </c>
      <c r="H465" t="s">
        <v>18</v>
      </c>
      <c r="I465" t="s">
        <v>14</v>
      </c>
      <c r="K465" t="str">
        <v>budget</v>
      </c>
      <c r="L465">
        <v>71</v>
      </c>
    </row>
    <row r="466" spans="2:12" x14ac:dyDescent="0.3">
      <c r="B466" t="s">
        <v>494</v>
      </c>
      <c r="C466">
        <v>95</v>
      </c>
      <c r="D466" t="s">
        <v>45</v>
      </c>
      <c r="E466">
        <v>60</v>
      </c>
      <c r="F466">
        <v>76</v>
      </c>
      <c r="G466">
        <v>6.17</v>
      </c>
      <c r="H466" t="s">
        <v>18</v>
      </c>
      <c r="I466" t="s">
        <v>9</v>
      </c>
      <c r="K466" t="str">
        <v>budget</v>
      </c>
      <c r="L466">
        <v>68</v>
      </c>
    </row>
    <row r="467" spans="2:12" x14ac:dyDescent="0.3">
      <c r="B467" t="s">
        <v>495</v>
      </c>
      <c r="C467">
        <v>95</v>
      </c>
      <c r="D467" t="s">
        <v>45</v>
      </c>
      <c r="E467">
        <v>59</v>
      </c>
      <c r="F467">
        <v>76</v>
      </c>
      <c r="G467">
        <v>211.64</v>
      </c>
      <c r="H467" t="s">
        <v>2</v>
      </c>
      <c r="I467" t="s">
        <v>9</v>
      </c>
      <c r="K467" t="str">
        <v>premium</v>
      </c>
      <c r="L467">
        <v>67.5</v>
      </c>
    </row>
    <row r="468" spans="2:12" x14ac:dyDescent="0.3">
      <c r="B468" t="s">
        <v>496</v>
      </c>
      <c r="C468">
        <v>94</v>
      </c>
      <c r="D468" t="s">
        <v>45</v>
      </c>
      <c r="E468">
        <v>59</v>
      </c>
      <c r="F468">
        <v>77</v>
      </c>
      <c r="G468">
        <v>6.47</v>
      </c>
      <c r="H468" t="s">
        <v>18</v>
      </c>
      <c r="I468" t="s">
        <v>15</v>
      </c>
      <c r="K468" t="str">
        <v>budget</v>
      </c>
      <c r="L468">
        <v>68</v>
      </c>
    </row>
    <row r="469" spans="2:12" x14ac:dyDescent="0.3">
      <c r="B469" t="s">
        <v>497</v>
      </c>
      <c r="C469">
        <v>94</v>
      </c>
      <c r="D469" t="s">
        <v>45</v>
      </c>
      <c r="E469">
        <v>63</v>
      </c>
      <c r="F469">
        <v>71</v>
      </c>
      <c r="G469">
        <v>480</v>
      </c>
      <c r="H469" t="s">
        <v>2</v>
      </c>
      <c r="I469" t="s">
        <v>14</v>
      </c>
      <c r="K469" t="str">
        <v>premium</v>
      </c>
      <c r="L469">
        <v>67</v>
      </c>
    </row>
    <row r="470" spans="2:12" x14ac:dyDescent="0.3">
      <c r="B470" t="s">
        <v>498</v>
      </c>
      <c r="C470">
        <v>94</v>
      </c>
      <c r="D470" t="s">
        <v>41</v>
      </c>
      <c r="E470">
        <v>63</v>
      </c>
      <c r="F470">
        <v>79</v>
      </c>
      <c r="G470">
        <v>145.5</v>
      </c>
      <c r="H470" t="s">
        <v>2</v>
      </c>
      <c r="I470" t="s">
        <v>15</v>
      </c>
      <c r="K470" t="str">
        <v>premium</v>
      </c>
      <c r="L470">
        <v>71</v>
      </c>
    </row>
    <row r="471" spans="2:12" x14ac:dyDescent="0.3">
      <c r="B471" t="s">
        <v>499</v>
      </c>
      <c r="C471">
        <v>94</v>
      </c>
      <c r="D471" t="s">
        <v>45</v>
      </c>
      <c r="E471">
        <v>52</v>
      </c>
      <c r="F471">
        <v>70</v>
      </c>
      <c r="G471">
        <v>17.64</v>
      </c>
      <c r="H471" t="s">
        <v>18</v>
      </c>
      <c r="I471" t="s">
        <v>18</v>
      </c>
      <c r="K471" t="str">
        <v>budget</v>
      </c>
      <c r="L471">
        <v>61</v>
      </c>
    </row>
    <row r="472" spans="2:12" x14ac:dyDescent="0.3">
      <c r="B472" t="s">
        <v>500</v>
      </c>
      <c r="C472">
        <v>96</v>
      </c>
      <c r="D472" t="s">
        <v>45</v>
      </c>
      <c r="E472">
        <v>57</v>
      </c>
      <c r="F472">
        <v>77</v>
      </c>
      <c r="G472">
        <v>149.91</v>
      </c>
      <c r="H472" t="s">
        <v>2</v>
      </c>
      <c r="I472" t="s">
        <v>12</v>
      </c>
      <c r="K472" t="str">
        <v>premium</v>
      </c>
      <c r="L472">
        <v>67</v>
      </c>
    </row>
    <row r="473" spans="2:12" x14ac:dyDescent="0.3">
      <c r="B473" t="s">
        <v>501</v>
      </c>
      <c r="C473">
        <v>94</v>
      </c>
      <c r="D473" t="s">
        <v>45</v>
      </c>
      <c r="E473">
        <v>60</v>
      </c>
      <c r="F473">
        <v>76</v>
      </c>
      <c r="G473">
        <v>7.94</v>
      </c>
      <c r="H473" t="s">
        <v>18</v>
      </c>
      <c r="I473" t="s">
        <v>7</v>
      </c>
      <c r="K473" t="str">
        <v>budget</v>
      </c>
      <c r="L473">
        <v>68</v>
      </c>
    </row>
    <row r="474" spans="2:12" x14ac:dyDescent="0.3">
      <c r="B474" t="s">
        <v>502</v>
      </c>
      <c r="C474">
        <v>94</v>
      </c>
      <c r="D474" t="s">
        <v>45</v>
      </c>
      <c r="E474">
        <v>58</v>
      </c>
      <c r="F474">
        <v>76</v>
      </c>
      <c r="G474">
        <v>143.30000000000001</v>
      </c>
      <c r="H474" t="s">
        <v>2</v>
      </c>
      <c r="I474" t="s">
        <v>9</v>
      </c>
      <c r="K474" t="str">
        <v>premium</v>
      </c>
      <c r="L474">
        <v>67</v>
      </c>
    </row>
    <row r="475" spans="2:12" x14ac:dyDescent="0.3">
      <c r="B475" t="s">
        <v>503</v>
      </c>
      <c r="C475">
        <v>94</v>
      </c>
      <c r="D475" t="s">
        <v>45</v>
      </c>
      <c r="E475">
        <v>60</v>
      </c>
      <c r="F475">
        <v>78</v>
      </c>
      <c r="G475">
        <v>127.87</v>
      </c>
      <c r="H475" t="s">
        <v>2</v>
      </c>
      <c r="I475" t="s">
        <v>9</v>
      </c>
      <c r="K475" t="str">
        <v>premium</v>
      </c>
      <c r="L475">
        <v>69</v>
      </c>
    </row>
    <row r="476" spans="2:12" x14ac:dyDescent="0.3">
      <c r="B476" t="s">
        <v>504</v>
      </c>
      <c r="C476">
        <v>95</v>
      </c>
      <c r="D476" t="s">
        <v>41</v>
      </c>
      <c r="E476">
        <v>62</v>
      </c>
      <c r="F476">
        <v>80</v>
      </c>
      <c r="G476">
        <v>6.76</v>
      </c>
      <c r="H476" t="s">
        <v>18</v>
      </c>
      <c r="I476" t="s">
        <v>9</v>
      </c>
      <c r="K476" t="str">
        <v>budget</v>
      </c>
      <c r="L476">
        <v>71</v>
      </c>
    </row>
    <row r="477" spans="2:12" x14ac:dyDescent="0.3">
      <c r="B477" t="s">
        <v>505</v>
      </c>
      <c r="C477">
        <v>95</v>
      </c>
      <c r="D477" t="s">
        <v>41</v>
      </c>
      <c r="E477">
        <v>65</v>
      </c>
      <c r="F477">
        <v>81</v>
      </c>
      <c r="G477">
        <v>198.24</v>
      </c>
      <c r="H477" t="s">
        <v>2</v>
      </c>
      <c r="I477" t="s">
        <v>5</v>
      </c>
      <c r="K477" t="str">
        <v>premium</v>
      </c>
      <c r="L477">
        <v>73</v>
      </c>
    </row>
    <row r="478" spans="2:12" x14ac:dyDescent="0.3">
      <c r="B478" t="s">
        <v>506</v>
      </c>
      <c r="C478">
        <v>94</v>
      </c>
      <c r="D478" t="s">
        <v>45</v>
      </c>
      <c r="E478">
        <v>60</v>
      </c>
      <c r="F478">
        <v>77</v>
      </c>
      <c r="G478">
        <v>136.56</v>
      </c>
      <c r="H478" t="s">
        <v>2</v>
      </c>
      <c r="I478" t="s">
        <v>9</v>
      </c>
      <c r="K478" t="str">
        <v>premium</v>
      </c>
      <c r="L478">
        <v>68.5</v>
      </c>
    </row>
    <row r="479" spans="2:12" x14ac:dyDescent="0.3">
      <c r="B479" t="s">
        <v>301</v>
      </c>
      <c r="C479">
        <v>94</v>
      </c>
      <c r="D479" t="s">
        <v>45</v>
      </c>
      <c r="E479">
        <v>58</v>
      </c>
      <c r="F479">
        <v>74</v>
      </c>
      <c r="G479">
        <v>9.6999999999999993</v>
      </c>
      <c r="H479" t="s">
        <v>18</v>
      </c>
      <c r="I479" t="s">
        <v>14</v>
      </c>
      <c r="K479" t="str">
        <v>budget</v>
      </c>
      <c r="L479">
        <v>66</v>
      </c>
    </row>
    <row r="480" spans="2:12" x14ac:dyDescent="0.3">
      <c r="B480" t="s">
        <v>507</v>
      </c>
      <c r="C480">
        <v>95</v>
      </c>
      <c r="D480" t="s">
        <v>45</v>
      </c>
      <c r="E480">
        <v>60</v>
      </c>
      <c r="F480">
        <v>77</v>
      </c>
      <c r="G480">
        <v>19.399999999999999</v>
      </c>
      <c r="H480" t="s">
        <v>2</v>
      </c>
      <c r="I480" t="s">
        <v>5</v>
      </c>
      <c r="K480" t="str">
        <v>budget</v>
      </c>
      <c r="L480">
        <v>68.5</v>
      </c>
    </row>
    <row r="481" spans="2:12" x14ac:dyDescent="0.3">
      <c r="B481" t="s">
        <v>508</v>
      </c>
      <c r="C481">
        <v>95</v>
      </c>
      <c r="D481" t="s">
        <v>41</v>
      </c>
      <c r="E481">
        <v>64</v>
      </c>
      <c r="F481">
        <v>78</v>
      </c>
      <c r="G481">
        <v>17.64</v>
      </c>
      <c r="H481" t="s">
        <v>2</v>
      </c>
      <c r="I481" t="s">
        <v>5</v>
      </c>
      <c r="K481" t="str">
        <v>budget</v>
      </c>
      <c r="L481">
        <v>71</v>
      </c>
    </row>
    <row r="482" spans="2:12" x14ac:dyDescent="0.3">
      <c r="B482" t="s">
        <v>509</v>
      </c>
      <c r="C482">
        <v>96</v>
      </c>
      <c r="D482" t="s">
        <v>45</v>
      </c>
      <c r="E482">
        <v>52</v>
      </c>
      <c r="F482">
        <v>72</v>
      </c>
      <c r="G482">
        <v>30.86</v>
      </c>
      <c r="H482" t="s">
        <v>18</v>
      </c>
      <c r="I482" t="s">
        <v>150</v>
      </c>
      <c r="K482" t="str">
        <v>middle</v>
      </c>
      <c r="L482">
        <v>62</v>
      </c>
    </row>
    <row r="483" spans="2:12" x14ac:dyDescent="0.3">
      <c r="B483" t="s">
        <v>510</v>
      </c>
      <c r="C483">
        <v>95</v>
      </c>
      <c r="D483" t="s">
        <v>45</v>
      </c>
      <c r="E483">
        <v>56</v>
      </c>
      <c r="F483">
        <v>74</v>
      </c>
      <c r="G483">
        <v>6.17</v>
      </c>
      <c r="H483" t="s">
        <v>18</v>
      </c>
      <c r="I483" t="s">
        <v>16</v>
      </c>
      <c r="K483" t="str">
        <v>budget</v>
      </c>
      <c r="L483">
        <v>65</v>
      </c>
    </row>
    <row r="484" spans="2:12" x14ac:dyDescent="0.3">
      <c r="B484" t="s">
        <v>511</v>
      </c>
      <c r="C484">
        <v>94</v>
      </c>
      <c r="D484" t="s">
        <v>41</v>
      </c>
      <c r="E484">
        <v>65</v>
      </c>
      <c r="F484">
        <v>81</v>
      </c>
      <c r="G484">
        <v>1</v>
      </c>
      <c r="H484" t="s">
        <v>2</v>
      </c>
      <c r="I484" t="s">
        <v>5</v>
      </c>
      <c r="K484" t="str">
        <v>budget</v>
      </c>
      <c r="L484">
        <v>73</v>
      </c>
    </row>
    <row r="485" spans="2:12" x14ac:dyDescent="0.3">
      <c r="B485" t="s">
        <v>512</v>
      </c>
      <c r="C485">
        <v>94</v>
      </c>
      <c r="D485" t="s">
        <v>45</v>
      </c>
      <c r="E485">
        <v>60</v>
      </c>
      <c r="F485">
        <v>77</v>
      </c>
      <c r="G485">
        <v>7.64</v>
      </c>
      <c r="H485" t="s">
        <v>18</v>
      </c>
      <c r="I485" t="s">
        <v>14</v>
      </c>
      <c r="K485" t="str">
        <v>budget</v>
      </c>
      <c r="L485">
        <v>68.5</v>
      </c>
    </row>
    <row r="486" spans="2:12" x14ac:dyDescent="0.3">
      <c r="B486" t="s">
        <v>513</v>
      </c>
      <c r="C486">
        <v>95</v>
      </c>
      <c r="D486" t="s">
        <v>45</v>
      </c>
      <c r="E486">
        <v>62</v>
      </c>
      <c r="F486">
        <v>78</v>
      </c>
      <c r="G486">
        <v>7.94</v>
      </c>
      <c r="H486" t="s">
        <v>18</v>
      </c>
      <c r="I486" t="s">
        <v>9</v>
      </c>
      <c r="K486" t="str">
        <v>budget</v>
      </c>
      <c r="L486">
        <v>70</v>
      </c>
    </row>
    <row r="487" spans="2:12" x14ac:dyDescent="0.3">
      <c r="B487" t="s">
        <v>514</v>
      </c>
      <c r="C487">
        <v>94</v>
      </c>
      <c r="D487" t="s">
        <v>41</v>
      </c>
      <c r="E487">
        <v>64</v>
      </c>
      <c r="F487">
        <v>80</v>
      </c>
      <c r="G487">
        <v>7.94</v>
      </c>
      <c r="H487" t="s">
        <v>18</v>
      </c>
      <c r="I487" t="s">
        <v>14</v>
      </c>
      <c r="K487" t="str">
        <v>budget</v>
      </c>
      <c r="L487">
        <v>72</v>
      </c>
    </row>
    <row r="488" spans="2:12" x14ac:dyDescent="0.3">
      <c r="B488" t="s">
        <v>515</v>
      </c>
      <c r="C488">
        <v>94</v>
      </c>
      <c r="D488" t="s">
        <v>45</v>
      </c>
      <c r="E488">
        <v>59</v>
      </c>
      <c r="F488">
        <v>75</v>
      </c>
      <c r="G488">
        <v>7.94</v>
      </c>
      <c r="H488" t="s">
        <v>18</v>
      </c>
      <c r="I488" t="s">
        <v>9</v>
      </c>
      <c r="K488" t="str">
        <v>budget</v>
      </c>
      <c r="L488">
        <v>67</v>
      </c>
    </row>
    <row r="489" spans="2:12" x14ac:dyDescent="0.3">
      <c r="B489" t="s">
        <v>516</v>
      </c>
      <c r="C489">
        <v>94</v>
      </c>
      <c r="D489" t="s">
        <v>45</v>
      </c>
      <c r="E489">
        <v>59</v>
      </c>
      <c r="F489">
        <v>76</v>
      </c>
      <c r="G489">
        <v>225</v>
      </c>
      <c r="H489" t="s">
        <v>2</v>
      </c>
      <c r="I489" t="s">
        <v>9</v>
      </c>
      <c r="K489" t="str">
        <v>premium</v>
      </c>
      <c r="L489">
        <v>67.5</v>
      </c>
    </row>
    <row r="490" spans="2:12" x14ac:dyDescent="0.3">
      <c r="B490" t="s">
        <v>517</v>
      </c>
      <c r="C490">
        <v>94</v>
      </c>
      <c r="D490" t="s">
        <v>45</v>
      </c>
      <c r="E490">
        <v>61</v>
      </c>
      <c r="F490">
        <v>74</v>
      </c>
      <c r="G490">
        <v>250</v>
      </c>
      <c r="H490" t="s">
        <v>2</v>
      </c>
      <c r="I490" t="s">
        <v>9</v>
      </c>
      <c r="K490" t="str">
        <v>premium</v>
      </c>
      <c r="L490">
        <v>67.5</v>
      </c>
    </row>
    <row r="491" spans="2:12" x14ac:dyDescent="0.3">
      <c r="B491" t="s">
        <v>518</v>
      </c>
      <c r="C491">
        <v>96</v>
      </c>
      <c r="D491" t="s">
        <v>41</v>
      </c>
      <c r="E491">
        <v>65</v>
      </c>
      <c r="F491">
        <v>82</v>
      </c>
      <c r="G491">
        <v>52.91</v>
      </c>
      <c r="H491" t="s">
        <v>18</v>
      </c>
      <c r="I491" t="s">
        <v>14</v>
      </c>
      <c r="K491" t="str">
        <v>middle</v>
      </c>
      <c r="L491">
        <v>73.5</v>
      </c>
    </row>
    <row r="492" spans="2:12" x14ac:dyDescent="0.3">
      <c r="B492" t="s">
        <v>519</v>
      </c>
      <c r="C492">
        <v>94</v>
      </c>
      <c r="D492" t="s">
        <v>45</v>
      </c>
      <c r="E492">
        <v>62</v>
      </c>
      <c r="F492">
        <v>74</v>
      </c>
      <c r="G492">
        <v>5.59</v>
      </c>
      <c r="H492" t="s">
        <v>18</v>
      </c>
      <c r="I492" t="s">
        <v>20</v>
      </c>
      <c r="K492" t="str">
        <v>budget</v>
      </c>
      <c r="L492">
        <v>68</v>
      </c>
    </row>
    <row r="493" spans="2:12" x14ac:dyDescent="0.3">
      <c r="B493" t="s">
        <v>241</v>
      </c>
      <c r="C493">
        <v>95</v>
      </c>
      <c r="D493" t="s">
        <v>45</v>
      </c>
      <c r="E493">
        <v>58</v>
      </c>
      <c r="F493">
        <v>74</v>
      </c>
      <c r="G493">
        <v>145.5</v>
      </c>
      <c r="H493" t="s">
        <v>2</v>
      </c>
      <c r="I493" t="s">
        <v>12</v>
      </c>
      <c r="K493" t="str">
        <v>premium</v>
      </c>
      <c r="L493">
        <v>66</v>
      </c>
    </row>
    <row r="494" spans="2:12" x14ac:dyDescent="0.3">
      <c r="B494" t="s">
        <v>520</v>
      </c>
      <c r="C494">
        <v>94</v>
      </c>
      <c r="D494" t="s">
        <v>45</v>
      </c>
      <c r="E494">
        <v>57</v>
      </c>
      <c r="F494">
        <v>76</v>
      </c>
      <c r="G494">
        <v>143.30000000000001</v>
      </c>
      <c r="H494" t="s">
        <v>2</v>
      </c>
      <c r="I494" t="s">
        <v>12</v>
      </c>
      <c r="K494" t="str">
        <v>premium</v>
      </c>
      <c r="L494">
        <v>66.5</v>
      </c>
    </row>
    <row r="495" spans="2:12" x14ac:dyDescent="0.3">
      <c r="B495" t="s">
        <v>521</v>
      </c>
      <c r="C495">
        <v>94</v>
      </c>
      <c r="D495" t="s">
        <v>45</v>
      </c>
      <c r="E495">
        <v>60</v>
      </c>
      <c r="F495">
        <v>77</v>
      </c>
      <c r="G495">
        <v>198.41</v>
      </c>
      <c r="H495" t="s">
        <v>2</v>
      </c>
      <c r="I495" t="s">
        <v>15</v>
      </c>
      <c r="K495" t="str">
        <v>premium</v>
      </c>
      <c r="L495">
        <v>68.5</v>
      </c>
    </row>
    <row r="496" spans="2:12" x14ac:dyDescent="0.3">
      <c r="B496" t="s">
        <v>522</v>
      </c>
      <c r="C496">
        <v>98</v>
      </c>
      <c r="D496" t="s">
        <v>45</v>
      </c>
      <c r="E496">
        <v>62</v>
      </c>
      <c r="F496">
        <v>78</v>
      </c>
      <c r="G496">
        <v>8.82</v>
      </c>
      <c r="H496" t="s">
        <v>18</v>
      </c>
      <c r="I496" t="s">
        <v>14</v>
      </c>
      <c r="K496" t="str">
        <v>budget</v>
      </c>
      <c r="L496">
        <v>70</v>
      </c>
    </row>
    <row r="497" spans="2:12" x14ac:dyDescent="0.3">
      <c r="B497" t="s">
        <v>523</v>
      </c>
      <c r="C497">
        <v>95</v>
      </c>
      <c r="D497" t="s">
        <v>41</v>
      </c>
      <c r="E497">
        <v>62</v>
      </c>
      <c r="F497">
        <v>80</v>
      </c>
      <c r="G497">
        <v>8.82</v>
      </c>
      <c r="H497" t="s">
        <v>18</v>
      </c>
      <c r="I497" t="s">
        <v>15</v>
      </c>
      <c r="K497" t="str">
        <v>budget</v>
      </c>
      <c r="L497">
        <v>71</v>
      </c>
    </row>
    <row r="498" spans="2:12" x14ac:dyDescent="0.3">
      <c r="B498" t="s">
        <v>524</v>
      </c>
      <c r="C498">
        <v>95</v>
      </c>
      <c r="D498" t="s">
        <v>45</v>
      </c>
      <c r="E498">
        <v>58</v>
      </c>
      <c r="F498">
        <v>74</v>
      </c>
      <c r="G498">
        <v>6.76</v>
      </c>
      <c r="H498" t="s">
        <v>18</v>
      </c>
      <c r="I498" t="s">
        <v>9</v>
      </c>
      <c r="K498" t="str">
        <v>budget</v>
      </c>
      <c r="L498">
        <v>66</v>
      </c>
    </row>
    <row r="499" spans="2:12" x14ac:dyDescent="0.3">
      <c r="B499" t="s">
        <v>287</v>
      </c>
      <c r="C499">
        <v>95</v>
      </c>
      <c r="D499" t="s">
        <v>41</v>
      </c>
      <c r="E499">
        <v>62</v>
      </c>
      <c r="F499">
        <v>80</v>
      </c>
      <c r="G499">
        <v>16.93</v>
      </c>
      <c r="H499" t="s">
        <v>18</v>
      </c>
      <c r="I499" t="s">
        <v>14</v>
      </c>
      <c r="K499" t="str">
        <v>budget</v>
      </c>
      <c r="L499">
        <v>71</v>
      </c>
    </row>
    <row r="500" spans="2:12" x14ac:dyDescent="0.3">
      <c r="B500" t="s">
        <v>525</v>
      </c>
      <c r="C500">
        <v>94</v>
      </c>
      <c r="D500" t="s">
        <v>45</v>
      </c>
      <c r="E500">
        <v>59</v>
      </c>
      <c r="F500">
        <v>73</v>
      </c>
      <c r="G500">
        <v>35.270000000000003</v>
      </c>
      <c r="H500" t="s">
        <v>2</v>
      </c>
      <c r="I500" t="s">
        <v>5</v>
      </c>
      <c r="K500" t="str">
        <v>middle</v>
      </c>
      <c r="L500">
        <v>66</v>
      </c>
    </row>
    <row r="501" spans="2:12" x14ac:dyDescent="0.3">
      <c r="B501" t="s">
        <v>526</v>
      </c>
      <c r="C501">
        <v>94</v>
      </c>
      <c r="D501" t="s">
        <v>41</v>
      </c>
      <c r="E501">
        <v>64</v>
      </c>
      <c r="F501">
        <v>80</v>
      </c>
      <c r="G501">
        <v>12</v>
      </c>
      <c r="H501" t="s">
        <v>18</v>
      </c>
      <c r="I501" t="s">
        <v>14</v>
      </c>
      <c r="K501" t="str">
        <v>budget</v>
      </c>
      <c r="L501">
        <v>72</v>
      </c>
    </row>
    <row r="502" spans="2:12" x14ac:dyDescent="0.3">
      <c r="B502" t="s">
        <v>527</v>
      </c>
      <c r="C502">
        <v>94</v>
      </c>
      <c r="D502" t="s">
        <v>41</v>
      </c>
      <c r="E502">
        <v>65</v>
      </c>
      <c r="F502">
        <v>79</v>
      </c>
      <c r="G502">
        <v>198.41</v>
      </c>
      <c r="H502" t="s">
        <v>2</v>
      </c>
      <c r="I502" t="s">
        <v>14</v>
      </c>
      <c r="K502" t="str">
        <v>premium</v>
      </c>
      <c r="L502">
        <v>72</v>
      </c>
    </row>
    <row r="503" spans="2:12" x14ac:dyDescent="0.3">
      <c r="B503" t="s">
        <v>528</v>
      </c>
      <c r="C503">
        <v>94</v>
      </c>
      <c r="D503" t="s">
        <v>41</v>
      </c>
      <c r="E503">
        <v>62</v>
      </c>
      <c r="F503">
        <v>80</v>
      </c>
      <c r="G503">
        <v>24</v>
      </c>
      <c r="H503" t="s">
        <v>18</v>
      </c>
      <c r="I503" t="s">
        <v>14</v>
      </c>
      <c r="K503" t="str">
        <v>budget</v>
      </c>
      <c r="L503">
        <v>71</v>
      </c>
    </row>
    <row r="504" spans="2:12" x14ac:dyDescent="0.3">
      <c r="B504" t="s">
        <v>529</v>
      </c>
      <c r="C504">
        <v>94</v>
      </c>
      <c r="D504" t="s">
        <v>41</v>
      </c>
      <c r="E504">
        <v>66</v>
      </c>
      <c r="F504">
        <v>80</v>
      </c>
      <c r="G504">
        <v>132.28</v>
      </c>
      <c r="H504" t="s">
        <v>2</v>
      </c>
      <c r="I504" t="s">
        <v>9</v>
      </c>
      <c r="K504" t="str">
        <v>premium</v>
      </c>
      <c r="L504">
        <v>73</v>
      </c>
    </row>
    <row r="505" spans="2:12" x14ac:dyDescent="0.3">
      <c r="B505" t="s">
        <v>530</v>
      </c>
      <c r="C505">
        <v>95</v>
      </c>
      <c r="D505" t="s">
        <v>45</v>
      </c>
      <c r="E505">
        <v>60</v>
      </c>
      <c r="F505">
        <v>77</v>
      </c>
      <c r="G505">
        <v>11.74</v>
      </c>
      <c r="H505" t="s">
        <v>18</v>
      </c>
      <c r="I505" t="s">
        <v>8</v>
      </c>
      <c r="K505" t="str">
        <v>budget</v>
      </c>
      <c r="L505">
        <v>68.5</v>
      </c>
    </row>
    <row r="506" spans="2:12" x14ac:dyDescent="0.3">
      <c r="B506" t="s">
        <v>531</v>
      </c>
      <c r="C506">
        <v>95</v>
      </c>
      <c r="D506" t="s">
        <v>41</v>
      </c>
      <c r="E506">
        <v>63</v>
      </c>
      <c r="F506">
        <v>79</v>
      </c>
      <c r="G506">
        <v>30.86</v>
      </c>
      <c r="H506" t="s">
        <v>18</v>
      </c>
      <c r="I506" t="s">
        <v>18</v>
      </c>
      <c r="K506" t="str">
        <v>middle</v>
      </c>
      <c r="L506">
        <v>71</v>
      </c>
    </row>
    <row r="507" spans="2:12" x14ac:dyDescent="0.3">
      <c r="B507" t="s">
        <v>532</v>
      </c>
      <c r="C507">
        <v>94</v>
      </c>
      <c r="D507" t="s">
        <v>41</v>
      </c>
      <c r="E507">
        <v>62</v>
      </c>
      <c r="F507">
        <v>84</v>
      </c>
      <c r="G507">
        <v>7.35</v>
      </c>
      <c r="H507" t="s">
        <v>18</v>
      </c>
      <c r="I507" t="s">
        <v>4</v>
      </c>
      <c r="K507" t="str">
        <v>budget</v>
      </c>
      <c r="L507">
        <v>73</v>
      </c>
    </row>
    <row r="508" spans="2:12" x14ac:dyDescent="0.3">
      <c r="B508" t="s">
        <v>533</v>
      </c>
      <c r="C508">
        <v>94</v>
      </c>
      <c r="D508" t="s">
        <v>41</v>
      </c>
      <c r="E508">
        <v>65</v>
      </c>
      <c r="F508">
        <v>79</v>
      </c>
      <c r="G508">
        <v>6.76</v>
      </c>
      <c r="H508" t="s">
        <v>18</v>
      </c>
      <c r="I508" t="s">
        <v>9</v>
      </c>
      <c r="K508" t="str">
        <v>budget</v>
      </c>
      <c r="L508">
        <v>72</v>
      </c>
    </row>
    <row r="509" spans="2:12" x14ac:dyDescent="0.3">
      <c r="B509" t="s">
        <v>534</v>
      </c>
      <c r="C509">
        <v>94</v>
      </c>
      <c r="D509" t="s">
        <v>45</v>
      </c>
      <c r="E509">
        <v>58</v>
      </c>
      <c r="F509">
        <v>72</v>
      </c>
      <c r="G509">
        <v>5.14</v>
      </c>
      <c r="H509" t="s">
        <v>18</v>
      </c>
      <c r="I509" t="s">
        <v>21</v>
      </c>
      <c r="K509" t="str">
        <v>budget</v>
      </c>
      <c r="L509">
        <v>65</v>
      </c>
    </row>
    <row r="510" spans="2:12" x14ac:dyDescent="0.3">
      <c r="B510" t="s">
        <v>468</v>
      </c>
      <c r="C510">
        <v>94</v>
      </c>
      <c r="D510" t="s">
        <v>45</v>
      </c>
      <c r="E510">
        <v>62</v>
      </c>
      <c r="F510">
        <v>78</v>
      </c>
      <c r="G510">
        <v>6.47</v>
      </c>
      <c r="H510" t="s">
        <v>18</v>
      </c>
      <c r="I510" t="s">
        <v>9</v>
      </c>
      <c r="K510" t="str">
        <v>budget</v>
      </c>
      <c r="L510">
        <v>70</v>
      </c>
    </row>
    <row r="511" spans="2:12" x14ac:dyDescent="0.3">
      <c r="B511" t="s">
        <v>535</v>
      </c>
      <c r="C511">
        <v>94</v>
      </c>
      <c r="D511" t="s">
        <v>41</v>
      </c>
      <c r="E511">
        <v>64</v>
      </c>
      <c r="F511">
        <v>80</v>
      </c>
      <c r="G511">
        <v>6.76</v>
      </c>
      <c r="H511" t="s">
        <v>18</v>
      </c>
      <c r="I511" t="s">
        <v>9</v>
      </c>
      <c r="K511" t="str">
        <v>budget</v>
      </c>
      <c r="L511">
        <v>72</v>
      </c>
    </row>
    <row r="512" spans="2:12" x14ac:dyDescent="0.3">
      <c r="B512" t="s">
        <v>536</v>
      </c>
      <c r="C512">
        <v>94</v>
      </c>
      <c r="D512" t="s">
        <v>41</v>
      </c>
      <c r="E512">
        <v>66</v>
      </c>
      <c r="F512">
        <v>80</v>
      </c>
      <c r="G512">
        <v>105.73</v>
      </c>
      <c r="H512" t="s">
        <v>2</v>
      </c>
      <c r="I512" t="s">
        <v>9</v>
      </c>
      <c r="K512" t="str">
        <v>premium</v>
      </c>
      <c r="L512">
        <v>73</v>
      </c>
    </row>
    <row r="513" spans="2:12" x14ac:dyDescent="0.3">
      <c r="B513" t="s">
        <v>537</v>
      </c>
      <c r="C513">
        <v>96</v>
      </c>
      <c r="D513" t="s">
        <v>45</v>
      </c>
      <c r="E513">
        <v>59</v>
      </c>
      <c r="F513">
        <v>75</v>
      </c>
      <c r="G513">
        <v>8.52</v>
      </c>
      <c r="H513" t="s">
        <v>18</v>
      </c>
      <c r="I513" t="s">
        <v>4</v>
      </c>
      <c r="K513" t="str">
        <v>budget</v>
      </c>
      <c r="L513">
        <v>67</v>
      </c>
    </row>
    <row r="514" spans="2:12" x14ac:dyDescent="0.3">
      <c r="B514" t="s">
        <v>538</v>
      </c>
      <c r="C514">
        <v>95</v>
      </c>
      <c r="D514" t="s">
        <v>41</v>
      </c>
      <c r="E514">
        <v>63</v>
      </c>
      <c r="F514">
        <v>81</v>
      </c>
      <c r="G514">
        <v>275</v>
      </c>
      <c r="H514" t="s">
        <v>2</v>
      </c>
      <c r="I514" t="s">
        <v>14</v>
      </c>
      <c r="K514" t="str">
        <v>premium</v>
      </c>
      <c r="L514">
        <v>72</v>
      </c>
    </row>
    <row r="515" spans="2:12" x14ac:dyDescent="0.3">
      <c r="B515" t="s">
        <v>539</v>
      </c>
      <c r="C515">
        <v>95</v>
      </c>
      <c r="D515" t="s">
        <v>45</v>
      </c>
      <c r="E515">
        <v>60</v>
      </c>
      <c r="F515">
        <v>77</v>
      </c>
      <c r="G515">
        <v>260</v>
      </c>
      <c r="H515" t="s">
        <v>2</v>
      </c>
      <c r="I515" t="s">
        <v>14</v>
      </c>
      <c r="K515" t="str">
        <v>premium</v>
      </c>
      <c r="L515">
        <v>68.5</v>
      </c>
    </row>
    <row r="516" spans="2:12" x14ac:dyDescent="0.3">
      <c r="B516" t="s">
        <v>540</v>
      </c>
      <c r="C516">
        <v>94</v>
      </c>
      <c r="D516" t="s">
        <v>41</v>
      </c>
      <c r="E516">
        <v>62</v>
      </c>
      <c r="F516">
        <v>80</v>
      </c>
      <c r="G516">
        <v>225</v>
      </c>
      <c r="H516" t="s">
        <v>2</v>
      </c>
      <c r="I516" t="s">
        <v>9</v>
      </c>
      <c r="K516" t="str">
        <v>premium</v>
      </c>
      <c r="L516">
        <v>71</v>
      </c>
    </row>
    <row r="517" spans="2:12" x14ac:dyDescent="0.3">
      <c r="B517" t="s">
        <v>12</v>
      </c>
      <c r="C517">
        <v>95</v>
      </c>
      <c r="D517" t="s">
        <v>541</v>
      </c>
      <c r="E517">
        <v>35</v>
      </c>
      <c r="F517">
        <v>51</v>
      </c>
      <c r="G517">
        <v>302.22000000000003</v>
      </c>
      <c r="H517" t="s">
        <v>2</v>
      </c>
      <c r="I517" t="s">
        <v>12</v>
      </c>
      <c r="K517" t="str">
        <v>premium</v>
      </c>
      <c r="L517">
        <v>43</v>
      </c>
    </row>
    <row r="518" spans="2:12" x14ac:dyDescent="0.3">
      <c r="B518" t="s">
        <v>542</v>
      </c>
      <c r="C518">
        <v>94</v>
      </c>
      <c r="D518" t="s">
        <v>541</v>
      </c>
      <c r="E518">
        <v>48</v>
      </c>
      <c r="F518">
        <v>52</v>
      </c>
      <c r="G518">
        <v>30.84</v>
      </c>
      <c r="H518" t="s">
        <v>18</v>
      </c>
      <c r="I518" t="s">
        <v>150</v>
      </c>
      <c r="K518" t="str">
        <v>middle</v>
      </c>
      <c r="L518">
        <v>50</v>
      </c>
    </row>
    <row r="519" spans="2:12" x14ac:dyDescent="0.3">
      <c r="B519" t="s">
        <v>543</v>
      </c>
      <c r="C519">
        <v>94</v>
      </c>
      <c r="D519" t="s">
        <v>541</v>
      </c>
      <c r="E519">
        <v>45</v>
      </c>
      <c r="F519">
        <v>52</v>
      </c>
      <c r="G519">
        <v>300</v>
      </c>
      <c r="H519" t="s">
        <v>2</v>
      </c>
      <c r="I519" t="s">
        <v>9</v>
      </c>
      <c r="K519" t="str">
        <v>premium</v>
      </c>
      <c r="L519">
        <v>48.5</v>
      </c>
    </row>
    <row r="520" spans="2:12" x14ac:dyDescent="0.3">
      <c r="B520" t="s">
        <v>544</v>
      </c>
      <c r="C520">
        <v>94</v>
      </c>
      <c r="D520" t="s">
        <v>545</v>
      </c>
      <c r="E520">
        <v>33</v>
      </c>
      <c r="F520">
        <v>44</v>
      </c>
      <c r="G520">
        <v>352.73</v>
      </c>
      <c r="H520" t="s">
        <v>2</v>
      </c>
      <c r="I520" t="s">
        <v>12</v>
      </c>
      <c r="K520" t="str">
        <v>premium</v>
      </c>
      <c r="L520">
        <v>38.5</v>
      </c>
    </row>
    <row r="521" spans="2:12" x14ac:dyDescent="0.3">
      <c r="B521" t="s">
        <v>546</v>
      </c>
      <c r="C521">
        <v>94</v>
      </c>
      <c r="D521" t="s">
        <v>541</v>
      </c>
      <c r="E521">
        <v>41</v>
      </c>
      <c r="F521">
        <v>44</v>
      </c>
      <c r="G521">
        <v>0.42</v>
      </c>
      <c r="H521" t="s">
        <v>2</v>
      </c>
      <c r="I521" t="s">
        <v>12</v>
      </c>
      <c r="K521" t="str">
        <v>budget</v>
      </c>
      <c r="L521">
        <v>42.5</v>
      </c>
    </row>
    <row r="522" spans="2:12" x14ac:dyDescent="0.3">
      <c r="B522" t="s">
        <v>547</v>
      </c>
      <c r="C522">
        <v>94</v>
      </c>
      <c r="D522" t="s">
        <v>45</v>
      </c>
      <c r="E522">
        <v>59</v>
      </c>
      <c r="F522">
        <v>77</v>
      </c>
      <c r="G522">
        <v>143.30000000000001</v>
      </c>
      <c r="H522" t="s">
        <v>2</v>
      </c>
      <c r="I522" t="s">
        <v>15</v>
      </c>
      <c r="K522" t="str">
        <v>premium</v>
      </c>
      <c r="L522">
        <v>68</v>
      </c>
    </row>
    <row r="523" spans="2:12" x14ac:dyDescent="0.3">
      <c r="B523" t="s">
        <v>548</v>
      </c>
      <c r="C523">
        <v>94</v>
      </c>
      <c r="D523" t="s">
        <v>45</v>
      </c>
      <c r="E523">
        <v>58</v>
      </c>
      <c r="F523">
        <v>74</v>
      </c>
      <c r="G523">
        <v>9.41</v>
      </c>
      <c r="H523" t="s">
        <v>18</v>
      </c>
      <c r="I523" t="s">
        <v>14</v>
      </c>
      <c r="K523" t="str">
        <v>budget</v>
      </c>
      <c r="L523">
        <v>66</v>
      </c>
    </row>
    <row r="524" spans="2:12" x14ac:dyDescent="0.3">
      <c r="B524" t="s">
        <v>549</v>
      </c>
      <c r="C524">
        <v>94</v>
      </c>
      <c r="D524" t="s">
        <v>45</v>
      </c>
      <c r="E524">
        <v>59</v>
      </c>
      <c r="F524">
        <v>80</v>
      </c>
      <c r="G524">
        <v>7.05</v>
      </c>
      <c r="H524" t="s">
        <v>18</v>
      </c>
      <c r="I524" t="s">
        <v>12</v>
      </c>
      <c r="K524" t="str">
        <v>budget</v>
      </c>
      <c r="L524">
        <v>69.5</v>
      </c>
    </row>
    <row r="525" spans="2:12" x14ac:dyDescent="0.3">
      <c r="B525" t="s">
        <v>550</v>
      </c>
      <c r="C525">
        <v>94</v>
      </c>
      <c r="D525" t="s">
        <v>41</v>
      </c>
      <c r="E525">
        <v>64</v>
      </c>
      <c r="F525">
        <v>83</v>
      </c>
      <c r="G525">
        <v>300</v>
      </c>
      <c r="H525" t="s">
        <v>2</v>
      </c>
      <c r="I525" t="s">
        <v>9</v>
      </c>
      <c r="K525" t="str">
        <v>premium</v>
      </c>
      <c r="L525">
        <v>73.5</v>
      </c>
    </row>
    <row r="526" spans="2:12" x14ac:dyDescent="0.3">
      <c r="B526" t="s">
        <v>551</v>
      </c>
      <c r="C526">
        <v>95</v>
      </c>
      <c r="D526" t="s">
        <v>45</v>
      </c>
      <c r="E526">
        <v>60</v>
      </c>
      <c r="F526">
        <v>77</v>
      </c>
      <c r="G526">
        <v>7.35</v>
      </c>
      <c r="H526" t="s">
        <v>18</v>
      </c>
      <c r="I526" t="s">
        <v>4</v>
      </c>
      <c r="K526" t="str">
        <v>budget</v>
      </c>
      <c r="L526">
        <v>68.5</v>
      </c>
    </row>
    <row r="527" spans="2:12" x14ac:dyDescent="0.3">
      <c r="B527" t="s">
        <v>552</v>
      </c>
      <c r="C527">
        <v>95</v>
      </c>
      <c r="D527" t="s">
        <v>45</v>
      </c>
      <c r="E527">
        <v>54</v>
      </c>
      <c r="F527">
        <v>72</v>
      </c>
      <c r="G527">
        <v>19.84</v>
      </c>
      <c r="H527" t="s">
        <v>2</v>
      </c>
      <c r="I527" t="s">
        <v>9</v>
      </c>
      <c r="K527" t="str">
        <v>budget</v>
      </c>
      <c r="L527">
        <v>63</v>
      </c>
    </row>
    <row r="528" spans="2:12" x14ac:dyDescent="0.3">
      <c r="B528" t="s">
        <v>553</v>
      </c>
      <c r="C528">
        <v>94</v>
      </c>
      <c r="D528" t="s">
        <v>45</v>
      </c>
      <c r="E528">
        <v>59</v>
      </c>
      <c r="F528">
        <v>75</v>
      </c>
      <c r="G528">
        <v>8.82</v>
      </c>
      <c r="H528" t="s">
        <v>2</v>
      </c>
      <c r="I528" t="s">
        <v>9</v>
      </c>
      <c r="K528" t="str">
        <v>budget</v>
      </c>
      <c r="L528">
        <v>67</v>
      </c>
    </row>
    <row r="529" spans="2:12" x14ac:dyDescent="0.3">
      <c r="B529" t="s">
        <v>554</v>
      </c>
      <c r="C529">
        <v>94</v>
      </c>
      <c r="D529" t="s">
        <v>45</v>
      </c>
      <c r="E529">
        <v>60</v>
      </c>
      <c r="F529">
        <v>75</v>
      </c>
      <c r="G529">
        <v>5.59</v>
      </c>
      <c r="H529" t="s">
        <v>18</v>
      </c>
      <c r="I529" t="s">
        <v>16</v>
      </c>
      <c r="K529" t="str">
        <v>budget</v>
      </c>
      <c r="L529">
        <v>67.5</v>
      </c>
    </row>
    <row r="530" spans="2:12" x14ac:dyDescent="0.3">
      <c r="B530" t="s">
        <v>555</v>
      </c>
      <c r="C530">
        <v>95</v>
      </c>
      <c r="D530" t="s">
        <v>45</v>
      </c>
      <c r="E530">
        <v>58</v>
      </c>
      <c r="F530">
        <v>80</v>
      </c>
      <c r="G530">
        <v>8.3800000000000008</v>
      </c>
      <c r="H530" t="s">
        <v>18</v>
      </c>
      <c r="I530" t="s">
        <v>4</v>
      </c>
      <c r="K530" t="str">
        <v>budget</v>
      </c>
      <c r="L530">
        <v>69</v>
      </c>
    </row>
    <row r="531" spans="2:12" x14ac:dyDescent="0.3">
      <c r="B531" t="s">
        <v>556</v>
      </c>
      <c r="C531">
        <v>95</v>
      </c>
      <c r="D531" t="s">
        <v>41</v>
      </c>
      <c r="E531">
        <v>64</v>
      </c>
      <c r="F531">
        <v>86</v>
      </c>
      <c r="G531">
        <v>6.47</v>
      </c>
      <c r="H531" t="s">
        <v>18</v>
      </c>
      <c r="I531" t="s">
        <v>14</v>
      </c>
      <c r="K531" t="str">
        <v>budget</v>
      </c>
      <c r="L531">
        <v>75</v>
      </c>
    </row>
    <row r="532" spans="2:12" x14ac:dyDescent="0.3">
      <c r="B532" t="s">
        <v>557</v>
      </c>
      <c r="C532">
        <v>94</v>
      </c>
      <c r="D532" t="s">
        <v>45</v>
      </c>
      <c r="E532">
        <v>56</v>
      </c>
      <c r="F532">
        <v>77</v>
      </c>
      <c r="G532">
        <v>5.59</v>
      </c>
      <c r="H532" t="s">
        <v>18</v>
      </c>
      <c r="I532" t="s">
        <v>6</v>
      </c>
      <c r="K532" t="str">
        <v>budget</v>
      </c>
      <c r="L532">
        <v>66.5</v>
      </c>
    </row>
    <row r="533" spans="2:12" x14ac:dyDescent="0.3">
      <c r="B533" t="s">
        <v>558</v>
      </c>
      <c r="C533">
        <v>95</v>
      </c>
      <c r="D533" t="s">
        <v>45</v>
      </c>
      <c r="E533">
        <v>60</v>
      </c>
      <c r="F533">
        <v>78</v>
      </c>
      <c r="G533">
        <v>5.88</v>
      </c>
      <c r="H533" t="s">
        <v>18</v>
      </c>
      <c r="I533" t="s">
        <v>9</v>
      </c>
      <c r="K533" t="str">
        <v>budget</v>
      </c>
      <c r="L533">
        <v>69</v>
      </c>
    </row>
    <row r="534" spans="2:12" x14ac:dyDescent="0.3">
      <c r="B534" t="s">
        <v>559</v>
      </c>
      <c r="C534">
        <v>94</v>
      </c>
      <c r="D534" t="s">
        <v>45</v>
      </c>
      <c r="E534">
        <v>59</v>
      </c>
      <c r="F534">
        <v>76</v>
      </c>
      <c r="G534">
        <v>8.3800000000000008</v>
      </c>
      <c r="H534" t="s">
        <v>18</v>
      </c>
      <c r="I534" t="s">
        <v>7</v>
      </c>
      <c r="K534" t="str">
        <v>budget</v>
      </c>
      <c r="L534">
        <v>67.5</v>
      </c>
    </row>
    <row r="535" spans="2:12" x14ac:dyDescent="0.3">
      <c r="B535" t="s">
        <v>118</v>
      </c>
      <c r="C535">
        <v>95</v>
      </c>
      <c r="D535" t="s">
        <v>45</v>
      </c>
      <c r="E535">
        <v>56</v>
      </c>
      <c r="F535">
        <v>78</v>
      </c>
      <c r="G535">
        <v>6.76</v>
      </c>
      <c r="H535" t="s">
        <v>18</v>
      </c>
      <c r="I535" t="s">
        <v>16</v>
      </c>
      <c r="K535" t="str">
        <v>budget</v>
      </c>
      <c r="L535">
        <v>67</v>
      </c>
    </row>
    <row r="536" spans="2:12" x14ac:dyDescent="0.3">
      <c r="B536" t="s">
        <v>560</v>
      </c>
      <c r="C536">
        <v>94</v>
      </c>
      <c r="D536" t="s">
        <v>45</v>
      </c>
      <c r="E536">
        <v>59</v>
      </c>
      <c r="F536">
        <v>79</v>
      </c>
      <c r="G536">
        <v>7.35</v>
      </c>
      <c r="H536" t="s">
        <v>18</v>
      </c>
      <c r="I536" t="s">
        <v>12</v>
      </c>
      <c r="K536" t="str">
        <v>budget</v>
      </c>
      <c r="L536">
        <v>69</v>
      </c>
    </row>
    <row r="537" spans="2:12" x14ac:dyDescent="0.3">
      <c r="B537" t="s">
        <v>561</v>
      </c>
      <c r="C537">
        <v>95</v>
      </c>
      <c r="D537" t="s">
        <v>41</v>
      </c>
      <c r="E537">
        <v>62</v>
      </c>
      <c r="F537">
        <v>86</v>
      </c>
      <c r="G537">
        <v>6.76</v>
      </c>
      <c r="H537" t="s">
        <v>18</v>
      </c>
      <c r="I537" t="s">
        <v>9</v>
      </c>
      <c r="K537" t="str">
        <v>budget</v>
      </c>
      <c r="L537">
        <v>74</v>
      </c>
    </row>
    <row r="538" spans="2:12" x14ac:dyDescent="0.3">
      <c r="B538" t="s">
        <v>562</v>
      </c>
      <c r="C538">
        <v>94</v>
      </c>
      <c r="D538" t="s">
        <v>45</v>
      </c>
      <c r="E538">
        <v>58</v>
      </c>
      <c r="F538">
        <v>80</v>
      </c>
      <c r="G538">
        <v>350</v>
      </c>
      <c r="H538" t="s">
        <v>2</v>
      </c>
      <c r="I538" t="s">
        <v>14</v>
      </c>
      <c r="K538" t="str">
        <v>premium</v>
      </c>
      <c r="L538">
        <v>69</v>
      </c>
    </row>
    <row r="539" spans="2:12" x14ac:dyDescent="0.3">
      <c r="B539" t="s">
        <v>563</v>
      </c>
      <c r="C539">
        <v>94</v>
      </c>
      <c r="D539" t="s">
        <v>45</v>
      </c>
      <c r="E539">
        <v>62</v>
      </c>
      <c r="F539">
        <v>76</v>
      </c>
      <c r="G539">
        <v>35.270000000000003</v>
      </c>
      <c r="H539" t="s">
        <v>18</v>
      </c>
      <c r="I539" t="s">
        <v>18</v>
      </c>
      <c r="K539" t="str">
        <v>middle</v>
      </c>
      <c r="L539">
        <v>69</v>
      </c>
    </row>
    <row r="540" spans="2:12" x14ac:dyDescent="0.3">
      <c r="B540" t="s">
        <v>564</v>
      </c>
      <c r="C540">
        <v>95</v>
      </c>
      <c r="D540" t="s">
        <v>82</v>
      </c>
      <c r="E540">
        <v>46</v>
      </c>
      <c r="F540">
        <v>70</v>
      </c>
      <c r="G540">
        <v>286.60000000000002</v>
      </c>
      <c r="H540" t="s">
        <v>2</v>
      </c>
      <c r="I540" t="s">
        <v>12</v>
      </c>
      <c r="K540" t="str">
        <v>premium</v>
      </c>
      <c r="L540">
        <v>58</v>
      </c>
    </row>
    <row r="541" spans="2:12" x14ac:dyDescent="0.3">
      <c r="B541" t="s">
        <v>565</v>
      </c>
      <c r="C541">
        <v>94</v>
      </c>
      <c r="D541" t="s">
        <v>41</v>
      </c>
      <c r="E541">
        <v>64</v>
      </c>
      <c r="F541">
        <v>84</v>
      </c>
      <c r="G541">
        <v>24</v>
      </c>
      <c r="H541" t="s">
        <v>18</v>
      </c>
      <c r="I541" t="s">
        <v>14</v>
      </c>
      <c r="K541" t="str">
        <v>budget</v>
      </c>
      <c r="L541">
        <v>74</v>
      </c>
    </row>
    <row r="542" spans="2:12" x14ac:dyDescent="0.3">
      <c r="B542" t="s">
        <v>566</v>
      </c>
      <c r="C542">
        <v>94</v>
      </c>
      <c r="D542" t="s">
        <v>41</v>
      </c>
      <c r="E542">
        <v>64</v>
      </c>
      <c r="F542">
        <v>84</v>
      </c>
      <c r="G542">
        <v>24</v>
      </c>
      <c r="H542" t="s">
        <v>18</v>
      </c>
      <c r="I542" t="s">
        <v>14</v>
      </c>
      <c r="K542" t="str">
        <v>budget</v>
      </c>
      <c r="L542">
        <v>74</v>
      </c>
    </row>
    <row r="543" spans="2:12" x14ac:dyDescent="0.3">
      <c r="B543" t="s">
        <v>567</v>
      </c>
      <c r="C543">
        <v>94</v>
      </c>
      <c r="D543" t="s">
        <v>45</v>
      </c>
      <c r="E543">
        <v>62</v>
      </c>
      <c r="F543">
        <v>76</v>
      </c>
      <c r="G543">
        <v>167.55</v>
      </c>
      <c r="H543" t="s">
        <v>2</v>
      </c>
      <c r="I543" t="s">
        <v>14</v>
      </c>
      <c r="K543" t="str">
        <v>premium</v>
      </c>
      <c r="L543">
        <v>69</v>
      </c>
    </row>
    <row r="544" spans="2:12" x14ac:dyDescent="0.3">
      <c r="B544" t="s">
        <v>568</v>
      </c>
      <c r="C544">
        <v>95</v>
      </c>
      <c r="D544" t="s">
        <v>45</v>
      </c>
      <c r="E544">
        <v>56</v>
      </c>
      <c r="F544">
        <v>74</v>
      </c>
      <c r="G544">
        <v>7.05</v>
      </c>
      <c r="H544" t="s">
        <v>18</v>
      </c>
      <c r="I544" t="s">
        <v>9</v>
      </c>
      <c r="K544" t="str">
        <v>budget</v>
      </c>
      <c r="L544">
        <v>65</v>
      </c>
    </row>
    <row r="545" spans="2:12" x14ac:dyDescent="0.3">
      <c r="B545" t="s">
        <v>569</v>
      </c>
      <c r="C545">
        <v>94</v>
      </c>
      <c r="D545" t="s">
        <v>41</v>
      </c>
      <c r="E545">
        <v>62</v>
      </c>
      <c r="F545">
        <v>84</v>
      </c>
      <c r="G545">
        <v>6.91</v>
      </c>
      <c r="H545" t="s">
        <v>18</v>
      </c>
      <c r="I545" t="s">
        <v>9</v>
      </c>
      <c r="K545" t="str">
        <v>budget</v>
      </c>
      <c r="L545">
        <v>73</v>
      </c>
    </row>
    <row r="546" spans="2:12" x14ac:dyDescent="0.3">
      <c r="B546" t="s">
        <v>570</v>
      </c>
      <c r="C546">
        <v>94</v>
      </c>
      <c r="D546" t="s">
        <v>45</v>
      </c>
      <c r="E546">
        <v>62</v>
      </c>
      <c r="F546">
        <v>79</v>
      </c>
      <c r="G546">
        <v>12.93</v>
      </c>
      <c r="H546" t="s">
        <v>18</v>
      </c>
      <c r="I546" t="s">
        <v>4</v>
      </c>
      <c r="K546" t="str">
        <v>budget</v>
      </c>
      <c r="L546">
        <v>70.5</v>
      </c>
    </row>
    <row r="547" spans="2:12" x14ac:dyDescent="0.3">
      <c r="B547" t="s">
        <v>571</v>
      </c>
      <c r="C547">
        <v>94</v>
      </c>
      <c r="D547" t="s">
        <v>45</v>
      </c>
      <c r="E547">
        <v>60</v>
      </c>
      <c r="F547">
        <v>76</v>
      </c>
      <c r="G547">
        <v>7.64</v>
      </c>
      <c r="H547" t="s">
        <v>18</v>
      </c>
      <c r="I547" t="s">
        <v>15</v>
      </c>
      <c r="K547" t="str">
        <v>budget</v>
      </c>
      <c r="L547">
        <v>68</v>
      </c>
    </row>
    <row r="548" spans="2:12" x14ac:dyDescent="0.3">
      <c r="B548" t="s">
        <v>572</v>
      </c>
      <c r="C548">
        <v>94</v>
      </c>
      <c r="D548" t="s">
        <v>41</v>
      </c>
      <c r="E548">
        <v>62</v>
      </c>
      <c r="F548">
        <v>80</v>
      </c>
      <c r="G548">
        <v>7.94</v>
      </c>
      <c r="H548" t="s">
        <v>18</v>
      </c>
      <c r="I548" t="s">
        <v>14</v>
      </c>
      <c r="K548" t="str">
        <v>budget</v>
      </c>
      <c r="L548">
        <v>71</v>
      </c>
    </row>
    <row r="549" spans="2:12" x14ac:dyDescent="0.3">
      <c r="B549" t="s">
        <v>573</v>
      </c>
      <c r="C549">
        <v>95</v>
      </c>
      <c r="D549" t="s">
        <v>45</v>
      </c>
      <c r="E549">
        <v>58</v>
      </c>
      <c r="F549">
        <v>80</v>
      </c>
      <c r="G549">
        <v>8.52</v>
      </c>
      <c r="H549" t="s">
        <v>18</v>
      </c>
      <c r="I549" t="s">
        <v>6</v>
      </c>
      <c r="K549" t="str">
        <v>budget</v>
      </c>
      <c r="L549">
        <v>69</v>
      </c>
    </row>
    <row r="550" spans="2:12" x14ac:dyDescent="0.3">
      <c r="B550" t="s">
        <v>574</v>
      </c>
      <c r="C550">
        <v>95</v>
      </c>
      <c r="D550" t="s">
        <v>41</v>
      </c>
      <c r="E550">
        <v>60</v>
      </c>
      <c r="F550">
        <v>82</v>
      </c>
      <c r="G550">
        <v>132.28</v>
      </c>
      <c r="H550" t="s">
        <v>2</v>
      </c>
      <c r="I550" t="s">
        <v>12</v>
      </c>
      <c r="K550" t="str">
        <v>premium</v>
      </c>
      <c r="L550">
        <v>71</v>
      </c>
    </row>
    <row r="551" spans="2:12" x14ac:dyDescent="0.3">
      <c r="B551" t="s">
        <v>575</v>
      </c>
      <c r="C551">
        <v>95</v>
      </c>
      <c r="D551" t="s">
        <v>41</v>
      </c>
      <c r="E551">
        <v>62</v>
      </c>
      <c r="F551">
        <v>86</v>
      </c>
      <c r="G551">
        <v>127.87</v>
      </c>
      <c r="H551" t="s">
        <v>2</v>
      </c>
      <c r="I551" t="s">
        <v>9</v>
      </c>
      <c r="K551" t="str">
        <v>premium</v>
      </c>
      <c r="L551">
        <v>74</v>
      </c>
    </row>
    <row r="552" spans="2:12" x14ac:dyDescent="0.3">
      <c r="B552" t="s">
        <v>576</v>
      </c>
      <c r="C552">
        <v>94</v>
      </c>
      <c r="D552" t="s">
        <v>45</v>
      </c>
      <c r="E552">
        <v>60</v>
      </c>
      <c r="F552">
        <v>78</v>
      </c>
      <c r="G552">
        <v>22.05</v>
      </c>
      <c r="H552" t="s">
        <v>18</v>
      </c>
      <c r="I552" t="s">
        <v>18</v>
      </c>
      <c r="K552" t="str">
        <v>budget</v>
      </c>
      <c r="L552">
        <v>69</v>
      </c>
    </row>
    <row r="553" spans="2:12" x14ac:dyDescent="0.3">
      <c r="B553" t="s">
        <v>577</v>
      </c>
      <c r="C553">
        <v>94</v>
      </c>
      <c r="D553" t="s">
        <v>45</v>
      </c>
      <c r="E553">
        <v>60</v>
      </c>
      <c r="F553">
        <v>78</v>
      </c>
      <c r="G553">
        <v>22.05</v>
      </c>
      <c r="H553" t="s">
        <v>18</v>
      </c>
      <c r="I553" t="s">
        <v>18</v>
      </c>
      <c r="K553" t="str">
        <v>budget</v>
      </c>
      <c r="L553">
        <v>69</v>
      </c>
    </row>
    <row r="554" spans="2:12" x14ac:dyDescent="0.3">
      <c r="B554" t="s">
        <v>578</v>
      </c>
      <c r="C554">
        <v>95</v>
      </c>
      <c r="D554" t="s">
        <v>41</v>
      </c>
      <c r="E554">
        <v>64</v>
      </c>
      <c r="F554">
        <v>84</v>
      </c>
      <c r="G554">
        <v>176.37</v>
      </c>
      <c r="H554" t="s">
        <v>2</v>
      </c>
      <c r="I554" t="s">
        <v>9</v>
      </c>
      <c r="K554" t="str">
        <v>premium</v>
      </c>
      <c r="L554">
        <v>74</v>
      </c>
    </row>
    <row r="555" spans="2:12" x14ac:dyDescent="0.3">
      <c r="B555" t="s">
        <v>579</v>
      </c>
      <c r="C555">
        <v>94</v>
      </c>
      <c r="D555" t="s">
        <v>41</v>
      </c>
      <c r="E555">
        <v>62</v>
      </c>
      <c r="F555">
        <v>80</v>
      </c>
      <c r="G555">
        <v>529.1</v>
      </c>
      <c r="H555" t="s">
        <v>2</v>
      </c>
      <c r="I555" t="s">
        <v>8</v>
      </c>
      <c r="K555" t="str">
        <v>premium</v>
      </c>
      <c r="L555">
        <v>71</v>
      </c>
    </row>
    <row r="556" spans="2:12" x14ac:dyDescent="0.3">
      <c r="B556" t="s">
        <v>580</v>
      </c>
      <c r="C556">
        <v>94</v>
      </c>
      <c r="D556" t="s">
        <v>41</v>
      </c>
      <c r="E556">
        <v>67</v>
      </c>
      <c r="F556">
        <v>86</v>
      </c>
      <c r="G556">
        <v>0.44</v>
      </c>
      <c r="H556" t="s">
        <v>2</v>
      </c>
      <c r="I556" t="s">
        <v>7</v>
      </c>
      <c r="K556" t="str">
        <v>budget</v>
      </c>
      <c r="L556">
        <v>76.5</v>
      </c>
    </row>
    <row r="557" spans="2:12" x14ac:dyDescent="0.3">
      <c r="B557" t="s">
        <v>581</v>
      </c>
      <c r="C557">
        <v>94</v>
      </c>
      <c r="D557" t="s">
        <v>45</v>
      </c>
      <c r="E557">
        <v>59</v>
      </c>
      <c r="F557">
        <v>77</v>
      </c>
      <c r="G557">
        <v>8.82</v>
      </c>
      <c r="H557" t="s">
        <v>18</v>
      </c>
      <c r="I557" t="s">
        <v>12</v>
      </c>
      <c r="K557" t="str">
        <v>budget</v>
      </c>
      <c r="L557">
        <v>68</v>
      </c>
    </row>
    <row r="558" spans="2:12" x14ac:dyDescent="0.3">
      <c r="B558" t="s">
        <v>582</v>
      </c>
      <c r="C558">
        <v>94</v>
      </c>
      <c r="D558" t="s">
        <v>41</v>
      </c>
      <c r="E558">
        <v>65</v>
      </c>
      <c r="F558">
        <v>86</v>
      </c>
      <c r="G558">
        <v>79.37</v>
      </c>
      <c r="H558" t="s">
        <v>2</v>
      </c>
      <c r="I558" t="s">
        <v>9</v>
      </c>
      <c r="K558" t="str">
        <v>middle</v>
      </c>
      <c r="L558">
        <v>75.5</v>
      </c>
    </row>
    <row r="559" spans="2:12" x14ac:dyDescent="0.3">
      <c r="B559" t="s">
        <v>583</v>
      </c>
      <c r="C559">
        <v>94</v>
      </c>
      <c r="D559" t="s">
        <v>45</v>
      </c>
      <c r="E559">
        <v>60</v>
      </c>
      <c r="F559">
        <v>77</v>
      </c>
      <c r="G559">
        <v>6.76</v>
      </c>
      <c r="H559" t="s">
        <v>18</v>
      </c>
      <c r="I559" t="s">
        <v>24</v>
      </c>
      <c r="K559" t="str">
        <v>budget</v>
      </c>
      <c r="L559">
        <v>68.5</v>
      </c>
    </row>
    <row r="560" spans="2:12" x14ac:dyDescent="0.3">
      <c r="B560" t="s">
        <v>584</v>
      </c>
      <c r="C560">
        <v>95</v>
      </c>
      <c r="D560" t="s">
        <v>41</v>
      </c>
      <c r="E560">
        <v>62</v>
      </c>
      <c r="F560">
        <v>84</v>
      </c>
      <c r="G560">
        <v>5.88</v>
      </c>
      <c r="H560" t="s">
        <v>18</v>
      </c>
      <c r="I560" t="s">
        <v>9</v>
      </c>
      <c r="K560" t="str">
        <v>budget</v>
      </c>
      <c r="L560">
        <v>73</v>
      </c>
    </row>
    <row r="561" spans="2:12" x14ac:dyDescent="0.3">
      <c r="B561" t="s">
        <v>585</v>
      </c>
      <c r="C561">
        <v>94</v>
      </c>
      <c r="D561" t="s">
        <v>45</v>
      </c>
      <c r="E561">
        <v>60</v>
      </c>
      <c r="F561">
        <v>77</v>
      </c>
      <c r="G561">
        <v>7.05</v>
      </c>
      <c r="H561" t="s">
        <v>18</v>
      </c>
      <c r="I561" t="s">
        <v>12</v>
      </c>
      <c r="K561" t="str">
        <v>budget</v>
      </c>
      <c r="L561">
        <v>68.5</v>
      </c>
    </row>
    <row r="562" spans="2:12" x14ac:dyDescent="0.3">
      <c r="B562" t="s">
        <v>586</v>
      </c>
      <c r="C562">
        <v>94</v>
      </c>
      <c r="D562" t="s">
        <v>45</v>
      </c>
      <c r="E562">
        <v>60</v>
      </c>
      <c r="F562">
        <v>77</v>
      </c>
      <c r="G562">
        <v>7.05</v>
      </c>
      <c r="H562" t="s">
        <v>18</v>
      </c>
      <c r="I562" t="s">
        <v>12</v>
      </c>
      <c r="K562" t="str">
        <v>budget</v>
      </c>
      <c r="L562">
        <v>68.5</v>
      </c>
    </row>
    <row r="563" spans="2:12" x14ac:dyDescent="0.3">
      <c r="B563" t="s">
        <v>587</v>
      </c>
      <c r="C563">
        <v>94</v>
      </c>
      <c r="D563" t="s">
        <v>45</v>
      </c>
      <c r="E563">
        <v>58</v>
      </c>
      <c r="F563">
        <v>77</v>
      </c>
      <c r="G563">
        <v>6.76</v>
      </c>
      <c r="H563" t="s">
        <v>18</v>
      </c>
      <c r="I563" t="s">
        <v>21</v>
      </c>
      <c r="K563" t="str">
        <v>budget</v>
      </c>
      <c r="L563">
        <v>67.5</v>
      </c>
    </row>
    <row r="564" spans="2:12" x14ac:dyDescent="0.3">
      <c r="B564" t="s">
        <v>588</v>
      </c>
      <c r="C564">
        <v>95</v>
      </c>
      <c r="D564" t="s">
        <v>41</v>
      </c>
      <c r="E564">
        <v>62</v>
      </c>
      <c r="F564">
        <v>80</v>
      </c>
      <c r="G564">
        <v>9.26</v>
      </c>
      <c r="H564" t="s">
        <v>18</v>
      </c>
      <c r="I564" t="s">
        <v>14</v>
      </c>
      <c r="K564" t="str">
        <v>budget</v>
      </c>
      <c r="L564">
        <v>71</v>
      </c>
    </row>
    <row r="565" spans="2:12" x14ac:dyDescent="0.3">
      <c r="B565" t="s">
        <v>589</v>
      </c>
      <c r="C565">
        <v>95</v>
      </c>
      <c r="D565" t="s">
        <v>45</v>
      </c>
      <c r="E565">
        <v>59</v>
      </c>
      <c r="F565">
        <v>75</v>
      </c>
      <c r="G565">
        <v>573.19000000000005</v>
      </c>
      <c r="H565" t="s">
        <v>2</v>
      </c>
      <c r="I565" t="s">
        <v>7</v>
      </c>
      <c r="K565" t="str">
        <v>premium</v>
      </c>
      <c r="L565">
        <v>67</v>
      </c>
    </row>
    <row r="566" spans="2:12" x14ac:dyDescent="0.3">
      <c r="B566" t="s">
        <v>590</v>
      </c>
      <c r="C566">
        <v>94</v>
      </c>
      <c r="D566" t="s">
        <v>45</v>
      </c>
      <c r="E566">
        <v>59</v>
      </c>
      <c r="F566">
        <v>77</v>
      </c>
      <c r="G566">
        <v>7.35</v>
      </c>
      <c r="H566" t="s">
        <v>18</v>
      </c>
      <c r="I566" t="s">
        <v>14</v>
      </c>
      <c r="K566" t="str">
        <v>budget</v>
      </c>
      <c r="L566">
        <v>68</v>
      </c>
    </row>
    <row r="567" spans="2:12" x14ac:dyDescent="0.3">
      <c r="B567" t="s">
        <v>591</v>
      </c>
      <c r="C567">
        <v>95</v>
      </c>
      <c r="D567" t="s">
        <v>41</v>
      </c>
      <c r="E567">
        <v>62</v>
      </c>
      <c r="F567">
        <v>86</v>
      </c>
      <c r="G567">
        <v>0.88</v>
      </c>
      <c r="H567" t="s">
        <v>2</v>
      </c>
      <c r="I567" t="s">
        <v>9</v>
      </c>
      <c r="K567" t="str">
        <v>budget</v>
      </c>
      <c r="L567">
        <v>74</v>
      </c>
    </row>
    <row r="568" spans="2:12" x14ac:dyDescent="0.3">
      <c r="B568" t="s">
        <v>592</v>
      </c>
      <c r="C568">
        <v>94</v>
      </c>
      <c r="D568" t="s">
        <v>45</v>
      </c>
      <c r="E568">
        <v>54</v>
      </c>
      <c r="F568">
        <v>72</v>
      </c>
      <c r="G568">
        <v>4.9800000000000004</v>
      </c>
      <c r="H568" t="s">
        <v>18</v>
      </c>
      <c r="I568" t="s">
        <v>10</v>
      </c>
      <c r="K568" t="str">
        <v>budget</v>
      </c>
      <c r="L568">
        <v>63</v>
      </c>
    </row>
    <row r="569" spans="2:12" x14ac:dyDescent="0.3">
      <c r="B569" t="s">
        <v>593</v>
      </c>
      <c r="C569">
        <v>94</v>
      </c>
      <c r="D569" t="s">
        <v>45</v>
      </c>
      <c r="E569">
        <v>58</v>
      </c>
      <c r="F569">
        <v>78</v>
      </c>
      <c r="G569">
        <v>92.59</v>
      </c>
      <c r="H569" t="s">
        <v>2</v>
      </c>
      <c r="I569" t="s">
        <v>14</v>
      </c>
      <c r="K569" t="str">
        <v>middle</v>
      </c>
      <c r="L569">
        <v>68</v>
      </c>
    </row>
    <row r="570" spans="2:12" x14ac:dyDescent="0.3">
      <c r="B570" t="s">
        <v>594</v>
      </c>
      <c r="C570">
        <v>95</v>
      </c>
      <c r="D570" t="s">
        <v>41</v>
      </c>
      <c r="E570">
        <v>65</v>
      </c>
      <c r="F570">
        <v>86</v>
      </c>
      <c r="G570">
        <v>11.3</v>
      </c>
      <c r="H570" t="s">
        <v>18</v>
      </c>
      <c r="I570" t="s">
        <v>14</v>
      </c>
      <c r="K570" t="str">
        <v>budget</v>
      </c>
      <c r="L570">
        <v>75.5</v>
      </c>
    </row>
    <row r="571" spans="2:12" x14ac:dyDescent="0.3">
      <c r="B571" t="s">
        <v>595</v>
      </c>
      <c r="C571">
        <v>95</v>
      </c>
      <c r="D571" t="s">
        <v>41</v>
      </c>
      <c r="E571">
        <v>62</v>
      </c>
      <c r="F571">
        <v>84</v>
      </c>
      <c r="G571">
        <v>35.270000000000003</v>
      </c>
      <c r="H571" t="s">
        <v>18</v>
      </c>
      <c r="I571" t="s">
        <v>18</v>
      </c>
      <c r="K571" t="str">
        <v>middle</v>
      </c>
      <c r="L571">
        <v>73</v>
      </c>
    </row>
    <row r="572" spans="2:12" x14ac:dyDescent="0.3">
      <c r="B572" t="s">
        <v>596</v>
      </c>
      <c r="C572">
        <v>94</v>
      </c>
      <c r="D572" t="s">
        <v>41</v>
      </c>
      <c r="E572">
        <v>64</v>
      </c>
      <c r="F572">
        <v>88</v>
      </c>
      <c r="G572">
        <v>500</v>
      </c>
      <c r="H572" t="s">
        <v>2</v>
      </c>
      <c r="I572" t="s">
        <v>14</v>
      </c>
      <c r="K572" t="str">
        <v>premium</v>
      </c>
      <c r="L572">
        <v>76</v>
      </c>
    </row>
    <row r="573" spans="2:12" x14ac:dyDescent="0.3">
      <c r="B573" t="s">
        <v>597</v>
      </c>
      <c r="C573">
        <v>94</v>
      </c>
      <c r="D573" t="s">
        <v>41</v>
      </c>
      <c r="E573">
        <v>56</v>
      </c>
      <c r="F573">
        <v>86</v>
      </c>
      <c r="G573">
        <v>7.73</v>
      </c>
      <c r="H573" t="s">
        <v>18</v>
      </c>
      <c r="I573" t="s">
        <v>14</v>
      </c>
      <c r="K573" t="str">
        <v>budget</v>
      </c>
      <c r="L573">
        <v>71</v>
      </c>
    </row>
    <row r="574" spans="2:12" x14ac:dyDescent="0.3">
      <c r="B574" t="s">
        <v>598</v>
      </c>
      <c r="C574">
        <v>94</v>
      </c>
      <c r="D574" t="s">
        <v>41</v>
      </c>
      <c r="E574">
        <v>67</v>
      </c>
      <c r="F574">
        <v>99</v>
      </c>
      <c r="G574">
        <v>10.29</v>
      </c>
      <c r="H574" t="s">
        <v>18</v>
      </c>
      <c r="I574" t="s">
        <v>14</v>
      </c>
      <c r="K574" t="str">
        <v>budget</v>
      </c>
      <c r="L574">
        <v>83</v>
      </c>
    </row>
    <row r="575" spans="2:12" x14ac:dyDescent="0.3">
      <c r="B575" t="s">
        <v>599</v>
      </c>
      <c r="C575">
        <v>94</v>
      </c>
      <c r="D575" t="s">
        <v>41</v>
      </c>
      <c r="E575">
        <v>65</v>
      </c>
      <c r="F575">
        <v>92</v>
      </c>
      <c r="G575">
        <v>10.14</v>
      </c>
      <c r="H575" t="s">
        <v>18</v>
      </c>
      <c r="I575" t="s">
        <v>9</v>
      </c>
      <c r="K575" t="str">
        <v>budget</v>
      </c>
      <c r="L575">
        <v>78.5</v>
      </c>
    </row>
    <row r="576" spans="2:12" x14ac:dyDescent="0.3">
      <c r="B576" t="s">
        <v>600</v>
      </c>
      <c r="C576">
        <v>94</v>
      </c>
      <c r="D576" t="s">
        <v>41</v>
      </c>
      <c r="E576">
        <v>64</v>
      </c>
      <c r="F576">
        <v>82</v>
      </c>
      <c r="G576">
        <v>28</v>
      </c>
      <c r="H576" t="s">
        <v>30</v>
      </c>
      <c r="I576" t="s">
        <v>14</v>
      </c>
      <c r="K576" t="str">
        <v>middle</v>
      </c>
      <c r="L576">
        <v>73</v>
      </c>
    </row>
    <row r="577" spans="2:12" x14ac:dyDescent="0.3">
      <c r="B577" t="s">
        <v>601</v>
      </c>
      <c r="C577">
        <v>95</v>
      </c>
      <c r="D577" t="s">
        <v>41</v>
      </c>
      <c r="E577">
        <v>64</v>
      </c>
      <c r="F577">
        <v>84</v>
      </c>
      <c r="G577">
        <v>35.270000000000003</v>
      </c>
      <c r="H577" t="s">
        <v>18</v>
      </c>
      <c r="I577" t="s">
        <v>14</v>
      </c>
      <c r="K577" t="str">
        <v>middle</v>
      </c>
      <c r="L577">
        <v>74</v>
      </c>
    </row>
    <row r="578" spans="2:12" x14ac:dyDescent="0.3">
      <c r="B578" t="s">
        <v>602</v>
      </c>
      <c r="C578">
        <v>95</v>
      </c>
      <c r="D578" t="s">
        <v>41</v>
      </c>
      <c r="E578">
        <v>62</v>
      </c>
      <c r="F578">
        <v>84</v>
      </c>
      <c r="G578">
        <v>8.23</v>
      </c>
      <c r="H578" t="s">
        <v>18</v>
      </c>
      <c r="I578" t="s">
        <v>9</v>
      </c>
      <c r="K578" t="str">
        <v>budget</v>
      </c>
      <c r="L578">
        <v>73</v>
      </c>
    </row>
    <row r="579" spans="2:12" x14ac:dyDescent="0.3">
      <c r="B579" t="s">
        <v>603</v>
      </c>
      <c r="C579">
        <v>95</v>
      </c>
      <c r="D579" t="s">
        <v>41</v>
      </c>
      <c r="E579">
        <v>64</v>
      </c>
      <c r="F579">
        <v>82</v>
      </c>
      <c r="G579">
        <v>12</v>
      </c>
      <c r="H579" t="s">
        <v>18</v>
      </c>
      <c r="I579" t="s">
        <v>14</v>
      </c>
      <c r="K579" t="str">
        <v>budget</v>
      </c>
      <c r="L579">
        <v>73</v>
      </c>
    </row>
    <row r="580" spans="2:12" x14ac:dyDescent="0.3">
      <c r="B580" t="s">
        <v>604</v>
      </c>
      <c r="C580">
        <v>94</v>
      </c>
      <c r="D580" t="s">
        <v>45</v>
      </c>
      <c r="E580">
        <v>60</v>
      </c>
      <c r="F580">
        <v>77</v>
      </c>
      <c r="G580">
        <v>153.88</v>
      </c>
      <c r="H580" t="s">
        <v>2</v>
      </c>
      <c r="I580" t="s">
        <v>12</v>
      </c>
      <c r="K580" t="str">
        <v>premium</v>
      </c>
      <c r="L580">
        <v>68.5</v>
      </c>
    </row>
    <row r="581" spans="2:12" x14ac:dyDescent="0.3">
      <c r="B581" t="s">
        <v>605</v>
      </c>
      <c r="C581">
        <v>94</v>
      </c>
      <c r="D581" t="s">
        <v>41</v>
      </c>
      <c r="E581">
        <v>62</v>
      </c>
      <c r="F581">
        <v>80</v>
      </c>
      <c r="G581">
        <v>349</v>
      </c>
      <c r="H581" t="s">
        <v>2</v>
      </c>
      <c r="I581" t="s">
        <v>15</v>
      </c>
      <c r="K581" t="str">
        <v>premium</v>
      </c>
      <c r="L581">
        <v>71</v>
      </c>
    </row>
    <row r="582" spans="2:12" x14ac:dyDescent="0.3">
      <c r="B582" t="s">
        <v>606</v>
      </c>
      <c r="C582">
        <v>94</v>
      </c>
      <c r="D582" t="s">
        <v>41</v>
      </c>
      <c r="E582">
        <v>63</v>
      </c>
      <c r="F582">
        <v>79</v>
      </c>
      <c r="G582">
        <v>242.5</v>
      </c>
      <c r="H582" t="s">
        <v>2</v>
      </c>
      <c r="I582" t="s">
        <v>9</v>
      </c>
      <c r="K582" t="str">
        <v>premium</v>
      </c>
      <c r="L582">
        <v>71</v>
      </c>
    </row>
    <row r="583" spans="2:12" x14ac:dyDescent="0.3">
      <c r="B583" t="s">
        <v>442</v>
      </c>
      <c r="C583">
        <v>94</v>
      </c>
      <c r="D583" t="s">
        <v>41</v>
      </c>
      <c r="E583">
        <v>64</v>
      </c>
      <c r="F583">
        <v>82</v>
      </c>
      <c r="G583">
        <v>7.35</v>
      </c>
      <c r="H583" t="s">
        <v>18</v>
      </c>
      <c r="I583" t="s">
        <v>12</v>
      </c>
      <c r="K583" t="str">
        <v>budget</v>
      </c>
      <c r="L583">
        <v>73</v>
      </c>
    </row>
    <row r="584" spans="2:12" x14ac:dyDescent="0.3">
      <c r="B584" t="s">
        <v>607</v>
      </c>
      <c r="C584">
        <v>94</v>
      </c>
      <c r="D584" t="s">
        <v>45</v>
      </c>
      <c r="E584">
        <v>59</v>
      </c>
      <c r="F584">
        <v>78</v>
      </c>
      <c r="G584">
        <v>5.57</v>
      </c>
      <c r="H584" t="s">
        <v>18</v>
      </c>
      <c r="I584" t="s">
        <v>7</v>
      </c>
      <c r="K584" t="str">
        <v>budget</v>
      </c>
      <c r="L584">
        <v>68.5</v>
      </c>
    </row>
    <row r="585" spans="2:12" x14ac:dyDescent="0.3">
      <c r="B585" t="s">
        <v>367</v>
      </c>
      <c r="C585">
        <v>94</v>
      </c>
      <c r="D585" t="s">
        <v>45</v>
      </c>
      <c r="E585">
        <v>62</v>
      </c>
      <c r="F585">
        <v>79</v>
      </c>
      <c r="G585">
        <v>10.29</v>
      </c>
      <c r="H585" t="s">
        <v>18</v>
      </c>
      <c r="I585" t="s">
        <v>9</v>
      </c>
      <c r="K585" t="str">
        <v>budget</v>
      </c>
      <c r="L585">
        <v>70.5</v>
      </c>
    </row>
    <row r="586" spans="2:12" x14ac:dyDescent="0.3">
      <c r="B586" t="s">
        <v>608</v>
      </c>
      <c r="C586">
        <v>94</v>
      </c>
      <c r="D586" t="s">
        <v>45</v>
      </c>
      <c r="E586">
        <v>62</v>
      </c>
      <c r="F586">
        <v>78</v>
      </c>
      <c r="G586">
        <v>7.2</v>
      </c>
      <c r="H586" t="s">
        <v>18</v>
      </c>
      <c r="I586" t="s">
        <v>14</v>
      </c>
      <c r="K586" t="str">
        <v>budget</v>
      </c>
      <c r="L586">
        <v>70</v>
      </c>
    </row>
    <row r="587" spans="2:12" x14ac:dyDescent="0.3">
      <c r="B587" t="s">
        <v>609</v>
      </c>
      <c r="C587">
        <v>94</v>
      </c>
      <c r="D587" t="s">
        <v>45</v>
      </c>
      <c r="E587">
        <v>58</v>
      </c>
      <c r="F587">
        <v>77</v>
      </c>
      <c r="G587">
        <v>5.88</v>
      </c>
      <c r="H587" t="s">
        <v>18</v>
      </c>
      <c r="I587" t="s">
        <v>19</v>
      </c>
      <c r="K587" t="str">
        <v>budget</v>
      </c>
      <c r="L587">
        <v>67.5</v>
      </c>
    </row>
    <row r="588" spans="2:12" x14ac:dyDescent="0.3">
      <c r="B588" t="s">
        <v>610</v>
      </c>
      <c r="C588">
        <v>94</v>
      </c>
      <c r="D588" t="s">
        <v>45</v>
      </c>
      <c r="E588">
        <v>59</v>
      </c>
      <c r="F588">
        <v>74</v>
      </c>
      <c r="G588">
        <v>26.46</v>
      </c>
      <c r="H588" t="s">
        <v>18</v>
      </c>
      <c r="I588" t="s">
        <v>18</v>
      </c>
      <c r="K588" t="str">
        <v>middle</v>
      </c>
      <c r="L588">
        <v>66.5</v>
      </c>
    </row>
    <row r="589" spans="2:12" x14ac:dyDescent="0.3">
      <c r="B589" t="s">
        <v>130</v>
      </c>
      <c r="C589">
        <v>94</v>
      </c>
      <c r="D589" t="s">
        <v>41</v>
      </c>
      <c r="E589">
        <v>64</v>
      </c>
      <c r="F589">
        <v>82</v>
      </c>
      <c r="G589">
        <v>6.16</v>
      </c>
      <c r="H589" t="s">
        <v>18</v>
      </c>
      <c r="I589" t="s">
        <v>9</v>
      </c>
      <c r="K589" t="str">
        <v>budget</v>
      </c>
      <c r="L589">
        <v>73</v>
      </c>
    </row>
    <row r="590" spans="2:12" x14ac:dyDescent="0.3">
      <c r="B590" t="s">
        <v>611</v>
      </c>
      <c r="C590">
        <v>94</v>
      </c>
      <c r="D590" t="s">
        <v>45</v>
      </c>
      <c r="E590">
        <v>60</v>
      </c>
      <c r="F590">
        <v>77</v>
      </c>
      <c r="G590">
        <v>6.61</v>
      </c>
      <c r="H590" t="s">
        <v>18</v>
      </c>
      <c r="I590" t="s">
        <v>5</v>
      </c>
      <c r="K590" t="str">
        <v>budget</v>
      </c>
      <c r="L590">
        <v>68.5</v>
      </c>
    </row>
    <row r="591" spans="2:12" x14ac:dyDescent="0.3">
      <c r="B591" t="s">
        <v>612</v>
      </c>
      <c r="C591">
        <v>95</v>
      </c>
      <c r="D591" t="s">
        <v>45</v>
      </c>
      <c r="E591">
        <v>60</v>
      </c>
      <c r="F591">
        <v>78</v>
      </c>
      <c r="G591">
        <v>8.23</v>
      </c>
      <c r="H591" t="s">
        <v>18</v>
      </c>
      <c r="I591" t="s">
        <v>7</v>
      </c>
      <c r="K591" t="str">
        <v>budget</v>
      </c>
      <c r="L591">
        <v>69</v>
      </c>
    </row>
    <row r="592" spans="2:12" x14ac:dyDescent="0.3">
      <c r="B592" t="s">
        <v>613</v>
      </c>
      <c r="C592">
        <v>94</v>
      </c>
      <c r="D592" t="s">
        <v>41</v>
      </c>
      <c r="E592">
        <v>65</v>
      </c>
      <c r="F592">
        <v>84</v>
      </c>
      <c r="G592">
        <v>8.23</v>
      </c>
      <c r="H592" t="s">
        <v>18</v>
      </c>
      <c r="I592" t="s">
        <v>15</v>
      </c>
      <c r="K592" t="str">
        <v>budget</v>
      </c>
      <c r="L592">
        <v>74.5</v>
      </c>
    </row>
    <row r="593" spans="2:12" x14ac:dyDescent="0.3">
      <c r="B593" t="s">
        <v>614</v>
      </c>
      <c r="C593">
        <v>94</v>
      </c>
      <c r="D593" t="s">
        <v>41</v>
      </c>
      <c r="E593">
        <v>62</v>
      </c>
      <c r="F593">
        <v>81</v>
      </c>
      <c r="G593">
        <v>5</v>
      </c>
      <c r="H593" t="s">
        <v>18</v>
      </c>
      <c r="I593" t="s">
        <v>9</v>
      </c>
      <c r="K593" t="str">
        <v>budget</v>
      </c>
      <c r="L593">
        <v>71.5</v>
      </c>
    </row>
    <row r="594" spans="2:12" x14ac:dyDescent="0.3">
      <c r="B594" t="s">
        <v>615</v>
      </c>
      <c r="C594">
        <v>94</v>
      </c>
      <c r="D594" t="s">
        <v>41</v>
      </c>
      <c r="E594">
        <v>62</v>
      </c>
      <c r="F594">
        <v>80</v>
      </c>
      <c r="G594">
        <v>29.39</v>
      </c>
      <c r="H594" t="s">
        <v>18</v>
      </c>
      <c r="I594" t="s">
        <v>14</v>
      </c>
      <c r="K594" t="str">
        <v>middle</v>
      </c>
      <c r="L594">
        <v>71</v>
      </c>
    </row>
    <row r="595" spans="2:12" x14ac:dyDescent="0.3">
      <c r="B595" t="s">
        <v>398</v>
      </c>
      <c r="C595">
        <v>96</v>
      </c>
      <c r="D595" t="s">
        <v>45</v>
      </c>
      <c r="E595">
        <v>60</v>
      </c>
      <c r="F595">
        <v>80</v>
      </c>
      <c r="G595">
        <v>30.84</v>
      </c>
      <c r="H595" t="s">
        <v>18</v>
      </c>
      <c r="I595" t="s">
        <v>150</v>
      </c>
      <c r="K595" t="str">
        <v>middle</v>
      </c>
      <c r="L595">
        <v>70</v>
      </c>
    </row>
    <row r="596" spans="2:12" x14ac:dyDescent="0.3">
      <c r="B596" t="s">
        <v>616</v>
      </c>
      <c r="C596">
        <v>96</v>
      </c>
      <c r="D596" t="s">
        <v>45</v>
      </c>
      <c r="E596">
        <v>58</v>
      </c>
      <c r="F596">
        <v>78</v>
      </c>
      <c r="G596">
        <v>440.92</v>
      </c>
      <c r="H596" t="s">
        <v>2</v>
      </c>
      <c r="I596" t="s">
        <v>21</v>
      </c>
      <c r="K596" t="str">
        <v>premium</v>
      </c>
      <c r="L596">
        <v>68</v>
      </c>
    </row>
    <row r="597" spans="2:12" x14ac:dyDescent="0.3">
      <c r="B597" t="s">
        <v>617</v>
      </c>
      <c r="C597">
        <v>95</v>
      </c>
      <c r="D597" t="s">
        <v>41</v>
      </c>
      <c r="E597">
        <v>64</v>
      </c>
      <c r="F597">
        <v>84</v>
      </c>
      <c r="G597">
        <v>0.88</v>
      </c>
      <c r="H597" t="s">
        <v>2</v>
      </c>
      <c r="I597" t="s">
        <v>5</v>
      </c>
      <c r="K597" t="str">
        <v>budget</v>
      </c>
      <c r="L597">
        <v>74</v>
      </c>
    </row>
    <row r="598" spans="2:12" x14ac:dyDescent="0.3">
      <c r="B598" t="s">
        <v>618</v>
      </c>
      <c r="C598">
        <v>94</v>
      </c>
      <c r="D598" t="s">
        <v>45</v>
      </c>
      <c r="E598">
        <v>58</v>
      </c>
      <c r="F598">
        <v>76</v>
      </c>
      <c r="G598">
        <v>127.87</v>
      </c>
      <c r="H598" t="s">
        <v>2</v>
      </c>
      <c r="I598" t="s">
        <v>7</v>
      </c>
      <c r="K598" t="str">
        <v>premium</v>
      </c>
      <c r="L598">
        <v>67</v>
      </c>
    </row>
    <row r="599" spans="2:12" x14ac:dyDescent="0.3">
      <c r="B599" t="s">
        <v>619</v>
      </c>
      <c r="C599">
        <v>94</v>
      </c>
      <c r="D599" t="s">
        <v>41</v>
      </c>
      <c r="E599">
        <v>65</v>
      </c>
      <c r="F599">
        <v>84</v>
      </c>
      <c r="G599">
        <v>396.83</v>
      </c>
      <c r="H599" t="s">
        <v>2</v>
      </c>
      <c r="I599" t="s">
        <v>9</v>
      </c>
      <c r="K599" t="str">
        <v>premium</v>
      </c>
      <c r="L599">
        <v>74.5</v>
      </c>
    </row>
    <row r="600" spans="2:12" x14ac:dyDescent="0.3">
      <c r="B600" t="s">
        <v>620</v>
      </c>
      <c r="C600">
        <v>94</v>
      </c>
      <c r="D600" t="s">
        <v>41</v>
      </c>
      <c r="E600">
        <v>64</v>
      </c>
      <c r="F600">
        <v>86</v>
      </c>
      <c r="G600">
        <v>171.96</v>
      </c>
      <c r="H600" t="s">
        <v>2</v>
      </c>
      <c r="I600" t="s">
        <v>9</v>
      </c>
      <c r="K600" t="str">
        <v>premium</v>
      </c>
      <c r="L600">
        <v>75</v>
      </c>
    </row>
    <row r="601" spans="2:12" x14ac:dyDescent="0.3">
      <c r="B601" t="s">
        <v>621</v>
      </c>
      <c r="C601">
        <v>95</v>
      </c>
      <c r="D601" t="s">
        <v>45</v>
      </c>
      <c r="E601">
        <v>59</v>
      </c>
      <c r="F601">
        <v>77</v>
      </c>
      <c r="G601">
        <v>244.44</v>
      </c>
      <c r="H601" t="s">
        <v>2</v>
      </c>
      <c r="I601" t="s">
        <v>9</v>
      </c>
      <c r="K601" t="str">
        <v>premium</v>
      </c>
      <c r="L601">
        <v>68</v>
      </c>
    </row>
    <row r="602" spans="2:12" x14ac:dyDescent="0.3">
      <c r="B602" t="s">
        <v>622</v>
      </c>
      <c r="C602">
        <v>95</v>
      </c>
      <c r="D602" t="s">
        <v>45</v>
      </c>
      <c r="E602">
        <v>60</v>
      </c>
      <c r="F602">
        <v>76</v>
      </c>
      <c r="G602">
        <v>288.89</v>
      </c>
      <c r="H602" t="s">
        <v>2</v>
      </c>
      <c r="I602" t="s">
        <v>12</v>
      </c>
      <c r="K602" t="str">
        <v>premium</v>
      </c>
      <c r="L602">
        <v>68</v>
      </c>
    </row>
    <row r="603" spans="2:12" x14ac:dyDescent="0.3">
      <c r="B603" t="s">
        <v>623</v>
      </c>
      <c r="C603">
        <v>94</v>
      </c>
      <c r="D603" t="s">
        <v>41</v>
      </c>
      <c r="E603">
        <v>62</v>
      </c>
      <c r="F603">
        <v>84</v>
      </c>
      <c r="G603">
        <v>28.66</v>
      </c>
      <c r="H603" t="s">
        <v>18</v>
      </c>
      <c r="I603" t="s">
        <v>14</v>
      </c>
      <c r="K603" t="str">
        <v>middle</v>
      </c>
      <c r="L603">
        <v>73</v>
      </c>
    </row>
    <row r="604" spans="2:12" x14ac:dyDescent="0.3">
      <c r="B604" t="s">
        <v>281</v>
      </c>
      <c r="C604">
        <v>96</v>
      </c>
      <c r="D604" t="s">
        <v>41</v>
      </c>
      <c r="E604">
        <v>60</v>
      </c>
      <c r="F604">
        <v>82</v>
      </c>
      <c r="G604">
        <v>8.3800000000000008</v>
      </c>
      <c r="H604" t="s">
        <v>18</v>
      </c>
      <c r="I604" t="s">
        <v>14</v>
      </c>
      <c r="K604" t="str">
        <v>budget</v>
      </c>
      <c r="L604">
        <v>71</v>
      </c>
    </row>
    <row r="605" spans="2:12" x14ac:dyDescent="0.3">
      <c r="B605" t="s">
        <v>624</v>
      </c>
      <c r="C605">
        <v>94</v>
      </c>
      <c r="D605" t="s">
        <v>45</v>
      </c>
      <c r="E605">
        <v>58</v>
      </c>
      <c r="F605">
        <v>78</v>
      </c>
      <c r="G605">
        <v>5.29</v>
      </c>
      <c r="H605" t="s">
        <v>18</v>
      </c>
      <c r="I605" t="s">
        <v>9</v>
      </c>
      <c r="K605" t="str">
        <v>budget</v>
      </c>
      <c r="L605">
        <v>68</v>
      </c>
    </row>
    <row r="606" spans="2:12" x14ac:dyDescent="0.3">
      <c r="B606" t="s">
        <v>625</v>
      </c>
      <c r="C606">
        <v>94</v>
      </c>
      <c r="D606" t="s">
        <v>41</v>
      </c>
      <c r="E606">
        <v>62</v>
      </c>
      <c r="F606">
        <v>80</v>
      </c>
      <c r="G606">
        <v>220.26</v>
      </c>
      <c r="H606" t="s">
        <v>2</v>
      </c>
      <c r="I606" t="s">
        <v>9</v>
      </c>
      <c r="K606" t="str">
        <v>premium</v>
      </c>
      <c r="L606">
        <v>71</v>
      </c>
    </row>
    <row r="607" spans="2:12" x14ac:dyDescent="0.3">
      <c r="B607" t="s">
        <v>626</v>
      </c>
      <c r="C607">
        <v>95</v>
      </c>
      <c r="D607" t="s">
        <v>41</v>
      </c>
      <c r="E607">
        <v>64</v>
      </c>
      <c r="F607">
        <v>82</v>
      </c>
      <c r="G607">
        <v>44.09</v>
      </c>
      <c r="H607" t="s">
        <v>18</v>
      </c>
      <c r="I607" t="s">
        <v>14</v>
      </c>
      <c r="K607" t="str">
        <v>middle</v>
      </c>
      <c r="L607">
        <v>73</v>
      </c>
    </row>
    <row r="608" spans="2:12" x14ac:dyDescent="0.3">
      <c r="B608" t="s">
        <v>627</v>
      </c>
      <c r="C608">
        <v>94</v>
      </c>
      <c r="D608" t="s">
        <v>45</v>
      </c>
      <c r="E608">
        <v>62</v>
      </c>
      <c r="F608">
        <v>78</v>
      </c>
      <c r="G608">
        <v>6.96</v>
      </c>
      <c r="H608" t="s">
        <v>2</v>
      </c>
      <c r="I608" t="s">
        <v>21</v>
      </c>
      <c r="K608" t="str">
        <v>budget</v>
      </c>
      <c r="L608">
        <v>70</v>
      </c>
    </row>
    <row r="609" spans="2:12" x14ac:dyDescent="0.3">
      <c r="B609" t="s">
        <v>628</v>
      </c>
      <c r="C609">
        <v>94</v>
      </c>
      <c r="D609" t="s">
        <v>41</v>
      </c>
      <c r="E609">
        <v>61</v>
      </c>
      <c r="F609">
        <v>82</v>
      </c>
      <c r="G609">
        <v>9.52</v>
      </c>
      <c r="H609" t="s">
        <v>18</v>
      </c>
      <c r="I609" t="s">
        <v>9</v>
      </c>
      <c r="K609" t="str">
        <v>budget</v>
      </c>
      <c r="L609">
        <v>71.5</v>
      </c>
    </row>
    <row r="610" spans="2:12" x14ac:dyDescent="0.3">
      <c r="B610" t="s">
        <v>276</v>
      </c>
      <c r="C610">
        <v>94</v>
      </c>
      <c r="D610" t="s">
        <v>45</v>
      </c>
      <c r="E610">
        <v>58</v>
      </c>
      <c r="F610">
        <v>80</v>
      </c>
      <c r="G610">
        <v>6.47</v>
      </c>
      <c r="H610" t="s">
        <v>18</v>
      </c>
      <c r="I610" t="s">
        <v>12</v>
      </c>
      <c r="K610" t="str">
        <v>budget</v>
      </c>
      <c r="L610">
        <v>69</v>
      </c>
    </row>
    <row r="611" spans="2:12" x14ac:dyDescent="0.3">
      <c r="B611" t="s">
        <v>629</v>
      </c>
      <c r="C611">
        <v>95</v>
      </c>
      <c r="D611" t="s">
        <v>41</v>
      </c>
      <c r="E611">
        <v>63</v>
      </c>
      <c r="F611">
        <v>82</v>
      </c>
      <c r="G611">
        <v>850</v>
      </c>
      <c r="H611" t="s">
        <v>2</v>
      </c>
      <c r="I611" t="s">
        <v>9</v>
      </c>
      <c r="K611" t="str">
        <v>premium</v>
      </c>
      <c r="L611">
        <v>72.5</v>
      </c>
    </row>
    <row r="612" spans="2:12" x14ac:dyDescent="0.3">
      <c r="B612" t="s">
        <v>494</v>
      </c>
      <c r="C612">
        <v>94</v>
      </c>
      <c r="D612" t="s">
        <v>45</v>
      </c>
      <c r="E612">
        <v>60</v>
      </c>
      <c r="F612">
        <v>78</v>
      </c>
      <c r="G612">
        <v>5.88</v>
      </c>
      <c r="H612" t="s">
        <v>18</v>
      </c>
      <c r="I612" t="s">
        <v>9</v>
      </c>
      <c r="K612" t="str">
        <v>budget</v>
      </c>
      <c r="L612">
        <v>69</v>
      </c>
    </row>
    <row r="613" spans="2:12" x14ac:dyDescent="0.3">
      <c r="B613" t="s">
        <v>630</v>
      </c>
      <c r="C613">
        <v>94</v>
      </c>
      <c r="D613" t="s">
        <v>45</v>
      </c>
      <c r="E613">
        <v>60</v>
      </c>
      <c r="F613">
        <v>78</v>
      </c>
      <c r="G613">
        <v>22.05</v>
      </c>
      <c r="H613" t="s">
        <v>18</v>
      </c>
      <c r="I613" t="s">
        <v>18</v>
      </c>
      <c r="K613" t="str">
        <v>budget</v>
      </c>
      <c r="L613">
        <v>69</v>
      </c>
    </row>
    <row r="614" spans="2:12" x14ac:dyDescent="0.3">
      <c r="B614" t="s">
        <v>631</v>
      </c>
      <c r="C614">
        <v>94</v>
      </c>
      <c r="D614" t="s">
        <v>41</v>
      </c>
      <c r="E614">
        <v>64</v>
      </c>
      <c r="F614">
        <v>84</v>
      </c>
      <c r="G614">
        <v>299</v>
      </c>
      <c r="H614" t="s">
        <v>2</v>
      </c>
      <c r="I614" t="s">
        <v>9</v>
      </c>
      <c r="K614" t="str">
        <v>premium</v>
      </c>
      <c r="L614">
        <v>74</v>
      </c>
    </row>
    <row r="615" spans="2:12" x14ac:dyDescent="0.3">
      <c r="B615" t="s">
        <v>632</v>
      </c>
      <c r="C615">
        <v>94</v>
      </c>
      <c r="D615" t="s">
        <v>45</v>
      </c>
      <c r="E615">
        <v>59</v>
      </c>
      <c r="F615">
        <v>77</v>
      </c>
      <c r="G615">
        <v>8.23</v>
      </c>
      <c r="H615" t="s">
        <v>18</v>
      </c>
      <c r="I615" t="s">
        <v>9</v>
      </c>
      <c r="K615" t="str">
        <v>budget</v>
      </c>
      <c r="L615">
        <v>68</v>
      </c>
    </row>
    <row r="616" spans="2:12" x14ac:dyDescent="0.3">
      <c r="B616" t="s">
        <v>633</v>
      </c>
      <c r="C616">
        <v>94</v>
      </c>
      <c r="D616" t="s">
        <v>45</v>
      </c>
      <c r="E616">
        <v>59</v>
      </c>
      <c r="F616">
        <v>77</v>
      </c>
      <c r="G616">
        <v>7.94</v>
      </c>
      <c r="H616" t="s">
        <v>18</v>
      </c>
      <c r="I616" t="s">
        <v>12</v>
      </c>
      <c r="K616" t="str">
        <v>budget</v>
      </c>
      <c r="L616">
        <v>68</v>
      </c>
    </row>
    <row r="617" spans="2:12" x14ac:dyDescent="0.3">
      <c r="B617" t="s">
        <v>634</v>
      </c>
      <c r="C617">
        <v>94</v>
      </c>
      <c r="D617" t="s">
        <v>45</v>
      </c>
      <c r="E617">
        <v>60</v>
      </c>
      <c r="F617">
        <v>78</v>
      </c>
      <c r="G617">
        <v>549</v>
      </c>
      <c r="H617" t="s">
        <v>2</v>
      </c>
      <c r="I617" t="s">
        <v>5</v>
      </c>
      <c r="K617" t="str">
        <v>premium</v>
      </c>
      <c r="L617">
        <v>69</v>
      </c>
    </row>
    <row r="618" spans="2:12" x14ac:dyDescent="0.3">
      <c r="B618" t="s">
        <v>635</v>
      </c>
      <c r="C618">
        <v>94</v>
      </c>
      <c r="D618" t="s">
        <v>45</v>
      </c>
      <c r="E618">
        <v>59</v>
      </c>
      <c r="F618">
        <v>77</v>
      </c>
      <c r="G618">
        <v>8.23</v>
      </c>
      <c r="H618" t="s">
        <v>18</v>
      </c>
      <c r="I618" t="s">
        <v>12</v>
      </c>
      <c r="K618" t="str">
        <v>budget</v>
      </c>
      <c r="L618">
        <v>68</v>
      </c>
    </row>
    <row r="619" spans="2:12" x14ac:dyDescent="0.3">
      <c r="B619" t="s">
        <v>636</v>
      </c>
      <c r="C619">
        <v>95</v>
      </c>
      <c r="D619" t="s">
        <v>41</v>
      </c>
      <c r="E619">
        <v>60</v>
      </c>
      <c r="F619">
        <v>82</v>
      </c>
      <c r="G619">
        <v>7.94</v>
      </c>
      <c r="H619" t="s">
        <v>18</v>
      </c>
      <c r="I619" t="s">
        <v>9</v>
      </c>
      <c r="K619" t="str">
        <v>budget</v>
      </c>
      <c r="L619">
        <v>71</v>
      </c>
    </row>
    <row r="620" spans="2:12" x14ac:dyDescent="0.3">
      <c r="B620" t="s">
        <v>637</v>
      </c>
      <c r="C620">
        <v>95</v>
      </c>
      <c r="D620" t="s">
        <v>41</v>
      </c>
      <c r="E620">
        <v>64</v>
      </c>
      <c r="F620">
        <v>83</v>
      </c>
      <c r="G620">
        <v>433.33</v>
      </c>
      <c r="H620" t="s">
        <v>11</v>
      </c>
      <c r="I620" t="s">
        <v>9</v>
      </c>
      <c r="K620" t="str">
        <v>premium</v>
      </c>
      <c r="L620">
        <v>73.5</v>
      </c>
    </row>
    <row r="621" spans="2:12" x14ac:dyDescent="0.3">
      <c r="B621" t="s">
        <v>638</v>
      </c>
      <c r="C621">
        <v>94</v>
      </c>
      <c r="D621" t="s">
        <v>45</v>
      </c>
      <c r="E621">
        <v>62</v>
      </c>
      <c r="F621">
        <v>78</v>
      </c>
      <c r="G621">
        <v>8.82</v>
      </c>
      <c r="H621" t="s">
        <v>18</v>
      </c>
      <c r="I621" t="s">
        <v>14</v>
      </c>
      <c r="K621" t="str">
        <v>budget</v>
      </c>
      <c r="L621">
        <v>70</v>
      </c>
    </row>
    <row r="622" spans="2:12" x14ac:dyDescent="0.3">
      <c r="B622" t="s">
        <v>639</v>
      </c>
      <c r="C622">
        <v>94</v>
      </c>
      <c r="D622" t="s">
        <v>41</v>
      </c>
      <c r="E622">
        <v>62</v>
      </c>
      <c r="F622">
        <v>80</v>
      </c>
      <c r="G622">
        <v>353.33</v>
      </c>
      <c r="H622" t="s">
        <v>11</v>
      </c>
      <c r="I622" t="s">
        <v>5</v>
      </c>
      <c r="K622" t="str">
        <v>premium</v>
      </c>
      <c r="L622">
        <v>71</v>
      </c>
    </row>
    <row r="623" spans="2:12" x14ac:dyDescent="0.3">
      <c r="B623" t="s">
        <v>640</v>
      </c>
      <c r="C623">
        <v>94</v>
      </c>
      <c r="D623" t="s">
        <v>41</v>
      </c>
      <c r="E623">
        <v>62</v>
      </c>
      <c r="F623">
        <v>80</v>
      </c>
      <c r="G623">
        <v>9.69</v>
      </c>
      <c r="H623" t="s">
        <v>18</v>
      </c>
      <c r="I623" t="s">
        <v>14</v>
      </c>
      <c r="K623" t="str">
        <v>budget</v>
      </c>
      <c r="L623">
        <v>71</v>
      </c>
    </row>
    <row r="624" spans="2:12" x14ac:dyDescent="0.3">
      <c r="B624" t="s">
        <v>641</v>
      </c>
      <c r="C624">
        <v>94</v>
      </c>
      <c r="D624" t="s">
        <v>45</v>
      </c>
      <c r="E624">
        <v>62</v>
      </c>
      <c r="F624">
        <v>78</v>
      </c>
      <c r="G624">
        <v>64</v>
      </c>
      <c r="H624" t="s">
        <v>11</v>
      </c>
      <c r="I624" t="s">
        <v>9</v>
      </c>
      <c r="K624" t="str">
        <v>middle</v>
      </c>
      <c r="L624">
        <v>70</v>
      </c>
    </row>
    <row r="625" spans="2:12" x14ac:dyDescent="0.3">
      <c r="B625" t="s">
        <v>642</v>
      </c>
      <c r="C625">
        <v>94</v>
      </c>
      <c r="D625" t="s">
        <v>41</v>
      </c>
      <c r="E625">
        <v>64</v>
      </c>
      <c r="F625">
        <v>84</v>
      </c>
      <c r="G625">
        <v>498</v>
      </c>
      <c r="H625" t="s">
        <v>11</v>
      </c>
      <c r="I625" t="s">
        <v>10</v>
      </c>
      <c r="K625" t="str">
        <v>premium</v>
      </c>
      <c r="L625">
        <v>74</v>
      </c>
    </row>
    <row r="626" spans="2:12" x14ac:dyDescent="0.3">
      <c r="B626" t="s">
        <v>54</v>
      </c>
      <c r="C626">
        <v>95</v>
      </c>
      <c r="D626" t="s">
        <v>45</v>
      </c>
      <c r="E626">
        <v>59</v>
      </c>
      <c r="F626">
        <v>81</v>
      </c>
      <c r="G626">
        <v>11.02</v>
      </c>
      <c r="H626" t="s">
        <v>18</v>
      </c>
      <c r="I626" t="s">
        <v>14</v>
      </c>
      <c r="K626" t="str">
        <v>budget</v>
      </c>
      <c r="L626">
        <v>70</v>
      </c>
    </row>
    <row r="627" spans="2:12" x14ac:dyDescent="0.3">
      <c r="B627" t="s">
        <v>643</v>
      </c>
      <c r="C627">
        <v>95</v>
      </c>
      <c r="D627" t="s">
        <v>41</v>
      </c>
      <c r="E627">
        <v>62</v>
      </c>
      <c r="F627">
        <v>80</v>
      </c>
      <c r="G627">
        <v>26.01</v>
      </c>
      <c r="H627" t="s">
        <v>18</v>
      </c>
      <c r="I627" t="s">
        <v>14</v>
      </c>
      <c r="K627" t="str">
        <v>middle</v>
      </c>
      <c r="L627">
        <v>71</v>
      </c>
    </row>
    <row r="628" spans="2:12" x14ac:dyDescent="0.3">
      <c r="B628" t="s">
        <v>644</v>
      </c>
      <c r="C628">
        <v>94</v>
      </c>
      <c r="D628" t="s">
        <v>45</v>
      </c>
      <c r="E628">
        <v>60</v>
      </c>
      <c r="F628">
        <v>77</v>
      </c>
      <c r="G628">
        <v>6.03</v>
      </c>
      <c r="H628" t="s">
        <v>18</v>
      </c>
      <c r="I628" t="s">
        <v>9</v>
      </c>
      <c r="K628" t="str">
        <v>budget</v>
      </c>
      <c r="L628">
        <v>68.5</v>
      </c>
    </row>
    <row r="629" spans="2:12" x14ac:dyDescent="0.3">
      <c r="B629" t="s">
        <v>645</v>
      </c>
      <c r="C629">
        <v>94</v>
      </c>
      <c r="D629" t="s">
        <v>41</v>
      </c>
      <c r="E629">
        <v>62</v>
      </c>
      <c r="F629">
        <v>80</v>
      </c>
      <c r="G629">
        <v>39.68</v>
      </c>
      <c r="H629" t="s">
        <v>18</v>
      </c>
      <c r="I629" t="s">
        <v>5</v>
      </c>
      <c r="K629" t="str">
        <v>middle</v>
      </c>
      <c r="L629">
        <v>71</v>
      </c>
    </row>
    <row r="630" spans="2:12" x14ac:dyDescent="0.3">
      <c r="B630" t="s">
        <v>646</v>
      </c>
      <c r="C630">
        <v>94</v>
      </c>
      <c r="D630" t="s">
        <v>41</v>
      </c>
      <c r="E630">
        <v>64</v>
      </c>
      <c r="F630">
        <v>80</v>
      </c>
      <c r="G630">
        <v>20</v>
      </c>
      <c r="H630" t="s">
        <v>18</v>
      </c>
      <c r="I630" t="s">
        <v>5</v>
      </c>
      <c r="K630" t="str">
        <v>budget</v>
      </c>
      <c r="L630">
        <v>72</v>
      </c>
    </row>
    <row r="631" spans="2:12" x14ac:dyDescent="0.3">
      <c r="B631" t="s">
        <v>647</v>
      </c>
      <c r="C631">
        <v>95</v>
      </c>
      <c r="D631" t="s">
        <v>41</v>
      </c>
      <c r="E631">
        <v>62</v>
      </c>
      <c r="F631">
        <v>81</v>
      </c>
      <c r="G631">
        <v>7.35</v>
      </c>
      <c r="H631" t="s">
        <v>18</v>
      </c>
      <c r="I631" t="s">
        <v>9</v>
      </c>
      <c r="K631" t="str">
        <v>budget</v>
      </c>
      <c r="L631">
        <v>71.5</v>
      </c>
    </row>
    <row r="632" spans="2:12" x14ac:dyDescent="0.3">
      <c r="B632" t="s">
        <v>648</v>
      </c>
      <c r="C632">
        <v>95</v>
      </c>
      <c r="D632" t="s">
        <v>45</v>
      </c>
      <c r="E632">
        <v>61</v>
      </c>
      <c r="F632">
        <v>80</v>
      </c>
      <c r="G632">
        <v>11.76</v>
      </c>
      <c r="H632" t="s">
        <v>18</v>
      </c>
      <c r="I632" t="s">
        <v>9</v>
      </c>
      <c r="K632" t="str">
        <v>budget</v>
      </c>
      <c r="L632">
        <v>70.5</v>
      </c>
    </row>
    <row r="633" spans="2:12" x14ac:dyDescent="0.3">
      <c r="B633" t="s">
        <v>649</v>
      </c>
      <c r="C633">
        <v>94</v>
      </c>
      <c r="D633" t="s">
        <v>41</v>
      </c>
      <c r="E633">
        <v>62</v>
      </c>
      <c r="F633">
        <v>80</v>
      </c>
      <c r="G633">
        <v>11.76</v>
      </c>
      <c r="H633" t="s">
        <v>18</v>
      </c>
      <c r="I633" t="s">
        <v>10</v>
      </c>
      <c r="K633" t="str">
        <v>budget</v>
      </c>
      <c r="L633">
        <v>71</v>
      </c>
    </row>
    <row r="634" spans="2:12" x14ac:dyDescent="0.3">
      <c r="B634" t="s">
        <v>409</v>
      </c>
      <c r="C634">
        <v>94</v>
      </c>
      <c r="D634" t="s">
        <v>45</v>
      </c>
      <c r="E634">
        <v>60</v>
      </c>
      <c r="F634">
        <v>76</v>
      </c>
      <c r="G634">
        <v>6.91</v>
      </c>
      <c r="H634" t="s">
        <v>18</v>
      </c>
      <c r="I634" t="s">
        <v>9</v>
      </c>
      <c r="K634" t="str">
        <v>budget</v>
      </c>
      <c r="L634">
        <v>68</v>
      </c>
    </row>
    <row r="635" spans="2:12" x14ac:dyDescent="0.3">
      <c r="B635" t="s">
        <v>650</v>
      </c>
      <c r="C635">
        <v>94</v>
      </c>
      <c r="D635" t="s">
        <v>41</v>
      </c>
      <c r="E635">
        <v>62</v>
      </c>
      <c r="F635">
        <v>80</v>
      </c>
      <c r="G635">
        <v>14.11</v>
      </c>
      <c r="H635" t="s">
        <v>18</v>
      </c>
      <c r="I635" t="s">
        <v>9</v>
      </c>
      <c r="K635" t="str">
        <v>budget</v>
      </c>
      <c r="L635">
        <v>71</v>
      </c>
    </row>
    <row r="636" spans="2:12" x14ac:dyDescent="0.3">
      <c r="B636" t="s">
        <v>651</v>
      </c>
      <c r="C636">
        <v>94</v>
      </c>
      <c r="D636" t="s">
        <v>45</v>
      </c>
      <c r="E636">
        <v>60</v>
      </c>
      <c r="F636">
        <v>77</v>
      </c>
      <c r="G636">
        <v>7.05</v>
      </c>
      <c r="H636" t="s">
        <v>18</v>
      </c>
      <c r="I636" t="s">
        <v>9</v>
      </c>
      <c r="K636" t="str">
        <v>budget</v>
      </c>
      <c r="L636">
        <v>68.5</v>
      </c>
    </row>
    <row r="637" spans="2:12" x14ac:dyDescent="0.3">
      <c r="B637" t="s">
        <v>652</v>
      </c>
      <c r="C637">
        <v>94</v>
      </c>
      <c r="D637" t="s">
        <v>41</v>
      </c>
      <c r="E637">
        <v>64</v>
      </c>
      <c r="F637">
        <v>83</v>
      </c>
      <c r="G637">
        <v>12.35</v>
      </c>
      <c r="H637" t="s">
        <v>18</v>
      </c>
      <c r="I637" t="s">
        <v>9</v>
      </c>
      <c r="K637" t="str">
        <v>budget</v>
      </c>
      <c r="L637">
        <v>73.5</v>
      </c>
    </row>
    <row r="638" spans="2:12" x14ac:dyDescent="0.3">
      <c r="B638" t="s">
        <v>653</v>
      </c>
      <c r="C638">
        <v>96</v>
      </c>
      <c r="D638" t="s">
        <v>45</v>
      </c>
      <c r="E638">
        <v>60</v>
      </c>
      <c r="F638">
        <v>77</v>
      </c>
      <c r="G638">
        <v>6.16</v>
      </c>
      <c r="H638" t="s">
        <v>18</v>
      </c>
      <c r="I638" t="s">
        <v>9</v>
      </c>
      <c r="K638" t="str">
        <v>budget</v>
      </c>
      <c r="L638">
        <v>68.5</v>
      </c>
    </row>
    <row r="639" spans="2:12" x14ac:dyDescent="0.3">
      <c r="B639" t="s">
        <v>654</v>
      </c>
      <c r="C639">
        <v>96</v>
      </c>
      <c r="D639" t="s">
        <v>41</v>
      </c>
      <c r="E639">
        <v>63</v>
      </c>
      <c r="F639">
        <v>81</v>
      </c>
      <c r="G639">
        <v>17.5</v>
      </c>
      <c r="H639" t="s">
        <v>18</v>
      </c>
      <c r="I639" t="s">
        <v>9</v>
      </c>
      <c r="K639" t="str">
        <v>budget</v>
      </c>
      <c r="L639">
        <v>72</v>
      </c>
    </row>
    <row r="640" spans="2:12" x14ac:dyDescent="0.3">
      <c r="B640" t="s">
        <v>655</v>
      </c>
      <c r="C640">
        <v>96</v>
      </c>
      <c r="D640" t="s">
        <v>45</v>
      </c>
      <c r="E640">
        <v>58</v>
      </c>
      <c r="F640">
        <v>78</v>
      </c>
      <c r="G640">
        <v>165.34</v>
      </c>
      <c r="H640" t="s">
        <v>2</v>
      </c>
      <c r="I640" t="s">
        <v>9</v>
      </c>
      <c r="K640" t="str">
        <v>premium</v>
      </c>
      <c r="L640">
        <v>68</v>
      </c>
    </row>
    <row r="641" spans="2:12" x14ac:dyDescent="0.3">
      <c r="B641" t="s">
        <v>656</v>
      </c>
      <c r="C641">
        <v>94</v>
      </c>
      <c r="D641" t="s">
        <v>45</v>
      </c>
      <c r="E641">
        <v>60</v>
      </c>
      <c r="F641">
        <v>77</v>
      </c>
      <c r="G641">
        <v>10.86</v>
      </c>
      <c r="H641" t="s">
        <v>18</v>
      </c>
      <c r="I641" t="s">
        <v>22</v>
      </c>
      <c r="K641" t="str">
        <v>budget</v>
      </c>
      <c r="L641">
        <v>68.5</v>
      </c>
    </row>
    <row r="642" spans="2:12" x14ac:dyDescent="0.3">
      <c r="B642" t="s">
        <v>657</v>
      </c>
      <c r="C642">
        <v>95</v>
      </c>
      <c r="D642" t="s">
        <v>41</v>
      </c>
      <c r="E642">
        <v>62</v>
      </c>
      <c r="F642">
        <v>80</v>
      </c>
      <c r="G642">
        <v>149.91</v>
      </c>
      <c r="H642" t="s">
        <v>2</v>
      </c>
      <c r="I642" t="s">
        <v>12</v>
      </c>
      <c r="K642" t="str">
        <v>premium</v>
      </c>
      <c r="L642">
        <v>71</v>
      </c>
    </row>
    <row r="643" spans="2:12" x14ac:dyDescent="0.3">
      <c r="B643" t="s">
        <v>658</v>
      </c>
      <c r="C643">
        <v>95</v>
      </c>
      <c r="D643" t="s">
        <v>45</v>
      </c>
      <c r="E643">
        <v>58</v>
      </c>
      <c r="F643">
        <v>77</v>
      </c>
      <c r="G643">
        <v>793.65</v>
      </c>
      <c r="H643" t="s">
        <v>2</v>
      </c>
      <c r="I643" t="s">
        <v>8</v>
      </c>
      <c r="K643" t="str">
        <v>premium</v>
      </c>
      <c r="L643">
        <v>67.5</v>
      </c>
    </row>
    <row r="644" spans="2:12" x14ac:dyDescent="0.3">
      <c r="B644" t="s">
        <v>659</v>
      </c>
      <c r="C644">
        <v>95</v>
      </c>
      <c r="D644" t="s">
        <v>41</v>
      </c>
      <c r="E644">
        <v>64</v>
      </c>
      <c r="F644">
        <v>81</v>
      </c>
      <c r="G644">
        <v>176.37</v>
      </c>
      <c r="H644" t="s">
        <v>2</v>
      </c>
      <c r="I644" t="s">
        <v>9</v>
      </c>
      <c r="K644" t="str">
        <v>premium</v>
      </c>
      <c r="L644">
        <v>72.5</v>
      </c>
    </row>
    <row r="645" spans="2:12" x14ac:dyDescent="0.3">
      <c r="B645" t="s">
        <v>660</v>
      </c>
      <c r="C645">
        <v>94</v>
      </c>
      <c r="D645" t="s">
        <v>41</v>
      </c>
      <c r="E645">
        <v>62</v>
      </c>
      <c r="F645">
        <v>80</v>
      </c>
      <c r="G645">
        <v>202.38</v>
      </c>
      <c r="H645" t="s">
        <v>2</v>
      </c>
      <c r="I645" t="s">
        <v>9</v>
      </c>
      <c r="K645" t="str">
        <v>premium</v>
      </c>
      <c r="L645">
        <v>71</v>
      </c>
    </row>
    <row r="646" spans="2:12" x14ac:dyDescent="0.3">
      <c r="B646" t="s">
        <v>661</v>
      </c>
      <c r="C646">
        <v>94</v>
      </c>
      <c r="D646" t="s">
        <v>45</v>
      </c>
      <c r="E646">
        <v>60</v>
      </c>
      <c r="F646">
        <v>78</v>
      </c>
      <c r="G646">
        <v>154.32</v>
      </c>
      <c r="H646" t="s">
        <v>2</v>
      </c>
      <c r="I646" t="s">
        <v>9</v>
      </c>
      <c r="K646" t="str">
        <v>premium</v>
      </c>
      <c r="L646">
        <v>69</v>
      </c>
    </row>
    <row r="647" spans="2:12" x14ac:dyDescent="0.3">
      <c r="B647" t="s">
        <v>662</v>
      </c>
      <c r="C647">
        <v>94</v>
      </c>
      <c r="D647" t="s">
        <v>45</v>
      </c>
      <c r="E647">
        <v>59</v>
      </c>
      <c r="F647">
        <v>78</v>
      </c>
      <c r="G647">
        <v>5.88</v>
      </c>
      <c r="H647" t="s">
        <v>18</v>
      </c>
      <c r="I647" t="s">
        <v>9</v>
      </c>
      <c r="K647" t="str">
        <v>budget</v>
      </c>
      <c r="L647">
        <v>68.5</v>
      </c>
    </row>
    <row r="648" spans="2:12" x14ac:dyDescent="0.3">
      <c r="B648" t="s">
        <v>663</v>
      </c>
      <c r="C648">
        <v>94</v>
      </c>
      <c r="D648" t="s">
        <v>45</v>
      </c>
      <c r="E648">
        <v>58</v>
      </c>
      <c r="F648">
        <v>74</v>
      </c>
      <c r="G648">
        <v>12.93</v>
      </c>
      <c r="H648" t="s">
        <v>18</v>
      </c>
      <c r="I648" t="s">
        <v>7</v>
      </c>
      <c r="K648" t="str">
        <v>budget</v>
      </c>
      <c r="L648">
        <v>66</v>
      </c>
    </row>
    <row r="649" spans="2:12" x14ac:dyDescent="0.3">
      <c r="B649" t="s">
        <v>638</v>
      </c>
      <c r="C649">
        <v>95</v>
      </c>
      <c r="D649" t="s">
        <v>41</v>
      </c>
      <c r="E649">
        <v>62</v>
      </c>
      <c r="F649">
        <v>80</v>
      </c>
      <c r="G649">
        <v>13.23</v>
      </c>
      <c r="H649" t="s">
        <v>18</v>
      </c>
      <c r="I649" t="s">
        <v>14</v>
      </c>
      <c r="K649" t="str">
        <v>budget</v>
      </c>
      <c r="L649">
        <v>71</v>
      </c>
    </row>
    <row r="650" spans="2:12" x14ac:dyDescent="0.3">
      <c r="B650" t="s">
        <v>664</v>
      </c>
      <c r="C650">
        <v>94</v>
      </c>
      <c r="D650" t="s">
        <v>41</v>
      </c>
      <c r="E650">
        <v>64</v>
      </c>
      <c r="F650">
        <v>84</v>
      </c>
      <c r="G650">
        <v>8.11</v>
      </c>
      <c r="H650" t="s">
        <v>18</v>
      </c>
      <c r="I650" t="s">
        <v>14</v>
      </c>
      <c r="K650" t="str">
        <v>budget</v>
      </c>
      <c r="L650">
        <v>74</v>
      </c>
    </row>
    <row r="651" spans="2:12" x14ac:dyDescent="0.3">
      <c r="B651" t="s">
        <v>665</v>
      </c>
      <c r="C651">
        <v>94</v>
      </c>
      <c r="D651" t="s">
        <v>45</v>
      </c>
      <c r="E651">
        <v>58</v>
      </c>
      <c r="F651">
        <v>74</v>
      </c>
      <c r="G651">
        <v>7.64</v>
      </c>
      <c r="H651" t="s">
        <v>18</v>
      </c>
      <c r="I651" t="s">
        <v>17</v>
      </c>
      <c r="K651" t="str">
        <v>budget</v>
      </c>
      <c r="L651">
        <v>66</v>
      </c>
    </row>
    <row r="652" spans="2:12" x14ac:dyDescent="0.3">
      <c r="B652" t="s">
        <v>666</v>
      </c>
      <c r="C652">
        <v>94</v>
      </c>
      <c r="D652" t="s">
        <v>45</v>
      </c>
      <c r="E652">
        <v>54</v>
      </c>
      <c r="F652">
        <v>78</v>
      </c>
      <c r="G652">
        <v>5.88</v>
      </c>
      <c r="H652" t="s">
        <v>7</v>
      </c>
      <c r="I652" t="s">
        <v>7</v>
      </c>
      <c r="K652" t="str">
        <v>budget</v>
      </c>
      <c r="L652">
        <v>66</v>
      </c>
    </row>
    <row r="653" spans="2:12" x14ac:dyDescent="0.3">
      <c r="B653" t="s">
        <v>667</v>
      </c>
      <c r="C653">
        <v>94</v>
      </c>
      <c r="D653" t="s">
        <v>45</v>
      </c>
      <c r="E653">
        <v>58</v>
      </c>
      <c r="F653">
        <v>76</v>
      </c>
      <c r="G653">
        <v>3.82</v>
      </c>
      <c r="H653" t="s">
        <v>7</v>
      </c>
      <c r="I653" t="s">
        <v>7</v>
      </c>
      <c r="K653" t="str">
        <v>budget</v>
      </c>
      <c r="L653">
        <v>67</v>
      </c>
    </row>
    <row r="654" spans="2:12" x14ac:dyDescent="0.3">
      <c r="B654" t="s">
        <v>668</v>
      </c>
      <c r="C654">
        <v>95</v>
      </c>
      <c r="D654" t="s">
        <v>45</v>
      </c>
      <c r="E654">
        <v>58</v>
      </c>
      <c r="F654">
        <v>78</v>
      </c>
      <c r="G654">
        <v>11.02</v>
      </c>
      <c r="H654" t="s">
        <v>18</v>
      </c>
      <c r="I654" t="s">
        <v>14</v>
      </c>
      <c r="K654" t="str">
        <v>budget</v>
      </c>
      <c r="L654">
        <v>68</v>
      </c>
    </row>
    <row r="655" spans="2:12" x14ac:dyDescent="0.3">
      <c r="B655" t="s">
        <v>669</v>
      </c>
      <c r="C655">
        <v>94</v>
      </c>
      <c r="D655" t="s">
        <v>45</v>
      </c>
      <c r="E655">
        <v>61</v>
      </c>
      <c r="F655">
        <v>78</v>
      </c>
      <c r="G655">
        <v>11.02</v>
      </c>
      <c r="H655" t="s">
        <v>18</v>
      </c>
      <c r="I655" t="s">
        <v>14</v>
      </c>
      <c r="K655" t="str">
        <v>budget</v>
      </c>
      <c r="L655">
        <v>69.5</v>
      </c>
    </row>
    <row r="656" spans="2:12" x14ac:dyDescent="0.3">
      <c r="B656" t="s">
        <v>670</v>
      </c>
      <c r="C656">
        <v>94</v>
      </c>
      <c r="D656" t="s">
        <v>45</v>
      </c>
      <c r="E656">
        <v>60</v>
      </c>
      <c r="F656">
        <v>77</v>
      </c>
      <c r="G656">
        <v>11.02</v>
      </c>
      <c r="H656" t="s">
        <v>18</v>
      </c>
      <c r="I656" t="s">
        <v>14</v>
      </c>
      <c r="K656" t="str">
        <v>budget</v>
      </c>
      <c r="L656">
        <v>68.5</v>
      </c>
    </row>
    <row r="657" spans="2:12" x14ac:dyDescent="0.3">
      <c r="B657" t="s">
        <v>671</v>
      </c>
      <c r="C657">
        <v>95</v>
      </c>
      <c r="D657" t="s">
        <v>82</v>
      </c>
      <c r="E657">
        <v>48</v>
      </c>
      <c r="F657">
        <v>64</v>
      </c>
      <c r="G657">
        <v>275</v>
      </c>
      <c r="H657" t="s">
        <v>2</v>
      </c>
      <c r="I657" t="s">
        <v>15</v>
      </c>
      <c r="K657" t="str">
        <v>premium</v>
      </c>
      <c r="L657">
        <v>56</v>
      </c>
    </row>
    <row r="658" spans="2:12" x14ac:dyDescent="0.3">
      <c r="B658" t="s">
        <v>672</v>
      </c>
      <c r="C658">
        <v>95</v>
      </c>
      <c r="D658" t="s">
        <v>41</v>
      </c>
      <c r="E658">
        <v>62</v>
      </c>
      <c r="F658">
        <v>80</v>
      </c>
      <c r="G658">
        <v>8.82</v>
      </c>
      <c r="H658" t="s">
        <v>2</v>
      </c>
      <c r="I658" t="s">
        <v>9</v>
      </c>
      <c r="K658" t="str">
        <v>budget</v>
      </c>
      <c r="L658">
        <v>71</v>
      </c>
    </row>
    <row r="659" spans="2:12" x14ac:dyDescent="0.3">
      <c r="B659" t="s">
        <v>673</v>
      </c>
      <c r="C659">
        <v>94</v>
      </c>
      <c r="D659" t="s">
        <v>41</v>
      </c>
      <c r="E659">
        <v>65</v>
      </c>
      <c r="F659">
        <v>81</v>
      </c>
      <c r="G659">
        <v>440.92</v>
      </c>
      <c r="H659" t="s">
        <v>2</v>
      </c>
      <c r="I659" t="s">
        <v>14</v>
      </c>
      <c r="K659" t="str">
        <v>premium</v>
      </c>
      <c r="L659">
        <v>73</v>
      </c>
    </row>
    <row r="660" spans="2:12" x14ac:dyDescent="0.3">
      <c r="B660" t="s">
        <v>674</v>
      </c>
      <c r="C660">
        <v>95</v>
      </c>
      <c r="D660" t="s">
        <v>45</v>
      </c>
      <c r="E660">
        <v>58</v>
      </c>
      <c r="F660">
        <v>74</v>
      </c>
      <c r="G660">
        <v>13.52</v>
      </c>
      <c r="H660" t="s">
        <v>18</v>
      </c>
      <c r="I660" t="s">
        <v>18</v>
      </c>
      <c r="K660" t="str">
        <v>budget</v>
      </c>
      <c r="L660">
        <v>66</v>
      </c>
    </row>
    <row r="661" spans="2:12" x14ac:dyDescent="0.3">
      <c r="B661" t="s">
        <v>384</v>
      </c>
      <c r="C661">
        <v>94</v>
      </c>
      <c r="D661" t="s">
        <v>45</v>
      </c>
      <c r="E661">
        <v>57</v>
      </c>
      <c r="F661">
        <v>76</v>
      </c>
      <c r="G661">
        <v>5.57</v>
      </c>
      <c r="H661" t="s">
        <v>18</v>
      </c>
      <c r="I661" t="s">
        <v>15</v>
      </c>
      <c r="K661" t="str">
        <v>budget</v>
      </c>
      <c r="L661">
        <v>66.5</v>
      </c>
    </row>
    <row r="662" spans="2:12" x14ac:dyDescent="0.3">
      <c r="B662" t="s">
        <v>675</v>
      </c>
      <c r="C662">
        <v>96</v>
      </c>
      <c r="D662" t="s">
        <v>41</v>
      </c>
      <c r="E662">
        <v>62</v>
      </c>
      <c r="F662">
        <v>80</v>
      </c>
      <c r="G662">
        <v>4000</v>
      </c>
      <c r="H662" t="s">
        <v>2</v>
      </c>
      <c r="I662" t="s">
        <v>4</v>
      </c>
      <c r="K662" t="str">
        <v>premium</v>
      </c>
      <c r="L662">
        <v>71</v>
      </c>
    </row>
    <row r="663" spans="2:12" x14ac:dyDescent="0.3">
      <c r="B663" t="s">
        <v>676</v>
      </c>
      <c r="C663">
        <v>95</v>
      </c>
      <c r="D663" t="s">
        <v>41</v>
      </c>
      <c r="E663">
        <v>64</v>
      </c>
      <c r="F663">
        <v>86</v>
      </c>
      <c r="G663">
        <v>202.82</v>
      </c>
      <c r="H663" t="s">
        <v>2</v>
      </c>
      <c r="I663" t="s">
        <v>9</v>
      </c>
      <c r="K663" t="str">
        <v>premium</v>
      </c>
      <c r="L663">
        <v>75</v>
      </c>
    </row>
    <row r="664" spans="2:12" x14ac:dyDescent="0.3">
      <c r="B664" t="s">
        <v>677</v>
      </c>
      <c r="C664">
        <v>94</v>
      </c>
      <c r="D664" t="s">
        <v>45</v>
      </c>
      <c r="E664">
        <v>52</v>
      </c>
      <c r="F664">
        <v>70</v>
      </c>
      <c r="G664">
        <v>121.15</v>
      </c>
      <c r="H664" t="s">
        <v>2</v>
      </c>
      <c r="I664" t="s">
        <v>9</v>
      </c>
      <c r="K664" t="str">
        <v>premium</v>
      </c>
      <c r="L664">
        <v>61</v>
      </c>
    </row>
    <row r="665" spans="2:12" x14ac:dyDescent="0.3">
      <c r="B665" t="s">
        <v>678</v>
      </c>
      <c r="C665">
        <v>94</v>
      </c>
      <c r="D665" t="s">
        <v>45</v>
      </c>
      <c r="E665">
        <v>57</v>
      </c>
      <c r="F665">
        <v>77</v>
      </c>
      <c r="G665">
        <v>242.29</v>
      </c>
      <c r="H665" t="s">
        <v>2</v>
      </c>
      <c r="I665" t="s">
        <v>19</v>
      </c>
      <c r="K665" t="str">
        <v>premium</v>
      </c>
      <c r="L665">
        <v>67</v>
      </c>
    </row>
    <row r="666" spans="2:12" x14ac:dyDescent="0.3">
      <c r="B666" t="s">
        <v>679</v>
      </c>
      <c r="C666">
        <v>95</v>
      </c>
      <c r="D666" t="s">
        <v>45</v>
      </c>
      <c r="E666">
        <v>60</v>
      </c>
      <c r="F666">
        <v>77</v>
      </c>
      <c r="G666">
        <v>220.26</v>
      </c>
      <c r="H666" t="s">
        <v>2</v>
      </c>
      <c r="I666" t="s">
        <v>12</v>
      </c>
      <c r="K666" t="str">
        <v>premium</v>
      </c>
      <c r="L666">
        <v>68.5</v>
      </c>
    </row>
    <row r="667" spans="2:12" x14ac:dyDescent="0.3">
      <c r="B667" t="s">
        <v>680</v>
      </c>
      <c r="C667">
        <v>94</v>
      </c>
      <c r="D667" t="s">
        <v>41</v>
      </c>
      <c r="E667">
        <v>64</v>
      </c>
      <c r="F667">
        <v>82</v>
      </c>
      <c r="G667">
        <v>175.93</v>
      </c>
      <c r="H667" t="s">
        <v>2</v>
      </c>
      <c r="I667" t="s">
        <v>14</v>
      </c>
      <c r="K667" t="str">
        <v>premium</v>
      </c>
      <c r="L667">
        <v>73</v>
      </c>
    </row>
    <row r="668" spans="2:12" x14ac:dyDescent="0.3">
      <c r="B668" t="s">
        <v>681</v>
      </c>
      <c r="C668">
        <v>95</v>
      </c>
      <c r="D668" t="s">
        <v>45</v>
      </c>
      <c r="E668">
        <v>60</v>
      </c>
      <c r="F668">
        <v>78</v>
      </c>
      <c r="G668">
        <v>6.47</v>
      </c>
      <c r="H668" t="s">
        <v>18</v>
      </c>
      <c r="I668" t="s">
        <v>9</v>
      </c>
      <c r="K668" t="str">
        <v>budget</v>
      </c>
      <c r="L668">
        <v>69</v>
      </c>
    </row>
    <row r="669" spans="2:12" x14ac:dyDescent="0.3">
      <c r="B669" t="s">
        <v>682</v>
      </c>
      <c r="C669">
        <v>95</v>
      </c>
      <c r="D669" t="s">
        <v>45</v>
      </c>
      <c r="E669">
        <v>60</v>
      </c>
      <c r="F669">
        <v>78</v>
      </c>
      <c r="G669">
        <v>424.6</v>
      </c>
      <c r="H669" t="s">
        <v>2</v>
      </c>
      <c r="I669" t="s">
        <v>14</v>
      </c>
      <c r="K669" t="str">
        <v>premium</v>
      </c>
      <c r="L669">
        <v>69</v>
      </c>
    </row>
    <row r="670" spans="2:12" x14ac:dyDescent="0.3">
      <c r="B670" t="s">
        <v>683</v>
      </c>
      <c r="C670">
        <v>94</v>
      </c>
      <c r="D670" t="s">
        <v>45</v>
      </c>
      <c r="E670">
        <v>59</v>
      </c>
      <c r="F670">
        <v>78</v>
      </c>
      <c r="G670">
        <v>8.82</v>
      </c>
      <c r="H670" t="s">
        <v>18</v>
      </c>
      <c r="I670" t="s">
        <v>15</v>
      </c>
      <c r="K670" t="str">
        <v>budget</v>
      </c>
      <c r="L670">
        <v>68.5</v>
      </c>
    </row>
    <row r="671" spans="2:12" x14ac:dyDescent="0.3">
      <c r="B671" t="s">
        <v>684</v>
      </c>
      <c r="C671">
        <v>96</v>
      </c>
      <c r="D671" t="s">
        <v>41</v>
      </c>
      <c r="E671">
        <v>61</v>
      </c>
      <c r="F671">
        <v>81</v>
      </c>
      <c r="G671">
        <v>1058.2</v>
      </c>
      <c r="H671" t="s">
        <v>2</v>
      </c>
      <c r="I671" t="s">
        <v>7</v>
      </c>
      <c r="K671" t="str">
        <v>premium</v>
      </c>
      <c r="L671">
        <v>71</v>
      </c>
    </row>
    <row r="672" spans="2:12" x14ac:dyDescent="0.3">
      <c r="B672" t="s">
        <v>685</v>
      </c>
      <c r="C672">
        <v>95</v>
      </c>
      <c r="D672" t="s">
        <v>45</v>
      </c>
      <c r="E672">
        <v>60</v>
      </c>
      <c r="F672">
        <v>78</v>
      </c>
      <c r="G672">
        <v>1200</v>
      </c>
      <c r="H672" t="s">
        <v>2</v>
      </c>
      <c r="I672" t="s">
        <v>2</v>
      </c>
      <c r="K672" t="str">
        <v>premium</v>
      </c>
      <c r="L672">
        <v>69</v>
      </c>
    </row>
    <row r="673" spans="2:12" x14ac:dyDescent="0.3">
      <c r="B673" t="s">
        <v>686</v>
      </c>
      <c r="C673">
        <v>95</v>
      </c>
      <c r="D673" t="s">
        <v>41</v>
      </c>
      <c r="E673">
        <v>63</v>
      </c>
      <c r="F673">
        <v>85</v>
      </c>
      <c r="G673">
        <v>143.30000000000001</v>
      </c>
      <c r="H673" t="s">
        <v>2</v>
      </c>
      <c r="I673" t="s">
        <v>9</v>
      </c>
      <c r="K673" t="str">
        <v>premium</v>
      </c>
      <c r="L673">
        <v>74</v>
      </c>
    </row>
    <row r="674" spans="2:12" x14ac:dyDescent="0.3">
      <c r="B674" t="s">
        <v>687</v>
      </c>
      <c r="C674">
        <v>94</v>
      </c>
      <c r="D674" t="s">
        <v>45</v>
      </c>
      <c r="E674">
        <v>58</v>
      </c>
      <c r="F674">
        <v>76</v>
      </c>
      <c r="G674">
        <v>5.6</v>
      </c>
      <c r="H674" t="s">
        <v>18</v>
      </c>
      <c r="I674" t="s">
        <v>12</v>
      </c>
      <c r="K674" t="str">
        <v>budget</v>
      </c>
      <c r="L674">
        <v>67</v>
      </c>
    </row>
    <row r="675" spans="2:12" x14ac:dyDescent="0.3">
      <c r="B675" t="s">
        <v>688</v>
      </c>
      <c r="C675">
        <v>95</v>
      </c>
      <c r="D675" t="s">
        <v>41</v>
      </c>
      <c r="E675">
        <v>72</v>
      </c>
      <c r="F675">
        <v>90</v>
      </c>
      <c r="G675">
        <v>12.5</v>
      </c>
      <c r="H675" t="s">
        <v>27</v>
      </c>
      <c r="I675" t="s">
        <v>9</v>
      </c>
      <c r="K675" t="str">
        <v>budget</v>
      </c>
      <c r="L675">
        <v>81</v>
      </c>
    </row>
    <row r="676" spans="2:12" x14ac:dyDescent="0.3">
      <c r="B676" t="s">
        <v>689</v>
      </c>
      <c r="C676">
        <v>94</v>
      </c>
      <c r="D676" t="s">
        <v>41</v>
      </c>
      <c r="E676">
        <v>64</v>
      </c>
      <c r="F676">
        <v>86</v>
      </c>
      <c r="G676">
        <v>12</v>
      </c>
      <c r="H676" t="s">
        <v>31</v>
      </c>
      <c r="I676" t="s">
        <v>14</v>
      </c>
      <c r="K676" t="str">
        <v>budget</v>
      </c>
      <c r="L676">
        <v>75</v>
      </c>
    </row>
    <row r="677" spans="2:12" x14ac:dyDescent="0.3">
      <c r="B677" t="s">
        <v>690</v>
      </c>
      <c r="C677">
        <v>94</v>
      </c>
      <c r="D677" t="s">
        <v>45</v>
      </c>
      <c r="E677">
        <v>60</v>
      </c>
      <c r="F677">
        <v>77</v>
      </c>
      <c r="G677">
        <v>7.64</v>
      </c>
      <c r="H677" t="s">
        <v>18</v>
      </c>
      <c r="I677" t="s">
        <v>14</v>
      </c>
      <c r="K677" t="str">
        <v>budget</v>
      </c>
      <c r="L677">
        <v>68.5</v>
      </c>
    </row>
    <row r="678" spans="2:12" x14ac:dyDescent="0.3">
      <c r="B678" t="s">
        <v>691</v>
      </c>
      <c r="C678">
        <v>94</v>
      </c>
      <c r="D678" t="s">
        <v>45</v>
      </c>
      <c r="E678">
        <v>58</v>
      </c>
      <c r="F678">
        <v>78</v>
      </c>
      <c r="G678">
        <v>7.64</v>
      </c>
      <c r="H678" t="s">
        <v>18</v>
      </c>
      <c r="I678" t="s">
        <v>6</v>
      </c>
      <c r="K678" t="str">
        <v>budget</v>
      </c>
      <c r="L678">
        <v>68</v>
      </c>
    </row>
    <row r="679" spans="2:12" x14ac:dyDescent="0.3">
      <c r="B679" t="s">
        <v>692</v>
      </c>
      <c r="C679">
        <v>94</v>
      </c>
      <c r="D679" t="s">
        <v>45</v>
      </c>
      <c r="E679">
        <v>58</v>
      </c>
      <c r="F679">
        <v>74</v>
      </c>
      <c r="G679">
        <v>5.88</v>
      </c>
      <c r="H679" t="s">
        <v>18</v>
      </c>
      <c r="I679" t="s">
        <v>4</v>
      </c>
      <c r="K679" t="str">
        <v>budget</v>
      </c>
      <c r="L679">
        <v>66</v>
      </c>
    </row>
    <row r="680" spans="2:12" x14ac:dyDescent="0.3">
      <c r="B680" t="s">
        <v>693</v>
      </c>
      <c r="C680">
        <v>95</v>
      </c>
      <c r="D680" t="s">
        <v>41</v>
      </c>
      <c r="E680">
        <v>65</v>
      </c>
      <c r="F680">
        <v>82</v>
      </c>
      <c r="G680">
        <v>275</v>
      </c>
      <c r="H680" t="s">
        <v>2</v>
      </c>
      <c r="I680" t="s">
        <v>9</v>
      </c>
      <c r="K680" t="str">
        <v>premium</v>
      </c>
      <c r="L680">
        <v>73.5</v>
      </c>
    </row>
    <row r="681" spans="2:12" x14ac:dyDescent="0.3">
      <c r="B681" t="s">
        <v>694</v>
      </c>
      <c r="C681">
        <v>94</v>
      </c>
      <c r="D681" t="s">
        <v>45</v>
      </c>
      <c r="E681">
        <v>62</v>
      </c>
      <c r="F681">
        <v>77</v>
      </c>
      <c r="G681">
        <v>275</v>
      </c>
      <c r="H681" t="s">
        <v>2</v>
      </c>
      <c r="I681" t="s">
        <v>9</v>
      </c>
      <c r="K681" t="str">
        <v>premium</v>
      </c>
      <c r="L681">
        <v>69.5</v>
      </c>
    </row>
    <row r="682" spans="2:12" x14ac:dyDescent="0.3">
      <c r="B682" t="s">
        <v>340</v>
      </c>
      <c r="C682">
        <v>94</v>
      </c>
      <c r="D682" t="s">
        <v>45</v>
      </c>
      <c r="E682">
        <v>60</v>
      </c>
      <c r="F682">
        <v>78</v>
      </c>
      <c r="G682">
        <v>6.45</v>
      </c>
      <c r="H682" t="s">
        <v>18</v>
      </c>
      <c r="I682" t="s">
        <v>12</v>
      </c>
      <c r="K682" t="str">
        <v>budget</v>
      </c>
      <c r="L682">
        <v>69</v>
      </c>
    </row>
    <row r="683" spans="2:12" x14ac:dyDescent="0.3">
      <c r="B683" t="s">
        <v>695</v>
      </c>
      <c r="C683">
        <v>94</v>
      </c>
      <c r="D683" t="s">
        <v>45</v>
      </c>
      <c r="E683">
        <v>60</v>
      </c>
      <c r="F683">
        <v>77</v>
      </c>
      <c r="G683">
        <v>176.37</v>
      </c>
      <c r="H683" t="s">
        <v>2</v>
      </c>
      <c r="I683" t="s">
        <v>12</v>
      </c>
      <c r="K683" t="str">
        <v>premium</v>
      </c>
      <c r="L683">
        <v>68.5</v>
      </c>
    </row>
    <row r="684" spans="2:12" x14ac:dyDescent="0.3">
      <c r="B684" t="s">
        <v>696</v>
      </c>
      <c r="C684">
        <v>96</v>
      </c>
      <c r="D684" t="s">
        <v>45</v>
      </c>
      <c r="E684">
        <v>56</v>
      </c>
      <c r="F684">
        <v>74</v>
      </c>
      <c r="G684">
        <v>21.14</v>
      </c>
      <c r="H684" t="s">
        <v>18</v>
      </c>
      <c r="I684" t="s">
        <v>150</v>
      </c>
      <c r="K684" t="str">
        <v>budget</v>
      </c>
      <c r="L684">
        <v>65</v>
      </c>
    </row>
    <row r="685" spans="2:12" x14ac:dyDescent="0.3">
      <c r="B685" t="s">
        <v>697</v>
      </c>
      <c r="C685">
        <v>94</v>
      </c>
      <c r="D685" t="s">
        <v>45</v>
      </c>
      <c r="E685">
        <v>58</v>
      </c>
      <c r="F685">
        <v>77</v>
      </c>
      <c r="G685">
        <v>6.8</v>
      </c>
      <c r="H685" t="s">
        <v>18</v>
      </c>
      <c r="I685" t="s">
        <v>12</v>
      </c>
      <c r="K685" t="str">
        <v>budget</v>
      </c>
      <c r="L685">
        <v>67.5</v>
      </c>
    </row>
    <row r="686" spans="2:12" x14ac:dyDescent="0.3">
      <c r="B686" t="s">
        <v>698</v>
      </c>
      <c r="C686">
        <v>94</v>
      </c>
      <c r="D686" t="s">
        <v>82</v>
      </c>
      <c r="E686">
        <v>48</v>
      </c>
      <c r="F686">
        <v>67</v>
      </c>
      <c r="G686">
        <v>1000</v>
      </c>
      <c r="H686" t="s">
        <v>2</v>
      </c>
      <c r="I686" t="s">
        <v>2</v>
      </c>
      <c r="K686" t="str">
        <v>premium</v>
      </c>
      <c r="L686">
        <v>57.5</v>
      </c>
    </row>
    <row r="687" spans="2:12" x14ac:dyDescent="0.3">
      <c r="B687" t="s">
        <v>699</v>
      </c>
      <c r="C687">
        <v>94</v>
      </c>
      <c r="D687" t="s">
        <v>41</v>
      </c>
      <c r="E687">
        <v>62</v>
      </c>
      <c r="F687">
        <v>84</v>
      </c>
      <c r="G687">
        <v>6.88</v>
      </c>
      <c r="H687" t="s">
        <v>18</v>
      </c>
      <c r="I687" t="s">
        <v>9</v>
      </c>
      <c r="K687" t="str">
        <v>budget</v>
      </c>
      <c r="L687">
        <v>73</v>
      </c>
    </row>
    <row r="688" spans="2:12" x14ac:dyDescent="0.3">
      <c r="B688" t="s">
        <v>700</v>
      </c>
      <c r="C688">
        <v>94</v>
      </c>
      <c r="D688" t="s">
        <v>45</v>
      </c>
      <c r="E688">
        <v>60</v>
      </c>
      <c r="F688">
        <v>77</v>
      </c>
      <c r="G688">
        <v>6.8</v>
      </c>
      <c r="H688" t="s">
        <v>18</v>
      </c>
      <c r="I688" t="s">
        <v>12</v>
      </c>
      <c r="K688" t="str">
        <v>budget</v>
      </c>
      <c r="L688">
        <v>68.5</v>
      </c>
    </row>
    <row r="689" spans="2:12" x14ac:dyDescent="0.3">
      <c r="B689" t="s">
        <v>701</v>
      </c>
      <c r="C689">
        <v>94</v>
      </c>
      <c r="D689" t="s">
        <v>41</v>
      </c>
      <c r="E689">
        <v>64</v>
      </c>
      <c r="F689">
        <v>84</v>
      </c>
      <c r="G689">
        <v>326.08999999999997</v>
      </c>
      <c r="H689" t="s">
        <v>2</v>
      </c>
      <c r="I689" t="s">
        <v>12</v>
      </c>
      <c r="K689" t="str">
        <v>premium</v>
      </c>
      <c r="L689">
        <v>74</v>
      </c>
    </row>
    <row r="690" spans="2:12" x14ac:dyDescent="0.3">
      <c r="B690" t="s">
        <v>397</v>
      </c>
      <c r="C690">
        <v>94</v>
      </c>
      <c r="D690" t="s">
        <v>41</v>
      </c>
      <c r="E690">
        <v>62</v>
      </c>
      <c r="F690">
        <v>80</v>
      </c>
      <c r="G690">
        <v>25.57</v>
      </c>
      <c r="H690" t="s">
        <v>18</v>
      </c>
      <c r="I690" t="s">
        <v>18</v>
      </c>
      <c r="K690" t="str">
        <v>middle</v>
      </c>
      <c r="L690">
        <v>71</v>
      </c>
    </row>
    <row r="691" spans="2:12" x14ac:dyDescent="0.3">
      <c r="B691" t="s">
        <v>702</v>
      </c>
      <c r="C691">
        <v>94</v>
      </c>
      <c r="D691" t="s">
        <v>45</v>
      </c>
      <c r="E691">
        <v>60</v>
      </c>
      <c r="F691">
        <v>78</v>
      </c>
      <c r="G691">
        <v>17.28</v>
      </c>
      <c r="H691" t="s">
        <v>18</v>
      </c>
      <c r="I691" t="s">
        <v>18</v>
      </c>
      <c r="K691" t="str">
        <v>budget</v>
      </c>
      <c r="L691">
        <v>69</v>
      </c>
    </row>
    <row r="692" spans="2:12" x14ac:dyDescent="0.3">
      <c r="B692" t="s">
        <v>703</v>
      </c>
      <c r="C692">
        <v>96</v>
      </c>
      <c r="D692" t="s">
        <v>45</v>
      </c>
      <c r="E692">
        <v>60</v>
      </c>
      <c r="F692">
        <v>77</v>
      </c>
      <c r="G692">
        <v>171.96</v>
      </c>
      <c r="H692" t="s">
        <v>2</v>
      </c>
      <c r="I692" t="s">
        <v>12</v>
      </c>
      <c r="K692" t="str">
        <v>premium</v>
      </c>
      <c r="L692">
        <v>68.5</v>
      </c>
    </row>
    <row r="693" spans="2:12" x14ac:dyDescent="0.3">
      <c r="B693" t="s">
        <v>704</v>
      </c>
      <c r="C693">
        <v>95</v>
      </c>
      <c r="D693" t="s">
        <v>41</v>
      </c>
      <c r="E693">
        <v>62</v>
      </c>
      <c r="F693">
        <v>80</v>
      </c>
      <c r="G693">
        <v>7.5</v>
      </c>
      <c r="H693" t="s">
        <v>18</v>
      </c>
      <c r="I693" t="s">
        <v>9</v>
      </c>
      <c r="K693" t="str">
        <v>budget</v>
      </c>
      <c r="L693">
        <v>71</v>
      </c>
    </row>
    <row r="694" spans="2:12" x14ac:dyDescent="0.3">
      <c r="B694" t="s">
        <v>705</v>
      </c>
      <c r="C694">
        <v>95</v>
      </c>
      <c r="D694" t="s">
        <v>41</v>
      </c>
      <c r="E694">
        <v>62</v>
      </c>
      <c r="F694">
        <v>80</v>
      </c>
      <c r="G694">
        <v>264.55</v>
      </c>
      <c r="H694" t="s">
        <v>2</v>
      </c>
      <c r="I694" t="s">
        <v>9</v>
      </c>
      <c r="K694" t="str">
        <v>premium</v>
      </c>
      <c r="L694">
        <v>71</v>
      </c>
    </row>
    <row r="695" spans="2:12" x14ac:dyDescent="0.3">
      <c r="B695" t="s">
        <v>706</v>
      </c>
      <c r="C695">
        <v>95</v>
      </c>
      <c r="D695" t="s">
        <v>41</v>
      </c>
      <c r="E695">
        <v>64</v>
      </c>
      <c r="F695">
        <v>84</v>
      </c>
      <c r="G695">
        <v>308.64</v>
      </c>
      <c r="H695" t="s">
        <v>2</v>
      </c>
      <c r="I695" t="s">
        <v>9</v>
      </c>
      <c r="K695" t="str">
        <v>premium</v>
      </c>
      <c r="L695">
        <v>74</v>
      </c>
    </row>
    <row r="696" spans="2:12" x14ac:dyDescent="0.3">
      <c r="B696" t="s">
        <v>707</v>
      </c>
      <c r="C696">
        <v>94</v>
      </c>
      <c r="D696" t="s">
        <v>45</v>
      </c>
      <c r="E696">
        <v>56</v>
      </c>
      <c r="F696">
        <v>72</v>
      </c>
      <c r="G696">
        <v>6.47</v>
      </c>
      <c r="H696" t="s">
        <v>18</v>
      </c>
      <c r="I696" t="s">
        <v>17</v>
      </c>
      <c r="K696" t="str">
        <v>budget</v>
      </c>
      <c r="L696">
        <v>64</v>
      </c>
    </row>
    <row r="697" spans="2:12" x14ac:dyDescent="0.3">
      <c r="B697" t="s">
        <v>708</v>
      </c>
      <c r="C697">
        <v>94</v>
      </c>
      <c r="D697" t="s">
        <v>45</v>
      </c>
      <c r="E697">
        <v>56</v>
      </c>
      <c r="F697">
        <v>74</v>
      </c>
      <c r="G697">
        <v>105.82</v>
      </c>
      <c r="H697" t="s">
        <v>2</v>
      </c>
      <c r="I697" t="s">
        <v>7</v>
      </c>
      <c r="K697" t="str">
        <v>premium</v>
      </c>
      <c r="L697">
        <v>65</v>
      </c>
    </row>
    <row r="698" spans="2:12" x14ac:dyDescent="0.3">
      <c r="B698" t="s">
        <v>709</v>
      </c>
      <c r="C698">
        <v>94</v>
      </c>
      <c r="D698" t="s">
        <v>45</v>
      </c>
      <c r="E698">
        <v>58</v>
      </c>
      <c r="F698">
        <v>78</v>
      </c>
      <c r="G698">
        <v>154.32</v>
      </c>
      <c r="H698" t="s">
        <v>2</v>
      </c>
      <c r="I698" t="s">
        <v>7</v>
      </c>
      <c r="K698" t="str">
        <v>premium</v>
      </c>
      <c r="L698">
        <v>68</v>
      </c>
    </row>
    <row r="699" spans="2:12" x14ac:dyDescent="0.3">
      <c r="B699" t="s">
        <v>710</v>
      </c>
      <c r="C699">
        <v>94</v>
      </c>
      <c r="D699" t="s">
        <v>45</v>
      </c>
      <c r="E699">
        <v>61</v>
      </c>
      <c r="F699">
        <v>79</v>
      </c>
      <c r="G699">
        <v>14.22</v>
      </c>
      <c r="H699" t="s">
        <v>18</v>
      </c>
      <c r="I699" t="s">
        <v>10</v>
      </c>
      <c r="K699" t="str">
        <v>budget</v>
      </c>
      <c r="L699">
        <v>70</v>
      </c>
    </row>
    <row r="700" spans="2:12" x14ac:dyDescent="0.3">
      <c r="B700" t="s">
        <v>711</v>
      </c>
      <c r="C700">
        <v>96</v>
      </c>
      <c r="D700" t="s">
        <v>45</v>
      </c>
      <c r="E700">
        <v>59</v>
      </c>
      <c r="F700">
        <v>77</v>
      </c>
      <c r="G700">
        <v>7.05</v>
      </c>
      <c r="H700" t="s">
        <v>18</v>
      </c>
      <c r="I700" t="s">
        <v>12</v>
      </c>
      <c r="K700" t="str">
        <v>budget</v>
      </c>
      <c r="L700">
        <v>68</v>
      </c>
    </row>
    <row r="701" spans="2:12" x14ac:dyDescent="0.3">
      <c r="B701" t="s">
        <v>712</v>
      </c>
      <c r="C701">
        <v>94</v>
      </c>
      <c r="D701" t="s">
        <v>45</v>
      </c>
      <c r="E701">
        <v>58</v>
      </c>
      <c r="F701">
        <v>78</v>
      </c>
      <c r="G701">
        <v>11.61</v>
      </c>
      <c r="H701" t="s">
        <v>18</v>
      </c>
      <c r="I701" t="s">
        <v>14</v>
      </c>
      <c r="K701" t="str">
        <v>budget</v>
      </c>
      <c r="L701">
        <v>68</v>
      </c>
    </row>
    <row r="702" spans="2:12" x14ac:dyDescent="0.3">
      <c r="B702" t="s">
        <v>713</v>
      </c>
      <c r="C702">
        <v>95</v>
      </c>
      <c r="D702" t="s">
        <v>41</v>
      </c>
      <c r="E702">
        <v>64</v>
      </c>
      <c r="F702">
        <v>82</v>
      </c>
      <c r="G702">
        <v>35.270000000000003</v>
      </c>
      <c r="H702" t="s">
        <v>18</v>
      </c>
      <c r="I702" t="s">
        <v>14</v>
      </c>
      <c r="K702" t="str">
        <v>middle</v>
      </c>
      <c r="L702">
        <v>73</v>
      </c>
    </row>
    <row r="703" spans="2:12" x14ac:dyDescent="0.3">
      <c r="B703" t="s">
        <v>714</v>
      </c>
      <c r="C703">
        <v>94</v>
      </c>
      <c r="D703" t="s">
        <v>45</v>
      </c>
      <c r="E703">
        <v>58</v>
      </c>
      <c r="F703">
        <v>76</v>
      </c>
      <c r="G703">
        <v>5</v>
      </c>
      <c r="H703" t="s">
        <v>18</v>
      </c>
      <c r="I703" t="s">
        <v>6</v>
      </c>
      <c r="K703" t="str">
        <v>budget</v>
      </c>
      <c r="L703">
        <v>67</v>
      </c>
    </row>
    <row r="704" spans="2:12" x14ac:dyDescent="0.3">
      <c r="B704" t="s">
        <v>715</v>
      </c>
      <c r="C704">
        <v>95</v>
      </c>
      <c r="D704" t="s">
        <v>41</v>
      </c>
      <c r="E704">
        <v>65</v>
      </c>
      <c r="F704">
        <v>85</v>
      </c>
      <c r="G704">
        <v>275</v>
      </c>
      <c r="H704" t="s">
        <v>2</v>
      </c>
      <c r="I704" t="s">
        <v>9</v>
      </c>
      <c r="K704" t="str">
        <v>premium</v>
      </c>
      <c r="L704">
        <v>75</v>
      </c>
    </row>
    <row r="705" spans="2:12" x14ac:dyDescent="0.3">
      <c r="B705" t="s">
        <v>716</v>
      </c>
      <c r="C705">
        <v>95</v>
      </c>
      <c r="D705" t="s">
        <v>41</v>
      </c>
      <c r="E705">
        <v>64</v>
      </c>
      <c r="F705">
        <v>82</v>
      </c>
      <c r="G705">
        <v>9.17</v>
      </c>
      <c r="H705" t="s">
        <v>18</v>
      </c>
      <c r="I705" t="s">
        <v>14</v>
      </c>
      <c r="K705" t="str">
        <v>budget</v>
      </c>
      <c r="L705">
        <v>73</v>
      </c>
    </row>
    <row r="706" spans="2:12" x14ac:dyDescent="0.3">
      <c r="B706" t="s">
        <v>130</v>
      </c>
      <c r="C706">
        <v>94</v>
      </c>
      <c r="D706" t="s">
        <v>45</v>
      </c>
      <c r="E706">
        <v>60</v>
      </c>
      <c r="F706">
        <v>78</v>
      </c>
      <c r="G706">
        <v>5.88</v>
      </c>
      <c r="H706" t="s">
        <v>18</v>
      </c>
      <c r="I706" t="s">
        <v>9</v>
      </c>
      <c r="K706" t="str">
        <v>budget</v>
      </c>
      <c r="L706">
        <v>69</v>
      </c>
    </row>
    <row r="707" spans="2:12" x14ac:dyDescent="0.3">
      <c r="B707" t="s">
        <v>12</v>
      </c>
      <c r="C707">
        <v>95</v>
      </c>
      <c r="D707" t="s">
        <v>45</v>
      </c>
      <c r="E707">
        <v>62</v>
      </c>
      <c r="F707">
        <v>77</v>
      </c>
      <c r="G707">
        <v>264.32</v>
      </c>
      <c r="H707" t="s">
        <v>2</v>
      </c>
      <c r="I707" t="s">
        <v>12</v>
      </c>
      <c r="K707" t="str">
        <v>premium</v>
      </c>
      <c r="L707">
        <v>69.5</v>
      </c>
    </row>
    <row r="708" spans="2:12" x14ac:dyDescent="0.3">
      <c r="B708" t="s">
        <v>439</v>
      </c>
      <c r="C708">
        <v>96</v>
      </c>
      <c r="D708" t="s">
        <v>45</v>
      </c>
      <c r="E708">
        <v>58</v>
      </c>
      <c r="F708">
        <v>78</v>
      </c>
      <c r="G708">
        <v>24.23</v>
      </c>
      <c r="H708" t="s">
        <v>18</v>
      </c>
      <c r="I708" t="s">
        <v>18</v>
      </c>
      <c r="K708" t="str">
        <v>budget</v>
      </c>
      <c r="L708">
        <v>68</v>
      </c>
    </row>
    <row r="709" spans="2:12" x14ac:dyDescent="0.3">
      <c r="B709" t="s">
        <v>202</v>
      </c>
      <c r="C709">
        <v>95</v>
      </c>
      <c r="D709" t="s">
        <v>45</v>
      </c>
      <c r="E709">
        <v>60</v>
      </c>
      <c r="F709">
        <v>78</v>
      </c>
      <c r="G709">
        <v>6.47</v>
      </c>
      <c r="H709" t="s">
        <v>18</v>
      </c>
      <c r="I709" t="s">
        <v>9</v>
      </c>
      <c r="K709" t="str">
        <v>budget</v>
      </c>
      <c r="L709">
        <v>69</v>
      </c>
    </row>
    <row r="710" spans="2:12" x14ac:dyDescent="0.3">
      <c r="B710" t="s">
        <v>717</v>
      </c>
      <c r="C710">
        <v>94</v>
      </c>
      <c r="D710" t="s">
        <v>45</v>
      </c>
      <c r="E710">
        <v>58</v>
      </c>
      <c r="F710">
        <v>76</v>
      </c>
      <c r="G710">
        <v>10.58</v>
      </c>
      <c r="H710" t="s">
        <v>18</v>
      </c>
      <c r="I710" t="s">
        <v>14</v>
      </c>
      <c r="K710" t="str">
        <v>budget</v>
      </c>
      <c r="L710">
        <v>67</v>
      </c>
    </row>
    <row r="711" spans="2:12" x14ac:dyDescent="0.3">
      <c r="B711" t="s">
        <v>718</v>
      </c>
      <c r="C711">
        <v>95</v>
      </c>
      <c r="D711" t="s">
        <v>45</v>
      </c>
      <c r="E711">
        <v>60</v>
      </c>
      <c r="F711">
        <v>78</v>
      </c>
      <c r="G711">
        <v>8.3800000000000008</v>
      </c>
      <c r="H711" t="s">
        <v>18</v>
      </c>
      <c r="I711" t="s">
        <v>14</v>
      </c>
      <c r="K711" t="str">
        <v>budget</v>
      </c>
      <c r="L711">
        <v>69</v>
      </c>
    </row>
    <row r="712" spans="2:12" x14ac:dyDescent="0.3">
      <c r="B712" t="s">
        <v>719</v>
      </c>
      <c r="C712">
        <v>94</v>
      </c>
      <c r="D712" t="s">
        <v>41</v>
      </c>
      <c r="E712">
        <v>62</v>
      </c>
      <c r="F712">
        <v>80</v>
      </c>
      <c r="G712">
        <v>5.44</v>
      </c>
      <c r="H712" t="s">
        <v>18</v>
      </c>
      <c r="I712" t="s">
        <v>14</v>
      </c>
      <c r="K712" t="str">
        <v>budget</v>
      </c>
      <c r="L712">
        <v>71</v>
      </c>
    </row>
    <row r="713" spans="2:12" x14ac:dyDescent="0.3">
      <c r="B713" t="s">
        <v>720</v>
      </c>
      <c r="C713">
        <v>95</v>
      </c>
      <c r="D713" t="s">
        <v>41</v>
      </c>
      <c r="E713">
        <v>68</v>
      </c>
      <c r="F713">
        <v>92</v>
      </c>
      <c r="G713">
        <v>7.05</v>
      </c>
      <c r="H713" t="s">
        <v>18</v>
      </c>
      <c r="I713" t="s">
        <v>9</v>
      </c>
      <c r="K713" t="str">
        <v>budget</v>
      </c>
      <c r="L713">
        <v>80</v>
      </c>
    </row>
    <row r="714" spans="2:12" x14ac:dyDescent="0.3">
      <c r="B714" t="s">
        <v>118</v>
      </c>
      <c r="C714">
        <v>94</v>
      </c>
      <c r="D714" t="s">
        <v>45</v>
      </c>
      <c r="E714">
        <v>58</v>
      </c>
      <c r="F714">
        <v>76</v>
      </c>
      <c r="G714">
        <v>6.17</v>
      </c>
      <c r="H714" t="s">
        <v>18</v>
      </c>
      <c r="I714" t="s">
        <v>16</v>
      </c>
      <c r="K714" t="str">
        <v>budget</v>
      </c>
      <c r="L714">
        <v>67</v>
      </c>
    </row>
    <row r="715" spans="2:12" x14ac:dyDescent="0.3">
      <c r="B715" t="s">
        <v>721</v>
      </c>
      <c r="C715">
        <v>94</v>
      </c>
      <c r="D715" t="s">
        <v>41</v>
      </c>
      <c r="E715">
        <v>62</v>
      </c>
      <c r="F715">
        <v>80</v>
      </c>
      <c r="G715">
        <v>4.74</v>
      </c>
      <c r="H715" t="s">
        <v>18</v>
      </c>
      <c r="I715" t="s">
        <v>16</v>
      </c>
      <c r="K715" t="str">
        <v>budget</v>
      </c>
      <c r="L715">
        <v>71</v>
      </c>
    </row>
    <row r="716" spans="2:12" x14ac:dyDescent="0.3">
      <c r="B716" t="s">
        <v>722</v>
      </c>
      <c r="C716">
        <v>95</v>
      </c>
      <c r="D716" t="s">
        <v>45</v>
      </c>
      <c r="E716">
        <v>58</v>
      </c>
      <c r="F716">
        <v>78</v>
      </c>
      <c r="G716">
        <v>5.59</v>
      </c>
      <c r="H716" t="s">
        <v>18</v>
      </c>
      <c r="I716" t="s">
        <v>9</v>
      </c>
      <c r="K716" t="str">
        <v>budget</v>
      </c>
      <c r="L716">
        <v>68</v>
      </c>
    </row>
    <row r="717" spans="2:12" x14ac:dyDescent="0.3">
      <c r="B717" t="s">
        <v>723</v>
      </c>
      <c r="C717">
        <v>95</v>
      </c>
      <c r="D717" t="s">
        <v>45</v>
      </c>
      <c r="E717">
        <v>60</v>
      </c>
      <c r="F717">
        <v>78</v>
      </c>
      <c r="G717">
        <v>44.09</v>
      </c>
      <c r="H717" t="s">
        <v>18</v>
      </c>
      <c r="I717" t="s">
        <v>5</v>
      </c>
      <c r="K717" t="str">
        <v>middle</v>
      </c>
      <c r="L717">
        <v>69</v>
      </c>
    </row>
    <row r="718" spans="2:12" x14ac:dyDescent="0.3">
      <c r="B718" t="s">
        <v>724</v>
      </c>
      <c r="C718">
        <v>94</v>
      </c>
      <c r="D718" t="s">
        <v>45</v>
      </c>
      <c r="E718">
        <v>58</v>
      </c>
      <c r="F718">
        <v>76</v>
      </c>
      <c r="G718">
        <v>7.94</v>
      </c>
      <c r="H718" t="s">
        <v>18</v>
      </c>
      <c r="I718" t="s">
        <v>14</v>
      </c>
      <c r="K718" t="str">
        <v>budget</v>
      </c>
      <c r="L718">
        <v>67</v>
      </c>
    </row>
    <row r="719" spans="2:12" x14ac:dyDescent="0.3">
      <c r="B719" t="s">
        <v>725</v>
      </c>
      <c r="C719">
        <v>94</v>
      </c>
      <c r="D719" t="s">
        <v>45</v>
      </c>
      <c r="E719">
        <v>60</v>
      </c>
      <c r="F719">
        <v>78</v>
      </c>
      <c r="G719">
        <v>44.09</v>
      </c>
      <c r="H719" t="s">
        <v>18</v>
      </c>
      <c r="I719" t="s">
        <v>5</v>
      </c>
      <c r="K719" t="str">
        <v>middle</v>
      </c>
      <c r="L719">
        <v>69</v>
      </c>
    </row>
    <row r="720" spans="2:12" x14ac:dyDescent="0.3">
      <c r="B720" t="s">
        <v>726</v>
      </c>
      <c r="C720">
        <v>94</v>
      </c>
      <c r="D720" t="s">
        <v>45</v>
      </c>
      <c r="E720">
        <v>57</v>
      </c>
      <c r="F720">
        <v>75</v>
      </c>
      <c r="G720">
        <v>11.02</v>
      </c>
      <c r="H720" t="s">
        <v>18</v>
      </c>
      <c r="I720" t="s">
        <v>4</v>
      </c>
      <c r="K720" t="str">
        <v>budget</v>
      </c>
      <c r="L720">
        <v>66</v>
      </c>
    </row>
    <row r="721" spans="2:12" x14ac:dyDescent="0.3">
      <c r="B721" t="s">
        <v>727</v>
      </c>
      <c r="C721">
        <v>95</v>
      </c>
      <c r="D721" t="s">
        <v>41</v>
      </c>
      <c r="E721">
        <v>64</v>
      </c>
      <c r="F721">
        <v>84</v>
      </c>
      <c r="G721">
        <v>40</v>
      </c>
      <c r="H721" t="s">
        <v>18</v>
      </c>
      <c r="I721" t="s">
        <v>5</v>
      </c>
      <c r="K721" t="str">
        <v>middle</v>
      </c>
      <c r="L721">
        <v>74</v>
      </c>
    </row>
    <row r="722" spans="2:12" x14ac:dyDescent="0.3">
      <c r="B722" t="s">
        <v>728</v>
      </c>
      <c r="C722">
        <v>94</v>
      </c>
      <c r="D722" t="s">
        <v>45</v>
      </c>
      <c r="E722">
        <v>62</v>
      </c>
      <c r="F722">
        <v>78</v>
      </c>
      <c r="G722">
        <v>6.09</v>
      </c>
      <c r="H722" t="s">
        <v>2</v>
      </c>
      <c r="I722" t="s">
        <v>21</v>
      </c>
      <c r="K722" t="str">
        <v>budget</v>
      </c>
      <c r="L722">
        <v>70</v>
      </c>
    </row>
    <row r="723" spans="2:12" x14ac:dyDescent="0.3">
      <c r="B723" t="s">
        <v>729</v>
      </c>
      <c r="C723">
        <v>95</v>
      </c>
      <c r="D723" t="s">
        <v>45</v>
      </c>
      <c r="E723">
        <v>60</v>
      </c>
      <c r="F723">
        <v>77</v>
      </c>
      <c r="G723">
        <v>2083.33</v>
      </c>
      <c r="H723" t="s">
        <v>2</v>
      </c>
      <c r="I723" t="s">
        <v>5</v>
      </c>
      <c r="K723" t="str">
        <v>premium</v>
      </c>
      <c r="L723">
        <v>68.5</v>
      </c>
    </row>
    <row r="724" spans="2:12" x14ac:dyDescent="0.3">
      <c r="B724" t="s">
        <v>730</v>
      </c>
      <c r="C724">
        <v>94</v>
      </c>
      <c r="D724" t="s">
        <v>45</v>
      </c>
      <c r="E724">
        <v>56</v>
      </c>
      <c r="F724">
        <v>72</v>
      </c>
      <c r="G724">
        <v>250</v>
      </c>
      <c r="H724" t="s">
        <v>2</v>
      </c>
      <c r="I724" t="s">
        <v>5</v>
      </c>
      <c r="K724" t="str">
        <v>premium</v>
      </c>
      <c r="L724">
        <v>64</v>
      </c>
    </row>
    <row r="725" spans="2:12" x14ac:dyDescent="0.3">
      <c r="B725" t="s">
        <v>731</v>
      </c>
      <c r="C725">
        <v>94</v>
      </c>
      <c r="D725" t="s">
        <v>45</v>
      </c>
      <c r="E725">
        <v>60</v>
      </c>
      <c r="F725">
        <v>76</v>
      </c>
      <c r="G725">
        <v>440</v>
      </c>
      <c r="H725" t="s">
        <v>2</v>
      </c>
      <c r="I725" t="s">
        <v>9</v>
      </c>
      <c r="K725" t="str">
        <v>premium</v>
      </c>
      <c r="L725">
        <v>68</v>
      </c>
    </row>
    <row r="726" spans="2:12" x14ac:dyDescent="0.3">
      <c r="B726" t="s">
        <v>732</v>
      </c>
      <c r="C726">
        <v>95</v>
      </c>
      <c r="D726" t="s">
        <v>45</v>
      </c>
      <c r="E726">
        <v>60</v>
      </c>
      <c r="F726">
        <v>80</v>
      </c>
      <c r="G726">
        <v>154.32</v>
      </c>
      <c r="H726" t="s">
        <v>2</v>
      </c>
      <c r="I726" t="s">
        <v>9</v>
      </c>
      <c r="K726" t="str">
        <v>premium</v>
      </c>
      <c r="L726">
        <v>70</v>
      </c>
    </row>
    <row r="727" spans="2:12" x14ac:dyDescent="0.3">
      <c r="B727" t="s">
        <v>733</v>
      </c>
      <c r="C727">
        <v>94</v>
      </c>
      <c r="D727" t="s">
        <v>45</v>
      </c>
      <c r="E727">
        <v>58</v>
      </c>
      <c r="F727">
        <v>76</v>
      </c>
      <c r="G727">
        <v>485.01</v>
      </c>
      <c r="H727" t="s">
        <v>2</v>
      </c>
      <c r="I727" t="s">
        <v>2</v>
      </c>
      <c r="K727" t="str">
        <v>premium</v>
      </c>
      <c r="L727">
        <v>67</v>
      </c>
    </row>
    <row r="728" spans="2:12" x14ac:dyDescent="0.3">
      <c r="B728" t="s">
        <v>734</v>
      </c>
      <c r="C728">
        <v>95</v>
      </c>
      <c r="D728" t="s">
        <v>45</v>
      </c>
      <c r="E728">
        <v>57</v>
      </c>
      <c r="F728">
        <v>74</v>
      </c>
      <c r="G728">
        <v>26.46</v>
      </c>
      <c r="H728" t="s">
        <v>18</v>
      </c>
      <c r="I728" t="s">
        <v>18</v>
      </c>
      <c r="K728" t="str">
        <v>middle</v>
      </c>
      <c r="L728">
        <v>65.5</v>
      </c>
    </row>
    <row r="729" spans="2:12" x14ac:dyDescent="0.3">
      <c r="B729" t="s">
        <v>735</v>
      </c>
      <c r="C729">
        <v>94</v>
      </c>
      <c r="D729" t="s">
        <v>45</v>
      </c>
      <c r="E729">
        <v>58</v>
      </c>
      <c r="F729">
        <v>78</v>
      </c>
      <c r="G729">
        <v>5.59</v>
      </c>
      <c r="H729" t="s">
        <v>18</v>
      </c>
      <c r="I729" t="s">
        <v>9</v>
      </c>
      <c r="K729" t="str">
        <v>budget</v>
      </c>
      <c r="L729">
        <v>68</v>
      </c>
    </row>
    <row r="730" spans="2:12" x14ac:dyDescent="0.3">
      <c r="B730" t="s">
        <v>736</v>
      </c>
      <c r="C730">
        <v>94</v>
      </c>
      <c r="D730" t="s">
        <v>41</v>
      </c>
      <c r="E730">
        <v>62</v>
      </c>
      <c r="F730">
        <v>80</v>
      </c>
      <c r="G730">
        <v>11.17</v>
      </c>
      <c r="H730" t="s">
        <v>18</v>
      </c>
      <c r="I730" t="s">
        <v>14</v>
      </c>
      <c r="K730" t="str">
        <v>budget</v>
      </c>
      <c r="L730">
        <v>71</v>
      </c>
    </row>
    <row r="731" spans="2:12" x14ac:dyDescent="0.3">
      <c r="B731" t="s">
        <v>737</v>
      </c>
      <c r="C731">
        <v>94</v>
      </c>
      <c r="D731" t="s">
        <v>45</v>
      </c>
      <c r="E731">
        <v>57</v>
      </c>
      <c r="F731">
        <v>73</v>
      </c>
      <c r="G731">
        <v>5.14</v>
      </c>
      <c r="H731" t="s">
        <v>18</v>
      </c>
      <c r="I731" t="s">
        <v>15</v>
      </c>
      <c r="K731" t="str">
        <v>budget</v>
      </c>
      <c r="L731">
        <v>65</v>
      </c>
    </row>
    <row r="732" spans="2:12" x14ac:dyDescent="0.3">
      <c r="B732" t="s">
        <v>738</v>
      </c>
      <c r="C732">
        <v>95</v>
      </c>
      <c r="D732" t="s">
        <v>45</v>
      </c>
      <c r="E732">
        <v>56</v>
      </c>
      <c r="F732">
        <v>74</v>
      </c>
      <c r="G732">
        <v>5.48</v>
      </c>
      <c r="H732" t="s">
        <v>18</v>
      </c>
      <c r="I732" t="s">
        <v>21</v>
      </c>
      <c r="K732" t="str">
        <v>budget</v>
      </c>
      <c r="L732">
        <v>65</v>
      </c>
    </row>
    <row r="733" spans="2:12" x14ac:dyDescent="0.3">
      <c r="B733" t="s">
        <v>739</v>
      </c>
      <c r="C733">
        <v>95</v>
      </c>
      <c r="D733" t="s">
        <v>45</v>
      </c>
      <c r="E733">
        <v>58</v>
      </c>
      <c r="F733">
        <v>78</v>
      </c>
      <c r="G733">
        <v>28.66</v>
      </c>
      <c r="H733" t="s">
        <v>18</v>
      </c>
      <c r="I733" t="s">
        <v>14</v>
      </c>
      <c r="K733" t="str">
        <v>middle</v>
      </c>
      <c r="L733">
        <v>68</v>
      </c>
    </row>
    <row r="734" spans="2:12" x14ac:dyDescent="0.3">
      <c r="B734" t="s">
        <v>740</v>
      </c>
      <c r="C734">
        <v>94</v>
      </c>
      <c r="D734" t="s">
        <v>45</v>
      </c>
      <c r="E734">
        <v>56</v>
      </c>
      <c r="F734">
        <v>74</v>
      </c>
      <c r="G734">
        <v>6.47</v>
      </c>
      <c r="H734" t="s">
        <v>18</v>
      </c>
      <c r="I734" t="s">
        <v>9</v>
      </c>
      <c r="K734" t="str">
        <v>budget</v>
      </c>
      <c r="L734">
        <v>65</v>
      </c>
    </row>
    <row r="735" spans="2:12" x14ac:dyDescent="0.3">
      <c r="B735" t="s">
        <v>741</v>
      </c>
      <c r="C735">
        <v>94</v>
      </c>
      <c r="D735" t="s">
        <v>45</v>
      </c>
      <c r="E735">
        <v>60</v>
      </c>
      <c r="F735">
        <v>78</v>
      </c>
      <c r="G735">
        <v>11.6</v>
      </c>
      <c r="H735" t="s">
        <v>18</v>
      </c>
      <c r="I735" t="s">
        <v>15</v>
      </c>
      <c r="K735" t="str">
        <v>budget</v>
      </c>
      <c r="L735">
        <v>69</v>
      </c>
    </row>
    <row r="736" spans="2:12" x14ac:dyDescent="0.3">
      <c r="B736" t="s">
        <v>742</v>
      </c>
      <c r="C736">
        <v>95</v>
      </c>
      <c r="D736" t="s">
        <v>45</v>
      </c>
      <c r="E736">
        <v>58</v>
      </c>
      <c r="F736">
        <v>77</v>
      </c>
      <c r="G736">
        <v>13.23</v>
      </c>
      <c r="H736" t="s">
        <v>18</v>
      </c>
      <c r="I736" t="s">
        <v>5</v>
      </c>
      <c r="K736" t="str">
        <v>budget</v>
      </c>
      <c r="L736">
        <v>67.5</v>
      </c>
    </row>
    <row r="737" spans="2:12" x14ac:dyDescent="0.3">
      <c r="B737" t="s">
        <v>743</v>
      </c>
      <c r="C737">
        <v>95</v>
      </c>
      <c r="D737" t="s">
        <v>41</v>
      </c>
      <c r="E737">
        <v>60</v>
      </c>
      <c r="F737">
        <v>82</v>
      </c>
      <c r="G737">
        <v>3000</v>
      </c>
      <c r="H737" t="s">
        <v>2</v>
      </c>
      <c r="I737" t="s">
        <v>5</v>
      </c>
      <c r="K737" t="str">
        <v>premium</v>
      </c>
      <c r="L737">
        <v>71</v>
      </c>
    </row>
    <row r="738" spans="2:12" x14ac:dyDescent="0.3">
      <c r="B738" t="s">
        <v>744</v>
      </c>
      <c r="C738">
        <v>94</v>
      </c>
      <c r="D738" t="s">
        <v>45</v>
      </c>
      <c r="E738">
        <v>58</v>
      </c>
      <c r="F738">
        <v>76</v>
      </c>
      <c r="G738">
        <v>300</v>
      </c>
      <c r="H738" t="s">
        <v>2</v>
      </c>
      <c r="I738" t="s">
        <v>15</v>
      </c>
      <c r="K738" t="str">
        <v>premium</v>
      </c>
      <c r="L738">
        <v>67</v>
      </c>
    </row>
    <row r="739" spans="2:12" x14ac:dyDescent="0.3">
      <c r="B739" t="s">
        <v>745</v>
      </c>
      <c r="C739">
        <v>94</v>
      </c>
      <c r="D739" t="s">
        <v>45</v>
      </c>
      <c r="E739">
        <v>57</v>
      </c>
      <c r="F739">
        <v>74</v>
      </c>
      <c r="G739">
        <v>6.17</v>
      </c>
      <c r="H739" t="s">
        <v>18</v>
      </c>
      <c r="I739" t="s">
        <v>24</v>
      </c>
      <c r="K739" t="str">
        <v>budget</v>
      </c>
      <c r="L739">
        <v>65.5</v>
      </c>
    </row>
    <row r="740" spans="2:12" x14ac:dyDescent="0.3">
      <c r="B740" t="s">
        <v>551</v>
      </c>
      <c r="C740">
        <v>95</v>
      </c>
      <c r="D740" t="s">
        <v>45</v>
      </c>
      <c r="E740">
        <v>58</v>
      </c>
      <c r="F740">
        <v>76</v>
      </c>
      <c r="G740">
        <v>7.35</v>
      </c>
      <c r="H740" t="s">
        <v>18</v>
      </c>
      <c r="I740" t="s">
        <v>4</v>
      </c>
      <c r="K740" t="str">
        <v>budget</v>
      </c>
      <c r="L740">
        <v>67</v>
      </c>
    </row>
    <row r="741" spans="2:12" x14ac:dyDescent="0.3">
      <c r="B741" t="s">
        <v>746</v>
      </c>
      <c r="C741">
        <v>95</v>
      </c>
      <c r="D741" t="s">
        <v>45</v>
      </c>
      <c r="E741">
        <v>60</v>
      </c>
      <c r="F741">
        <v>77</v>
      </c>
      <c r="G741">
        <v>28.66</v>
      </c>
      <c r="H741" t="s">
        <v>18</v>
      </c>
      <c r="I741" t="s">
        <v>5</v>
      </c>
      <c r="K741" t="str">
        <v>middle</v>
      </c>
      <c r="L741">
        <v>68.5</v>
      </c>
    </row>
    <row r="742" spans="2:12" x14ac:dyDescent="0.3">
      <c r="B742" t="s">
        <v>747</v>
      </c>
      <c r="C742">
        <v>95</v>
      </c>
      <c r="D742" t="s">
        <v>45</v>
      </c>
      <c r="E742">
        <v>58</v>
      </c>
      <c r="F742">
        <v>76</v>
      </c>
      <c r="G742">
        <v>26.46</v>
      </c>
      <c r="H742" t="s">
        <v>18</v>
      </c>
      <c r="I742" t="s">
        <v>18</v>
      </c>
      <c r="K742" t="str">
        <v>middle</v>
      </c>
      <c r="L742">
        <v>67</v>
      </c>
    </row>
    <row r="743" spans="2:12" x14ac:dyDescent="0.3">
      <c r="B743" t="s">
        <v>748</v>
      </c>
      <c r="C743">
        <v>94</v>
      </c>
      <c r="D743" t="s">
        <v>45</v>
      </c>
      <c r="E743">
        <v>60</v>
      </c>
      <c r="F743">
        <v>78</v>
      </c>
      <c r="G743">
        <v>5.58</v>
      </c>
      <c r="H743" t="s">
        <v>18</v>
      </c>
      <c r="I743" t="s">
        <v>9</v>
      </c>
      <c r="K743" t="str">
        <v>budget</v>
      </c>
      <c r="L743">
        <v>69</v>
      </c>
    </row>
    <row r="744" spans="2:12" x14ac:dyDescent="0.3">
      <c r="B744" t="s">
        <v>749</v>
      </c>
      <c r="C744">
        <v>95</v>
      </c>
      <c r="D744" t="s">
        <v>45</v>
      </c>
      <c r="E744">
        <v>58</v>
      </c>
      <c r="F744">
        <v>76</v>
      </c>
      <c r="G744">
        <v>5.51</v>
      </c>
      <c r="H744" t="s">
        <v>18</v>
      </c>
      <c r="I744" t="s">
        <v>20</v>
      </c>
      <c r="K744" t="str">
        <v>budget</v>
      </c>
      <c r="L744">
        <v>67</v>
      </c>
    </row>
    <row r="745" spans="2:12" x14ac:dyDescent="0.3">
      <c r="B745" t="s">
        <v>750</v>
      </c>
      <c r="C745">
        <v>94</v>
      </c>
      <c r="D745" t="s">
        <v>45</v>
      </c>
      <c r="E745">
        <v>60</v>
      </c>
      <c r="F745">
        <v>78</v>
      </c>
      <c r="G745">
        <v>6.76</v>
      </c>
      <c r="H745" t="s">
        <v>18</v>
      </c>
      <c r="I745" t="s">
        <v>15</v>
      </c>
      <c r="K745" t="str">
        <v>budget</v>
      </c>
      <c r="L745">
        <v>69</v>
      </c>
    </row>
    <row r="746" spans="2:12" x14ac:dyDescent="0.3">
      <c r="B746" t="s">
        <v>287</v>
      </c>
      <c r="C746">
        <v>95</v>
      </c>
      <c r="D746" t="s">
        <v>45</v>
      </c>
      <c r="E746">
        <v>60</v>
      </c>
      <c r="F746">
        <v>77</v>
      </c>
      <c r="G746">
        <v>15.71</v>
      </c>
      <c r="H746" t="s">
        <v>18</v>
      </c>
      <c r="I746" t="s">
        <v>14</v>
      </c>
      <c r="K746" t="str">
        <v>budget</v>
      </c>
      <c r="L746">
        <v>68.5</v>
      </c>
    </row>
    <row r="747" spans="2:12" x14ac:dyDescent="0.3">
      <c r="B747" t="s">
        <v>751</v>
      </c>
      <c r="C747">
        <v>94</v>
      </c>
      <c r="D747" t="s">
        <v>45</v>
      </c>
      <c r="E747">
        <v>59</v>
      </c>
      <c r="F747">
        <v>79</v>
      </c>
      <c r="G747">
        <v>153.88</v>
      </c>
      <c r="H747" t="s">
        <v>2</v>
      </c>
      <c r="I747" t="s">
        <v>12</v>
      </c>
      <c r="K747" t="str">
        <v>premium</v>
      </c>
      <c r="L747">
        <v>69</v>
      </c>
    </row>
    <row r="748" spans="2:12" x14ac:dyDescent="0.3">
      <c r="B748" t="s">
        <v>752</v>
      </c>
      <c r="C748">
        <v>94</v>
      </c>
      <c r="D748" t="s">
        <v>45</v>
      </c>
      <c r="E748">
        <v>60</v>
      </c>
      <c r="F748">
        <v>78</v>
      </c>
      <c r="G748">
        <v>4.12</v>
      </c>
      <c r="H748" t="s">
        <v>18</v>
      </c>
      <c r="I748" t="s">
        <v>15</v>
      </c>
      <c r="K748" t="str">
        <v>budget</v>
      </c>
      <c r="L748">
        <v>69</v>
      </c>
    </row>
    <row r="749" spans="2:12" x14ac:dyDescent="0.3">
      <c r="B749" t="s">
        <v>753</v>
      </c>
      <c r="C749">
        <v>94</v>
      </c>
      <c r="D749" t="s">
        <v>41</v>
      </c>
      <c r="E749">
        <v>62</v>
      </c>
      <c r="F749">
        <v>80</v>
      </c>
      <c r="G749">
        <v>11.46</v>
      </c>
      <c r="H749" t="s">
        <v>18</v>
      </c>
      <c r="I749" t="s">
        <v>14</v>
      </c>
      <c r="K749" t="str">
        <v>budget</v>
      </c>
      <c r="L749">
        <v>71</v>
      </c>
    </row>
    <row r="750" spans="2:12" x14ac:dyDescent="0.3">
      <c r="B750" t="s">
        <v>754</v>
      </c>
      <c r="C750">
        <v>96</v>
      </c>
      <c r="D750" t="s">
        <v>45</v>
      </c>
      <c r="E750">
        <v>54</v>
      </c>
      <c r="F750">
        <v>72</v>
      </c>
      <c r="G750">
        <v>176.37</v>
      </c>
      <c r="H750" t="s">
        <v>2</v>
      </c>
      <c r="I750" t="s">
        <v>12</v>
      </c>
      <c r="K750" t="str">
        <v>premium</v>
      </c>
      <c r="L750">
        <v>63</v>
      </c>
    </row>
    <row r="751" spans="2:12" x14ac:dyDescent="0.3">
      <c r="B751" t="s">
        <v>755</v>
      </c>
      <c r="C751">
        <v>95</v>
      </c>
      <c r="D751" t="s">
        <v>45</v>
      </c>
      <c r="E751">
        <v>58</v>
      </c>
      <c r="F751">
        <v>76</v>
      </c>
      <c r="G751">
        <v>6.76</v>
      </c>
      <c r="H751" t="s">
        <v>18</v>
      </c>
      <c r="I751" t="s">
        <v>12</v>
      </c>
      <c r="K751" t="str">
        <v>budget</v>
      </c>
      <c r="L751">
        <v>67</v>
      </c>
    </row>
    <row r="752" spans="2:12" x14ac:dyDescent="0.3">
      <c r="B752" t="s">
        <v>756</v>
      </c>
      <c r="C752">
        <v>94</v>
      </c>
      <c r="D752" t="s">
        <v>45</v>
      </c>
      <c r="E752">
        <v>60</v>
      </c>
      <c r="F752">
        <v>78</v>
      </c>
      <c r="G752">
        <v>5.59</v>
      </c>
      <c r="H752" t="s">
        <v>18</v>
      </c>
      <c r="I752" t="s">
        <v>9</v>
      </c>
      <c r="K752" t="str">
        <v>budget</v>
      </c>
      <c r="L752">
        <v>69</v>
      </c>
    </row>
    <row r="753" spans="2:12" x14ac:dyDescent="0.3">
      <c r="B753" t="s">
        <v>757</v>
      </c>
      <c r="C753">
        <v>95</v>
      </c>
      <c r="D753" t="s">
        <v>45</v>
      </c>
      <c r="E753">
        <v>54</v>
      </c>
      <c r="F753">
        <v>76</v>
      </c>
      <c r="G753">
        <v>143.30000000000001</v>
      </c>
      <c r="H753" t="s">
        <v>2</v>
      </c>
      <c r="I753" t="s">
        <v>9</v>
      </c>
      <c r="K753" t="str">
        <v>premium</v>
      </c>
      <c r="L753">
        <v>65</v>
      </c>
    </row>
    <row r="754" spans="2:12" x14ac:dyDescent="0.3">
      <c r="B754" t="s">
        <v>758</v>
      </c>
      <c r="C754">
        <v>95</v>
      </c>
      <c r="D754" t="s">
        <v>45</v>
      </c>
      <c r="E754">
        <v>58</v>
      </c>
      <c r="F754">
        <v>78</v>
      </c>
      <c r="G754">
        <v>143.30000000000001</v>
      </c>
      <c r="H754" t="s">
        <v>2</v>
      </c>
      <c r="I754" t="s">
        <v>9</v>
      </c>
      <c r="K754" t="str">
        <v>premium</v>
      </c>
      <c r="L754">
        <v>68</v>
      </c>
    </row>
    <row r="755" spans="2:12" x14ac:dyDescent="0.3">
      <c r="B755" t="s">
        <v>759</v>
      </c>
      <c r="C755">
        <v>95</v>
      </c>
      <c r="D755" t="s">
        <v>82</v>
      </c>
      <c r="E755">
        <v>45</v>
      </c>
      <c r="F755">
        <v>70</v>
      </c>
      <c r="G755">
        <v>286.60000000000002</v>
      </c>
      <c r="H755" t="s">
        <v>2</v>
      </c>
      <c r="I755" t="s">
        <v>15</v>
      </c>
      <c r="K755" t="str">
        <v>premium</v>
      </c>
      <c r="L755">
        <v>57.5</v>
      </c>
    </row>
    <row r="756" spans="2:12" x14ac:dyDescent="0.3">
      <c r="B756" t="s">
        <v>760</v>
      </c>
      <c r="C756">
        <v>94</v>
      </c>
      <c r="D756" t="s">
        <v>45</v>
      </c>
      <c r="E756">
        <v>60</v>
      </c>
      <c r="F756">
        <v>78</v>
      </c>
      <c r="G756">
        <v>8.82</v>
      </c>
      <c r="H756" t="s">
        <v>18</v>
      </c>
      <c r="I756" t="s">
        <v>14</v>
      </c>
      <c r="K756" t="str">
        <v>budget</v>
      </c>
      <c r="L756">
        <v>69</v>
      </c>
    </row>
    <row r="757" spans="2:12" x14ac:dyDescent="0.3">
      <c r="B757" t="s">
        <v>761</v>
      </c>
      <c r="C757">
        <v>94</v>
      </c>
      <c r="D757" t="s">
        <v>45</v>
      </c>
      <c r="E757">
        <v>58</v>
      </c>
      <c r="F757">
        <v>76</v>
      </c>
      <c r="G757">
        <v>7.35</v>
      </c>
      <c r="H757" t="s">
        <v>18</v>
      </c>
      <c r="I757" t="s">
        <v>14</v>
      </c>
      <c r="K757" t="str">
        <v>budget</v>
      </c>
      <c r="L757">
        <v>67</v>
      </c>
    </row>
    <row r="758" spans="2:12" x14ac:dyDescent="0.3">
      <c r="B758" t="s">
        <v>762</v>
      </c>
      <c r="C758">
        <v>94</v>
      </c>
      <c r="D758" t="s">
        <v>45</v>
      </c>
      <c r="E758">
        <v>58</v>
      </c>
      <c r="F758">
        <v>74</v>
      </c>
      <c r="G758">
        <v>500</v>
      </c>
      <c r="H758" t="s">
        <v>2</v>
      </c>
      <c r="I758" t="s">
        <v>14</v>
      </c>
      <c r="K758" t="str">
        <v>premium</v>
      </c>
      <c r="L758">
        <v>66</v>
      </c>
    </row>
    <row r="759" spans="2:12" x14ac:dyDescent="0.3">
      <c r="B759" t="s">
        <v>763</v>
      </c>
      <c r="C759">
        <v>94</v>
      </c>
      <c r="D759" t="s">
        <v>45</v>
      </c>
      <c r="E759">
        <v>58</v>
      </c>
      <c r="F759">
        <v>78</v>
      </c>
      <c r="G759">
        <v>121.25</v>
      </c>
      <c r="H759" t="s">
        <v>2</v>
      </c>
      <c r="I759" t="s">
        <v>13</v>
      </c>
      <c r="K759" t="str">
        <v>premium</v>
      </c>
      <c r="L759">
        <v>68</v>
      </c>
    </row>
    <row r="760" spans="2:12" x14ac:dyDescent="0.3">
      <c r="B760" t="s">
        <v>764</v>
      </c>
      <c r="C760">
        <v>95</v>
      </c>
      <c r="D760" t="s">
        <v>82</v>
      </c>
      <c r="E760">
        <v>48</v>
      </c>
      <c r="F760">
        <v>64</v>
      </c>
      <c r="G760">
        <v>352.73</v>
      </c>
      <c r="H760" t="s">
        <v>2</v>
      </c>
      <c r="I760" t="s">
        <v>9</v>
      </c>
      <c r="K760" t="str">
        <v>premium</v>
      </c>
      <c r="L760">
        <v>56</v>
      </c>
    </row>
    <row r="761" spans="2:12" x14ac:dyDescent="0.3">
      <c r="B761" t="s">
        <v>765</v>
      </c>
      <c r="C761">
        <v>95</v>
      </c>
      <c r="D761" t="s">
        <v>45</v>
      </c>
      <c r="E761">
        <v>56</v>
      </c>
      <c r="F761">
        <v>74</v>
      </c>
      <c r="G761">
        <v>5.42</v>
      </c>
      <c r="H761" t="s">
        <v>18</v>
      </c>
      <c r="I761" t="s">
        <v>9</v>
      </c>
      <c r="K761" t="str">
        <v>budget</v>
      </c>
      <c r="L761">
        <v>65</v>
      </c>
    </row>
    <row r="762" spans="2:12" x14ac:dyDescent="0.3">
      <c r="B762" t="s">
        <v>766</v>
      </c>
      <c r="C762">
        <v>95</v>
      </c>
      <c r="D762" t="s">
        <v>45</v>
      </c>
      <c r="E762">
        <v>58</v>
      </c>
      <c r="F762">
        <v>77</v>
      </c>
      <c r="G762">
        <v>158.72999999999999</v>
      </c>
      <c r="H762" t="s">
        <v>2</v>
      </c>
      <c r="I762" t="s">
        <v>9</v>
      </c>
      <c r="K762" t="str">
        <v>premium</v>
      </c>
      <c r="L762">
        <v>67.5</v>
      </c>
    </row>
    <row r="763" spans="2:12" x14ac:dyDescent="0.3">
      <c r="B763" t="s">
        <v>767</v>
      </c>
      <c r="C763">
        <v>95</v>
      </c>
      <c r="D763" t="s">
        <v>45</v>
      </c>
      <c r="E763">
        <v>57</v>
      </c>
      <c r="F763">
        <v>77</v>
      </c>
      <c r="G763">
        <v>27.76</v>
      </c>
      <c r="H763" t="s">
        <v>18</v>
      </c>
      <c r="I763" t="s">
        <v>18</v>
      </c>
      <c r="K763" t="str">
        <v>middle</v>
      </c>
      <c r="L763">
        <v>67</v>
      </c>
    </row>
    <row r="764" spans="2:12" x14ac:dyDescent="0.3">
      <c r="B764" t="s">
        <v>664</v>
      </c>
      <c r="C764">
        <v>95</v>
      </c>
      <c r="D764" t="s">
        <v>45</v>
      </c>
      <c r="E764">
        <v>60</v>
      </c>
      <c r="F764">
        <v>76</v>
      </c>
      <c r="G764">
        <v>7.94</v>
      </c>
      <c r="H764" t="s">
        <v>18</v>
      </c>
      <c r="I764" t="s">
        <v>14</v>
      </c>
      <c r="K764" t="str">
        <v>budget</v>
      </c>
      <c r="L764">
        <v>68</v>
      </c>
    </row>
    <row r="765" spans="2:12" x14ac:dyDescent="0.3">
      <c r="B765" t="s">
        <v>760</v>
      </c>
      <c r="C765">
        <v>94</v>
      </c>
      <c r="D765" t="s">
        <v>45</v>
      </c>
      <c r="E765">
        <v>61</v>
      </c>
      <c r="F765">
        <v>79</v>
      </c>
      <c r="G765">
        <v>8.82</v>
      </c>
      <c r="H765" t="s">
        <v>18</v>
      </c>
      <c r="I765" t="s">
        <v>14</v>
      </c>
      <c r="K765" t="str">
        <v>budget</v>
      </c>
      <c r="L765">
        <v>70</v>
      </c>
    </row>
    <row r="766" spans="2:12" x14ac:dyDescent="0.3">
      <c r="B766" t="s">
        <v>603</v>
      </c>
      <c r="C766">
        <v>94</v>
      </c>
      <c r="D766" t="s">
        <v>45</v>
      </c>
      <c r="E766">
        <v>60</v>
      </c>
      <c r="F766">
        <v>77</v>
      </c>
      <c r="G766">
        <v>11.17</v>
      </c>
      <c r="H766" t="s">
        <v>18</v>
      </c>
      <c r="I766" t="s">
        <v>14</v>
      </c>
      <c r="K766" t="str">
        <v>budget</v>
      </c>
      <c r="L766">
        <v>68.5</v>
      </c>
    </row>
    <row r="767" spans="2:12" x14ac:dyDescent="0.3">
      <c r="B767" t="s">
        <v>768</v>
      </c>
      <c r="C767">
        <v>94</v>
      </c>
      <c r="D767" t="s">
        <v>45</v>
      </c>
      <c r="E767">
        <v>60</v>
      </c>
      <c r="F767">
        <v>77</v>
      </c>
      <c r="G767">
        <v>8.82</v>
      </c>
      <c r="H767" t="s">
        <v>18</v>
      </c>
      <c r="I767" t="s">
        <v>6</v>
      </c>
      <c r="K767" t="str">
        <v>budget</v>
      </c>
      <c r="L767">
        <v>68.5</v>
      </c>
    </row>
    <row r="768" spans="2:12" x14ac:dyDescent="0.3">
      <c r="B768" t="s">
        <v>769</v>
      </c>
      <c r="C768">
        <v>95</v>
      </c>
      <c r="D768" t="s">
        <v>41</v>
      </c>
      <c r="E768">
        <v>64</v>
      </c>
      <c r="F768">
        <v>84</v>
      </c>
      <c r="G768">
        <v>292.04000000000002</v>
      </c>
      <c r="H768" t="s">
        <v>2</v>
      </c>
      <c r="I768" t="s">
        <v>4</v>
      </c>
      <c r="K768" t="str">
        <v>premium</v>
      </c>
      <c r="L768">
        <v>74</v>
      </c>
    </row>
    <row r="769" spans="2:12" x14ac:dyDescent="0.3">
      <c r="B769" t="s">
        <v>770</v>
      </c>
      <c r="C769">
        <v>95</v>
      </c>
      <c r="D769" t="s">
        <v>41</v>
      </c>
      <c r="E769">
        <v>62</v>
      </c>
      <c r="F769">
        <v>80</v>
      </c>
      <c r="G769">
        <v>474.29</v>
      </c>
      <c r="H769" t="s">
        <v>11</v>
      </c>
      <c r="I769" t="s">
        <v>5</v>
      </c>
      <c r="K769" t="str">
        <v>premium</v>
      </c>
      <c r="L769">
        <v>71</v>
      </c>
    </row>
    <row r="770" spans="2:12" x14ac:dyDescent="0.3">
      <c r="B770" t="s">
        <v>771</v>
      </c>
      <c r="C770">
        <v>94</v>
      </c>
      <c r="D770" t="s">
        <v>45</v>
      </c>
      <c r="E770">
        <v>54</v>
      </c>
      <c r="F770">
        <v>74</v>
      </c>
      <c r="G770">
        <v>5.29</v>
      </c>
      <c r="H770" t="s">
        <v>18</v>
      </c>
      <c r="I770" t="s">
        <v>14</v>
      </c>
      <c r="K770" t="str">
        <v>budget</v>
      </c>
      <c r="L770">
        <v>64</v>
      </c>
    </row>
    <row r="771" spans="2:12" x14ac:dyDescent="0.3">
      <c r="B771" t="s">
        <v>772</v>
      </c>
      <c r="C771">
        <v>94</v>
      </c>
      <c r="D771" t="s">
        <v>45</v>
      </c>
      <c r="E771">
        <v>58</v>
      </c>
      <c r="F771">
        <v>77</v>
      </c>
      <c r="G771">
        <v>620</v>
      </c>
      <c r="H771" t="s">
        <v>2</v>
      </c>
      <c r="I771" t="s">
        <v>9</v>
      </c>
      <c r="K771" t="str">
        <v>premium</v>
      </c>
      <c r="L771">
        <v>67.5</v>
      </c>
    </row>
    <row r="772" spans="2:12" x14ac:dyDescent="0.3">
      <c r="B772" t="s">
        <v>773</v>
      </c>
      <c r="C772">
        <v>94</v>
      </c>
      <c r="D772" t="s">
        <v>45</v>
      </c>
      <c r="E772">
        <v>57</v>
      </c>
      <c r="F772">
        <v>78</v>
      </c>
      <c r="G772">
        <v>204.55</v>
      </c>
      <c r="H772" t="s">
        <v>2</v>
      </c>
      <c r="I772" t="s">
        <v>12</v>
      </c>
      <c r="K772" t="str">
        <v>premium</v>
      </c>
      <c r="L772">
        <v>67.5</v>
      </c>
    </row>
    <row r="773" spans="2:12" x14ac:dyDescent="0.3">
      <c r="B773" t="s">
        <v>774</v>
      </c>
      <c r="C773">
        <v>95</v>
      </c>
      <c r="D773" t="s">
        <v>41</v>
      </c>
      <c r="E773">
        <v>75</v>
      </c>
      <c r="F773">
        <v>93</v>
      </c>
      <c r="G773">
        <v>16.5</v>
      </c>
      <c r="H773" t="s">
        <v>27</v>
      </c>
      <c r="I773" t="s">
        <v>14</v>
      </c>
      <c r="K773" t="str">
        <v>budget</v>
      </c>
      <c r="L773">
        <v>84</v>
      </c>
    </row>
    <row r="774" spans="2:12" x14ac:dyDescent="0.3">
      <c r="B774" t="s">
        <v>775</v>
      </c>
      <c r="C774">
        <v>94</v>
      </c>
      <c r="D774" t="s">
        <v>45</v>
      </c>
      <c r="E774">
        <v>58</v>
      </c>
      <c r="F774">
        <v>80</v>
      </c>
      <c r="G774">
        <v>6.47</v>
      </c>
      <c r="H774" t="s">
        <v>18</v>
      </c>
      <c r="I774" t="s">
        <v>17</v>
      </c>
      <c r="K774" t="str">
        <v>budget</v>
      </c>
      <c r="L774">
        <v>69</v>
      </c>
    </row>
    <row r="775" spans="2:12" x14ac:dyDescent="0.3">
      <c r="B775" t="s">
        <v>776</v>
      </c>
      <c r="C775">
        <v>94</v>
      </c>
      <c r="D775" t="s">
        <v>45</v>
      </c>
      <c r="E775">
        <v>60</v>
      </c>
      <c r="F775">
        <v>77</v>
      </c>
      <c r="G775">
        <v>6.76</v>
      </c>
      <c r="H775" t="s">
        <v>18</v>
      </c>
      <c r="I775" t="s">
        <v>15</v>
      </c>
      <c r="K775" t="str">
        <v>budget</v>
      </c>
      <c r="L775">
        <v>68.5</v>
      </c>
    </row>
    <row r="776" spans="2:12" x14ac:dyDescent="0.3">
      <c r="B776" t="s">
        <v>777</v>
      </c>
      <c r="C776">
        <v>94</v>
      </c>
      <c r="D776" t="s">
        <v>45</v>
      </c>
      <c r="E776">
        <v>59</v>
      </c>
      <c r="F776">
        <v>77</v>
      </c>
      <c r="G776">
        <v>176.37</v>
      </c>
      <c r="H776" t="s">
        <v>2</v>
      </c>
      <c r="I776" t="s">
        <v>9</v>
      </c>
      <c r="K776" t="str">
        <v>premium</v>
      </c>
      <c r="L776">
        <v>68</v>
      </c>
    </row>
    <row r="777" spans="2:12" x14ac:dyDescent="0.3">
      <c r="B777" t="s">
        <v>778</v>
      </c>
      <c r="C777">
        <v>97</v>
      </c>
      <c r="D777" t="s">
        <v>45</v>
      </c>
      <c r="E777">
        <v>58</v>
      </c>
      <c r="F777">
        <v>76</v>
      </c>
      <c r="G777">
        <v>15.43</v>
      </c>
      <c r="H777" t="s">
        <v>18</v>
      </c>
      <c r="I777" t="s">
        <v>8</v>
      </c>
      <c r="K777" t="str">
        <v>budget</v>
      </c>
      <c r="L777">
        <v>67</v>
      </c>
    </row>
    <row r="778" spans="2:12" x14ac:dyDescent="0.3">
      <c r="B778" t="s">
        <v>779</v>
      </c>
      <c r="C778">
        <v>95</v>
      </c>
      <c r="D778" t="s">
        <v>45</v>
      </c>
      <c r="E778">
        <v>58</v>
      </c>
      <c r="F778">
        <v>76</v>
      </c>
      <c r="G778">
        <v>264.55</v>
      </c>
      <c r="H778" t="s">
        <v>2</v>
      </c>
      <c r="I778" t="s">
        <v>3</v>
      </c>
      <c r="K778" t="str">
        <v>premium</v>
      </c>
      <c r="L778">
        <v>67</v>
      </c>
    </row>
    <row r="779" spans="2:12" x14ac:dyDescent="0.3">
      <c r="B779" t="s">
        <v>780</v>
      </c>
      <c r="C779">
        <v>94</v>
      </c>
      <c r="D779" t="s">
        <v>45</v>
      </c>
      <c r="E779">
        <v>60</v>
      </c>
      <c r="F779">
        <v>77</v>
      </c>
      <c r="G779">
        <v>242.29</v>
      </c>
      <c r="H779" t="s">
        <v>2</v>
      </c>
      <c r="I779" t="s">
        <v>15</v>
      </c>
      <c r="K779" t="str">
        <v>premium</v>
      </c>
      <c r="L779">
        <v>68.5</v>
      </c>
    </row>
    <row r="780" spans="2:12" x14ac:dyDescent="0.3">
      <c r="B780" t="s">
        <v>781</v>
      </c>
      <c r="C780">
        <v>95</v>
      </c>
      <c r="D780" t="s">
        <v>41</v>
      </c>
      <c r="E780">
        <v>64</v>
      </c>
      <c r="F780">
        <v>80</v>
      </c>
      <c r="G780">
        <v>418.5</v>
      </c>
      <c r="H780" t="s">
        <v>2</v>
      </c>
      <c r="I780" t="s">
        <v>6</v>
      </c>
      <c r="K780" t="str">
        <v>premium</v>
      </c>
      <c r="L780">
        <v>72</v>
      </c>
    </row>
    <row r="781" spans="2:12" x14ac:dyDescent="0.3">
      <c r="B781" t="s">
        <v>782</v>
      </c>
      <c r="C781">
        <v>95</v>
      </c>
      <c r="D781" t="s">
        <v>41</v>
      </c>
      <c r="E781">
        <v>60</v>
      </c>
      <c r="F781">
        <v>82</v>
      </c>
      <c r="G781">
        <v>5.57</v>
      </c>
      <c r="H781" t="s">
        <v>18</v>
      </c>
      <c r="I781" t="s">
        <v>9</v>
      </c>
      <c r="K781" t="str">
        <v>budget</v>
      </c>
      <c r="L781">
        <v>71</v>
      </c>
    </row>
    <row r="782" spans="2:12" x14ac:dyDescent="0.3">
      <c r="B782" t="s">
        <v>783</v>
      </c>
      <c r="C782">
        <v>94</v>
      </c>
      <c r="D782" t="s">
        <v>45</v>
      </c>
      <c r="E782">
        <v>54</v>
      </c>
      <c r="F782">
        <v>72</v>
      </c>
      <c r="G782">
        <v>7.05</v>
      </c>
      <c r="H782" t="s">
        <v>18</v>
      </c>
      <c r="I782" t="s">
        <v>16</v>
      </c>
      <c r="K782" t="str">
        <v>budget</v>
      </c>
      <c r="L782">
        <v>63</v>
      </c>
    </row>
    <row r="783" spans="2:12" x14ac:dyDescent="0.3">
      <c r="B783" t="s">
        <v>784</v>
      </c>
      <c r="C783">
        <v>94</v>
      </c>
      <c r="D783" t="s">
        <v>45</v>
      </c>
      <c r="E783">
        <v>58</v>
      </c>
      <c r="F783">
        <v>74</v>
      </c>
      <c r="G783">
        <v>22.05</v>
      </c>
      <c r="H783" t="s">
        <v>18</v>
      </c>
      <c r="I783" t="s">
        <v>18</v>
      </c>
      <c r="K783" t="str">
        <v>budget</v>
      </c>
      <c r="L783">
        <v>66</v>
      </c>
    </row>
    <row r="784" spans="2:12" x14ac:dyDescent="0.3">
      <c r="B784" t="s">
        <v>785</v>
      </c>
      <c r="C784">
        <v>95</v>
      </c>
      <c r="D784" t="s">
        <v>82</v>
      </c>
      <c r="E784">
        <v>45</v>
      </c>
      <c r="F784">
        <v>58</v>
      </c>
      <c r="G784">
        <v>275</v>
      </c>
      <c r="H784" t="s">
        <v>2</v>
      </c>
      <c r="I784" t="s">
        <v>12</v>
      </c>
      <c r="K784" t="str">
        <v>premium</v>
      </c>
      <c r="L784">
        <v>51.5</v>
      </c>
    </row>
    <row r="785" spans="2:12" x14ac:dyDescent="0.3">
      <c r="B785" t="s">
        <v>786</v>
      </c>
      <c r="C785">
        <v>95</v>
      </c>
      <c r="D785" t="s">
        <v>45</v>
      </c>
      <c r="E785">
        <v>58</v>
      </c>
      <c r="F785">
        <v>76</v>
      </c>
      <c r="G785">
        <v>5.73</v>
      </c>
      <c r="H785" t="s">
        <v>18</v>
      </c>
      <c r="I785" t="s">
        <v>9</v>
      </c>
      <c r="K785" t="str">
        <v>budget</v>
      </c>
      <c r="L785">
        <v>67</v>
      </c>
    </row>
    <row r="786" spans="2:12" x14ac:dyDescent="0.3">
      <c r="B786" t="s">
        <v>747</v>
      </c>
      <c r="C786">
        <v>94</v>
      </c>
      <c r="D786" t="s">
        <v>45</v>
      </c>
      <c r="E786">
        <v>57</v>
      </c>
      <c r="F786">
        <v>74</v>
      </c>
      <c r="G786">
        <v>26.46</v>
      </c>
      <c r="H786" t="s">
        <v>18</v>
      </c>
      <c r="I786" t="s">
        <v>18</v>
      </c>
      <c r="K786" t="str">
        <v>middle</v>
      </c>
      <c r="L786">
        <v>65.5</v>
      </c>
    </row>
    <row r="787" spans="2:12" x14ac:dyDescent="0.3">
      <c r="B787" t="s">
        <v>787</v>
      </c>
      <c r="C787">
        <v>95</v>
      </c>
      <c r="D787" t="s">
        <v>45</v>
      </c>
      <c r="E787">
        <v>58</v>
      </c>
      <c r="F787">
        <v>74</v>
      </c>
      <c r="G787">
        <v>26.46</v>
      </c>
      <c r="H787" t="s">
        <v>18</v>
      </c>
      <c r="I787" t="s">
        <v>8</v>
      </c>
      <c r="K787" t="str">
        <v>middle</v>
      </c>
      <c r="L787">
        <v>66</v>
      </c>
    </row>
    <row r="788" spans="2:12" x14ac:dyDescent="0.3">
      <c r="B788" t="s">
        <v>788</v>
      </c>
      <c r="C788">
        <v>95</v>
      </c>
      <c r="D788" t="s">
        <v>45</v>
      </c>
      <c r="E788">
        <v>60</v>
      </c>
      <c r="F788">
        <v>77</v>
      </c>
      <c r="G788">
        <v>26.46</v>
      </c>
      <c r="H788" t="s">
        <v>18</v>
      </c>
      <c r="I788" t="s">
        <v>18</v>
      </c>
      <c r="K788" t="str">
        <v>middle</v>
      </c>
      <c r="L788">
        <v>68.5</v>
      </c>
    </row>
    <row r="789" spans="2:12" x14ac:dyDescent="0.3">
      <c r="B789" t="s">
        <v>789</v>
      </c>
      <c r="C789">
        <v>94</v>
      </c>
      <c r="D789" t="s">
        <v>41</v>
      </c>
      <c r="E789">
        <v>62</v>
      </c>
      <c r="F789">
        <v>80</v>
      </c>
      <c r="G789">
        <v>14.11</v>
      </c>
      <c r="H789" t="s">
        <v>18</v>
      </c>
      <c r="I789" t="s">
        <v>14</v>
      </c>
      <c r="K789" t="str">
        <v>budget</v>
      </c>
      <c r="L789">
        <v>71</v>
      </c>
    </row>
    <row r="790" spans="2:12" x14ac:dyDescent="0.3">
      <c r="B790" t="s">
        <v>790</v>
      </c>
      <c r="C790">
        <v>94</v>
      </c>
      <c r="D790" t="s">
        <v>45</v>
      </c>
      <c r="E790">
        <v>58</v>
      </c>
      <c r="F790">
        <v>74</v>
      </c>
      <c r="G790">
        <v>154.19</v>
      </c>
      <c r="H790" t="s">
        <v>2</v>
      </c>
      <c r="I790" t="s">
        <v>9</v>
      </c>
      <c r="K790" t="str">
        <v>premium</v>
      </c>
      <c r="L790">
        <v>66</v>
      </c>
    </row>
    <row r="791" spans="2:12" x14ac:dyDescent="0.3">
      <c r="B791" t="s">
        <v>791</v>
      </c>
      <c r="C791">
        <v>95</v>
      </c>
      <c r="D791" t="s">
        <v>82</v>
      </c>
      <c r="E791">
        <v>50</v>
      </c>
      <c r="F791">
        <v>64</v>
      </c>
      <c r="G791">
        <v>220.26</v>
      </c>
      <c r="H791" t="s">
        <v>2</v>
      </c>
      <c r="I791" t="s">
        <v>9</v>
      </c>
      <c r="K791" t="str">
        <v>premium</v>
      </c>
      <c r="L791">
        <v>57</v>
      </c>
    </row>
    <row r="792" spans="2:12" x14ac:dyDescent="0.3">
      <c r="B792" t="s">
        <v>792</v>
      </c>
      <c r="C792">
        <v>94</v>
      </c>
      <c r="D792" t="s">
        <v>45</v>
      </c>
      <c r="E792">
        <v>62</v>
      </c>
      <c r="F792">
        <v>76</v>
      </c>
      <c r="G792">
        <v>176.21</v>
      </c>
      <c r="H792" t="s">
        <v>2</v>
      </c>
      <c r="I792" t="s">
        <v>15</v>
      </c>
      <c r="K792" t="str">
        <v>premium</v>
      </c>
      <c r="L792">
        <v>69</v>
      </c>
    </row>
    <row r="793" spans="2:12" x14ac:dyDescent="0.3">
      <c r="B793" t="s">
        <v>793</v>
      </c>
      <c r="C793">
        <v>94</v>
      </c>
      <c r="D793" t="s">
        <v>45</v>
      </c>
      <c r="E793">
        <v>62</v>
      </c>
      <c r="F793">
        <v>76</v>
      </c>
      <c r="G793">
        <v>154.19</v>
      </c>
      <c r="H793" t="s">
        <v>2</v>
      </c>
      <c r="I793" t="s">
        <v>9</v>
      </c>
      <c r="K793" t="str">
        <v>premium</v>
      </c>
      <c r="L793">
        <v>69</v>
      </c>
    </row>
    <row r="794" spans="2:12" x14ac:dyDescent="0.3">
      <c r="B794" t="s">
        <v>794</v>
      </c>
      <c r="C794">
        <v>96</v>
      </c>
      <c r="D794" t="s">
        <v>45</v>
      </c>
      <c r="E794">
        <v>58</v>
      </c>
      <c r="F794">
        <v>77</v>
      </c>
      <c r="G794">
        <v>617.28</v>
      </c>
      <c r="H794" t="s">
        <v>2</v>
      </c>
      <c r="I794" t="s">
        <v>6</v>
      </c>
      <c r="K794" t="str">
        <v>premium</v>
      </c>
      <c r="L794">
        <v>67.5</v>
      </c>
    </row>
    <row r="795" spans="2:12" x14ac:dyDescent="0.3">
      <c r="B795" t="s">
        <v>795</v>
      </c>
      <c r="C795">
        <v>94</v>
      </c>
      <c r="D795" t="s">
        <v>45</v>
      </c>
      <c r="E795">
        <v>56</v>
      </c>
      <c r="F795">
        <v>74</v>
      </c>
      <c r="G795">
        <v>352.73</v>
      </c>
      <c r="H795" t="s">
        <v>2</v>
      </c>
      <c r="I795" t="s">
        <v>2</v>
      </c>
      <c r="K795" t="str">
        <v>premium</v>
      </c>
      <c r="L795">
        <v>65</v>
      </c>
    </row>
    <row r="796" spans="2:12" x14ac:dyDescent="0.3">
      <c r="B796" t="s">
        <v>796</v>
      </c>
      <c r="C796">
        <v>94</v>
      </c>
      <c r="D796" t="s">
        <v>45</v>
      </c>
      <c r="E796">
        <v>60</v>
      </c>
      <c r="F796">
        <v>76</v>
      </c>
      <c r="G796">
        <v>5.29</v>
      </c>
      <c r="H796" t="s">
        <v>18</v>
      </c>
      <c r="I796" t="s">
        <v>9</v>
      </c>
      <c r="K796" t="str">
        <v>budget</v>
      </c>
      <c r="L796">
        <v>68</v>
      </c>
    </row>
    <row r="797" spans="2:12" x14ac:dyDescent="0.3">
      <c r="B797" t="s">
        <v>797</v>
      </c>
      <c r="C797">
        <v>95</v>
      </c>
      <c r="D797" t="s">
        <v>41</v>
      </c>
      <c r="E797">
        <v>62</v>
      </c>
      <c r="F797">
        <v>80</v>
      </c>
      <c r="G797">
        <v>7.64</v>
      </c>
      <c r="H797" t="s">
        <v>18</v>
      </c>
      <c r="I797" t="s">
        <v>9</v>
      </c>
      <c r="K797" t="str">
        <v>budget</v>
      </c>
      <c r="L797">
        <v>71</v>
      </c>
    </row>
    <row r="798" spans="2:12" x14ac:dyDescent="0.3">
      <c r="B798" t="s">
        <v>798</v>
      </c>
      <c r="C798">
        <v>94</v>
      </c>
      <c r="D798" t="s">
        <v>45</v>
      </c>
      <c r="E798">
        <v>56</v>
      </c>
      <c r="F798">
        <v>74</v>
      </c>
      <c r="G798">
        <v>5.59</v>
      </c>
      <c r="H798" t="s">
        <v>18</v>
      </c>
      <c r="I798" t="s">
        <v>9</v>
      </c>
      <c r="K798" t="str">
        <v>budget</v>
      </c>
      <c r="L798">
        <v>65</v>
      </c>
    </row>
    <row r="799" spans="2:12" x14ac:dyDescent="0.3">
      <c r="B799" t="s">
        <v>799</v>
      </c>
      <c r="C799">
        <v>94</v>
      </c>
      <c r="D799" t="s">
        <v>45</v>
      </c>
      <c r="E799">
        <v>54</v>
      </c>
      <c r="F799">
        <v>74</v>
      </c>
      <c r="G799">
        <v>14.99</v>
      </c>
      <c r="H799" t="s">
        <v>18</v>
      </c>
      <c r="I799" t="s">
        <v>18</v>
      </c>
      <c r="K799" t="str">
        <v>budget</v>
      </c>
      <c r="L799">
        <v>64</v>
      </c>
    </row>
    <row r="800" spans="2:12" x14ac:dyDescent="0.3">
      <c r="B800" t="s">
        <v>800</v>
      </c>
      <c r="C800">
        <v>94</v>
      </c>
      <c r="D800" t="s">
        <v>41</v>
      </c>
      <c r="E800">
        <v>64</v>
      </c>
      <c r="F800">
        <v>80</v>
      </c>
      <c r="G800">
        <v>7.64</v>
      </c>
      <c r="H800" t="s">
        <v>18</v>
      </c>
      <c r="I800" t="s">
        <v>14</v>
      </c>
      <c r="K800" t="str">
        <v>budget</v>
      </c>
      <c r="L800">
        <v>72</v>
      </c>
    </row>
    <row r="801" spans="2:12" x14ac:dyDescent="0.3">
      <c r="B801" t="s">
        <v>801</v>
      </c>
      <c r="C801">
        <v>94</v>
      </c>
      <c r="D801" t="s">
        <v>45</v>
      </c>
      <c r="E801">
        <v>60</v>
      </c>
      <c r="F801">
        <v>76</v>
      </c>
      <c r="G801">
        <v>6.91</v>
      </c>
      <c r="H801" t="s">
        <v>12</v>
      </c>
      <c r="I801" t="s">
        <v>12</v>
      </c>
      <c r="K801" t="str">
        <v>budget</v>
      </c>
      <c r="L801">
        <v>68</v>
      </c>
    </row>
    <row r="802" spans="2:12" x14ac:dyDescent="0.3">
      <c r="B802" t="s">
        <v>802</v>
      </c>
      <c r="C802">
        <v>96</v>
      </c>
      <c r="D802" t="s">
        <v>45</v>
      </c>
      <c r="E802">
        <v>60</v>
      </c>
      <c r="F802">
        <v>77</v>
      </c>
      <c r="G802">
        <v>123.46</v>
      </c>
      <c r="H802" t="s">
        <v>18</v>
      </c>
      <c r="I802" t="s">
        <v>4</v>
      </c>
      <c r="K802" t="str">
        <v>premium</v>
      </c>
      <c r="L802">
        <v>68.5</v>
      </c>
    </row>
    <row r="803" spans="2:12" x14ac:dyDescent="0.3">
      <c r="B803" t="s">
        <v>803</v>
      </c>
      <c r="C803">
        <v>95</v>
      </c>
      <c r="D803" t="s">
        <v>45</v>
      </c>
      <c r="E803">
        <v>57</v>
      </c>
      <c r="F803">
        <v>74</v>
      </c>
      <c r="G803">
        <v>26.46</v>
      </c>
      <c r="H803" t="s">
        <v>18</v>
      </c>
      <c r="I803" t="s">
        <v>18</v>
      </c>
      <c r="K803" t="str">
        <v>middle</v>
      </c>
      <c r="L803">
        <v>65.5</v>
      </c>
    </row>
    <row r="804" spans="2:12" x14ac:dyDescent="0.3">
      <c r="B804" t="s">
        <v>508</v>
      </c>
      <c r="C804">
        <v>95</v>
      </c>
      <c r="D804" t="s">
        <v>82</v>
      </c>
      <c r="E804">
        <v>46</v>
      </c>
      <c r="F804">
        <v>60</v>
      </c>
      <c r="G804">
        <v>800</v>
      </c>
      <c r="H804" t="s">
        <v>2</v>
      </c>
      <c r="I804" t="s">
        <v>5</v>
      </c>
      <c r="K804" t="str">
        <v>premium</v>
      </c>
      <c r="L804">
        <v>53</v>
      </c>
    </row>
    <row r="805" spans="2:12" x14ac:dyDescent="0.3">
      <c r="B805" t="s">
        <v>804</v>
      </c>
      <c r="C805">
        <v>94</v>
      </c>
      <c r="D805" t="s">
        <v>45</v>
      </c>
      <c r="E805">
        <v>62</v>
      </c>
      <c r="F805">
        <v>78</v>
      </c>
      <c r="G805">
        <v>700</v>
      </c>
      <c r="H805" t="s">
        <v>2</v>
      </c>
      <c r="I805" t="s">
        <v>6</v>
      </c>
      <c r="K805" t="str">
        <v>premium</v>
      </c>
      <c r="L805">
        <v>70</v>
      </c>
    </row>
    <row r="806" spans="2:12" x14ac:dyDescent="0.3">
      <c r="B806" t="s">
        <v>805</v>
      </c>
      <c r="C806">
        <v>95</v>
      </c>
      <c r="D806" t="s">
        <v>82</v>
      </c>
      <c r="E806">
        <v>46</v>
      </c>
      <c r="F806">
        <v>60</v>
      </c>
      <c r="G806">
        <v>29.08</v>
      </c>
      <c r="H806" t="s">
        <v>18</v>
      </c>
      <c r="I806" t="s">
        <v>150</v>
      </c>
      <c r="K806" t="str">
        <v>middle</v>
      </c>
      <c r="L806">
        <v>53</v>
      </c>
    </row>
    <row r="807" spans="2:12" x14ac:dyDescent="0.3">
      <c r="B807" t="s">
        <v>806</v>
      </c>
      <c r="C807">
        <v>95</v>
      </c>
      <c r="D807" t="s">
        <v>541</v>
      </c>
      <c r="E807">
        <v>40</v>
      </c>
      <c r="F807">
        <v>54</v>
      </c>
      <c r="G807">
        <v>3600</v>
      </c>
      <c r="H807" t="s">
        <v>2</v>
      </c>
      <c r="I807" t="s">
        <v>4</v>
      </c>
      <c r="K807" t="str">
        <v>premium</v>
      </c>
      <c r="L807">
        <v>47</v>
      </c>
    </row>
    <row r="808" spans="2:12" x14ac:dyDescent="0.3">
      <c r="B808" t="s">
        <v>807</v>
      </c>
      <c r="C808">
        <v>94</v>
      </c>
      <c r="D808" t="s">
        <v>541</v>
      </c>
      <c r="E808">
        <v>40</v>
      </c>
      <c r="F808">
        <v>50</v>
      </c>
      <c r="G808">
        <v>8.82</v>
      </c>
      <c r="H808" t="s">
        <v>18</v>
      </c>
      <c r="I808" t="s">
        <v>16</v>
      </c>
      <c r="K808" t="str">
        <v>budget</v>
      </c>
      <c r="L808">
        <v>45</v>
      </c>
    </row>
    <row r="809" spans="2:12" x14ac:dyDescent="0.3">
      <c r="B809" t="s">
        <v>808</v>
      </c>
      <c r="C809">
        <v>94</v>
      </c>
      <c r="D809" t="s">
        <v>82</v>
      </c>
      <c r="E809">
        <v>47</v>
      </c>
      <c r="F809">
        <v>60</v>
      </c>
      <c r="G809">
        <v>7.2</v>
      </c>
      <c r="H809" t="s">
        <v>18</v>
      </c>
      <c r="I809" t="s">
        <v>16</v>
      </c>
      <c r="K809" t="str">
        <v>budget</v>
      </c>
      <c r="L809">
        <v>53.5</v>
      </c>
    </row>
    <row r="810" spans="2:12" x14ac:dyDescent="0.3">
      <c r="B810" t="s">
        <v>809</v>
      </c>
      <c r="C810">
        <v>94</v>
      </c>
      <c r="D810" t="s">
        <v>82</v>
      </c>
      <c r="E810">
        <v>47</v>
      </c>
      <c r="F810">
        <v>61</v>
      </c>
      <c r="G810">
        <v>10.050000000000001</v>
      </c>
      <c r="H810" t="s">
        <v>18</v>
      </c>
      <c r="I810" t="s">
        <v>18</v>
      </c>
      <c r="K810" t="str">
        <v>budget</v>
      </c>
      <c r="L810">
        <v>54</v>
      </c>
    </row>
    <row r="811" spans="2:12" x14ac:dyDescent="0.3">
      <c r="B811" t="s">
        <v>810</v>
      </c>
      <c r="C811">
        <v>95</v>
      </c>
      <c r="D811" t="s">
        <v>45</v>
      </c>
      <c r="E811">
        <v>57</v>
      </c>
      <c r="F811">
        <v>79</v>
      </c>
      <c r="G811">
        <v>6.17</v>
      </c>
      <c r="H811" t="s">
        <v>18</v>
      </c>
      <c r="I811" t="s">
        <v>16</v>
      </c>
      <c r="K811" t="str">
        <v>budget</v>
      </c>
      <c r="L811">
        <v>68</v>
      </c>
    </row>
    <row r="812" spans="2:12" x14ac:dyDescent="0.3">
      <c r="B812" t="s">
        <v>811</v>
      </c>
      <c r="C812">
        <v>95</v>
      </c>
      <c r="D812" t="s">
        <v>45</v>
      </c>
      <c r="E812">
        <v>58</v>
      </c>
      <c r="F812">
        <v>80</v>
      </c>
      <c r="G812">
        <v>5.59</v>
      </c>
      <c r="H812" t="s">
        <v>18</v>
      </c>
      <c r="I812" t="s">
        <v>16</v>
      </c>
      <c r="K812" t="str">
        <v>budget</v>
      </c>
      <c r="L812">
        <v>69</v>
      </c>
    </row>
    <row r="813" spans="2:12" x14ac:dyDescent="0.3">
      <c r="B813" t="s">
        <v>812</v>
      </c>
      <c r="C813">
        <v>96</v>
      </c>
      <c r="D813" t="s">
        <v>41</v>
      </c>
      <c r="E813">
        <v>64</v>
      </c>
      <c r="F813">
        <v>82</v>
      </c>
      <c r="G813">
        <v>14.11</v>
      </c>
      <c r="H813" t="s">
        <v>18</v>
      </c>
      <c r="I813" t="s">
        <v>14</v>
      </c>
      <c r="K813" t="str">
        <v>budget</v>
      </c>
      <c r="L813">
        <v>73</v>
      </c>
    </row>
    <row r="814" spans="2:12" x14ac:dyDescent="0.3">
      <c r="B814" t="s">
        <v>813</v>
      </c>
      <c r="C814">
        <v>95</v>
      </c>
      <c r="D814" t="s">
        <v>45</v>
      </c>
      <c r="E814">
        <v>58</v>
      </c>
      <c r="F814">
        <v>78</v>
      </c>
      <c r="G814">
        <v>154.32</v>
      </c>
      <c r="H814" t="s">
        <v>2</v>
      </c>
      <c r="I814" t="s">
        <v>9</v>
      </c>
      <c r="K814" t="str">
        <v>premium</v>
      </c>
      <c r="L814">
        <v>68</v>
      </c>
    </row>
    <row r="815" spans="2:12" x14ac:dyDescent="0.3">
      <c r="B815" t="s">
        <v>814</v>
      </c>
      <c r="C815">
        <v>94</v>
      </c>
      <c r="D815" t="s">
        <v>45</v>
      </c>
      <c r="E815">
        <v>58</v>
      </c>
      <c r="F815">
        <v>80</v>
      </c>
      <c r="G815">
        <v>5.88</v>
      </c>
      <c r="H815" t="s">
        <v>18</v>
      </c>
      <c r="I815" t="s">
        <v>9</v>
      </c>
      <c r="K815" t="str">
        <v>budget</v>
      </c>
      <c r="L815">
        <v>69</v>
      </c>
    </row>
    <row r="816" spans="2:12" x14ac:dyDescent="0.3">
      <c r="B816" t="s">
        <v>815</v>
      </c>
      <c r="C816">
        <v>94</v>
      </c>
      <c r="D816" t="s">
        <v>41</v>
      </c>
      <c r="E816">
        <v>64</v>
      </c>
      <c r="F816">
        <v>86</v>
      </c>
      <c r="G816">
        <v>7.64</v>
      </c>
      <c r="H816" t="s">
        <v>18</v>
      </c>
      <c r="I816" t="s">
        <v>9</v>
      </c>
      <c r="K816" t="str">
        <v>budget</v>
      </c>
      <c r="L816">
        <v>75</v>
      </c>
    </row>
    <row r="817" spans="2:12" x14ac:dyDescent="0.3">
      <c r="B817" t="s">
        <v>720</v>
      </c>
      <c r="C817">
        <v>94</v>
      </c>
      <c r="D817" t="s">
        <v>45</v>
      </c>
      <c r="E817">
        <v>58</v>
      </c>
      <c r="F817">
        <v>78</v>
      </c>
      <c r="G817">
        <v>5.59</v>
      </c>
      <c r="H817" t="s">
        <v>18</v>
      </c>
      <c r="I817" t="s">
        <v>9</v>
      </c>
      <c r="K817" t="str">
        <v>budget</v>
      </c>
      <c r="L817">
        <v>68</v>
      </c>
    </row>
    <row r="818" spans="2:12" x14ac:dyDescent="0.3">
      <c r="B818" t="s">
        <v>816</v>
      </c>
      <c r="C818">
        <v>94</v>
      </c>
      <c r="D818" t="s">
        <v>45</v>
      </c>
      <c r="E818">
        <v>60</v>
      </c>
      <c r="F818">
        <v>78</v>
      </c>
      <c r="G818">
        <v>5.88</v>
      </c>
      <c r="H818" t="s">
        <v>18</v>
      </c>
      <c r="I818" t="s">
        <v>9</v>
      </c>
      <c r="K818" t="str">
        <v>budget</v>
      </c>
      <c r="L818">
        <v>69</v>
      </c>
    </row>
    <row r="819" spans="2:12" x14ac:dyDescent="0.3">
      <c r="B819" t="s">
        <v>817</v>
      </c>
      <c r="C819">
        <v>94</v>
      </c>
      <c r="D819" t="s">
        <v>41</v>
      </c>
      <c r="E819">
        <v>62</v>
      </c>
      <c r="F819">
        <v>80</v>
      </c>
      <c r="G819">
        <v>154.32</v>
      </c>
      <c r="H819" t="s">
        <v>2</v>
      </c>
      <c r="I819" t="s">
        <v>16</v>
      </c>
      <c r="K819" t="str">
        <v>premium</v>
      </c>
      <c r="L819">
        <v>71</v>
      </c>
    </row>
    <row r="820" spans="2:12" x14ac:dyDescent="0.3">
      <c r="B820" t="s">
        <v>818</v>
      </c>
      <c r="C820">
        <v>94</v>
      </c>
      <c r="D820" t="s">
        <v>45</v>
      </c>
      <c r="E820">
        <v>57</v>
      </c>
      <c r="F820">
        <v>77</v>
      </c>
      <c r="G820">
        <v>158.72999999999999</v>
      </c>
      <c r="H820" t="s">
        <v>2</v>
      </c>
      <c r="I820" t="s">
        <v>12</v>
      </c>
      <c r="K820" t="str">
        <v>premium</v>
      </c>
      <c r="L820">
        <v>67</v>
      </c>
    </row>
    <row r="821" spans="2:12" x14ac:dyDescent="0.3">
      <c r="B821" t="s">
        <v>819</v>
      </c>
      <c r="C821">
        <v>95</v>
      </c>
      <c r="D821" t="s">
        <v>45</v>
      </c>
      <c r="E821">
        <v>57</v>
      </c>
      <c r="F821">
        <v>77</v>
      </c>
      <c r="G821">
        <v>330.4</v>
      </c>
      <c r="H821" t="s">
        <v>2</v>
      </c>
      <c r="I821" t="s">
        <v>12</v>
      </c>
      <c r="K821" t="str">
        <v>premium</v>
      </c>
      <c r="L821">
        <v>67</v>
      </c>
    </row>
    <row r="822" spans="2:12" x14ac:dyDescent="0.3">
      <c r="B822" t="s">
        <v>820</v>
      </c>
      <c r="C822">
        <v>95</v>
      </c>
      <c r="D822" t="s">
        <v>45</v>
      </c>
      <c r="E822">
        <v>60</v>
      </c>
      <c r="F822">
        <v>80</v>
      </c>
      <c r="G822">
        <v>7.94</v>
      </c>
      <c r="H822" t="s">
        <v>18</v>
      </c>
      <c r="I822" t="s">
        <v>4</v>
      </c>
      <c r="K822" t="str">
        <v>budget</v>
      </c>
      <c r="L822">
        <v>70</v>
      </c>
    </row>
    <row r="823" spans="2:12" x14ac:dyDescent="0.3">
      <c r="B823" t="s">
        <v>821</v>
      </c>
      <c r="C823">
        <v>94</v>
      </c>
      <c r="D823" t="s">
        <v>45</v>
      </c>
      <c r="E823">
        <v>55</v>
      </c>
      <c r="F823">
        <v>73</v>
      </c>
      <c r="G823">
        <v>7.05</v>
      </c>
      <c r="H823" t="s">
        <v>18</v>
      </c>
      <c r="I823" t="s">
        <v>14</v>
      </c>
      <c r="K823" t="str">
        <v>budget</v>
      </c>
      <c r="L823">
        <v>64</v>
      </c>
    </row>
    <row r="824" spans="2:12" x14ac:dyDescent="0.3">
      <c r="B824" t="s">
        <v>822</v>
      </c>
      <c r="C824">
        <v>94</v>
      </c>
      <c r="D824" t="s">
        <v>45</v>
      </c>
      <c r="E824">
        <v>60</v>
      </c>
      <c r="F824">
        <v>78</v>
      </c>
      <c r="G824">
        <v>7.94</v>
      </c>
      <c r="H824" t="s">
        <v>18</v>
      </c>
      <c r="I824" t="s">
        <v>14</v>
      </c>
      <c r="K824" t="str">
        <v>budget</v>
      </c>
      <c r="L824">
        <v>69</v>
      </c>
    </row>
    <row r="825" spans="2:12" x14ac:dyDescent="0.3">
      <c r="B825" t="s">
        <v>823</v>
      </c>
      <c r="C825">
        <v>94</v>
      </c>
      <c r="D825" t="s">
        <v>45</v>
      </c>
      <c r="E825">
        <v>58</v>
      </c>
      <c r="F825">
        <v>78</v>
      </c>
      <c r="G825">
        <v>11.02</v>
      </c>
      <c r="H825" t="s">
        <v>18</v>
      </c>
      <c r="I825" t="s">
        <v>8</v>
      </c>
      <c r="K825" t="str">
        <v>budget</v>
      </c>
      <c r="L825">
        <v>68</v>
      </c>
    </row>
    <row r="826" spans="2:12" x14ac:dyDescent="0.3">
      <c r="B826" t="s">
        <v>824</v>
      </c>
      <c r="C826">
        <v>94</v>
      </c>
      <c r="D826" t="s">
        <v>41</v>
      </c>
      <c r="E826">
        <v>60</v>
      </c>
      <c r="F826">
        <v>82</v>
      </c>
      <c r="G826">
        <v>6.47</v>
      </c>
      <c r="H826" t="s">
        <v>18</v>
      </c>
      <c r="I826" t="s">
        <v>21</v>
      </c>
      <c r="K826" t="str">
        <v>budget</v>
      </c>
      <c r="L826">
        <v>71</v>
      </c>
    </row>
    <row r="827" spans="2:12" x14ac:dyDescent="0.3">
      <c r="B827" t="s">
        <v>825</v>
      </c>
      <c r="C827">
        <v>96</v>
      </c>
      <c r="D827" t="s">
        <v>41</v>
      </c>
      <c r="E827">
        <v>62</v>
      </c>
      <c r="F827">
        <v>80</v>
      </c>
      <c r="G827">
        <v>40.56</v>
      </c>
      <c r="H827" t="s">
        <v>18</v>
      </c>
      <c r="I827" t="s">
        <v>14</v>
      </c>
      <c r="K827" t="str">
        <v>middle</v>
      </c>
      <c r="L827">
        <v>71</v>
      </c>
    </row>
    <row r="828" spans="2:12" x14ac:dyDescent="0.3">
      <c r="B828" t="s">
        <v>826</v>
      </c>
      <c r="C828">
        <v>97</v>
      </c>
      <c r="D828" t="s">
        <v>41</v>
      </c>
      <c r="E828">
        <v>64</v>
      </c>
      <c r="F828">
        <v>84</v>
      </c>
      <c r="G828">
        <v>35.270000000000003</v>
      </c>
      <c r="H828" t="s">
        <v>18</v>
      </c>
      <c r="I828" t="s">
        <v>14</v>
      </c>
      <c r="K828" t="str">
        <v>middle</v>
      </c>
      <c r="L828">
        <v>74</v>
      </c>
    </row>
    <row r="829" spans="2:12" x14ac:dyDescent="0.3">
      <c r="B829" t="s">
        <v>827</v>
      </c>
      <c r="C829">
        <v>94</v>
      </c>
      <c r="D829" t="s">
        <v>45</v>
      </c>
      <c r="E829">
        <v>60</v>
      </c>
      <c r="F829">
        <v>80</v>
      </c>
      <c r="G829">
        <v>36.11</v>
      </c>
      <c r="H829" t="s">
        <v>18</v>
      </c>
      <c r="I829" t="s">
        <v>150</v>
      </c>
      <c r="K829" t="str">
        <v>middle</v>
      </c>
      <c r="L829">
        <v>70</v>
      </c>
    </row>
    <row r="830" spans="2:12" x14ac:dyDescent="0.3">
      <c r="B830" t="s">
        <v>828</v>
      </c>
      <c r="C830">
        <v>94</v>
      </c>
      <c r="D830" t="s">
        <v>45</v>
      </c>
      <c r="E830">
        <v>56</v>
      </c>
      <c r="F830">
        <v>72</v>
      </c>
      <c r="G830">
        <v>35.270000000000003</v>
      </c>
      <c r="H830" t="s">
        <v>18</v>
      </c>
      <c r="I830" t="s">
        <v>18</v>
      </c>
      <c r="K830" t="str">
        <v>middle</v>
      </c>
      <c r="L830">
        <v>64</v>
      </c>
    </row>
    <row r="831" spans="2:12" x14ac:dyDescent="0.3">
      <c r="B831" t="s">
        <v>829</v>
      </c>
      <c r="C831">
        <v>95</v>
      </c>
      <c r="D831" t="s">
        <v>45</v>
      </c>
      <c r="E831">
        <v>58</v>
      </c>
      <c r="F831">
        <v>78</v>
      </c>
      <c r="G831">
        <v>22.05</v>
      </c>
      <c r="H831" t="s">
        <v>18</v>
      </c>
      <c r="I831" t="s">
        <v>18</v>
      </c>
      <c r="K831" t="str">
        <v>budget</v>
      </c>
      <c r="L831">
        <v>68</v>
      </c>
    </row>
    <row r="832" spans="2:12" x14ac:dyDescent="0.3">
      <c r="B832" t="s">
        <v>830</v>
      </c>
      <c r="C832">
        <v>95</v>
      </c>
      <c r="D832" t="s">
        <v>41</v>
      </c>
      <c r="E832">
        <v>64</v>
      </c>
      <c r="F832">
        <v>80</v>
      </c>
      <c r="G832">
        <v>10.58</v>
      </c>
      <c r="H832" t="s">
        <v>18</v>
      </c>
      <c r="I832" t="s">
        <v>4</v>
      </c>
      <c r="K832" t="str">
        <v>budget</v>
      </c>
      <c r="L832">
        <v>72</v>
      </c>
    </row>
    <row r="833" spans="2:12" x14ac:dyDescent="0.3">
      <c r="B833" t="s">
        <v>831</v>
      </c>
      <c r="C833">
        <v>94</v>
      </c>
      <c r="D833" t="s">
        <v>45</v>
      </c>
      <c r="E833">
        <v>58</v>
      </c>
      <c r="F833">
        <v>76</v>
      </c>
      <c r="G833">
        <v>5.59</v>
      </c>
      <c r="H833" t="s">
        <v>18</v>
      </c>
      <c r="I833" t="s">
        <v>9</v>
      </c>
      <c r="K833" t="str">
        <v>budget</v>
      </c>
      <c r="L833">
        <v>67</v>
      </c>
    </row>
    <row r="834" spans="2:12" x14ac:dyDescent="0.3">
      <c r="B834" t="s">
        <v>832</v>
      </c>
      <c r="C834">
        <v>94</v>
      </c>
      <c r="D834" t="s">
        <v>45</v>
      </c>
      <c r="E834">
        <v>58</v>
      </c>
      <c r="F834">
        <v>76</v>
      </c>
      <c r="G834">
        <v>15.87</v>
      </c>
      <c r="H834" t="s">
        <v>18</v>
      </c>
      <c r="I834" t="s">
        <v>14</v>
      </c>
      <c r="K834" t="str">
        <v>budget</v>
      </c>
      <c r="L834">
        <v>67</v>
      </c>
    </row>
    <row r="835" spans="2:12" x14ac:dyDescent="0.3">
      <c r="B835" t="s">
        <v>833</v>
      </c>
      <c r="C835">
        <v>94</v>
      </c>
      <c r="D835" t="s">
        <v>45</v>
      </c>
      <c r="E835">
        <v>60</v>
      </c>
      <c r="F835">
        <v>78</v>
      </c>
      <c r="G835">
        <v>208.89</v>
      </c>
      <c r="H835" t="s">
        <v>2</v>
      </c>
      <c r="I835" t="s">
        <v>5</v>
      </c>
      <c r="K835" t="str">
        <v>premium</v>
      </c>
      <c r="L835">
        <v>69</v>
      </c>
    </row>
    <row r="836" spans="2:12" x14ac:dyDescent="0.3">
      <c r="B836" t="s">
        <v>834</v>
      </c>
      <c r="C836">
        <v>95</v>
      </c>
      <c r="D836" t="s">
        <v>45</v>
      </c>
      <c r="E836">
        <v>56</v>
      </c>
      <c r="F836">
        <v>76</v>
      </c>
      <c r="G836">
        <v>22.02</v>
      </c>
      <c r="H836" t="s">
        <v>18</v>
      </c>
      <c r="I836" t="s">
        <v>18</v>
      </c>
      <c r="K836" t="str">
        <v>budget</v>
      </c>
      <c r="L836">
        <v>66</v>
      </c>
    </row>
    <row r="837" spans="2:12" x14ac:dyDescent="0.3">
      <c r="B837" t="s">
        <v>835</v>
      </c>
      <c r="C837">
        <v>95</v>
      </c>
      <c r="D837" t="s">
        <v>45</v>
      </c>
      <c r="E837">
        <v>60</v>
      </c>
      <c r="F837">
        <v>78</v>
      </c>
      <c r="G837">
        <v>7.35</v>
      </c>
      <c r="H837" t="s">
        <v>18</v>
      </c>
      <c r="I837" t="s">
        <v>21</v>
      </c>
      <c r="K837" t="str">
        <v>budget</v>
      </c>
      <c r="L837">
        <v>69</v>
      </c>
    </row>
    <row r="838" spans="2:12" x14ac:dyDescent="0.3">
      <c r="B838" t="s">
        <v>836</v>
      </c>
      <c r="C838">
        <v>94</v>
      </c>
      <c r="D838" t="s">
        <v>45</v>
      </c>
      <c r="E838">
        <v>58</v>
      </c>
      <c r="F838">
        <v>78</v>
      </c>
      <c r="G838">
        <v>5.58</v>
      </c>
      <c r="H838" t="s">
        <v>18</v>
      </c>
      <c r="I838" t="s">
        <v>21</v>
      </c>
      <c r="K838" t="str">
        <v>budget</v>
      </c>
      <c r="L838">
        <v>68</v>
      </c>
    </row>
    <row r="839" spans="2:12" x14ac:dyDescent="0.3">
      <c r="B839" t="s">
        <v>837</v>
      </c>
      <c r="C839">
        <v>94</v>
      </c>
      <c r="D839" t="s">
        <v>45</v>
      </c>
      <c r="E839">
        <v>58</v>
      </c>
      <c r="F839">
        <v>78</v>
      </c>
      <c r="G839">
        <v>176.21</v>
      </c>
      <c r="H839" t="s">
        <v>2</v>
      </c>
      <c r="I839" t="s">
        <v>15</v>
      </c>
      <c r="K839" t="str">
        <v>premium</v>
      </c>
      <c r="L839">
        <v>68</v>
      </c>
    </row>
    <row r="840" spans="2:12" x14ac:dyDescent="0.3">
      <c r="B840" t="s">
        <v>838</v>
      </c>
      <c r="C840">
        <v>94</v>
      </c>
      <c r="D840" t="s">
        <v>41</v>
      </c>
      <c r="E840">
        <v>64</v>
      </c>
      <c r="F840">
        <v>88</v>
      </c>
      <c r="G840">
        <v>53.4</v>
      </c>
      <c r="H840" t="s">
        <v>2</v>
      </c>
      <c r="I840" t="s">
        <v>9</v>
      </c>
      <c r="K840" t="str">
        <v>middle</v>
      </c>
      <c r="L840">
        <v>76</v>
      </c>
    </row>
    <row r="841" spans="2:12" x14ac:dyDescent="0.3">
      <c r="B841" t="s">
        <v>839</v>
      </c>
      <c r="C841">
        <v>94</v>
      </c>
      <c r="D841" t="s">
        <v>41</v>
      </c>
      <c r="E841">
        <v>62</v>
      </c>
      <c r="F841">
        <v>80</v>
      </c>
      <c r="G841">
        <v>3.95</v>
      </c>
      <c r="H841" t="s">
        <v>18</v>
      </c>
      <c r="I841" t="s">
        <v>150</v>
      </c>
      <c r="K841" t="str">
        <v>budget</v>
      </c>
      <c r="L841">
        <v>71</v>
      </c>
    </row>
    <row r="842" spans="2:12" x14ac:dyDescent="0.3">
      <c r="B842" t="s">
        <v>840</v>
      </c>
      <c r="C842">
        <v>94</v>
      </c>
      <c r="D842" t="s">
        <v>45</v>
      </c>
      <c r="E842">
        <v>58</v>
      </c>
      <c r="F842">
        <v>76</v>
      </c>
      <c r="G842">
        <v>5.29</v>
      </c>
      <c r="H842" t="s">
        <v>18</v>
      </c>
      <c r="I842" t="s">
        <v>9</v>
      </c>
      <c r="K842" t="str">
        <v>budget</v>
      </c>
      <c r="L842">
        <v>67</v>
      </c>
    </row>
    <row r="843" spans="2:12" x14ac:dyDescent="0.3">
      <c r="B843" t="s">
        <v>841</v>
      </c>
      <c r="C843">
        <v>94</v>
      </c>
      <c r="D843" t="s">
        <v>45</v>
      </c>
      <c r="E843">
        <v>57</v>
      </c>
      <c r="F843">
        <v>74</v>
      </c>
      <c r="G843">
        <v>326.67</v>
      </c>
      <c r="H843" t="s">
        <v>2</v>
      </c>
      <c r="I843" t="s">
        <v>14</v>
      </c>
      <c r="K843" t="str">
        <v>premium</v>
      </c>
      <c r="L843">
        <v>65.5</v>
      </c>
    </row>
    <row r="844" spans="2:12" x14ac:dyDescent="0.3">
      <c r="B844" t="s">
        <v>842</v>
      </c>
      <c r="C844">
        <v>94</v>
      </c>
      <c r="D844" t="s">
        <v>45</v>
      </c>
      <c r="E844">
        <v>58</v>
      </c>
      <c r="F844">
        <v>78</v>
      </c>
      <c r="G844">
        <v>6.47</v>
      </c>
      <c r="H844" t="s">
        <v>18</v>
      </c>
      <c r="I844" t="s">
        <v>12</v>
      </c>
      <c r="K844" t="str">
        <v>budget</v>
      </c>
      <c r="L844">
        <v>68</v>
      </c>
    </row>
    <row r="845" spans="2:12" x14ac:dyDescent="0.3">
      <c r="B845" t="s">
        <v>843</v>
      </c>
      <c r="C845">
        <v>94</v>
      </c>
      <c r="D845" t="s">
        <v>45</v>
      </c>
      <c r="E845">
        <v>60</v>
      </c>
      <c r="F845">
        <v>76</v>
      </c>
      <c r="G845">
        <v>15.41</v>
      </c>
      <c r="H845" t="s">
        <v>18</v>
      </c>
      <c r="I845" t="s">
        <v>14</v>
      </c>
      <c r="K845" t="str">
        <v>budget</v>
      </c>
      <c r="L845">
        <v>68</v>
      </c>
    </row>
    <row r="846" spans="2:12" x14ac:dyDescent="0.3">
      <c r="B846" t="s">
        <v>844</v>
      </c>
      <c r="C846">
        <v>94</v>
      </c>
      <c r="D846" t="s">
        <v>45</v>
      </c>
      <c r="E846">
        <v>54</v>
      </c>
      <c r="F846">
        <v>72</v>
      </c>
      <c r="G846">
        <v>4.7</v>
      </c>
      <c r="H846" t="s">
        <v>18</v>
      </c>
      <c r="I846" t="s">
        <v>21</v>
      </c>
      <c r="K846" t="str">
        <v>budget</v>
      </c>
      <c r="L846">
        <v>63</v>
      </c>
    </row>
    <row r="847" spans="2:12" x14ac:dyDescent="0.3">
      <c r="B847" t="s">
        <v>845</v>
      </c>
      <c r="C847">
        <v>94</v>
      </c>
      <c r="D847" t="s">
        <v>45</v>
      </c>
      <c r="E847">
        <v>56</v>
      </c>
      <c r="F847">
        <v>76</v>
      </c>
      <c r="G847">
        <v>5.59</v>
      </c>
      <c r="H847" t="s">
        <v>18</v>
      </c>
      <c r="I847" t="s">
        <v>7</v>
      </c>
      <c r="K847" t="str">
        <v>budget</v>
      </c>
      <c r="L847">
        <v>66</v>
      </c>
    </row>
    <row r="848" spans="2:12" x14ac:dyDescent="0.3">
      <c r="B848" t="s">
        <v>609</v>
      </c>
      <c r="C848">
        <v>95</v>
      </c>
      <c r="D848" t="s">
        <v>41</v>
      </c>
      <c r="E848">
        <v>60</v>
      </c>
      <c r="F848">
        <v>82</v>
      </c>
      <c r="G848">
        <v>5.29</v>
      </c>
      <c r="H848" t="s">
        <v>18</v>
      </c>
      <c r="I848" t="s">
        <v>19</v>
      </c>
      <c r="K848" t="str">
        <v>budget</v>
      </c>
      <c r="L848">
        <v>71</v>
      </c>
    </row>
    <row r="849" spans="2:12" x14ac:dyDescent="0.3">
      <c r="B849" t="s">
        <v>846</v>
      </c>
      <c r="C849">
        <v>96</v>
      </c>
      <c r="D849" t="s">
        <v>45</v>
      </c>
      <c r="E849">
        <v>60</v>
      </c>
      <c r="F849">
        <v>78</v>
      </c>
      <c r="G849">
        <v>352.73</v>
      </c>
      <c r="H849" t="s">
        <v>2</v>
      </c>
      <c r="I849" t="s">
        <v>9</v>
      </c>
      <c r="K849" t="str">
        <v>premium</v>
      </c>
      <c r="L849">
        <v>69</v>
      </c>
    </row>
    <row r="850" spans="2:12" x14ac:dyDescent="0.3">
      <c r="B850" t="s">
        <v>847</v>
      </c>
      <c r="C850">
        <v>95</v>
      </c>
      <c r="D850" t="s">
        <v>45</v>
      </c>
      <c r="E850">
        <v>60</v>
      </c>
      <c r="F850">
        <v>76</v>
      </c>
      <c r="G850">
        <v>5.88</v>
      </c>
      <c r="H850" t="s">
        <v>18</v>
      </c>
      <c r="I850" t="s">
        <v>150</v>
      </c>
      <c r="K850" t="str">
        <v>budget</v>
      </c>
      <c r="L850">
        <v>68</v>
      </c>
    </row>
    <row r="851" spans="2:12" x14ac:dyDescent="0.3">
      <c r="B851" t="s">
        <v>848</v>
      </c>
      <c r="C851">
        <v>95</v>
      </c>
      <c r="D851" t="s">
        <v>45</v>
      </c>
      <c r="E851">
        <v>57</v>
      </c>
      <c r="F851">
        <v>77</v>
      </c>
      <c r="G851">
        <v>92.59</v>
      </c>
      <c r="H851" t="s">
        <v>2</v>
      </c>
      <c r="I851" t="s">
        <v>9</v>
      </c>
      <c r="K851" t="str">
        <v>middle</v>
      </c>
      <c r="L851">
        <v>67</v>
      </c>
    </row>
    <row r="852" spans="2:12" x14ac:dyDescent="0.3">
      <c r="B852" t="s">
        <v>849</v>
      </c>
      <c r="C852">
        <v>94</v>
      </c>
      <c r="D852" t="s">
        <v>45</v>
      </c>
      <c r="E852">
        <v>58</v>
      </c>
      <c r="F852">
        <v>80</v>
      </c>
      <c r="G852">
        <v>7.94</v>
      </c>
      <c r="H852" t="s">
        <v>18</v>
      </c>
      <c r="I852" t="s">
        <v>15</v>
      </c>
      <c r="K852" t="str">
        <v>budget</v>
      </c>
      <c r="L852">
        <v>69</v>
      </c>
    </row>
    <row r="853" spans="2:12" x14ac:dyDescent="0.3">
      <c r="B853" t="s">
        <v>850</v>
      </c>
      <c r="C853">
        <v>95</v>
      </c>
      <c r="D853" t="s">
        <v>41</v>
      </c>
      <c r="E853">
        <v>64</v>
      </c>
      <c r="F853">
        <v>82</v>
      </c>
      <c r="G853">
        <v>420.35</v>
      </c>
      <c r="H853" t="s">
        <v>2</v>
      </c>
      <c r="I853" t="s">
        <v>9</v>
      </c>
      <c r="K853" t="str">
        <v>premium</v>
      </c>
      <c r="L853">
        <v>73</v>
      </c>
    </row>
    <row r="854" spans="2:12" x14ac:dyDescent="0.3">
      <c r="B854" t="s">
        <v>851</v>
      </c>
      <c r="C854">
        <v>94</v>
      </c>
      <c r="D854" t="s">
        <v>45</v>
      </c>
      <c r="E854">
        <v>54</v>
      </c>
      <c r="F854">
        <v>72</v>
      </c>
      <c r="G854">
        <v>7.35</v>
      </c>
      <c r="H854" t="s">
        <v>18</v>
      </c>
      <c r="I854" t="s">
        <v>16</v>
      </c>
      <c r="K854" t="str">
        <v>budget</v>
      </c>
      <c r="L854">
        <v>63</v>
      </c>
    </row>
    <row r="855" spans="2:12" x14ac:dyDescent="0.3">
      <c r="B855" t="s">
        <v>852</v>
      </c>
      <c r="C855">
        <v>94</v>
      </c>
      <c r="D855" t="s">
        <v>45</v>
      </c>
      <c r="E855">
        <v>57</v>
      </c>
      <c r="F855">
        <v>73</v>
      </c>
      <c r="G855">
        <v>12.3</v>
      </c>
      <c r="H855" t="s">
        <v>18</v>
      </c>
      <c r="I855" t="s">
        <v>8</v>
      </c>
      <c r="K855" t="str">
        <v>budget</v>
      </c>
      <c r="L855">
        <v>65</v>
      </c>
    </row>
    <row r="856" spans="2:12" x14ac:dyDescent="0.3">
      <c r="B856" t="s">
        <v>853</v>
      </c>
      <c r="C856">
        <v>94</v>
      </c>
      <c r="D856" t="s">
        <v>45</v>
      </c>
      <c r="E856">
        <v>58</v>
      </c>
      <c r="F856">
        <v>76</v>
      </c>
      <c r="G856">
        <v>4.9800000000000004</v>
      </c>
      <c r="H856" t="s">
        <v>18</v>
      </c>
      <c r="I856" t="s">
        <v>12</v>
      </c>
      <c r="K856" t="str">
        <v>budget</v>
      </c>
      <c r="L856">
        <v>67</v>
      </c>
    </row>
    <row r="857" spans="2:12" x14ac:dyDescent="0.3">
      <c r="B857" t="s">
        <v>854</v>
      </c>
      <c r="C857">
        <v>95</v>
      </c>
      <c r="D857" t="s">
        <v>41</v>
      </c>
      <c r="E857">
        <v>62</v>
      </c>
      <c r="F857">
        <v>80</v>
      </c>
      <c r="G857">
        <v>11.02</v>
      </c>
      <c r="H857" t="s">
        <v>18</v>
      </c>
      <c r="I857" t="s">
        <v>5</v>
      </c>
      <c r="K857" t="str">
        <v>budget</v>
      </c>
      <c r="L857">
        <v>71</v>
      </c>
    </row>
    <row r="858" spans="2:12" x14ac:dyDescent="0.3">
      <c r="B858" t="s">
        <v>855</v>
      </c>
      <c r="C858">
        <v>94</v>
      </c>
      <c r="D858" t="s">
        <v>45</v>
      </c>
      <c r="E858">
        <v>60</v>
      </c>
      <c r="F858">
        <v>78</v>
      </c>
      <c r="G858">
        <v>5.59</v>
      </c>
      <c r="H858" t="s">
        <v>18</v>
      </c>
      <c r="I858" t="s">
        <v>9</v>
      </c>
      <c r="K858" t="str">
        <v>budget</v>
      </c>
      <c r="L858">
        <v>69</v>
      </c>
    </row>
    <row r="859" spans="2:12" x14ac:dyDescent="0.3">
      <c r="B859" t="s">
        <v>856</v>
      </c>
      <c r="C859">
        <v>94</v>
      </c>
      <c r="D859" t="s">
        <v>45</v>
      </c>
      <c r="E859">
        <v>59</v>
      </c>
      <c r="F859">
        <v>77</v>
      </c>
      <c r="G859">
        <v>11.02</v>
      </c>
      <c r="H859" t="s">
        <v>18</v>
      </c>
      <c r="I859" t="s">
        <v>9</v>
      </c>
      <c r="K859" t="str">
        <v>budget</v>
      </c>
      <c r="L859">
        <v>68</v>
      </c>
    </row>
    <row r="860" spans="2:12" x14ac:dyDescent="0.3">
      <c r="B860" t="s">
        <v>857</v>
      </c>
      <c r="C860">
        <v>94</v>
      </c>
      <c r="D860" t="s">
        <v>45</v>
      </c>
      <c r="E860">
        <v>54</v>
      </c>
      <c r="F860">
        <v>72</v>
      </c>
      <c r="G860">
        <v>152.16999999999999</v>
      </c>
      <c r="H860" t="s">
        <v>2</v>
      </c>
      <c r="I860" t="s">
        <v>15</v>
      </c>
      <c r="K860" t="str">
        <v>premium</v>
      </c>
      <c r="L860">
        <v>63</v>
      </c>
    </row>
    <row r="861" spans="2:12" x14ac:dyDescent="0.3">
      <c r="B861" t="s">
        <v>858</v>
      </c>
      <c r="C861">
        <v>95</v>
      </c>
      <c r="D861" t="s">
        <v>45</v>
      </c>
      <c r="E861">
        <v>62</v>
      </c>
      <c r="F861">
        <v>78</v>
      </c>
      <c r="G861">
        <v>130.07</v>
      </c>
      <c r="H861" t="s">
        <v>2</v>
      </c>
      <c r="I861" t="s">
        <v>9</v>
      </c>
      <c r="K861" t="str">
        <v>premium</v>
      </c>
      <c r="L861">
        <v>70</v>
      </c>
    </row>
    <row r="862" spans="2:12" x14ac:dyDescent="0.3">
      <c r="B862" t="s">
        <v>859</v>
      </c>
      <c r="C862">
        <v>96</v>
      </c>
      <c r="D862" t="s">
        <v>82</v>
      </c>
      <c r="E862">
        <v>44</v>
      </c>
      <c r="F862">
        <v>60</v>
      </c>
      <c r="G862">
        <v>374.78</v>
      </c>
      <c r="H862" t="s">
        <v>2</v>
      </c>
      <c r="I862" t="s">
        <v>9</v>
      </c>
      <c r="K862" t="str">
        <v>premium</v>
      </c>
      <c r="L862">
        <v>52</v>
      </c>
    </row>
    <row r="863" spans="2:12" x14ac:dyDescent="0.3">
      <c r="B863" t="s">
        <v>107</v>
      </c>
      <c r="C863">
        <v>94</v>
      </c>
      <c r="D863" t="s">
        <v>45</v>
      </c>
      <c r="E863">
        <v>60</v>
      </c>
      <c r="F863">
        <v>76</v>
      </c>
      <c r="G863">
        <v>22.05</v>
      </c>
      <c r="H863" t="s">
        <v>18</v>
      </c>
      <c r="I863" t="s">
        <v>18</v>
      </c>
      <c r="K863" t="str">
        <v>budget</v>
      </c>
      <c r="L863">
        <v>68</v>
      </c>
    </row>
    <row r="864" spans="2:12" x14ac:dyDescent="0.3">
      <c r="B864" t="s">
        <v>860</v>
      </c>
      <c r="C864">
        <v>94</v>
      </c>
      <c r="D864" t="s">
        <v>45</v>
      </c>
      <c r="E864">
        <v>58</v>
      </c>
      <c r="F864">
        <v>76</v>
      </c>
      <c r="G864">
        <v>26.46</v>
      </c>
      <c r="H864" t="s">
        <v>18</v>
      </c>
      <c r="I864" t="s">
        <v>18</v>
      </c>
      <c r="K864" t="str">
        <v>middle</v>
      </c>
      <c r="L864">
        <v>67</v>
      </c>
    </row>
    <row r="865" spans="2:12" x14ac:dyDescent="0.3">
      <c r="B865" t="s">
        <v>861</v>
      </c>
      <c r="C865">
        <v>95</v>
      </c>
      <c r="D865" t="s">
        <v>45</v>
      </c>
      <c r="E865">
        <v>58</v>
      </c>
      <c r="F865">
        <v>80</v>
      </c>
      <c r="G865">
        <v>13.23</v>
      </c>
      <c r="H865" t="s">
        <v>18</v>
      </c>
      <c r="I865" t="s">
        <v>14</v>
      </c>
      <c r="K865" t="str">
        <v>budget</v>
      </c>
      <c r="L865">
        <v>69</v>
      </c>
    </row>
    <row r="866" spans="2:12" x14ac:dyDescent="0.3">
      <c r="B866" t="s">
        <v>862</v>
      </c>
      <c r="C866">
        <v>95</v>
      </c>
      <c r="D866" t="s">
        <v>41</v>
      </c>
      <c r="E866">
        <v>64</v>
      </c>
      <c r="F866">
        <v>88</v>
      </c>
      <c r="G866">
        <v>44.09</v>
      </c>
      <c r="H866" t="s">
        <v>18</v>
      </c>
      <c r="I866" t="s">
        <v>5</v>
      </c>
      <c r="K866" t="str">
        <v>middle</v>
      </c>
      <c r="L866">
        <v>76</v>
      </c>
    </row>
    <row r="867" spans="2:12" x14ac:dyDescent="0.3">
      <c r="B867" t="s">
        <v>863</v>
      </c>
      <c r="C867">
        <v>95</v>
      </c>
      <c r="D867" t="s">
        <v>45</v>
      </c>
      <c r="E867">
        <v>57</v>
      </c>
      <c r="F867">
        <v>79</v>
      </c>
      <c r="G867">
        <v>7.35</v>
      </c>
      <c r="H867" t="s">
        <v>18</v>
      </c>
      <c r="I867" t="s">
        <v>9</v>
      </c>
      <c r="K867" t="str">
        <v>budget</v>
      </c>
      <c r="L867">
        <v>68</v>
      </c>
    </row>
    <row r="868" spans="2:12" x14ac:dyDescent="0.3">
      <c r="B868" t="s">
        <v>864</v>
      </c>
      <c r="C868">
        <v>95</v>
      </c>
      <c r="D868" t="s">
        <v>45</v>
      </c>
      <c r="E868">
        <v>60</v>
      </c>
      <c r="F868">
        <v>74</v>
      </c>
      <c r="G868">
        <v>7.64</v>
      </c>
      <c r="H868" t="s">
        <v>18</v>
      </c>
      <c r="I868" t="s">
        <v>7</v>
      </c>
      <c r="K868" t="str">
        <v>budget</v>
      </c>
      <c r="L868">
        <v>67</v>
      </c>
    </row>
    <row r="869" spans="2:12" x14ac:dyDescent="0.3">
      <c r="B869" t="s">
        <v>580</v>
      </c>
      <c r="C869">
        <v>94</v>
      </c>
      <c r="D869" t="s">
        <v>41</v>
      </c>
      <c r="E869">
        <v>62</v>
      </c>
      <c r="F869">
        <v>80</v>
      </c>
      <c r="G869">
        <v>10.58</v>
      </c>
      <c r="H869" t="s">
        <v>18</v>
      </c>
      <c r="I869" t="s">
        <v>7</v>
      </c>
      <c r="K869" t="str">
        <v>budget</v>
      </c>
      <c r="L869">
        <v>71</v>
      </c>
    </row>
    <row r="870" spans="2:12" x14ac:dyDescent="0.3">
      <c r="B870" t="s">
        <v>109</v>
      </c>
      <c r="C870">
        <v>94</v>
      </c>
      <c r="D870" t="s">
        <v>45</v>
      </c>
      <c r="E870">
        <v>60</v>
      </c>
      <c r="F870">
        <v>80</v>
      </c>
      <c r="G870">
        <v>176.37</v>
      </c>
      <c r="H870" t="s">
        <v>2</v>
      </c>
      <c r="I870" t="s">
        <v>12</v>
      </c>
      <c r="K870" t="str">
        <v>premium</v>
      </c>
      <c r="L870">
        <v>70</v>
      </c>
    </row>
    <row r="871" spans="2:12" x14ac:dyDescent="0.3">
      <c r="B871" t="s">
        <v>865</v>
      </c>
      <c r="C871">
        <v>96</v>
      </c>
      <c r="D871" t="s">
        <v>45</v>
      </c>
      <c r="E871">
        <v>59</v>
      </c>
      <c r="F871">
        <v>77</v>
      </c>
      <c r="G871">
        <v>66.67</v>
      </c>
      <c r="H871" t="s">
        <v>28</v>
      </c>
      <c r="I871" t="s">
        <v>5</v>
      </c>
      <c r="K871" t="str">
        <v>middle</v>
      </c>
      <c r="L871">
        <v>68</v>
      </c>
    </row>
    <row r="872" spans="2:12" x14ac:dyDescent="0.3">
      <c r="B872" t="s">
        <v>866</v>
      </c>
      <c r="C872">
        <v>94</v>
      </c>
      <c r="D872" t="s">
        <v>45</v>
      </c>
      <c r="E872">
        <v>57</v>
      </c>
      <c r="F872">
        <v>77</v>
      </c>
      <c r="G872">
        <v>5.29</v>
      </c>
      <c r="H872" t="s">
        <v>18</v>
      </c>
      <c r="I872" t="s">
        <v>12</v>
      </c>
      <c r="K872" t="str">
        <v>budget</v>
      </c>
      <c r="L872">
        <v>67</v>
      </c>
    </row>
    <row r="873" spans="2:12" x14ac:dyDescent="0.3">
      <c r="B873" t="s">
        <v>867</v>
      </c>
      <c r="C873">
        <v>94</v>
      </c>
      <c r="D873" t="s">
        <v>41</v>
      </c>
      <c r="E873">
        <v>62</v>
      </c>
      <c r="F873">
        <v>80</v>
      </c>
      <c r="G873">
        <v>242.5</v>
      </c>
      <c r="H873" t="s">
        <v>2</v>
      </c>
      <c r="I873" t="s">
        <v>9</v>
      </c>
      <c r="K873" t="str">
        <v>premium</v>
      </c>
      <c r="L873">
        <v>71</v>
      </c>
    </row>
    <row r="874" spans="2:12" x14ac:dyDescent="0.3">
      <c r="B874" t="s">
        <v>868</v>
      </c>
      <c r="C874">
        <v>94</v>
      </c>
      <c r="D874" t="s">
        <v>41</v>
      </c>
      <c r="E874">
        <v>64</v>
      </c>
      <c r="F874">
        <v>84</v>
      </c>
      <c r="G874">
        <v>29.39</v>
      </c>
      <c r="H874" t="s">
        <v>18</v>
      </c>
      <c r="I874" t="s">
        <v>5</v>
      </c>
      <c r="K874" t="str">
        <v>middle</v>
      </c>
      <c r="L874">
        <v>74</v>
      </c>
    </row>
    <row r="875" spans="2:12" x14ac:dyDescent="0.3">
      <c r="B875" t="s">
        <v>869</v>
      </c>
      <c r="C875">
        <v>94</v>
      </c>
      <c r="D875" t="s">
        <v>45</v>
      </c>
      <c r="E875">
        <v>62</v>
      </c>
      <c r="F875">
        <v>78</v>
      </c>
      <c r="G875">
        <v>16.75</v>
      </c>
      <c r="H875" t="s">
        <v>18</v>
      </c>
      <c r="I875" t="s">
        <v>18</v>
      </c>
      <c r="K875" t="str">
        <v>budget</v>
      </c>
      <c r="L875">
        <v>70</v>
      </c>
    </row>
    <row r="876" spans="2:12" x14ac:dyDescent="0.3">
      <c r="B876" t="s">
        <v>870</v>
      </c>
      <c r="C876">
        <v>95</v>
      </c>
      <c r="D876" t="s">
        <v>45</v>
      </c>
      <c r="E876">
        <v>58</v>
      </c>
      <c r="F876">
        <v>76</v>
      </c>
      <c r="G876">
        <v>6.47</v>
      </c>
      <c r="H876" t="s">
        <v>18</v>
      </c>
      <c r="I876" t="s">
        <v>15</v>
      </c>
      <c r="K876" t="str">
        <v>budget</v>
      </c>
      <c r="L876">
        <v>67</v>
      </c>
    </row>
    <row r="877" spans="2:12" x14ac:dyDescent="0.3">
      <c r="B877" t="s">
        <v>871</v>
      </c>
      <c r="C877">
        <v>96</v>
      </c>
      <c r="D877" t="s">
        <v>45</v>
      </c>
      <c r="E877">
        <v>60</v>
      </c>
      <c r="F877">
        <v>78</v>
      </c>
      <c r="G877">
        <v>6.46</v>
      </c>
      <c r="H877" t="s">
        <v>18</v>
      </c>
      <c r="I877" t="s">
        <v>9</v>
      </c>
      <c r="K877" t="str">
        <v>budget</v>
      </c>
      <c r="L877">
        <v>69</v>
      </c>
    </row>
    <row r="878" spans="2:12" x14ac:dyDescent="0.3">
      <c r="B878" t="s">
        <v>872</v>
      </c>
      <c r="C878">
        <v>94</v>
      </c>
      <c r="D878" t="s">
        <v>45</v>
      </c>
      <c r="E878">
        <v>58</v>
      </c>
      <c r="F878">
        <v>76</v>
      </c>
      <c r="G878">
        <v>6.17</v>
      </c>
      <c r="H878" t="s">
        <v>18</v>
      </c>
      <c r="I878" t="s">
        <v>9</v>
      </c>
      <c r="K878" t="str">
        <v>budget</v>
      </c>
      <c r="L878">
        <v>67</v>
      </c>
    </row>
    <row r="879" spans="2:12" x14ac:dyDescent="0.3">
      <c r="B879" t="s">
        <v>873</v>
      </c>
      <c r="C879">
        <v>94</v>
      </c>
      <c r="D879" t="s">
        <v>41</v>
      </c>
      <c r="E879">
        <v>60</v>
      </c>
      <c r="F879">
        <v>82</v>
      </c>
      <c r="G879">
        <v>165.34</v>
      </c>
      <c r="H879" t="s">
        <v>2</v>
      </c>
      <c r="I879" t="s">
        <v>9</v>
      </c>
      <c r="K879" t="str">
        <v>premium</v>
      </c>
      <c r="L879">
        <v>71</v>
      </c>
    </row>
    <row r="880" spans="2:12" x14ac:dyDescent="0.3">
      <c r="B880" t="s">
        <v>874</v>
      </c>
      <c r="C880">
        <v>95</v>
      </c>
      <c r="D880" t="s">
        <v>45</v>
      </c>
      <c r="E880">
        <v>58</v>
      </c>
      <c r="F880">
        <v>80</v>
      </c>
      <c r="G880">
        <v>22.05</v>
      </c>
      <c r="H880" t="s">
        <v>18</v>
      </c>
      <c r="I880" t="s">
        <v>5</v>
      </c>
      <c r="K880" t="str">
        <v>budget</v>
      </c>
      <c r="L880">
        <v>69</v>
      </c>
    </row>
    <row r="881" spans="2:12" x14ac:dyDescent="0.3">
      <c r="B881" t="s">
        <v>875</v>
      </c>
      <c r="C881">
        <v>96</v>
      </c>
      <c r="D881" t="s">
        <v>45</v>
      </c>
      <c r="E881">
        <v>59</v>
      </c>
      <c r="F881">
        <v>81</v>
      </c>
      <c r="G881">
        <v>1102.29</v>
      </c>
      <c r="H881" t="s">
        <v>2</v>
      </c>
      <c r="I881" t="s">
        <v>5</v>
      </c>
      <c r="K881" t="str">
        <v>premium</v>
      </c>
      <c r="L881">
        <v>70</v>
      </c>
    </row>
    <row r="882" spans="2:12" x14ac:dyDescent="0.3">
      <c r="B882" t="s">
        <v>876</v>
      </c>
      <c r="C882">
        <v>95</v>
      </c>
      <c r="D882" t="s">
        <v>45</v>
      </c>
      <c r="E882">
        <v>58</v>
      </c>
      <c r="F882">
        <v>77</v>
      </c>
      <c r="G882">
        <v>0.88</v>
      </c>
      <c r="H882" t="s">
        <v>2</v>
      </c>
      <c r="I882" t="s">
        <v>5</v>
      </c>
      <c r="K882" t="str">
        <v>budget</v>
      </c>
      <c r="L882">
        <v>67.5</v>
      </c>
    </row>
    <row r="883" spans="2:12" x14ac:dyDescent="0.3">
      <c r="B883" t="s">
        <v>877</v>
      </c>
      <c r="C883">
        <v>94</v>
      </c>
      <c r="D883" t="s">
        <v>41</v>
      </c>
      <c r="E883">
        <v>60</v>
      </c>
      <c r="F883">
        <v>84</v>
      </c>
      <c r="G883">
        <v>0.88</v>
      </c>
      <c r="H883" t="s">
        <v>2</v>
      </c>
      <c r="I883" t="s">
        <v>5</v>
      </c>
      <c r="K883" t="str">
        <v>budget</v>
      </c>
      <c r="L883">
        <v>72</v>
      </c>
    </row>
    <row r="884" spans="2:12" x14ac:dyDescent="0.3">
      <c r="B884" t="s">
        <v>878</v>
      </c>
      <c r="C884">
        <v>94</v>
      </c>
      <c r="D884" t="s">
        <v>45</v>
      </c>
      <c r="E884">
        <v>58</v>
      </c>
      <c r="F884">
        <v>78</v>
      </c>
      <c r="G884">
        <v>87.94</v>
      </c>
      <c r="H884" t="s">
        <v>11</v>
      </c>
      <c r="I884" t="s">
        <v>14</v>
      </c>
      <c r="K884" t="str">
        <v>middle</v>
      </c>
      <c r="L884">
        <v>68</v>
      </c>
    </row>
    <row r="885" spans="2:12" x14ac:dyDescent="0.3">
      <c r="B885" t="s">
        <v>879</v>
      </c>
      <c r="C885">
        <v>95</v>
      </c>
      <c r="D885" t="s">
        <v>45</v>
      </c>
      <c r="E885">
        <v>58</v>
      </c>
      <c r="F885">
        <v>82</v>
      </c>
      <c r="G885">
        <v>560</v>
      </c>
      <c r="H885" t="s">
        <v>11</v>
      </c>
      <c r="I885" t="s">
        <v>5</v>
      </c>
      <c r="K885" t="str">
        <v>premium</v>
      </c>
      <c r="L885">
        <v>70</v>
      </c>
    </row>
    <row r="886" spans="2:12" x14ac:dyDescent="0.3">
      <c r="B886" t="s">
        <v>880</v>
      </c>
      <c r="C886">
        <v>94</v>
      </c>
      <c r="D886" t="s">
        <v>45</v>
      </c>
      <c r="E886">
        <v>56</v>
      </c>
      <c r="F886">
        <v>80</v>
      </c>
      <c r="G886">
        <v>27.76</v>
      </c>
      <c r="H886" t="s">
        <v>18</v>
      </c>
      <c r="I886" t="s">
        <v>150</v>
      </c>
      <c r="K886" t="str">
        <v>middle</v>
      </c>
      <c r="L886">
        <v>68</v>
      </c>
    </row>
    <row r="887" spans="2:12" x14ac:dyDescent="0.3">
      <c r="B887" t="s">
        <v>881</v>
      </c>
      <c r="C887">
        <v>94</v>
      </c>
      <c r="D887" t="s">
        <v>45</v>
      </c>
      <c r="E887">
        <v>58</v>
      </c>
      <c r="F887">
        <v>76</v>
      </c>
      <c r="G887">
        <v>6.6</v>
      </c>
      <c r="H887" t="s">
        <v>18</v>
      </c>
      <c r="I887" t="s">
        <v>12</v>
      </c>
      <c r="K887" t="str">
        <v>budget</v>
      </c>
      <c r="L887">
        <v>67</v>
      </c>
    </row>
    <row r="888" spans="2:12" x14ac:dyDescent="0.3">
      <c r="B888" t="s">
        <v>467</v>
      </c>
      <c r="C888">
        <v>95</v>
      </c>
      <c r="D888" t="s">
        <v>45</v>
      </c>
      <c r="E888">
        <v>57</v>
      </c>
      <c r="F888">
        <v>78</v>
      </c>
      <c r="G888">
        <v>39.659999999999997</v>
      </c>
      <c r="H888" t="s">
        <v>18</v>
      </c>
      <c r="I888" t="s">
        <v>18</v>
      </c>
      <c r="K888" t="str">
        <v>middle</v>
      </c>
      <c r="L888">
        <v>67.5</v>
      </c>
    </row>
    <row r="889" spans="2:12" x14ac:dyDescent="0.3">
      <c r="B889" t="s">
        <v>439</v>
      </c>
      <c r="C889">
        <v>95</v>
      </c>
      <c r="D889" t="s">
        <v>45</v>
      </c>
      <c r="E889">
        <v>56</v>
      </c>
      <c r="F889">
        <v>78</v>
      </c>
      <c r="G889">
        <v>22.02</v>
      </c>
      <c r="H889" t="s">
        <v>18</v>
      </c>
      <c r="I889" t="s">
        <v>18</v>
      </c>
      <c r="K889" t="str">
        <v>budget</v>
      </c>
      <c r="L889">
        <v>67</v>
      </c>
    </row>
    <row r="890" spans="2:12" x14ac:dyDescent="0.3">
      <c r="B890" t="s">
        <v>882</v>
      </c>
      <c r="C890">
        <v>94</v>
      </c>
      <c r="D890" t="s">
        <v>45</v>
      </c>
      <c r="E890">
        <v>58</v>
      </c>
      <c r="F890">
        <v>80</v>
      </c>
      <c r="G890">
        <v>11.67</v>
      </c>
      <c r="H890" t="s">
        <v>18</v>
      </c>
      <c r="I890" t="s">
        <v>9</v>
      </c>
      <c r="K890" t="str">
        <v>budget</v>
      </c>
      <c r="L890">
        <v>69</v>
      </c>
    </row>
    <row r="891" spans="2:12" x14ac:dyDescent="0.3">
      <c r="B891" t="s">
        <v>883</v>
      </c>
      <c r="C891">
        <v>94</v>
      </c>
      <c r="D891" t="s">
        <v>45</v>
      </c>
      <c r="E891">
        <v>58</v>
      </c>
      <c r="F891">
        <v>80</v>
      </c>
      <c r="G891">
        <v>154.19</v>
      </c>
      <c r="H891" t="s">
        <v>2</v>
      </c>
      <c r="I891" t="s">
        <v>9</v>
      </c>
      <c r="K891" t="str">
        <v>premium</v>
      </c>
      <c r="L891">
        <v>69</v>
      </c>
    </row>
    <row r="892" spans="2:12" x14ac:dyDescent="0.3">
      <c r="B892" t="s">
        <v>884</v>
      </c>
      <c r="C892">
        <v>96</v>
      </c>
      <c r="D892" t="s">
        <v>41</v>
      </c>
      <c r="E892">
        <v>64</v>
      </c>
      <c r="F892">
        <v>82</v>
      </c>
      <c r="G892">
        <v>507.05</v>
      </c>
      <c r="H892" t="s">
        <v>2</v>
      </c>
      <c r="I892" t="s">
        <v>9</v>
      </c>
      <c r="K892" t="str">
        <v>premium</v>
      </c>
      <c r="L892">
        <v>73</v>
      </c>
    </row>
    <row r="893" spans="2:12" x14ac:dyDescent="0.3">
      <c r="B893" t="s">
        <v>885</v>
      </c>
      <c r="C893">
        <v>94</v>
      </c>
      <c r="D893" t="s">
        <v>45</v>
      </c>
      <c r="E893">
        <v>56</v>
      </c>
      <c r="F893">
        <v>72</v>
      </c>
      <c r="G893">
        <v>154.19</v>
      </c>
      <c r="H893" t="s">
        <v>2</v>
      </c>
      <c r="I893" t="s">
        <v>13</v>
      </c>
      <c r="K893" t="str">
        <v>premium</v>
      </c>
      <c r="L893">
        <v>64</v>
      </c>
    </row>
    <row r="894" spans="2:12" x14ac:dyDescent="0.3">
      <c r="B894" t="s">
        <v>490</v>
      </c>
      <c r="C894">
        <v>96</v>
      </c>
      <c r="D894" t="s">
        <v>45</v>
      </c>
      <c r="E894">
        <v>58</v>
      </c>
      <c r="F894">
        <v>80</v>
      </c>
      <c r="G894">
        <v>22.02</v>
      </c>
      <c r="H894" t="s">
        <v>18</v>
      </c>
      <c r="I894" t="s">
        <v>150</v>
      </c>
      <c r="K894" t="str">
        <v>budget</v>
      </c>
      <c r="L894">
        <v>69</v>
      </c>
    </row>
    <row r="895" spans="2:12" x14ac:dyDescent="0.3">
      <c r="B895" t="s">
        <v>886</v>
      </c>
      <c r="C895">
        <v>97</v>
      </c>
      <c r="D895" t="s">
        <v>45</v>
      </c>
      <c r="E895">
        <v>57</v>
      </c>
      <c r="F895">
        <v>79</v>
      </c>
      <c r="G895">
        <v>132.28</v>
      </c>
      <c r="H895" t="s">
        <v>18</v>
      </c>
      <c r="I895" t="s">
        <v>5</v>
      </c>
      <c r="K895" t="str">
        <v>premium</v>
      </c>
      <c r="L895">
        <v>68</v>
      </c>
    </row>
    <row r="896" spans="2:12" x14ac:dyDescent="0.3">
      <c r="B896" t="s">
        <v>887</v>
      </c>
      <c r="C896">
        <v>96</v>
      </c>
      <c r="D896" t="s">
        <v>41</v>
      </c>
      <c r="E896">
        <v>62</v>
      </c>
      <c r="F896">
        <v>80</v>
      </c>
      <c r="G896">
        <v>127.87</v>
      </c>
      <c r="H896" t="s">
        <v>18</v>
      </c>
      <c r="I896" t="s">
        <v>9</v>
      </c>
      <c r="K896" t="str">
        <v>premium</v>
      </c>
      <c r="L896">
        <v>71</v>
      </c>
    </row>
    <row r="897" spans="2:12" x14ac:dyDescent="0.3">
      <c r="B897" t="s">
        <v>398</v>
      </c>
      <c r="C897">
        <v>96</v>
      </c>
      <c r="D897" t="s">
        <v>45</v>
      </c>
      <c r="E897">
        <v>60</v>
      </c>
      <c r="F897">
        <v>78</v>
      </c>
      <c r="G897">
        <v>27.76</v>
      </c>
      <c r="H897" t="s">
        <v>18</v>
      </c>
      <c r="I897" t="s">
        <v>150</v>
      </c>
      <c r="K897" t="str">
        <v>middle</v>
      </c>
      <c r="L897">
        <v>69</v>
      </c>
    </row>
    <row r="898" spans="2:12" x14ac:dyDescent="0.3">
      <c r="B898" t="s">
        <v>888</v>
      </c>
      <c r="C898">
        <v>95</v>
      </c>
      <c r="D898" t="s">
        <v>41</v>
      </c>
      <c r="E898">
        <v>64</v>
      </c>
      <c r="F898">
        <v>80</v>
      </c>
      <c r="G898">
        <v>23.37</v>
      </c>
      <c r="H898" t="s">
        <v>18</v>
      </c>
      <c r="I898" t="s">
        <v>9</v>
      </c>
      <c r="K898" t="str">
        <v>budget</v>
      </c>
      <c r="L898">
        <v>72</v>
      </c>
    </row>
    <row r="899" spans="2:12" x14ac:dyDescent="0.3">
      <c r="B899" t="s">
        <v>889</v>
      </c>
      <c r="C899">
        <v>95</v>
      </c>
      <c r="D899" t="s">
        <v>45</v>
      </c>
      <c r="E899">
        <v>60</v>
      </c>
      <c r="F899">
        <v>78</v>
      </c>
      <c r="G899">
        <v>26.46</v>
      </c>
      <c r="H899" t="s">
        <v>18</v>
      </c>
      <c r="I899" t="s">
        <v>150</v>
      </c>
      <c r="K899" t="str">
        <v>middle</v>
      </c>
      <c r="L899">
        <v>69</v>
      </c>
    </row>
    <row r="900" spans="2:12" x14ac:dyDescent="0.3">
      <c r="B900" t="s">
        <v>890</v>
      </c>
      <c r="C900">
        <v>95</v>
      </c>
      <c r="D900" t="s">
        <v>45</v>
      </c>
      <c r="E900">
        <v>56</v>
      </c>
      <c r="F900">
        <v>78</v>
      </c>
      <c r="G900">
        <v>27.76</v>
      </c>
      <c r="H900" t="s">
        <v>18</v>
      </c>
      <c r="I900" t="s">
        <v>18</v>
      </c>
      <c r="K900" t="str">
        <v>middle</v>
      </c>
      <c r="L900">
        <v>67</v>
      </c>
    </row>
    <row r="901" spans="2:12" x14ac:dyDescent="0.3">
      <c r="B901" t="s">
        <v>891</v>
      </c>
      <c r="C901">
        <v>94</v>
      </c>
      <c r="D901" t="s">
        <v>45</v>
      </c>
      <c r="E901">
        <v>58</v>
      </c>
      <c r="F901">
        <v>78</v>
      </c>
      <c r="G901">
        <v>5.86</v>
      </c>
      <c r="H901" t="s">
        <v>18</v>
      </c>
      <c r="I901" t="s">
        <v>14</v>
      </c>
      <c r="K901" t="str">
        <v>budget</v>
      </c>
      <c r="L901">
        <v>68</v>
      </c>
    </row>
    <row r="902" spans="2:12" x14ac:dyDescent="0.3">
      <c r="B902" t="s">
        <v>892</v>
      </c>
      <c r="C902">
        <v>95</v>
      </c>
      <c r="D902" t="s">
        <v>45</v>
      </c>
      <c r="E902">
        <v>60</v>
      </c>
      <c r="F902">
        <v>76</v>
      </c>
      <c r="G902">
        <v>6.47</v>
      </c>
      <c r="H902" t="s">
        <v>18</v>
      </c>
      <c r="I902" t="s">
        <v>9</v>
      </c>
      <c r="K902" t="str">
        <v>budget</v>
      </c>
      <c r="L902">
        <v>68</v>
      </c>
    </row>
    <row r="903" spans="2:12" x14ac:dyDescent="0.3">
      <c r="B903" t="s">
        <v>893</v>
      </c>
      <c r="C903">
        <v>94</v>
      </c>
      <c r="D903" t="s">
        <v>41</v>
      </c>
      <c r="E903">
        <v>65</v>
      </c>
      <c r="F903">
        <v>83</v>
      </c>
      <c r="G903">
        <v>7.35</v>
      </c>
      <c r="H903" t="s">
        <v>18</v>
      </c>
      <c r="I903" t="s">
        <v>9</v>
      </c>
      <c r="K903" t="str">
        <v>budget</v>
      </c>
      <c r="L903">
        <v>74</v>
      </c>
    </row>
    <row r="904" spans="2:12" x14ac:dyDescent="0.3">
      <c r="B904" t="s">
        <v>468</v>
      </c>
      <c r="C904">
        <v>94</v>
      </c>
      <c r="D904" t="s">
        <v>82</v>
      </c>
      <c r="E904">
        <v>56</v>
      </c>
      <c r="F904">
        <v>64</v>
      </c>
      <c r="G904">
        <v>4.7</v>
      </c>
      <c r="H904" t="s">
        <v>18</v>
      </c>
      <c r="I904" t="s">
        <v>9</v>
      </c>
      <c r="K904" t="str">
        <v>budget</v>
      </c>
      <c r="L904">
        <v>60</v>
      </c>
    </row>
    <row r="905" spans="2:12" x14ac:dyDescent="0.3">
      <c r="B905" t="s">
        <v>894</v>
      </c>
      <c r="C905">
        <v>94</v>
      </c>
      <c r="D905" t="s">
        <v>41</v>
      </c>
      <c r="E905">
        <v>64</v>
      </c>
      <c r="F905">
        <v>80</v>
      </c>
      <c r="G905">
        <v>6.47</v>
      </c>
      <c r="H905" t="s">
        <v>18</v>
      </c>
      <c r="I905" t="s">
        <v>9</v>
      </c>
      <c r="K905" t="str">
        <v>budget</v>
      </c>
      <c r="L905">
        <v>72</v>
      </c>
    </row>
    <row r="906" spans="2:12" x14ac:dyDescent="0.3">
      <c r="B906" t="s">
        <v>895</v>
      </c>
      <c r="C906">
        <v>96</v>
      </c>
      <c r="D906" t="s">
        <v>41</v>
      </c>
      <c r="E906">
        <v>76</v>
      </c>
      <c r="F906">
        <v>92</v>
      </c>
      <c r="G906">
        <v>1680</v>
      </c>
      <c r="H906" t="s">
        <v>27</v>
      </c>
      <c r="I906" t="s">
        <v>14</v>
      </c>
      <c r="K906" t="str">
        <v>premium</v>
      </c>
      <c r="L906">
        <v>84</v>
      </c>
    </row>
    <row r="907" spans="2:12" x14ac:dyDescent="0.3">
      <c r="B907" t="s">
        <v>896</v>
      </c>
      <c r="C907">
        <v>94</v>
      </c>
      <c r="D907" t="s">
        <v>45</v>
      </c>
      <c r="E907">
        <v>57</v>
      </c>
      <c r="F907">
        <v>77</v>
      </c>
      <c r="G907">
        <v>7.35</v>
      </c>
      <c r="H907" t="s">
        <v>18</v>
      </c>
      <c r="I907" t="s">
        <v>14</v>
      </c>
      <c r="K907" t="str">
        <v>budget</v>
      </c>
      <c r="L907">
        <v>67</v>
      </c>
    </row>
    <row r="908" spans="2:12" x14ac:dyDescent="0.3">
      <c r="B908" t="s">
        <v>897</v>
      </c>
      <c r="C908">
        <v>96</v>
      </c>
      <c r="D908" t="s">
        <v>45</v>
      </c>
      <c r="E908">
        <v>60</v>
      </c>
      <c r="F908">
        <v>78</v>
      </c>
      <c r="G908">
        <v>83.77</v>
      </c>
      <c r="H908" t="s">
        <v>18</v>
      </c>
      <c r="I908" t="s">
        <v>14</v>
      </c>
      <c r="K908" t="str">
        <v>middle</v>
      </c>
      <c r="L908">
        <v>69</v>
      </c>
    </row>
    <row r="909" spans="2:12" x14ac:dyDescent="0.3">
      <c r="B909" t="s">
        <v>898</v>
      </c>
      <c r="C909">
        <v>96</v>
      </c>
      <c r="D909" t="s">
        <v>41</v>
      </c>
      <c r="E909">
        <v>62</v>
      </c>
      <c r="F909">
        <v>88</v>
      </c>
      <c r="G909">
        <v>330.69</v>
      </c>
      <c r="H909" t="s">
        <v>2</v>
      </c>
      <c r="I909" t="s">
        <v>7</v>
      </c>
      <c r="K909" t="str">
        <v>premium</v>
      </c>
      <c r="L909">
        <v>75</v>
      </c>
    </row>
    <row r="910" spans="2:12" x14ac:dyDescent="0.3">
      <c r="B910" t="s">
        <v>899</v>
      </c>
      <c r="C910">
        <v>95</v>
      </c>
      <c r="D910" t="s">
        <v>41</v>
      </c>
      <c r="E910">
        <v>62</v>
      </c>
      <c r="F910">
        <v>80</v>
      </c>
      <c r="G910">
        <v>26.46</v>
      </c>
      <c r="H910" t="s">
        <v>18</v>
      </c>
      <c r="I910" t="s">
        <v>14</v>
      </c>
      <c r="K910" t="str">
        <v>middle</v>
      </c>
      <c r="L910">
        <v>71</v>
      </c>
    </row>
    <row r="911" spans="2:12" x14ac:dyDescent="0.3">
      <c r="B911" t="s">
        <v>900</v>
      </c>
      <c r="C911">
        <v>95</v>
      </c>
      <c r="D911" t="s">
        <v>45</v>
      </c>
      <c r="E911">
        <v>62</v>
      </c>
      <c r="F911">
        <v>78</v>
      </c>
      <c r="G911">
        <v>70.55</v>
      </c>
      <c r="H911" t="s">
        <v>18</v>
      </c>
      <c r="I911" t="s">
        <v>20</v>
      </c>
      <c r="K911" t="str">
        <v>middle</v>
      </c>
      <c r="L911">
        <v>70</v>
      </c>
    </row>
    <row r="912" spans="2:12" x14ac:dyDescent="0.3">
      <c r="B912" t="s">
        <v>901</v>
      </c>
      <c r="C912">
        <v>94</v>
      </c>
      <c r="D912" t="s">
        <v>45</v>
      </c>
      <c r="E912">
        <v>56</v>
      </c>
      <c r="F912">
        <v>72</v>
      </c>
      <c r="G912">
        <v>35.270000000000003</v>
      </c>
      <c r="H912" t="s">
        <v>18</v>
      </c>
      <c r="I912" t="s">
        <v>14</v>
      </c>
      <c r="K912" t="str">
        <v>middle</v>
      </c>
      <c r="L912">
        <v>64</v>
      </c>
    </row>
    <row r="913" spans="2:12" x14ac:dyDescent="0.3">
      <c r="B913" t="s">
        <v>902</v>
      </c>
      <c r="C913">
        <v>94</v>
      </c>
      <c r="D913" t="s">
        <v>45</v>
      </c>
      <c r="E913">
        <v>59</v>
      </c>
      <c r="F913">
        <v>77</v>
      </c>
      <c r="G913">
        <v>800</v>
      </c>
      <c r="H913" t="s">
        <v>2</v>
      </c>
      <c r="I913" t="s">
        <v>6</v>
      </c>
      <c r="K913" t="str">
        <v>premium</v>
      </c>
      <c r="L913">
        <v>68</v>
      </c>
    </row>
    <row r="914" spans="2:12" x14ac:dyDescent="0.3">
      <c r="B914" t="s">
        <v>903</v>
      </c>
      <c r="C914">
        <v>94</v>
      </c>
      <c r="D914" t="s">
        <v>41</v>
      </c>
      <c r="E914">
        <v>62</v>
      </c>
      <c r="F914">
        <v>80</v>
      </c>
      <c r="G914">
        <v>500</v>
      </c>
      <c r="H914" t="s">
        <v>2</v>
      </c>
      <c r="I914" t="s">
        <v>7</v>
      </c>
      <c r="K914" t="str">
        <v>premium</v>
      </c>
      <c r="L914">
        <v>71</v>
      </c>
    </row>
    <row r="915" spans="2:12" x14ac:dyDescent="0.3">
      <c r="B915" t="s">
        <v>904</v>
      </c>
      <c r="C915">
        <v>94</v>
      </c>
      <c r="D915" t="s">
        <v>45</v>
      </c>
      <c r="E915">
        <v>58</v>
      </c>
      <c r="F915">
        <v>80</v>
      </c>
      <c r="G915">
        <v>11.02</v>
      </c>
      <c r="H915" t="s">
        <v>18</v>
      </c>
      <c r="I915" t="s">
        <v>15</v>
      </c>
      <c r="K915" t="str">
        <v>budget</v>
      </c>
      <c r="L915">
        <v>69</v>
      </c>
    </row>
    <row r="916" spans="2:12" x14ac:dyDescent="0.3">
      <c r="B916" t="s">
        <v>905</v>
      </c>
      <c r="C916">
        <v>95</v>
      </c>
      <c r="D916" t="s">
        <v>45</v>
      </c>
      <c r="E916">
        <v>58</v>
      </c>
      <c r="F916">
        <v>80</v>
      </c>
      <c r="G916">
        <v>5.59</v>
      </c>
      <c r="H916" t="s">
        <v>18</v>
      </c>
      <c r="I916" t="s">
        <v>9</v>
      </c>
      <c r="K916" t="str">
        <v>budget</v>
      </c>
      <c r="L916">
        <v>69</v>
      </c>
    </row>
    <row r="917" spans="2:12" x14ac:dyDescent="0.3">
      <c r="B917" t="s">
        <v>906</v>
      </c>
      <c r="C917">
        <v>95</v>
      </c>
      <c r="D917" t="s">
        <v>45</v>
      </c>
      <c r="E917">
        <v>60</v>
      </c>
      <c r="F917">
        <v>77</v>
      </c>
      <c r="G917">
        <v>6.17</v>
      </c>
      <c r="H917" t="s">
        <v>18</v>
      </c>
      <c r="I917" t="s">
        <v>21</v>
      </c>
      <c r="K917" t="str">
        <v>budget</v>
      </c>
      <c r="L917">
        <v>68.5</v>
      </c>
    </row>
    <row r="918" spans="2:12" x14ac:dyDescent="0.3">
      <c r="B918" t="s">
        <v>907</v>
      </c>
      <c r="C918">
        <v>94</v>
      </c>
      <c r="D918" t="s">
        <v>41</v>
      </c>
      <c r="E918">
        <v>62</v>
      </c>
      <c r="F918">
        <v>80</v>
      </c>
      <c r="G918">
        <v>5.57</v>
      </c>
      <c r="H918" t="s">
        <v>18</v>
      </c>
      <c r="I918" t="s">
        <v>9</v>
      </c>
      <c r="K918" t="str">
        <v>budget</v>
      </c>
      <c r="L918">
        <v>71</v>
      </c>
    </row>
    <row r="919" spans="2:12" x14ac:dyDescent="0.3">
      <c r="B919" t="s">
        <v>908</v>
      </c>
      <c r="C919">
        <v>95</v>
      </c>
      <c r="D919" t="s">
        <v>45</v>
      </c>
      <c r="E919">
        <v>58</v>
      </c>
      <c r="F919">
        <v>78</v>
      </c>
      <c r="G919">
        <v>7.94</v>
      </c>
      <c r="H919" t="s">
        <v>18</v>
      </c>
      <c r="I919" t="s">
        <v>9</v>
      </c>
      <c r="K919" t="str">
        <v>budget</v>
      </c>
      <c r="L919">
        <v>68</v>
      </c>
    </row>
    <row r="920" spans="2:12" x14ac:dyDescent="0.3">
      <c r="B920" t="s">
        <v>909</v>
      </c>
      <c r="C920">
        <v>94</v>
      </c>
      <c r="D920" t="s">
        <v>45</v>
      </c>
      <c r="E920">
        <v>58</v>
      </c>
      <c r="F920">
        <v>76</v>
      </c>
      <c r="G920">
        <v>10.57</v>
      </c>
      <c r="H920" t="s">
        <v>18</v>
      </c>
      <c r="I920" t="s">
        <v>14</v>
      </c>
      <c r="K920" t="str">
        <v>budget</v>
      </c>
      <c r="L920">
        <v>67</v>
      </c>
    </row>
    <row r="921" spans="2:12" x14ac:dyDescent="0.3">
      <c r="B921" t="s">
        <v>910</v>
      </c>
      <c r="C921">
        <v>94</v>
      </c>
      <c r="D921" t="s">
        <v>45</v>
      </c>
      <c r="E921">
        <v>62</v>
      </c>
      <c r="F921">
        <v>78</v>
      </c>
      <c r="G921">
        <v>5.29</v>
      </c>
      <c r="H921" t="s">
        <v>18</v>
      </c>
      <c r="I921" t="s">
        <v>9</v>
      </c>
      <c r="K921" t="str">
        <v>budget</v>
      </c>
      <c r="L921">
        <v>70</v>
      </c>
    </row>
    <row r="922" spans="2:12" x14ac:dyDescent="0.3">
      <c r="B922" t="s">
        <v>911</v>
      </c>
      <c r="C922">
        <v>94</v>
      </c>
      <c r="D922" t="s">
        <v>41</v>
      </c>
      <c r="E922">
        <v>64</v>
      </c>
      <c r="F922">
        <v>82</v>
      </c>
      <c r="G922">
        <v>220</v>
      </c>
      <c r="H922" t="s">
        <v>2</v>
      </c>
      <c r="I922" t="s">
        <v>9</v>
      </c>
      <c r="K922" t="str">
        <v>premium</v>
      </c>
      <c r="L922">
        <v>73</v>
      </c>
    </row>
    <row r="923" spans="2:12" x14ac:dyDescent="0.3">
      <c r="B923" t="s">
        <v>912</v>
      </c>
      <c r="C923">
        <v>95</v>
      </c>
      <c r="D923" t="s">
        <v>45</v>
      </c>
      <c r="E923">
        <v>52</v>
      </c>
      <c r="F923">
        <v>76</v>
      </c>
      <c r="G923">
        <v>333.33</v>
      </c>
      <c r="H923" t="s">
        <v>2</v>
      </c>
      <c r="I923" t="s">
        <v>12</v>
      </c>
      <c r="K923" t="str">
        <v>premium</v>
      </c>
      <c r="L923">
        <v>64</v>
      </c>
    </row>
    <row r="924" spans="2:12" x14ac:dyDescent="0.3">
      <c r="B924" t="s">
        <v>913</v>
      </c>
      <c r="C924">
        <v>94</v>
      </c>
      <c r="D924" t="s">
        <v>45</v>
      </c>
      <c r="E924">
        <v>60</v>
      </c>
      <c r="F924">
        <v>76</v>
      </c>
      <c r="G924">
        <v>264.55</v>
      </c>
      <c r="H924" t="s">
        <v>2</v>
      </c>
      <c r="I924" t="s">
        <v>7</v>
      </c>
      <c r="K924" t="str">
        <v>premium</v>
      </c>
      <c r="L924">
        <v>68</v>
      </c>
    </row>
    <row r="925" spans="2:12" x14ac:dyDescent="0.3">
      <c r="B925" t="s">
        <v>914</v>
      </c>
      <c r="C925">
        <v>94</v>
      </c>
      <c r="D925" t="s">
        <v>45</v>
      </c>
      <c r="E925">
        <v>58</v>
      </c>
      <c r="F925">
        <v>78</v>
      </c>
      <c r="G925">
        <v>165.34</v>
      </c>
      <c r="H925" t="s">
        <v>2</v>
      </c>
      <c r="I925" t="s">
        <v>7</v>
      </c>
      <c r="K925" t="str">
        <v>premium</v>
      </c>
      <c r="L925">
        <v>68</v>
      </c>
    </row>
    <row r="926" spans="2:12" x14ac:dyDescent="0.3">
      <c r="B926" t="s">
        <v>915</v>
      </c>
      <c r="C926">
        <v>94</v>
      </c>
      <c r="D926" t="s">
        <v>45</v>
      </c>
      <c r="E926">
        <v>58</v>
      </c>
      <c r="F926">
        <v>80</v>
      </c>
      <c r="G926">
        <v>121.25</v>
      </c>
      <c r="H926" t="s">
        <v>2</v>
      </c>
      <c r="I926" t="s">
        <v>9</v>
      </c>
      <c r="K926" t="str">
        <v>premium</v>
      </c>
      <c r="L926">
        <v>69</v>
      </c>
    </row>
    <row r="927" spans="2:12" x14ac:dyDescent="0.3">
      <c r="B927" t="s">
        <v>916</v>
      </c>
      <c r="C927">
        <v>94</v>
      </c>
      <c r="D927" t="s">
        <v>45</v>
      </c>
      <c r="E927">
        <v>58</v>
      </c>
      <c r="F927">
        <v>76</v>
      </c>
      <c r="G927">
        <v>123.46</v>
      </c>
      <c r="H927" t="s">
        <v>2</v>
      </c>
      <c r="I927" t="s">
        <v>9</v>
      </c>
      <c r="K927" t="str">
        <v>premium</v>
      </c>
      <c r="L927">
        <v>67</v>
      </c>
    </row>
    <row r="928" spans="2:12" x14ac:dyDescent="0.3">
      <c r="B928" t="s">
        <v>917</v>
      </c>
      <c r="C928">
        <v>94</v>
      </c>
      <c r="D928" t="s">
        <v>45</v>
      </c>
      <c r="E928">
        <v>52</v>
      </c>
      <c r="F928">
        <v>72</v>
      </c>
      <c r="G928">
        <v>99.21</v>
      </c>
      <c r="H928" t="s">
        <v>2</v>
      </c>
      <c r="I928" t="s">
        <v>7</v>
      </c>
      <c r="K928" t="str">
        <v>middle</v>
      </c>
      <c r="L928">
        <v>62</v>
      </c>
    </row>
    <row r="929" spans="2:12" x14ac:dyDescent="0.3">
      <c r="B929" t="s">
        <v>918</v>
      </c>
      <c r="C929">
        <v>95</v>
      </c>
      <c r="D929" t="s">
        <v>41</v>
      </c>
      <c r="E929">
        <v>62</v>
      </c>
      <c r="F929">
        <v>80</v>
      </c>
      <c r="G929">
        <v>529.1</v>
      </c>
      <c r="H929" t="s">
        <v>2</v>
      </c>
      <c r="I929" t="s">
        <v>7</v>
      </c>
      <c r="K929" t="str">
        <v>premium</v>
      </c>
      <c r="L929">
        <v>71</v>
      </c>
    </row>
    <row r="930" spans="2:12" x14ac:dyDescent="0.3">
      <c r="B930" t="s">
        <v>919</v>
      </c>
      <c r="C930">
        <v>96</v>
      </c>
      <c r="D930" t="s">
        <v>45</v>
      </c>
      <c r="E930">
        <v>60</v>
      </c>
      <c r="F930">
        <v>76</v>
      </c>
      <c r="G930">
        <v>6.61</v>
      </c>
      <c r="H930" t="s">
        <v>18</v>
      </c>
      <c r="I930" t="s">
        <v>12</v>
      </c>
      <c r="K930" t="str">
        <v>budget</v>
      </c>
      <c r="L930">
        <v>68</v>
      </c>
    </row>
    <row r="931" spans="2:12" x14ac:dyDescent="0.3">
      <c r="B931" t="s">
        <v>920</v>
      </c>
      <c r="C931">
        <v>95</v>
      </c>
      <c r="D931" t="s">
        <v>41</v>
      </c>
      <c r="E931">
        <v>62</v>
      </c>
      <c r="F931">
        <v>80</v>
      </c>
      <c r="G931">
        <v>7.64</v>
      </c>
      <c r="H931" t="s">
        <v>18</v>
      </c>
      <c r="I931" t="s">
        <v>9</v>
      </c>
      <c r="K931" t="str">
        <v>budget</v>
      </c>
      <c r="L931">
        <v>71</v>
      </c>
    </row>
    <row r="932" spans="2:12" x14ac:dyDescent="0.3">
      <c r="B932" t="s">
        <v>468</v>
      </c>
      <c r="C932">
        <v>94</v>
      </c>
      <c r="D932" t="s">
        <v>45</v>
      </c>
      <c r="E932">
        <v>59</v>
      </c>
      <c r="F932">
        <v>77</v>
      </c>
      <c r="G932">
        <v>5.73</v>
      </c>
      <c r="H932" t="s">
        <v>18</v>
      </c>
      <c r="I932" t="s">
        <v>9</v>
      </c>
      <c r="K932" t="str">
        <v>budget</v>
      </c>
      <c r="L932">
        <v>68</v>
      </c>
    </row>
    <row r="933" spans="2:12" x14ac:dyDescent="0.3">
      <c r="B933" t="s">
        <v>921</v>
      </c>
      <c r="C933">
        <v>94</v>
      </c>
      <c r="D933" t="s">
        <v>82</v>
      </c>
      <c r="E933">
        <v>46</v>
      </c>
      <c r="F933">
        <v>60</v>
      </c>
      <c r="G933">
        <v>374.78</v>
      </c>
      <c r="H933" t="s">
        <v>2</v>
      </c>
      <c r="I933" t="s">
        <v>12</v>
      </c>
      <c r="K933" t="str">
        <v>premium</v>
      </c>
      <c r="L933">
        <v>53</v>
      </c>
    </row>
    <row r="934" spans="2:12" x14ac:dyDescent="0.3">
      <c r="B934" t="s">
        <v>922</v>
      </c>
      <c r="C934">
        <v>94</v>
      </c>
      <c r="D934" t="s">
        <v>45</v>
      </c>
      <c r="E934">
        <v>54</v>
      </c>
      <c r="F934">
        <v>74</v>
      </c>
      <c r="G934">
        <v>12.35</v>
      </c>
      <c r="H934" t="s">
        <v>18</v>
      </c>
      <c r="I934" t="s">
        <v>14</v>
      </c>
      <c r="K934" t="str">
        <v>budget</v>
      </c>
      <c r="L934">
        <v>64</v>
      </c>
    </row>
    <row r="935" spans="2:12" x14ac:dyDescent="0.3">
      <c r="B935" t="s">
        <v>923</v>
      </c>
      <c r="C935">
        <v>94</v>
      </c>
      <c r="D935" t="s">
        <v>41</v>
      </c>
      <c r="E935">
        <v>64</v>
      </c>
      <c r="F935">
        <v>86</v>
      </c>
      <c r="G935">
        <v>7.35</v>
      </c>
      <c r="H935" t="s">
        <v>18</v>
      </c>
      <c r="I935" t="s">
        <v>9</v>
      </c>
      <c r="K935" t="str">
        <v>budget</v>
      </c>
      <c r="L935">
        <v>75</v>
      </c>
    </row>
    <row r="936" spans="2:12" x14ac:dyDescent="0.3">
      <c r="B936" t="s">
        <v>442</v>
      </c>
      <c r="C936">
        <v>95</v>
      </c>
      <c r="D936" t="s">
        <v>45</v>
      </c>
      <c r="E936">
        <v>60</v>
      </c>
      <c r="F936">
        <v>78</v>
      </c>
      <c r="G936">
        <v>7.33</v>
      </c>
      <c r="H936" t="s">
        <v>18</v>
      </c>
      <c r="I936" t="s">
        <v>12</v>
      </c>
      <c r="K936" t="str">
        <v>budget</v>
      </c>
      <c r="L936">
        <v>69</v>
      </c>
    </row>
    <row r="937" spans="2:12" x14ac:dyDescent="0.3">
      <c r="B937" t="s">
        <v>924</v>
      </c>
      <c r="C937">
        <v>94</v>
      </c>
      <c r="D937" t="s">
        <v>41</v>
      </c>
      <c r="E937">
        <v>64</v>
      </c>
      <c r="F937">
        <v>84</v>
      </c>
      <c r="G937">
        <v>176.21</v>
      </c>
      <c r="H937" t="s">
        <v>2</v>
      </c>
      <c r="I937" t="s">
        <v>9</v>
      </c>
      <c r="K937" t="str">
        <v>premium</v>
      </c>
      <c r="L937">
        <v>74</v>
      </c>
    </row>
    <row r="938" spans="2:12" x14ac:dyDescent="0.3">
      <c r="B938" t="s">
        <v>925</v>
      </c>
      <c r="C938">
        <v>94</v>
      </c>
      <c r="D938" t="s">
        <v>45</v>
      </c>
      <c r="E938">
        <v>55</v>
      </c>
      <c r="F938">
        <v>71</v>
      </c>
      <c r="G938">
        <v>6.61</v>
      </c>
      <c r="H938" t="s">
        <v>18</v>
      </c>
      <c r="I938" t="s">
        <v>5</v>
      </c>
      <c r="K938" t="str">
        <v>budget</v>
      </c>
      <c r="L938">
        <v>63</v>
      </c>
    </row>
    <row r="939" spans="2:12" x14ac:dyDescent="0.3">
      <c r="B939" t="s">
        <v>926</v>
      </c>
      <c r="C939">
        <v>94</v>
      </c>
      <c r="D939" t="s">
        <v>45</v>
      </c>
      <c r="E939">
        <v>57</v>
      </c>
      <c r="F939">
        <v>75</v>
      </c>
      <c r="G939">
        <v>8.82</v>
      </c>
      <c r="H939" t="s">
        <v>18</v>
      </c>
      <c r="I939" t="s">
        <v>5</v>
      </c>
      <c r="K939" t="str">
        <v>budget</v>
      </c>
      <c r="L939">
        <v>66</v>
      </c>
    </row>
    <row r="940" spans="2:12" x14ac:dyDescent="0.3">
      <c r="B940" t="s">
        <v>927</v>
      </c>
      <c r="C940">
        <v>95</v>
      </c>
      <c r="D940" t="s">
        <v>45</v>
      </c>
      <c r="E940">
        <v>56</v>
      </c>
      <c r="F940">
        <v>78</v>
      </c>
      <c r="G940">
        <v>440.92</v>
      </c>
      <c r="H940" t="s">
        <v>2</v>
      </c>
      <c r="I940" t="s">
        <v>8</v>
      </c>
      <c r="K940" t="str">
        <v>premium</v>
      </c>
      <c r="L940">
        <v>67</v>
      </c>
    </row>
    <row r="941" spans="2:12" x14ac:dyDescent="0.3">
      <c r="B941" t="s">
        <v>928</v>
      </c>
      <c r="C941">
        <v>94</v>
      </c>
      <c r="D941" t="s">
        <v>45</v>
      </c>
      <c r="E941">
        <v>58</v>
      </c>
      <c r="F941">
        <v>76</v>
      </c>
      <c r="G941">
        <v>21.16</v>
      </c>
      <c r="H941" t="s">
        <v>18</v>
      </c>
      <c r="I941" t="s">
        <v>8</v>
      </c>
      <c r="K941" t="str">
        <v>budget</v>
      </c>
      <c r="L941">
        <v>67</v>
      </c>
    </row>
    <row r="942" spans="2:12" x14ac:dyDescent="0.3">
      <c r="B942" t="s">
        <v>929</v>
      </c>
      <c r="C942">
        <v>94</v>
      </c>
      <c r="D942" t="s">
        <v>45</v>
      </c>
      <c r="E942">
        <v>57</v>
      </c>
      <c r="F942">
        <v>73</v>
      </c>
      <c r="G942">
        <v>5.57</v>
      </c>
      <c r="H942" t="s">
        <v>18</v>
      </c>
      <c r="I942" t="s">
        <v>14</v>
      </c>
      <c r="K942" t="str">
        <v>budget</v>
      </c>
      <c r="L942">
        <v>65</v>
      </c>
    </row>
    <row r="943" spans="2:12" x14ac:dyDescent="0.3">
      <c r="B943" t="s">
        <v>930</v>
      </c>
      <c r="C943">
        <v>95</v>
      </c>
      <c r="D943" t="s">
        <v>41</v>
      </c>
      <c r="E943">
        <v>62</v>
      </c>
      <c r="F943">
        <v>82</v>
      </c>
      <c r="G943">
        <v>22</v>
      </c>
      <c r="H943" t="s">
        <v>18</v>
      </c>
      <c r="I943" t="s">
        <v>5</v>
      </c>
      <c r="K943" t="str">
        <v>budget</v>
      </c>
      <c r="L943">
        <v>72</v>
      </c>
    </row>
    <row r="944" spans="2:12" x14ac:dyDescent="0.3">
      <c r="B944" t="s">
        <v>931</v>
      </c>
      <c r="C944">
        <v>94</v>
      </c>
      <c r="D944" t="s">
        <v>45</v>
      </c>
      <c r="E944">
        <v>56</v>
      </c>
      <c r="F944">
        <v>82</v>
      </c>
      <c r="G944">
        <v>7.33</v>
      </c>
      <c r="H944" t="s">
        <v>18</v>
      </c>
      <c r="I944" t="s">
        <v>9</v>
      </c>
      <c r="K944" t="str">
        <v>budget</v>
      </c>
      <c r="L944">
        <v>69</v>
      </c>
    </row>
    <row r="945" spans="2:12" x14ac:dyDescent="0.3">
      <c r="B945" t="s">
        <v>932</v>
      </c>
      <c r="C945">
        <v>94</v>
      </c>
      <c r="D945" t="s">
        <v>45</v>
      </c>
      <c r="E945">
        <v>56</v>
      </c>
      <c r="F945">
        <v>76</v>
      </c>
      <c r="G945">
        <v>22</v>
      </c>
      <c r="H945" t="s">
        <v>18</v>
      </c>
      <c r="I945" t="s">
        <v>18</v>
      </c>
      <c r="K945" t="str">
        <v>budget</v>
      </c>
      <c r="L945">
        <v>66</v>
      </c>
    </row>
    <row r="946" spans="2:12" x14ac:dyDescent="0.3">
      <c r="B946" t="s">
        <v>933</v>
      </c>
      <c r="C946">
        <v>95</v>
      </c>
      <c r="D946" t="s">
        <v>41</v>
      </c>
      <c r="E946">
        <v>62</v>
      </c>
      <c r="F946">
        <v>80</v>
      </c>
      <c r="G946">
        <v>9.48</v>
      </c>
      <c r="H946" t="s">
        <v>18</v>
      </c>
      <c r="I946" t="s">
        <v>15</v>
      </c>
      <c r="K946" t="str">
        <v>budget</v>
      </c>
      <c r="L946">
        <v>71</v>
      </c>
    </row>
    <row r="947" spans="2:12" x14ac:dyDescent="0.3">
      <c r="B947" t="s">
        <v>934</v>
      </c>
      <c r="C947">
        <v>95</v>
      </c>
      <c r="D947" t="s">
        <v>45</v>
      </c>
      <c r="E947">
        <v>58</v>
      </c>
      <c r="F947">
        <v>80</v>
      </c>
      <c r="G947">
        <v>6.17</v>
      </c>
      <c r="H947" t="s">
        <v>18</v>
      </c>
      <c r="I947" t="s">
        <v>12</v>
      </c>
      <c r="K947" t="str">
        <v>budget</v>
      </c>
      <c r="L947">
        <v>69</v>
      </c>
    </row>
    <row r="948" spans="2:12" x14ac:dyDescent="0.3">
      <c r="B948" t="s">
        <v>935</v>
      </c>
      <c r="C948">
        <v>95</v>
      </c>
      <c r="D948" t="s">
        <v>41</v>
      </c>
      <c r="E948">
        <v>64</v>
      </c>
      <c r="F948">
        <v>86</v>
      </c>
      <c r="G948">
        <v>5.59</v>
      </c>
      <c r="H948" t="s">
        <v>18</v>
      </c>
      <c r="I948" t="s">
        <v>9</v>
      </c>
      <c r="K948" t="str">
        <v>budget</v>
      </c>
      <c r="L948">
        <v>75</v>
      </c>
    </row>
    <row r="949" spans="2:12" x14ac:dyDescent="0.3">
      <c r="B949" t="s">
        <v>936</v>
      </c>
      <c r="C949">
        <v>94</v>
      </c>
      <c r="D949" t="s">
        <v>45</v>
      </c>
      <c r="E949">
        <v>60</v>
      </c>
      <c r="F949">
        <v>77</v>
      </c>
      <c r="G949">
        <v>7.94</v>
      </c>
      <c r="H949" t="s">
        <v>18</v>
      </c>
      <c r="I949" t="s">
        <v>14</v>
      </c>
      <c r="K949" t="str">
        <v>budget</v>
      </c>
      <c r="L949">
        <v>68.5</v>
      </c>
    </row>
    <row r="950" spans="2:12" x14ac:dyDescent="0.3">
      <c r="B950" t="s">
        <v>937</v>
      </c>
      <c r="C950">
        <v>94</v>
      </c>
      <c r="D950" t="s">
        <v>45</v>
      </c>
      <c r="E950">
        <v>60</v>
      </c>
      <c r="F950">
        <v>78</v>
      </c>
      <c r="G950">
        <v>5.86</v>
      </c>
      <c r="H950" t="s">
        <v>18</v>
      </c>
      <c r="I950" t="s">
        <v>9</v>
      </c>
      <c r="K950" t="str">
        <v>budget</v>
      </c>
      <c r="L950">
        <v>69</v>
      </c>
    </row>
    <row r="951" spans="2:12" x14ac:dyDescent="0.3">
      <c r="B951" t="s">
        <v>938</v>
      </c>
      <c r="C951">
        <v>95</v>
      </c>
      <c r="D951" t="s">
        <v>41</v>
      </c>
      <c r="E951">
        <v>62</v>
      </c>
      <c r="F951">
        <v>80</v>
      </c>
      <c r="G951">
        <v>7.64</v>
      </c>
      <c r="H951" t="s">
        <v>18</v>
      </c>
      <c r="I951" t="s">
        <v>9</v>
      </c>
      <c r="K951" t="str">
        <v>budget</v>
      </c>
      <c r="L951">
        <v>71</v>
      </c>
    </row>
    <row r="952" spans="2:12" x14ac:dyDescent="0.3">
      <c r="B952" t="s">
        <v>886</v>
      </c>
      <c r="C952">
        <v>95</v>
      </c>
      <c r="D952" t="s">
        <v>45</v>
      </c>
      <c r="E952">
        <v>54</v>
      </c>
      <c r="F952">
        <v>72</v>
      </c>
      <c r="G952">
        <v>23.52</v>
      </c>
      <c r="H952" t="s">
        <v>18</v>
      </c>
      <c r="I952" t="s">
        <v>5</v>
      </c>
      <c r="K952" t="str">
        <v>budget</v>
      </c>
      <c r="L952">
        <v>63</v>
      </c>
    </row>
    <row r="953" spans="2:12" x14ac:dyDescent="0.3">
      <c r="B953" t="s">
        <v>939</v>
      </c>
      <c r="C953">
        <v>94</v>
      </c>
      <c r="D953" t="s">
        <v>45</v>
      </c>
      <c r="E953">
        <v>56</v>
      </c>
      <c r="F953">
        <v>74</v>
      </c>
      <c r="G953">
        <v>6.91</v>
      </c>
      <c r="H953" t="s">
        <v>18</v>
      </c>
      <c r="I953" t="s">
        <v>12</v>
      </c>
      <c r="K953" t="str">
        <v>budget</v>
      </c>
      <c r="L953">
        <v>65</v>
      </c>
    </row>
    <row r="954" spans="2:12" x14ac:dyDescent="0.3">
      <c r="B954" t="s">
        <v>940</v>
      </c>
      <c r="C954">
        <v>94</v>
      </c>
      <c r="D954" t="s">
        <v>45</v>
      </c>
      <c r="E954">
        <v>58</v>
      </c>
      <c r="F954">
        <v>77</v>
      </c>
      <c r="G954">
        <v>6.03</v>
      </c>
      <c r="H954" t="s">
        <v>18</v>
      </c>
      <c r="I954" t="s">
        <v>21</v>
      </c>
      <c r="K954" t="str">
        <v>budget</v>
      </c>
      <c r="L954">
        <v>67.5</v>
      </c>
    </row>
    <row r="955" spans="2:12" x14ac:dyDescent="0.3">
      <c r="B955" t="s">
        <v>941</v>
      </c>
      <c r="C955">
        <v>94</v>
      </c>
      <c r="D955" t="s">
        <v>41</v>
      </c>
      <c r="E955">
        <v>62</v>
      </c>
      <c r="F955">
        <v>82</v>
      </c>
      <c r="G955">
        <v>712</v>
      </c>
      <c r="H955" t="s">
        <v>2</v>
      </c>
      <c r="I955" t="s">
        <v>5</v>
      </c>
      <c r="K955" t="str">
        <v>premium</v>
      </c>
      <c r="L955">
        <v>72</v>
      </c>
    </row>
    <row r="956" spans="2:12" x14ac:dyDescent="0.3">
      <c r="B956" t="s">
        <v>942</v>
      </c>
      <c r="C956">
        <v>96</v>
      </c>
      <c r="D956" t="s">
        <v>45</v>
      </c>
      <c r="E956">
        <v>60</v>
      </c>
      <c r="F956">
        <v>80</v>
      </c>
      <c r="G956">
        <v>600</v>
      </c>
      <c r="H956" t="s">
        <v>2</v>
      </c>
      <c r="I956" t="s">
        <v>7</v>
      </c>
      <c r="K956" t="str">
        <v>premium</v>
      </c>
      <c r="L956">
        <v>70</v>
      </c>
    </row>
    <row r="957" spans="2:12" x14ac:dyDescent="0.3">
      <c r="B957" t="s">
        <v>943</v>
      </c>
      <c r="C957">
        <v>94</v>
      </c>
      <c r="D957" t="s">
        <v>45</v>
      </c>
      <c r="E957">
        <v>58</v>
      </c>
      <c r="F957">
        <v>76</v>
      </c>
      <c r="G957">
        <v>6.17</v>
      </c>
      <c r="H957" t="s">
        <v>18</v>
      </c>
      <c r="I957" t="s">
        <v>7</v>
      </c>
      <c r="K957" t="str">
        <v>budget</v>
      </c>
      <c r="L957">
        <v>67</v>
      </c>
    </row>
    <row r="958" spans="2:12" x14ac:dyDescent="0.3">
      <c r="B958" t="s">
        <v>944</v>
      </c>
      <c r="C958">
        <v>94</v>
      </c>
      <c r="D958" t="s">
        <v>45</v>
      </c>
      <c r="E958">
        <v>59</v>
      </c>
      <c r="F958">
        <v>77</v>
      </c>
      <c r="G958">
        <v>17.64</v>
      </c>
      <c r="H958" t="s">
        <v>11</v>
      </c>
      <c r="I958" t="s">
        <v>14</v>
      </c>
      <c r="K958" t="str">
        <v>budget</v>
      </c>
      <c r="L958">
        <v>68</v>
      </c>
    </row>
    <row r="959" spans="2:12" x14ac:dyDescent="0.3">
      <c r="B959" t="s">
        <v>945</v>
      </c>
      <c r="C959">
        <v>95</v>
      </c>
      <c r="D959" t="s">
        <v>41</v>
      </c>
      <c r="E959">
        <v>64</v>
      </c>
      <c r="F959">
        <v>84</v>
      </c>
      <c r="G959">
        <v>7.33</v>
      </c>
      <c r="H959" t="s">
        <v>18</v>
      </c>
      <c r="I959" t="s">
        <v>9</v>
      </c>
      <c r="K959" t="str">
        <v>budget</v>
      </c>
      <c r="L959">
        <v>74</v>
      </c>
    </row>
    <row r="960" spans="2:12" x14ac:dyDescent="0.3">
      <c r="B960" t="s">
        <v>946</v>
      </c>
      <c r="C960">
        <v>95</v>
      </c>
      <c r="D960" t="s">
        <v>45</v>
      </c>
      <c r="E960">
        <v>58</v>
      </c>
      <c r="F960">
        <v>80</v>
      </c>
      <c r="G960">
        <v>25.71</v>
      </c>
      <c r="H960" t="s">
        <v>18</v>
      </c>
      <c r="I960" t="s">
        <v>14</v>
      </c>
      <c r="K960" t="str">
        <v>middle</v>
      </c>
      <c r="L960">
        <v>69</v>
      </c>
    </row>
    <row r="961" spans="2:12" x14ac:dyDescent="0.3">
      <c r="B961" t="s">
        <v>581</v>
      </c>
      <c r="C961">
        <v>94</v>
      </c>
      <c r="D961" t="s">
        <v>45</v>
      </c>
      <c r="E961">
        <v>56</v>
      </c>
      <c r="F961">
        <v>76</v>
      </c>
      <c r="G961">
        <v>7.05</v>
      </c>
      <c r="H961" t="s">
        <v>18</v>
      </c>
      <c r="I961" t="s">
        <v>12</v>
      </c>
      <c r="K961" t="str">
        <v>budget</v>
      </c>
      <c r="L961">
        <v>66</v>
      </c>
    </row>
    <row r="962" spans="2:12" x14ac:dyDescent="0.3">
      <c r="B962" t="s">
        <v>947</v>
      </c>
      <c r="C962">
        <v>94</v>
      </c>
      <c r="D962" t="s">
        <v>41</v>
      </c>
      <c r="E962">
        <v>64</v>
      </c>
      <c r="F962">
        <v>86</v>
      </c>
      <c r="G962">
        <v>8.7899999999999991</v>
      </c>
      <c r="H962" t="s">
        <v>18</v>
      </c>
      <c r="I962" t="s">
        <v>22</v>
      </c>
      <c r="K962" t="str">
        <v>budget</v>
      </c>
      <c r="L962">
        <v>75</v>
      </c>
    </row>
    <row r="963" spans="2:12" x14ac:dyDescent="0.3">
      <c r="B963" t="s">
        <v>948</v>
      </c>
      <c r="C963">
        <v>94</v>
      </c>
      <c r="D963" t="s">
        <v>45</v>
      </c>
      <c r="E963">
        <v>60</v>
      </c>
      <c r="F963">
        <v>76</v>
      </c>
      <c r="G963">
        <v>22</v>
      </c>
      <c r="H963" t="s">
        <v>18</v>
      </c>
      <c r="I963" t="s">
        <v>18</v>
      </c>
      <c r="K963" t="str">
        <v>budget</v>
      </c>
      <c r="L963">
        <v>68</v>
      </c>
    </row>
    <row r="964" spans="2:12" x14ac:dyDescent="0.3">
      <c r="B964" t="s">
        <v>949</v>
      </c>
      <c r="C964">
        <v>95</v>
      </c>
      <c r="D964" t="s">
        <v>45</v>
      </c>
      <c r="E964">
        <v>58</v>
      </c>
      <c r="F964">
        <v>78</v>
      </c>
      <c r="G964">
        <v>7.05</v>
      </c>
      <c r="H964" t="s">
        <v>18</v>
      </c>
      <c r="I964" t="s">
        <v>12</v>
      </c>
      <c r="K964" t="str">
        <v>budget</v>
      </c>
      <c r="L964">
        <v>68</v>
      </c>
    </row>
    <row r="965" spans="2:12" x14ac:dyDescent="0.3">
      <c r="B965" t="s">
        <v>950</v>
      </c>
      <c r="C965">
        <v>94</v>
      </c>
      <c r="D965" t="s">
        <v>41</v>
      </c>
      <c r="E965">
        <v>64</v>
      </c>
      <c r="F965">
        <v>86</v>
      </c>
      <c r="G965">
        <v>668.14</v>
      </c>
      <c r="H965" t="s">
        <v>2</v>
      </c>
      <c r="I965" t="s">
        <v>9</v>
      </c>
      <c r="K965" t="str">
        <v>premium</v>
      </c>
      <c r="L965">
        <v>75</v>
      </c>
    </row>
    <row r="966" spans="2:12" x14ac:dyDescent="0.3">
      <c r="B966" t="s">
        <v>951</v>
      </c>
      <c r="C966">
        <v>94</v>
      </c>
      <c r="D966" t="s">
        <v>45</v>
      </c>
      <c r="E966">
        <v>59</v>
      </c>
      <c r="F966">
        <v>79</v>
      </c>
      <c r="G966">
        <v>141.09</v>
      </c>
      <c r="H966" t="s">
        <v>2</v>
      </c>
      <c r="I966" t="s">
        <v>9</v>
      </c>
      <c r="K966" t="str">
        <v>premium</v>
      </c>
      <c r="L966">
        <v>69</v>
      </c>
    </row>
    <row r="967" spans="2:12" x14ac:dyDescent="0.3">
      <c r="B967" t="s">
        <v>952</v>
      </c>
      <c r="C967">
        <v>95</v>
      </c>
      <c r="D967" t="s">
        <v>45</v>
      </c>
      <c r="E967">
        <v>57</v>
      </c>
      <c r="F967">
        <v>74</v>
      </c>
      <c r="G967">
        <v>13.23</v>
      </c>
      <c r="H967" t="s">
        <v>18</v>
      </c>
      <c r="I967" t="s">
        <v>14</v>
      </c>
      <c r="K967" t="str">
        <v>budget</v>
      </c>
      <c r="L967">
        <v>65.5</v>
      </c>
    </row>
    <row r="968" spans="2:12" x14ac:dyDescent="0.3">
      <c r="B968" t="s">
        <v>953</v>
      </c>
      <c r="C968">
        <v>97</v>
      </c>
      <c r="D968" t="s">
        <v>41</v>
      </c>
      <c r="E968">
        <v>64</v>
      </c>
      <c r="F968">
        <v>86</v>
      </c>
      <c r="G968">
        <v>16.149999999999999</v>
      </c>
      <c r="H968" t="s">
        <v>18</v>
      </c>
      <c r="I968" t="s">
        <v>9</v>
      </c>
      <c r="K968" t="str">
        <v>budget</v>
      </c>
      <c r="L968">
        <v>75</v>
      </c>
    </row>
    <row r="969" spans="2:12" x14ac:dyDescent="0.3">
      <c r="B969" t="s">
        <v>954</v>
      </c>
      <c r="C969">
        <v>94</v>
      </c>
      <c r="D969" t="s">
        <v>45</v>
      </c>
      <c r="E969">
        <v>58</v>
      </c>
      <c r="F969">
        <v>78</v>
      </c>
      <c r="G969">
        <v>5.59</v>
      </c>
      <c r="H969" t="s">
        <v>18</v>
      </c>
      <c r="I969" t="s">
        <v>14</v>
      </c>
      <c r="K969" t="str">
        <v>budget</v>
      </c>
      <c r="L969">
        <v>68</v>
      </c>
    </row>
    <row r="970" spans="2:12" x14ac:dyDescent="0.3">
      <c r="B970" t="s">
        <v>798</v>
      </c>
      <c r="C970">
        <v>94</v>
      </c>
      <c r="D970" t="s">
        <v>41</v>
      </c>
      <c r="E970">
        <v>62</v>
      </c>
      <c r="F970">
        <v>80</v>
      </c>
      <c r="G970">
        <v>5.29</v>
      </c>
      <c r="H970" t="s">
        <v>18</v>
      </c>
      <c r="I970" t="s">
        <v>9</v>
      </c>
      <c r="K970" t="str">
        <v>budget</v>
      </c>
      <c r="L970">
        <v>71</v>
      </c>
    </row>
    <row r="971" spans="2:12" x14ac:dyDescent="0.3">
      <c r="B971" t="s">
        <v>955</v>
      </c>
      <c r="C971">
        <v>94</v>
      </c>
      <c r="D971" t="s">
        <v>82</v>
      </c>
      <c r="E971">
        <v>51</v>
      </c>
      <c r="F971">
        <v>64</v>
      </c>
      <c r="G971">
        <v>200</v>
      </c>
      <c r="H971" t="s">
        <v>2</v>
      </c>
      <c r="I971" t="s">
        <v>150</v>
      </c>
      <c r="K971" t="str">
        <v>premium</v>
      </c>
      <c r="L971">
        <v>57.5</v>
      </c>
    </row>
    <row r="972" spans="2:12" x14ac:dyDescent="0.3">
      <c r="B972" t="s">
        <v>956</v>
      </c>
      <c r="C972">
        <v>94</v>
      </c>
      <c r="D972" t="s">
        <v>541</v>
      </c>
      <c r="E972">
        <v>36</v>
      </c>
      <c r="F972">
        <v>48</v>
      </c>
      <c r="G972">
        <v>200</v>
      </c>
      <c r="H972" t="s">
        <v>2</v>
      </c>
      <c r="I972" t="s">
        <v>14</v>
      </c>
      <c r="K972" t="str">
        <v>premium</v>
      </c>
      <c r="L972">
        <v>42</v>
      </c>
    </row>
    <row r="973" spans="2:12" x14ac:dyDescent="0.3">
      <c r="B973" t="s">
        <v>957</v>
      </c>
      <c r="C973">
        <v>94</v>
      </c>
      <c r="D973" t="s">
        <v>541</v>
      </c>
      <c r="E973">
        <v>39</v>
      </c>
      <c r="F973">
        <v>53</v>
      </c>
      <c r="G973">
        <v>133.33000000000001</v>
      </c>
      <c r="H973" t="s">
        <v>2</v>
      </c>
      <c r="I973" t="s">
        <v>14</v>
      </c>
      <c r="K973" t="str">
        <v>premium</v>
      </c>
      <c r="L973">
        <v>46</v>
      </c>
    </row>
    <row r="974" spans="2:12" x14ac:dyDescent="0.3">
      <c r="B974" t="s">
        <v>958</v>
      </c>
      <c r="C974">
        <v>95</v>
      </c>
      <c r="D974" t="s">
        <v>82</v>
      </c>
      <c r="E974">
        <v>50</v>
      </c>
      <c r="F974">
        <v>67</v>
      </c>
      <c r="G974">
        <v>92.59</v>
      </c>
      <c r="H974" t="s">
        <v>2</v>
      </c>
      <c r="I974" t="s">
        <v>9</v>
      </c>
      <c r="K974" t="str">
        <v>middle</v>
      </c>
      <c r="L974">
        <v>58.5</v>
      </c>
    </row>
    <row r="975" spans="2:12" x14ac:dyDescent="0.3">
      <c r="B975" t="s">
        <v>959</v>
      </c>
      <c r="C975">
        <v>96</v>
      </c>
      <c r="D975" t="s">
        <v>541</v>
      </c>
      <c r="E975">
        <v>35</v>
      </c>
      <c r="F975">
        <v>48</v>
      </c>
      <c r="G975">
        <v>242.5</v>
      </c>
      <c r="H975" t="s">
        <v>2</v>
      </c>
      <c r="I975" t="s">
        <v>9</v>
      </c>
      <c r="K975" t="str">
        <v>premium</v>
      </c>
      <c r="L975">
        <v>41.5</v>
      </c>
    </row>
    <row r="976" spans="2:12" x14ac:dyDescent="0.3">
      <c r="B976" t="s">
        <v>960</v>
      </c>
      <c r="C976">
        <v>95</v>
      </c>
      <c r="D976" t="s">
        <v>41</v>
      </c>
      <c r="E976">
        <v>62</v>
      </c>
      <c r="F976">
        <v>80</v>
      </c>
      <c r="G976">
        <v>66.09</v>
      </c>
      <c r="H976" t="s">
        <v>18</v>
      </c>
      <c r="I976" t="s">
        <v>20</v>
      </c>
      <c r="K976" t="str">
        <v>middle</v>
      </c>
      <c r="L976">
        <v>71</v>
      </c>
    </row>
    <row r="977" spans="2:12" x14ac:dyDescent="0.3">
      <c r="B977" t="s">
        <v>961</v>
      </c>
      <c r="C977">
        <v>95</v>
      </c>
      <c r="D977" t="s">
        <v>41</v>
      </c>
      <c r="E977">
        <v>64</v>
      </c>
      <c r="F977">
        <v>84</v>
      </c>
      <c r="G977">
        <v>165.34</v>
      </c>
      <c r="H977" t="s">
        <v>2</v>
      </c>
      <c r="I977" t="s">
        <v>9</v>
      </c>
      <c r="K977" t="str">
        <v>premium</v>
      </c>
      <c r="L977">
        <v>74</v>
      </c>
    </row>
    <row r="978" spans="2:12" x14ac:dyDescent="0.3">
      <c r="B978" t="s">
        <v>962</v>
      </c>
      <c r="C978">
        <v>95</v>
      </c>
      <c r="D978" t="s">
        <v>41</v>
      </c>
      <c r="E978">
        <v>62</v>
      </c>
      <c r="F978">
        <v>80</v>
      </c>
      <c r="G978">
        <v>180.78</v>
      </c>
      <c r="H978" t="s">
        <v>2</v>
      </c>
      <c r="I978" t="s">
        <v>9</v>
      </c>
      <c r="K978" t="str">
        <v>premium</v>
      </c>
      <c r="L978">
        <v>71</v>
      </c>
    </row>
    <row r="979" spans="2:12" x14ac:dyDescent="0.3">
      <c r="B979" t="s">
        <v>963</v>
      </c>
      <c r="C979">
        <v>94</v>
      </c>
      <c r="D979" t="s">
        <v>45</v>
      </c>
      <c r="E979">
        <v>58</v>
      </c>
      <c r="F979">
        <v>76</v>
      </c>
      <c r="G979">
        <v>121.25</v>
      </c>
      <c r="H979" t="s">
        <v>2</v>
      </c>
      <c r="I979" t="s">
        <v>15</v>
      </c>
      <c r="K979" t="str">
        <v>premium</v>
      </c>
      <c r="L979">
        <v>67</v>
      </c>
    </row>
    <row r="980" spans="2:12" x14ac:dyDescent="0.3">
      <c r="B980" t="s">
        <v>964</v>
      </c>
      <c r="C980">
        <v>94</v>
      </c>
      <c r="D980" t="s">
        <v>45</v>
      </c>
      <c r="E980">
        <v>58</v>
      </c>
      <c r="F980">
        <v>76</v>
      </c>
      <c r="G980">
        <v>280</v>
      </c>
      <c r="H980" t="s">
        <v>2</v>
      </c>
      <c r="I980" t="s">
        <v>9</v>
      </c>
      <c r="K980" t="str">
        <v>premium</v>
      </c>
      <c r="L980">
        <v>67</v>
      </c>
    </row>
    <row r="981" spans="2:12" x14ac:dyDescent="0.3">
      <c r="B981" t="s">
        <v>965</v>
      </c>
      <c r="C981">
        <v>94</v>
      </c>
      <c r="D981" t="s">
        <v>41</v>
      </c>
      <c r="E981">
        <v>64</v>
      </c>
      <c r="F981">
        <v>80</v>
      </c>
      <c r="G981">
        <v>220.26</v>
      </c>
      <c r="H981" t="s">
        <v>2</v>
      </c>
      <c r="I981" t="s">
        <v>9</v>
      </c>
      <c r="K981" t="str">
        <v>premium</v>
      </c>
      <c r="L981">
        <v>72</v>
      </c>
    </row>
    <row r="982" spans="2:12" x14ac:dyDescent="0.3">
      <c r="B982" t="s">
        <v>966</v>
      </c>
      <c r="C982">
        <v>95</v>
      </c>
      <c r="D982" t="s">
        <v>45</v>
      </c>
      <c r="E982">
        <v>54</v>
      </c>
      <c r="F982">
        <v>78</v>
      </c>
      <c r="G982">
        <v>132.28</v>
      </c>
      <c r="H982" t="s">
        <v>2</v>
      </c>
      <c r="I982" t="s">
        <v>15</v>
      </c>
      <c r="K982" t="str">
        <v>premium</v>
      </c>
      <c r="L982">
        <v>66</v>
      </c>
    </row>
    <row r="983" spans="2:12" x14ac:dyDescent="0.3">
      <c r="B983" t="s">
        <v>967</v>
      </c>
      <c r="C983">
        <v>94</v>
      </c>
      <c r="D983" t="s">
        <v>45</v>
      </c>
      <c r="E983">
        <v>60</v>
      </c>
      <c r="F983">
        <v>80</v>
      </c>
      <c r="G983">
        <v>127.87</v>
      </c>
      <c r="H983" t="s">
        <v>2</v>
      </c>
      <c r="I983" t="s">
        <v>9</v>
      </c>
      <c r="K983" t="str">
        <v>premium</v>
      </c>
      <c r="L983">
        <v>70</v>
      </c>
    </row>
    <row r="984" spans="2:12" x14ac:dyDescent="0.3">
      <c r="B984" t="s">
        <v>968</v>
      </c>
      <c r="C984">
        <v>94</v>
      </c>
      <c r="D984" t="s">
        <v>45</v>
      </c>
      <c r="E984">
        <v>60</v>
      </c>
      <c r="F984">
        <v>78</v>
      </c>
      <c r="G984">
        <v>299.56</v>
      </c>
      <c r="H984" t="s">
        <v>2</v>
      </c>
      <c r="I984" t="s">
        <v>8</v>
      </c>
      <c r="K984" t="str">
        <v>premium</v>
      </c>
      <c r="L984">
        <v>69</v>
      </c>
    </row>
    <row r="985" spans="2:12" x14ac:dyDescent="0.3">
      <c r="B985" t="s">
        <v>969</v>
      </c>
      <c r="C985">
        <v>94</v>
      </c>
      <c r="D985" t="s">
        <v>41</v>
      </c>
      <c r="E985">
        <v>64</v>
      </c>
      <c r="F985">
        <v>84</v>
      </c>
      <c r="G985">
        <v>22.02</v>
      </c>
      <c r="H985" t="s">
        <v>18</v>
      </c>
      <c r="I985" t="s">
        <v>5</v>
      </c>
      <c r="K985" t="str">
        <v>budget</v>
      </c>
      <c r="L985">
        <v>74</v>
      </c>
    </row>
    <row r="986" spans="2:12" x14ac:dyDescent="0.3">
      <c r="B986" t="s">
        <v>609</v>
      </c>
      <c r="C986">
        <v>94</v>
      </c>
      <c r="D986" t="s">
        <v>41</v>
      </c>
      <c r="E986">
        <v>60</v>
      </c>
      <c r="F986">
        <v>82</v>
      </c>
      <c r="G986">
        <v>4.7</v>
      </c>
      <c r="H986" t="s">
        <v>18</v>
      </c>
      <c r="I986" t="s">
        <v>19</v>
      </c>
      <c r="K986" t="str">
        <v>budget</v>
      </c>
      <c r="L986">
        <v>71</v>
      </c>
    </row>
    <row r="987" spans="2:12" x14ac:dyDescent="0.3">
      <c r="B987" t="s">
        <v>970</v>
      </c>
      <c r="C987">
        <v>94</v>
      </c>
      <c r="D987" t="s">
        <v>45</v>
      </c>
      <c r="E987">
        <v>60</v>
      </c>
      <c r="F987">
        <v>78</v>
      </c>
      <c r="G987">
        <v>154.19</v>
      </c>
      <c r="H987" t="s">
        <v>2</v>
      </c>
      <c r="I987" t="s">
        <v>9</v>
      </c>
      <c r="K987" t="str">
        <v>premium</v>
      </c>
      <c r="L987">
        <v>69</v>
      </c>
    </row>
    <row r="988" spans="2:12" x14ac:dyDescent="0.3">
      <c r="B988" t="s">
        <v>971</v>
      </c>
      <c r="C988">
        <v>95</v>
      </c>
      <c r="D988" t="s">
        <v>45</v>
      </c>
      <c r="E988">
        <v>58</v>
      </c>
      <c r="F988">
        <v>78</v>
      </c>
      <c r="G988">
        <v>5.29</v>
      </c>
      <c r="H988" t="s">
        <v>18</v>
      </c>
      <c r="I988" t="s">
        <v>14</v>
      </c>
      <c r="K988" t="str">
        <v>budget</v>
      </c>
      <c r="L988">
        <v>68</v>
      </c>
    </row>
    <row r="989" spans="2:12" x14ac:dyDescent="0.3">
      <c r="B989" t="s">
        <v>972</v>
      </c>
      <c r="C989">
        <v>94</v>
      </c>
      <c r="D989" t="s">
        <v>41</v>
      </c>
      <c r="E989">
        <v>63</v>
      </c>
      <c r="F989">
        <v>83</v>
      </c>
      <c r="G989">
        <v>15.43</v>
      </c>
      <c r="H989" t="s">
        <v>18</v>
      </c>
      <c r="I989" t="s">
        <v>8</v>
      </c>
      <c r="K989" t="str">
        <v>budget</v>
      </c>
      <c r="L989">
        <v>73</v>
      </c>
    </row>
    <row r="990" spans="2:12" x14ac:dyDescent="0.3">
      <c r="B990" t="s">
        <v>973</v>
      </c>
      <c r="C990">
        <v>94</v>
      </c>
      <c r="D990" t="s">
        <v>41</v>
      </c>
      <c r="E990">
        <v>62</v>
      </c>
      <c r="F990">
        <v>80</v>
      </c>
      <c r="G990">
        <v>300</v>
      </c>
      <c r="H990" t="s">
        <v>2</v>
      </c>
      <c r="I990" t="s">
        <v>15</v>
      </c>
      <c r="K990" t="str">
        <v>premium</v>
      </c>
      <c r="L990">
        <v>71</v>
      </c>
    </row>
    <row r="991" spans="2:12" x14ac:dyDescent="0.3">
      <c r="B991" t="s">
        <v>974</v>
      </c>
      <c r="C991">
        <v>94</v>
      </c>
      <c r="D991" t="s">
        <v>82</v>
      </c>
      <c r="E991">
        <v>56</v>
      </c>
      <c r="F991">
        <v>64</v>
      </c>
      <c r="G991">
        <v>7.94</v>
      </c>
      <c r="H991" t="s">
        <v>18</v>
      </c>
      <c r="I991" t="s">
        <v>14</v>
      </c>
      <c r="K991" t="str">
        <v>budget</v>
      </c>
      <c r="L991">
        <v>60</v>
      </c>
    </row>
    <row r="992" spans="2:12" x14ac:dyDescent="0.3">
      <c r="B992" t="s">
        <v>975</v>
      </c>
      <c r="C992">
        <v>94</v>
      </c>
      <c r="D992" t="s">
        <v>41</v>
      </c>
      <c r="E992">
        <v>82</v>
      </c>
      <c r="F992">
        <v>104</v>
      </c>
      <c r="G992">
        <v>2980</v>
      </c>
      <c r="H992" t="s">
        <v>27</v>
      </c>
      <c r="I992" t="s">
        <v>3</v>
      </c>
      <c r="K992" t="str">
        <v>premium</v>
      </c>
      <c r="L992">
        <v>93</v>
      </c>
    </row>
    <row r="993" spans="2:12" x14ac:dyDescent="0.3">
      <c r="B993" t="s">
        <v>976</v>
      </c>
      <c r="C993">
        <v>94</v>
      </c>
      <c r="D993" t="s">
        <v>541</v>
      </c>
      <c r="E993">
        <v>42</v>
      </c>
      <c r="F993">
        <v>58</v>
      </c>
      <c r="G993">
        <v>352.73</v>
      </c>
      <c r="H993" t="s">
        <v>2</v>
      </c>
      <c r="I993" t="s">
        <v>17</v>
      </c>
      <c r="K993" t="str">
        <v>premium</v>
      </c>
      <c r="L993">
        <v>50</v>
      </c>
    </row>
    <row r="994" spans="2:12" x14ac:dyDescent="0.3">
      <c r="B994" t="s">
        <v>977</v>
      </c>
      <c r="C994">
        <v>95</v>
      </c>
      <c r="D994" t="s">
        <v>45</v>
      </c>
      <c r="E994">
        <v>58</v>
      </c>
      <c r="F994">
        <v>78</v>
      </c>
      <c r="G994">
        <v>5.29</v>
      </c>
      <c r="H994" t="s">
        <v>18</v>
      </c>
      <c r="I994" t="s">
        <v>9</v>
      </c>
      <c r="K994" t="str">
        <v>budget</v>
      </c>
      <c r="L994">
        <v>68</v>
      </c>
    </row>
    <row r="995" spans="2:12" x14ac:dyDescent="0.3">
      <c r="B995" t="s">
        <v>978</v>
      </c>
      <c r="C995">
        <v>95</v>
      </c>
      <c r="D995" t="s">
        <v>45</v>
      </c>
      <c r="E995">
        <v>60</v>
      </c>
      <c r="F995">
        <v>78</v>
      </c>
      <c r="G995">
        <v>7.05</v>
      </c>
      <c r="H995" t="s">
        <v>18</v>
      </c>
      <c r="I995" t="s">
        <v>15</v>
      </c>
      <c r="K995" t="str">
        <v>budget</v>
      </c>
      <c r="L995">
        <v>69</v>
      </c>
    </row>
    <row r="996" spans="2:12" x14ac:dyDescent="0.3">
      <c r="B996" t="s">
        <v>979</v>
      </c>
      <c r="C996">
        <v>94</v>
      </c>
      <c r="D996" t="s">
        <v>45</v>
      </c>
      <c r="E996">
        <v>60</v>
      </c>
      <c r="F996">
        <v>78</v>
      </c>
      <c r="G996">
        <v>25.57</v>
      </c>
      <c r="H996" t="s">
        <v>18</v>
      </c>
      <c r="I996" t="s">
        <v>5</v>
      </c>
      <c r="K996" t="str">
        <v>middle</v>
      </c>
      <c r="L996">
        <v>69</v>
      </c>
    </row>
    <row r="997" spans="2:12" x14ac:dyDescent="0.3">
      <c r="B997" t="s">
        <v>980</v>
      </c>
      <c r="C997">
        <v>94</v>
      </c>
      <c r="D997" t="s">
        <v>45</v>
      </c>
      <c r="E997">
        <v>60</v>
      </c>
      <c r="F997">
        <v>77</v>
      </c>
      <c r="G997">
        <v>8.23</v>
      </c>
      <c r="H997" t="s">
        <v>18</v>
      </c>
      <c r="I997" t="s">
        <v>14</v>
      </c>
      <c r="K997" t="str">
        <v>budget</v>
      </c>
      <c r="L997">
        <v>68.5</v>
      </c>
    </row>
    <row r="998" spans="2:12" x14ac:dyDescent="0.3">
      <c r="B998" t="s">
        <v>981</v>
      </c>
      <c r="C998">
        <v>95</v>
      </c>
      <c r="D998" t="s">
        <v>45</v>
      </c>
      <c r="E998">
        <v>58</v>
      </c>
      <c r="F998">
        <v>80</v>
      </c>
      <c r="G998">
        <v>22.05</v>
      </c>
      <c r="H998" t="s">
        <v>18</v>
      </c>
      <c r="I998" t="s">
        <v>18</v>
      </c>
      <c r="K998" t="str">
        <v>budget</v>
      </c>
      <c r="L998">
        <v>69</v>
      </c>
    </row>
    <row r="999" spans="2:12" x14ac:dyDescent="0.3">
      <c r="B999" t="s">
        <v>982</v>
      </c>
      <c r="C999">
        <v>94</v>
      </c>
      <c r="D999" t="s">
        <v>41</v>
      </c>
      <c r="E999">
        <v>62</v>
      </c>
      <c r="F999">
        <v>80</v>
      </c>
      <c r="G999">
        <v>13.23</v>
      </c>
      <c r="H999" t="s">
        <v>18</v>
      </c>
      <c r="I999" t="s">
        <v>4</v>
      </c>
      <c r="K999" t="str">
        <v>budget</v>
      </c>
      <c r="L999">
        <v>71</v>
      </c>
    </row>
    <row r="1000" spans="2:12" x14ac:dyDescent="0.3">
      <c r="B1000" t="s">
        <v>276</v>
      </c>
      <c r="C1000">
        <v>95</v>
      </c>
      <c r="D1000" t="s">
        <v>45</v>
      </c>
      <c r="E1000">
        <v>58</v>
      </c>
      <c r="F1000">
        <v>80</v>
      </c>
      <c r="G1000">
        <v>6.03</v>
      </c>
      <c r="H1000" t="s">
        <v>18</v>
      </c>
      <c r="I1000" t="s">
        <v>12</v>
      </c>
      <c r="K1000" t="str">
        <v>budget</v>
      </c>
      <c r="L1000">
        <v>69</v>
      </c>
    </row>
    <row r="1001" spans="2:12" x14ac:dyDescent="0.3">
      <c r="B1001" t="s">
        <v>983</v>
      </c>
      <c r="C1001">
        <v>95</v>
      </c>
      <c r="D1001" t="s">
        <v>45</v>
      </c>
      <c r="E1001">
        <v>56</v>
      </c>
      <c r="F1001">
        <v>76</v>
      </c>
      <c r="G1001">
        <v>6.17</v>
      </c>
      <c r="H1001" t="s">
        <v>18</v>
      </c>
      <c r="I1001" t="s">
        <v>4</v>
      </c>
      <c r="K1001" t="str">
        <v>budget</v>
      </c>
      <c r="L1001">
        <v>66</v>
      </c>
    </row>
    <row r="1002" spans="2:12" x14ac:dyDescent="0.3">
      <c r="B1002" t="s">
        <v>118</v>
      </c>
      <c r="C1002">
        <v>94</v>
      </c>
      <c r="D1002" t="s">
        <v>45</v>
      </c>
      <c r="E1002">
        <v>56</v>
      </c>
      <c r="F1002">
        <v>74</v>
      </c>
      <c r="G1002">
        <v>5.26</v>
      </c>
      <c r="H1002" t="s">
        <v>18</v>
      </c>
      <c r="I1002" t="s">
        <v>16</v>
      </c>
      <c r="K1002" t="str">
        <v>budget</v>
      </c>
      <c r="L1002">
        <v>65</v>
      </c>
    </row>
    <row r="1003" spans="2:12" x14ac:dyDescent="0.3">
      <c r="B1003" t="s">
        <v>984</v>
      </c>
      <c r="C1003">
        <v>94</v>
      </c>
      <c r="D1003" t="s">
        <v>45</v>
      </c>
      <c r="E1003">
        <v>58</v>
      </c>
      <c r="F1003">
        <v>78</v>
      </c>
      <c r="G1003">
        <v>5.88</v>
      </c>
      <c r="H1003" t="s">
        <v>18</v>
      </c>
      <c r="I1003" t="s">
        <v>14</v>
      </c>
      <c r="K1003" t="str">
        <v>budget</v>
      </c>
      <c r="L1003">
        <v>68</v>
      </c>
    </row>
    <row r="1004" spans="2:12" x14ac:dyDescent="0.3">
      <c r="B1004" t="s">
        <v>985</v>
      </c>
      <c r="C1004">
        <v>94</v>
      </c>
      <c r="D1004" t="s">
        <v>41</v>
      </c>
      <c r="E1004">
        <v>62</v>
      </c>
      <c r="F1004">
        <v>80</v>
      </c>
      <c r="G1004">
        <v>26.41</v>
      </c>
      <c r="H1004" t="s">
        <v>18</v>
      </c>
      <c r="I1004" t="s">
        <v>22</v>
      </c>
      <c r="K1004" t="str">
        <v>middle</v>
      </c>
      <c r="L1004">
        <v>71</v>
      </c>
    </row>
    <row r="1005" spans="2:12" x14ac:dyDescent="0.3">
      <c r="B1005" t="s">
        <v>986</v>
      </c>
      <c r="C1005">
        <v>95</v>
      </c>
      <c r="D1005" t="s">
        <v>45</v>
      </c>
      <c r="E1005">
        <v>52</v>
      </c>
      <c r="F1005">
        <v>70</v>
      </c>
      <c r="G1005">
        <v>7.05</v>
      </c>
      <c r="H1005" t="s">
        <v>2</v>
      </c>
      <c r="I1005" t="s">
        <v>9</v>
      </c>
      <c r="K1005" t="str">
        <v>budget</v>
      </c>
      <c r="L1005">
        <v>61</v>
      </c>
    </row>
    <row r="1006" spans="2:12" x14ac:dyDescent="0.3">
      <c r="B1006" t="s">
        <v>987</v>
      </c>
      <c r="C1006">
        <v>94</v>
      </c>
      <c r="D1006" t="s">
        <v>41</v>
      </c>
      <c r="E1006">
        <v>62</v>
      </c>
      <c r="F1006">
        <v>80</v>
      </c>
      <c r="G1006">
        <v>5.88</v>
      </c>
      <c r="H1006" t="s">
        <v>2</v>
      </c>
      <c r="I1006" t="s">
        <v>9</v>
      </c>
      <c r="K1006" t="str">
        <v>budget</v>
      </c>
      <c r="L1006">
        <v>71</v>
      </c>
    </row>
    <row r="1007" spans="2:12" x14ac:dyDescent="0.3">
      <c r="B1007" t="s">
        <v>988</v>
      </c>
      <c r="C1007">
        <v>94</v>
      </c>
      <c r="D1007" t="s">
        <v>45</v>
      </c>
      <c r="E1007">
        <v>56</v>
      </c>
      <c r="F1007">
        <v>74</v>
      </c>
      <c r="G1007">
        <v>5.88</v>
      </c>
      <c r="H1007" t="s">
        <v>18</v>
      </c>
      <c r="I1007" t="s">
        <v>23</v>
      </c>
      <c r="K1007" t="str">
        <v>budget</v>
      </c>
      <c r="L1007">
        <v>65</v>
      </c>
    </row>
    <row r="1008" spans="2:12" x14ac:dyDescent="0.3">
      <c r="B1008" t="s">
        <v>989</v>
      </c>
      <c r="C1008">
        <v>94</v>
      </c>
      <c r="D1008" t="s">
        <v>45</v>
      </c>
      <c r="E1008">
        <v>60</v>
      </c>
      <c r="F1008">
        <v>78</v>
      </c>
      <c r="G1008">
        <v>5</v>
      </c>
      <c r="H1008" t="s">
        <v>18</v>
      </c>
      <c r="I1008" t="s">
        <v>17</v>
      </c>
      <c r="K1008" t="str">
        <v>budget</v>
      </c>
      <c r="L1008">
        <v>69</v>
      </c>
    </row>
    <row r="1009" spans="2:12" x14ac:dyDescent="0.3">
      <c r="B1009" t="s">
        <v>990</v>
      </c>
      <c r="C1009">
        <v>94</v>
      </c>
      <c r="D1009" t="s">
        <v>45</v>
      </c>
      <c r="E1009">
        <v>58</v>
      </c>
      <c r="F1009">
        <v>78</v>
      </c>
      <c r="G1009">
        <v>4.9800000000000004</v>
      </c>
      <c r="H1009" t="s">
        <v>18</v>
      </c>
      <c r="I1009" t="s">
        <v>20</v>
      </c>
      <c r="K1009" t="str">
        <v>budget</v>
      </c>
      <c r="L1009">
        <v>68</v>
      </c>
    </row>
    <row r="1010" spans="2:12" x14ac:dyDescent="0.3">
      <c r="B1010" t="s">
        <v>991</v>
      </c>
      <c r="C1010">
        <v>94</v>
      </c>
      <c r="D1010" t="s">
        <v>45</v>
      </c>
      <c r="E1010">
        <v>58</v>
      </c>
      <c r="F1010">
        <v>78</v>
      </c>
      <c r="G1010">
        <v>6.32</v>
      </c>
      <c r="H1010" t="s">
        <v>18</v>
      </c>
      <c r="I1010" t="s">
        <v>17</v>
      </c>
      <c r="K1010" t="str">
        <v>budget</v>
      </c>
      <c r="L1010">
        <v>68</v>
      </c>
    </row>
    <row r="1011" spans="2:12" x14ac:dyDescent="0.3">
      <c r="B1011" t="s">
        <v>992</v>
      </c>
      <c r="C1011">
        <v>94</v>
      </c>
      <c r="D1011" t="s">
        <v>45</v>
      </c>
      <c r="E1011">
        <v>53</v>
      </c>
      <c r="F1011">
        <v>71</v>
      </c>
      <c r="G1011">
        <v>3.97</v>
      </c>
      <c r="H1011" t="s">
        <v>18</v>
      </c>
      <c r="I1011" t="s">
        <v>20</v>
      </c>
      <c r="K1011" t="str">
        <v>budget</v>
      </c>
      <c r="L1011">
        <v>62</v>
      </c>
    </row>
    <row r="1012" spans="2:12" x14ac:dyDescent="0.3">
      <c r="B1012" t="s">
        <v>993</v>
      </c>
      <c r="C1012">
        <v>95</v>
      </c>
      <c r="D1012" t="s">
        <v>41</v>
      </c>
      <c r="E1012">
        <v>60</v>
      </c>
      <c r="F1012">
        <v>84</v>
      </c>
      <c r="G1012">
        <v>7.33</v>
      </c>
      <c r="H1012" t="s">
        <v>18</v>
      </c>
      <c r="I1012" t="s">
        <v>20</v>
      </c>
      <c r="K1012" t="str">
        <v>budget</v>
      </c>
      <c r="L1012">
        <v>72</v>
      </c>
    </row>
    <row r="1013" spans="2:12" x14ac:dyDescent="0.3">
      <c r="B1013" t="s">
        <v>994</v>
      </c>
      <c r="C1013">
        <v>96</v>
      </c>
      <c r="D1013" t="s">
        <v>45</v>
      </c>
      <c r="E1013">
        <v>60</v>
      </c>
      <c r="F1013">
        <v>78</v>
      </c>
      <c r="G1013">
        <v>127.87</v>
      </c>
      <c r="H1013" t="s">
        <v>2</v>
      </c>
      <c r="I1013" t="s">
        <v>9</v>
      </c>
      <c r="K1013" t="str">
        <v>premium</v>
      </c>
      <c r="L1013">
        <v>69</v>
      </c>
    </row>
    <row r="1014" spans="2:12" x14ac:dyDescent="0.3">
      <c r="B1014" t="s">
        <v>995</v>
      </c>
      <c r="C1014">
        <v>95</v>
      </c>
      <c r="D1014" t="s">
        <v>45</v>
      </c>
      <c r="E1014">
        <v>58</v>
      </c>
      <c r="F1014">
        <v>78</v>
      </c>
      <c r="G1014">
        <v>6.02</v>
      </c>
      <c r="H1014" t="s">
        <v>18</v>
      </c>
      <c r="I1014" t="s">
        <v>9</v>
      </c>
      <c r="K1014" t="str">
        <v>budget</v>
      </c>
      <c r="L1014">
        <v>68</v>
      </c>
    </row>
    <row r="1015" spans="2:12" x14ac:dyDescent="0.3">
      <c r="B1015" t="s">
        <v>996</v>
      </c>
      <c r="C1015">
        <v>95</v>
      </c>
      <c r="D1015" t="s">
        <v>45</v>
      </c>
      <c r="E1015">
        <v>58</v>
      </c>
      <c r="F1015">
        <v>78</v>
      </c>
      <c r="G1015">
        <v>617.28</v>
      </c>
      <c r="H1015" t="s">
        <v>2</v>
      </c>
      <c r="I1015" t="s">
        <v>2</v>
      </c>
      <c r="K1015" t="str">
        <v>premium</v>
      </c>
      <c r="L1015">
        <v>68</v>
      </c>
    </row>
    <row r="1016" spans="2:12" x14ac:dyDescent="0.3">
      <c r="B1016" t="s">
        <v>997</v>
      </c>
      <c r="C1016">
        <v>95</v>
      </c>
      <c r="D1016" t="s">
        <v>41</v>
      </c>
      <c r="E1016">
        <v>60</v>
      </c>
      <c r="F1016">
        <v>82</v>
      </c>
      <c r="G1016">
        <v>143.30000000000001</v>
      </c>
      <c r="H1016" t="s">
        <v>2</v>
      </c>
      <c r="I1016" t="s">
        <v>9</v>
      </c>
      <c r="K1016" t="str">
        <v>premium</v>
      </c>
      <c r="L1016">
        <v>71</v>
      </c>
    </row>
    <row r="1017" spans="2:12" x14ac:dyDescent="0.3">
      <c r="B1017" t="s">
        <v>998</v>
      </c>
      <c r="C1017">
        <v>94</v>
      </c>
      <c r="D1017" t="s">
        <v>45</v>
      </c>
      <c r="E1017">
        <v>58</v>
      </c>
      <c r="F1017">
        <v>76</v>
      </c>
      <c r="G1017">
        <v>143.30000000000001</v>
      </c>
      <c r="H1017" t="s">
        <v>2</v>
      </c>
      <c r="I1017" t="s">
        <v>12</v>
      </c>
      <c r="K1017" t="str">
        <v>premium</v>
      </c>
      <c r="L1017">
        <v>67</v>
      </c>
    </row>
    <row r="1018" spans="2:12" x14ac:dyDescent="0.3">
      <c r="B1018" t="s">
        <v>999</v>
      </c>
      <c r="C1018">
        <v>95</v>
      </c>
      <c r="D1018" t="s">
        <v>45</v>
      </c>
      <c r="E1018">
        <v>60</v>
      </c>
      <c r="F1018">
        <v>78</v>
      </c>
      <c r="G1018">
        <v>250</v>
      </c>
      <c r="H1018" t="s">
        <v>2</v>
      </c>
      <c r="I1018" t="s">
        <v>9</v>
      </c>
      <c r="K1018" t="str">
        <v>premium</v>
      </c>
      <c r="L1018">
        <v>69</v>
      </c>
    </row>
    <row r="1019" spans="2:12" x14ac:dyDescent="0.3">
      <c r="B1019" t="s">
        <v>1000</v>
      </c>
      <c r="C1019">
        <v>94</v>
      </c>
      <c r="D1019" t="s">
        <v>45</v>
      </c>
      <c r="E1019">
        <v>58</v>
      </c>
      <c r="F1019">
        <v>76</v>
      </c>
      <c r="G1019">
        <v>275</v>
      </c>
      <c r="H1019" t="s">
        <v>2</v>
      </c>
      <c r="I1019" t="s">
        <v>12</v>
      </c>
      <c r="K1019" t="str">
        <v>premium</v>
      </c>
      <c r="L1019">
        <v>67</v>
      </c>
    </row>
    <row r="1020" spans="2:12" x14ac:dyDescent="0.3">
      <c r="B1020" t="s">
        <v>1001</v>
      </c>
      <c r="C1020">
        <v>94</v>
      </c>
      <c r="D1020" t="s">
        <v>45</v>
      </c>
      <c r="E1020">
        <v>56</v>
      </c>
      <c r="F1020">
        <v>76</v>
      </c>
      <c r="G1020">
        <v>225</v>
      </c>
      <c r="H1020" t="s">
        <v>2</v>
      </c>
      <c r="I1020" t="s">
        <v>9</v>
      </c>
      <c r="K1020" t="str">
        <v>premium</v>
      </c>
      <c r="L1020">
        <v>66</v>
      </c>
    </row>
    <row r="1021" spans="2:12" x14ac:dyDescent="0.3">
      <c r="B1021" t="s">
        <v>1002</v>
      </c>
      <c r="C1021">
        <v>94</v>
      </c>
      <c r="D1021" t="s">
        <v>45</v>
      </c>
      <c r="E1021">
        <v>60</v>
      </c>
      <c r="F1021">
        <v>77</v>
      </c>
      <c r="G1021">
        <v>10</v>
      </c>
      <c r="H1021" t="s">
        <v>18</v>
      </c>
      <c r="I1021" t="s">
        <v>9</v>
      </c>
      <c r="K1021" t="str">
        <v>budget</v>
      </c>
      <c r="L1021">
        <v>68.5</v>
      </c>
    </row>
    <row r="1022" spans="2:12" x14ac:dyDescent="0.3">
      <c r="B1022" t="s">
        <v>1003</v>
      </c>
      <c r="C1022">
        <v>94</v>
      </c>
      <c r="D1022" t="s">
        <v>45</v>
      </c>
      <c r="E1022">
        <v>58</v>
      </c>
      <c r="F1022">
        <v>78</v>
      </c>
      <c r="G1022">
        <v>5.28</v>
      </c>
      <c r="H1022" t="s">
        <v>18</v>
      </c>
      <c r="I1022" t="s">
        <v>9</v>
      </c>
      <c r="K1022" t="str">
        <v>budget</v>
      </c>
      <c r="L1022">
        <v>68</v>
      </c>
    </row>
    <row r="1023" spans="2:12" x14ac:dyDescent="0.3">
      <c r="B1023" t="s">
        <v>1004</v>
      </c>
      <c r="C1023">
        <v>95</v>
      </c>
      <c r="D1023" t="s">
        <v>45</v>
      </c>
      <c r="E1023">
        <v>56</v>
      </c>
      <c r="F1023">
        <v>76</v>
      </c>
      <c r="G1023">
        <v>6.47</v>
      </c>
      <c r="H1023" t="s">
        <v>18</v>
      </c>
      <c r="I1023" t="s">
        <v>12</v>
      </c>
      <c r="K1023" t="str">
        <v>budget</v>
      </c>
      <c r="L1023">
        <v>66</v>
      </c>
    </row>
    <row r="1024" spans="2:12" x14ac:dyDescent="0.3">
      <c r="B1024" t="s">
        <v>1005</v>
      </c>
      <c r="C1024">
        <v>94</v>
      </c>
      <c r="D1024" t="s">
        <v>41</v>
      </c>
      <c r="E1024">
        <v>62</v>
      </c>
      <c r="F1024">
        <v>80</v>
      </c>
      <c r="G1024">
        <v>7.35</v>
      </c>
      <c r="H1024" t="s">
        <v>18</v>
      </c>
      <c r="I1024" t="s">
        <v>14</v>
      </c>
      <c r="K1024" t="str">
        <v>budget</v>
      </c>
      <c r="L1024">
        <v>71</v>
      </c>
    </row>
    <row r="1025" spans="2:12" x14ac:dyDescent="0.3">
      <c r="B1025" t="s">
        <v>1006</v>
      </c>
      <c r="C1025">
        <v>94</v>
      </c>
      <c r="D1025" t="s">
        <v>45</v>
      </c>
      <c r="E1025">
        <v>57</v>
      </c>
      <c r="F1025">
        <v>73</v>
      </c>
      <c r="G1025">
        <v>7.35</v>
      </c>
      <c r="H1025" t="s">
        <v>18</v>
      </c>
      <c r="I1025" t="s">
        <v>9</v>
      </c>
      <c r="K1025" t="str">
        <v>budget</v>
      </c>
      <c r="L1025">
        <v>65</v>
      </c>
    </row>
    <row r="1026" spans="2:12" x14ac:dyDescent="0.3">
      <c r="B1026" t="s">
        <v>1007</v>
      </c>
      <c r="C1026">
        <v>94</v>
      </c>
      <c r="D1026" t="s">
        <v>45</v>
      </c>
      <c r="E1026">
        <v>56</v>
      </c>
      <c r="F1026">
        <v>72</v>
      </c>
      <c r="G1026">
        <v>7.35</v>
      </c>
      <c r="H1026" t="s">
        <v>14</v>
      </c>
      <c r="I1026" t="s">
        <v>14</v>
      </c>
      <c r="K1026" t="str">
        <v>budget</v>
      </c>
      <c r="L1026">
        <v>64</v>
      </c>
    </row>
    <row r="1027" spans="2:12" x14ac:dyDescent="0.3">
      <c r="B1027" t="s">
        <v>1008</v>
      </c>
      <c r="C1027">
        <v>94</v>
      </c>
      <c r="D1027" t="s">
        <v>45</v>
      </c>
      <c r="E1027">
        <v>58</v>
      </c>
      <c r="F1027">
        <v>80</v>
      </c>
      <c r="G1027">
        <v>7.94</v>
      </c>
      <c r="H1027" t="s">
        <v>18</v>
      </c>
      <c r="I1027" t="s">
        <v>14</v>
      </c>
      <c r="K1027" t="str">
        <v>budget</v>
      </c>
      <c r="L1027">
        <v>69</v>
      </c>
    </row>
    <row r="1028" spans="2:12" x14ac:dyDescent="0.3">
      <c r="B1028" t="s">
        <v>1009</v>
      </c>
      <c r="C1028">
        <v>94</v>
      </c>
      <c r="D1028" t="s">
        <v>45</v>
      </c>
      <c r="E1028">
        <v>57</v>
      </c>
      <c r="F1028">
        <v>77</v>
      </c>
      <c r="G1028">
        <v>7.35</v>
      </c>
      <c r="H1028" t="s">
        <v>18</v>
      </c>
      <c r="I1028" t="s">
        <v>14</v>
      </c>
      <c r="K1028" t="str">
        <v>budget</v>
      </c>
      <c r="L1028">
        <v>67</v>
      </c>
    </row>
    <row r="1029" spans="2:12" x14ac:dyDescent="0.3">
      <c r="B1029" t="s">
        <v>1010</v>
      </c>
      <c r="C1029">
        <v>96</v>
      </c>
      <c r="D1029" t="s">
        <v>45</v>
      </c>
      <c r="E1029">
        <v>58</v>
      </c>
      <c r="F1029">
        <v>80</v>
      </c>
      <c r="G1029">
        <v>220.26</v>
      </c>
      <c r="H1029" t="s">
        <v>2</v>
      </c>
      <c r="I1029" t="s">
        <v>15</v>
      </c>
      <c r="K1029" t="str">
        <v>premium</v>
      </c>
      <c r="L1029">
        <v>69</v>
      </c>
    </row>
    <row r="1030" spans="2:12" x14ac:dyDescent="0.3">
      <c r="B1030" t="s">
        <v>1011</v>
      </c>
      <c r="C1030">
        <v>95</v>
      </c>
      <c r="D1030" t="s">
        <v>45</v>
      </c>
      <c r="E1030">
        <v>54</v>
      </c>
      <c r="F1030">
        <v>74</v>
      </c>
      <c r="G1030">
        <v>210</v>
      </c>
      <c r="H1030" t="s">
        <v>2</v>
      </c>
      <c r="I1030" t="s">
        <v>10</v>
      </c>
      <c r="K1030" t="str">
        <v>premium</v>
      </c>
      <c r="L1030">
        <v>64</v>
      </c>
    </row>
    <row r="1031" spans="2:12" x14ac:dyDescent="0.3">
      <c r="B1031" t="s">
        <v>1012</v>
      </c>
      <c r="C1031">
        <v>94</v>
      </c>
      <c r="D1031" t="s">
        <v>45</v>
      </c>
      <c r="E1031">
        <v>60</v>
      </c>
      <c r="F1031">
        <v>78</v>
      </c>
      <c r="G1031">
        <v>396.48</v>
      </c>
      <c r="H1031" t="s">
        <v>2</v>
      </c>
      <c r="I1031" t="s">
        <v>9</v>
      </c>
      <c r="K1031" t="str">
        <v>premium</v>
      </c>
      <c r="L1031">
        <v>69</v>
      </c>
    </row>
    <row r="1032" spans="2:12" x14ac:dyDescent="0.3">
      <c r="B1032" t="s">
        <v>1013</v>
      </c>
      <c r="C1032">
        <v>95</v>
      </c>
      <c r="D1032" t="s">
        <v>45</v>
      </c>
      <c r="E1032">
        <v>59</v>
      </c>
      <c r="F1032">
        <v>77</v>
      </c>
      <c r="G1032">
        <v>20</v>
      </c>
      <c r="H1032" t="s">
        <v>18</v>
      </c>
      <c r="I1032" t="s">
        <v>14</v>
      </c>
      <c r="K1032" t="str">
        <v>budget</v>
      </c>
      <c r="L1032">
        <v>68</v>
      </c>
    </row>
    <row r="1033" spans="2:12" x14ac:dyDescent="0.3">
      <c r="B1033" t="s">
        <v>1014</v>
      </c>
      <c r="C1033">
        <v>95</v>
      </c>
      <c r="D1033" t="s">
        <v>45</v>
      </c>
      <c r="E1033">
        <v>57</v>
      </c>
      <c r="F1033">
        <v>77</v>
      </c>
      <c r="G1033">
        <v>246.7</v>
      </c>
      <c r="H1033" t="s">
        <v>2</v>
      </c>
      <c r="I1033" t="s">
        <v>9</v>
      </c>
      <c r="K1033" t="str">
        <v>premium</v>
      </c>
      <c r="L1033">
        <v>67</v>
      </c>
    </row>
    <row r="1034" spans="2:12" x14ac:dyDescent="0.3">
      <c r="B1034" t="s">
        <v>1015</v>
      </c>
      <c r="C1034">
        <v>95</v>
      </c>
      <c r="D1034" t="s">
        <v>45</v>
      </c>
      <c r="E1034">
        <v>58</v>
      </c>
      <c r="F1034">
        <v>77</v>
      </c>
      <c r="G1034">
        <v>7.33</v>
      </c>
      <c r="H1034" t="s">
        <v>18</v>
      </c>
      <c r="I1034" t="s">
        <v>9</v>
      </c>
      <c r="K1034" t="str">
        <v>budget</v>
      </c>
      <c r="L1034">
        <v>67.5</v>
      </c>
    </row>
    <row r="1035" spans="2:12" x14ac:dyDescent="0.3">
      <c r="B1035" t="s">
        <v>1016</v>
      </c>
      <c r="C1035">
        <v>94</v>
      </c>
      <c r="D1035" t="s">
        <v>45</v>
      </c>
      <c r="E1035">
        <v>60</v>
      </c>
      <c r="F1035">
        <v>78</v>
      </c>
      <c r="G1035">
        <v>7.35</v>
      </c>
      <c r="H1035" t="s">
        <v>18</v>
      </c>
      <c r="I1035" t="s">
        <v>14</v>
      </c>
      <c r="K1035" t="str">
        <v>budget</v>
      </c>
      <c r="L1035">
        <v>69</v>
      </c>
    </row>
    <row r="1036" spans="2:12" x14ac:dyDescent="0.3">
      <c r="B1036" t="s">
        <v>1017</v>
      </c>
      <c r="C1036">
        <v>94</v>
      </c>
      <c r="D1036" t="s">
        <v>45</v>
      </c>
      <c r="E1036">
        <v>58</v>
      </c>
      <c r="F1036">
        <v>76</v>
      </c>
      <c r="G1036">
        <v>7.27</v>
      </c>
      <c r="H1036" t="s">
        <v>18</v>
      </c>
      <c r="I1036" t="s">
        <v>5</v>
      </c>
      <c r="K1036" t="str">
        <v>budget</v>
      </c>
      <c r="L1036">
        <v>67</v>
      </c>
    </row>
    <row r="1037" spans="2:12" x14ac:dyDescent="0.3">
      <c r="B1037" t="s">
        <v>1018</v>
      </c>
      <c r="C1037">
        <v>94</v>
      </c>
      <c r="D1037" t="s">
        <v>45</v>
      </c>
      <c r="E1037">
        <v>56</v>
      </c>
      <c r="F1037">
        <v>76</v>
      </c>
      <c r="G1037">
        <v>198.24</v>
      </c>
      <c r="H1037" t="s">
        <v>2</v>
      </c>
      <c r="I1037" t="s">
        <v>9</v>
      </c>
      <c r="K1037" t="str">
        <v>premium</v>
      </c>
      <c r="L1037">
        <v>66</v>
      </c>
    </row>
    <row r="1038" spans="2:12" x14ac:dyDescent="0.3">
      <c r="B1038" t="s">
        <v>1019</v>
      </c>
      <c r="C1038">
        <v>96</v>
      </c>
      <c r="D1038" t="s">
        <v>45</v>
      </c>
      <c r="E1038">
        <v>59</v>
      </c>
      <c r="F1038">
        <v>77</v>
      </c>
      <c r="G1038">
        <v>40</v>
      </c>
      <c r="H1038" t="s">
        <v>18</v>
      </c>
      <c r="I1038" t="s">
        <v>5</v>
      </c>
      <c r="K1038" t="str">
        <v>middle</v>
      </c>
      <c r="L1038">
        <v>68</v>
      </c>
    </row>
    <row r="1039" spans="2:12" x14ac:dyDescent="0.3">
      <c r="B1039" t="s">
        <v>1020</v>
      </c>
      <c r="C1039">
        <v>94</v>
      </c>
      <c r="D1039" t="s">
        <v>45</v>
      </c>
      <c r="E1039">
        <v>58</v>
      </c>
      <c r="F1039">
        <v>82</v>
      </c>
      <c r="G1039">
        <v>26.41</v>
      </c>
      <c r="H1039" t="s">
        <v>18</v>
      </c>
      <c r="I1039" t="s">
        <v>18</v>
      </c>
      <c r="K1039" t="str">
        <v>middle</v>
      </c>
      <c r="L1039">
        <v>70</v>
      </c>
    </row>
    <row r="1040" spans="2:12" x14ac:dyDescent="0.3">
      <c r="B1040" t="s">
        <v>1021</v>
      </c>
      <c r="C1040">
        <v>95</v>
      </c>
      <c r="D1040" t="s">
        <v>45</v>
      </c>
      <c r="E1040">
        <v>56</v>
      </c>
      <c r="F1040">
        <v>78</v>
      </c>
      <c r="G1040">
        <v>92.59</v>
      </c>
      <c r="H1040" t="s">
        <v>2</v>
      </c>
      <c r="I1040" t="s">
        <v>12</v>
      </c>
      <c r="K1040" t="str">
        <v>middle</v>
      </c>
      <c r="L1040">
        <v>67</v>
      </c>
    </row>
    <row r="1041" spans="2:12" x14ac:dyDescent="0.3">
      <c r="B1041" t="s">
        <v>1022</v>
      </c>
      <c r="C1041">
        <v>95</v>
      </c>
      <c r="D1041" t="s">
        <v>41</v>
      </c>
      <c r="E1041">
        <v>62</v>
      </c>
      <c r="F1041">
        <v>84</v>
      </c>
      <c r="G1041">
        <v>165.34</v>
      </c>
      <c r="H1041" t="s">
        <v>2</v>
      </c>
      <c r="I1041" t="s">
        <v>9</v>
      </c>
      <c r="K1041" t="str">
        <v>premium</v>
      </c>
      <c r="L1041">
        <v>73</v>
      </c>
    </row>
    <row r="1042" spans="2:12" x14ac:dyDescent="0.3">
      <c r="B1042" t="s">
        <v>1023</v>
      </c>
      <c r="C1042">
        <v>94</v>
      </c>
      <c r="D1042" t="s">
        <v>45</v>
      </c>
      <c r="E1042">
        <v>59</v>
      </c>
      <c r="F1042">
        <v>77</v>
      </c>
      <c r="G1042">
        <v>160</v>
      </c>
      <c r="H1042" t="s">
        <v>2</v>
      </c>
      <c r="I1042" t="s">
        <v>9</v>
      </c>
      <c r="K1042" t="str">
        <v>premium</v>
      </c>
      <c r="L1042">
        <v>68</v>
      </c>
    </row>
    <row r="1043" spans="2:12" x14ac:dyDescent="0.3">
      <c r="B1043" t="s">
        <v>1024</v>
      </c>
      <c r="C1043">
        <v>94</v>
      </c>
      <c r="D1043" t="s">
        <v>45</v>
      </c>
      <c r="E1043">
        <v>56</v>
      </c>
      <c r="F1043">
        <v>76</v>
      </c>
      <c r="G1043">
        <v>92.59</v>
      </c>
      <c r="H1043" t="s">
        <v>2</v>
      </c>
      <c r="I1043" t="s">
        <v>9</v>
      </c>
      <c r="K1043" t="str">
        <v>middle</v>
      </c>
      <c r="L1043">
        <v>66</v>
      </c>
    </row>
    <row r="1044" spans="2:12" x14ac:dyDescent="0.3">
      <c r="B1044" t="s">
        <v>1025</v>
      </c>
      <c r="C1044">
        <v>94</v>
      </c>
      <c r="D1044" t="s">
        <v>45</v>
      </c>
      <c r="E1044">
        <v>52</v>
      </c>
      <c r="F1044">
        <v>70</v>
      </c>
      <c r="G1044">
        <v>110.23</v>
      </c>
      <c r="H1044" t="s">
        <v>2</v>
      </c>
      <c r="I1044" t="s">
        <v>15</v>
      </c>
      <c r="K1044" t="str">
        <v>premium</v>
      </c>
      <c r="L1044">
        <v>61</v>
      </c>
    </row>
    <row r="1045" spans="2:12" x14ac:dyDescent="0.3">
      <c r="B1045" t="s">
        <v>1026</v>
      </c>
      <c r="C1045">
        <v>94</v>
      </c>
      <c r="D1045" t="s">
        <v>41</v>
      </c>
      <c r="E1045">
        <v>62</v>
      </c>
      <c r="F1045">
        <v>80</v>
      </c>
      <c r="G1045">
        <v>155.56</v>
      </c>
      <c r="H1045" t="s">
        <v>2</v>
      </c>
      <c r="I1045" t="s">
        <v>9</v>
      </c>
      <c r="K1045" t="str">
        <v>premium</v>
      </c>
      <c r="L1045">
        <v>71</v>
      </c>
    </row>
    <row r="1046" spans="2:12" x14ac:dyDescent="0.3">
      <c r="B1046" t="s">
        <v>1027</v>
      </c>
      <c r="C1046">
        <v>94</v>
      </c>
      <c r="D1046" t="s">
        <v>45</v>
      </c>
      <c r="E1046">
        <v>60</v>
      </c>
      <c r="F1046">
        <v>78</v>
      </c>
      <c r="G1046">
        <v>171.96</v>
      </c>
      <c r="H1046" t="s">
        <v>2</v>
      </c>
      <c r="I1046" t="s">
        <v>12</v>
      </c>
      <c r="K1046" t="str">
        <v>premium</v>
      </c>
      <c r="L1046">
        <v>69</v>
      </c>
    </row>
    <row r="1047" spans="2:12" x14ac:dyDescent="0.3">
      <c r="B1047" t="s">
        <v>1028</v>
      </c>
      <c r="C1047">
        <v>95</v>
      </c>
      <c r="D1047" t="s">
        <v>45</v>
      </c>
      <c r="E1047">
        <v>60</v>
      </c>
      <c r="F1047">
        <v>80</v>
      </c>
      <c r="G1047">
        <v>8.52</v>
      </c>
      <c r="H1047" t="s">
        <v>18</v>
      </c>
      <c r="I1047" t="s">
        <v>14</v>
      </c>
      <c r="K1047" t="str">
        <v>budget</v>
      </c>
      <c r="L1047">
        <v>70</v>
      </c>
    </row>
    <row r="1048" spans="2:12" x14ac:dyDescent="0.3">
      <c r="B1048" t="s">
        <v>755</v>
      </c>
      <c r="C1048">
        <v>95</v>
      </c>
      <c r="D1048" t="s">
        <v>45</v>
      </c>
      <c r="E1048">
        <v>60</v>
      </c>
      <c r="F1048">
        <v>78</v>
      </c>
      <c r="G1048">
        <v>6.47</v>
      </c>
      <c r="H1048" t="s">
        <v>18</v>
      </c>
      <c r="I1048" t="s">
        <v>12</v>
      </c>
      <c r="K1048" t="str">
        <v>budget</v>
      </c>
      <c r="L1048">
        <v>69</v>
      </c>
    </row>
    <row r="1049" spans="2:12" x14ac:dyDescent="0.3">
      <c r="B1049" t="s">
        <v>861</v>
      </c>
      <c r="C1049">
        <v>95</v>
      </c>
      <c r="D1049" t="s">
        <v>41</v>
      </c>
      <c r="E1049">
        <v>62</v>
      </c>
      <c r="F1049">
        <v>80</v>
      </c>
      <c r="G1049">
        <v>12.35</v>
      </c>
      <c r="H1049" t="s">
        <v>18</v>
      </c>
      <c r="I1049" t="s">
        <v>14</v>
      </c>
      <c r="K1049" t="str">
        <v>budget</v>
      </c>
      <c r="L1049">
        <v>71</v>
      </c>
    </row>
    <row r="1050" spans="2:12" x14ac:dyDescent="0.3">
      <c r="B1050" t="s">
        <v>1029</v>
      </c>
      <c r="C1050">
        <v>94</v>
      </c>
      <c r="D1050" t="s">
        <v>45</v>
      </c>
      <c r="E1050">
        <v>58</v>
      </c>
      <c r="F1050">
        <v>80</v>
      </c>
      <c r="G1050">
        <v>25.17</v>
      </c>
      <c r="H1050" t="s">
        <v>18</v>
      </c>
      <c r="I1050" t="s">
        <v>18</v>
      </c>
      <c r="K1050" t="str">
        <v>middle</v>
      </c>
      <c r="L1050">
        <v>69</v>
      </c>
    </row>
    <row r="1051" spans="2:12" x14ac:dyDescent="0.3">
      <c r="B1051" t="s">
        <v>1030</v>
      </c>
      <c r="C1051">
        <v>95</v>
      </c>
      <c r="D1051" t="s">
        <v>45</v>
      </c>
      <c r="E1051">
        <v>58</v>
      </c>
      <c r="F1051">
        <v>82</v>
      </c>
      <c r="G1051">
        <v>7.72</v>
      </c>
      <c r="H1051" t="s">
        <v>18</v>
      </c>
      <c r="I1051" t="s">
        <v>8</v>
      </c>
      <c r="K1051" t="str">
        <v>budget</v>
      </c>
      <c r="L1051">
        <v>70</v>
      </c>
    </row>
    <row r="1052" spans="2:12" x14ac:dyDescent="0.3">
      <c r="B1052" t="s">
        <v>467</v>
      </c>
      <c r="C1052">
        <v>96</v>
      </c>
      <c r="D1052" t="s">
        <v>45</v>
      </c>
      <c r="E1052">
        <v>56</v>
      </c>
      <c r="F1052">
        <v>74</v>
      </c>
      <c r="G1052">
        <v>38.58</v>
      </c>
      <c r="H1052" t="s">
        <v>18</v>
      </c>
      <c r="I1052" t="s">
        <v>18</v>
      </c>
      <c r="K1052" t="str">
        <v>middle</v>
      </c>
      <c r="L1052">
        <v>65</v>
      </c>
    </row>
    <row r="1053" spans="2:12" x14ac:dyDescent="0.3">
      <c r="B1053" t="s">
        <v>1031</v>
      </c>
      <c r="C1053">
        <v>95</v>
      </c>
      <c r="D1053" t="s">
        <v>41</v>
      </c>
      <c r="E1053">
        <v>62</v>
      </c>
      <c r="F1053">
        <v>84</v>
      </c>
      <c r="G1053">
        <v>26.46</v>
      </c>
      <c r="H1053" t="s">
        <v>18</v>
      </c>
      <c r="I1053" t="s">
        <v>5</v>
      </c>
      <c r="K1053" t="str">
        <v>middle</v>
      </c>
      <c r="L1053">
        <v>73</v>
      </c>
    </row>
    <row r="1054" spans="2:12" x14ac:dyDescent="0.3">
      <c r="B1054" t="s">
        <v>1032</v>
      </c>
      <c r="C1054">
        <v>94</v>
      </c>
      <c r="D1054" t="s">
        <v>45</v>
      </c>
      <c r="E1054">
        <v>56</v>
      </c>
      <c r="F1054">
        <v>76</v>
      </c>
      <c r="G1054">
        <v>12.35</v>
      </c>
      <c r="H1054" t="s">
        <v>18</v>
      </c>
      <c r="I1054" t="s">
        <v>18</v>
      </c>
      <c r="K1054" t="str">
        <v>budget</v>
      </c>
      <c r="L1054">
        <v>66</v>
      </c>
    </row>
    <row r="1055" spans="2:12" x14ac:dyDescent="0.3">
      <c r="B1055" t="s">
        <v>1033</v>
      </c>
      <c r="C1055">
        <v>94</v>
      </c>
      <c r="D1055" t="s">
        <v>41</v>
      </c>
      <c r="E1055">
        <v>60</v>
      </c>
      <c r="F1055">
        <v>82</v>
      </c>
      <c r="G1055">
        <v>8.52</v>
      </c>
      <c r="H1055" t="s">
        <v>18</v>
      </c>
      <c r="I1055" t="s">
        <v>5</v>
      </c>
      <c r="K1055" t="str">
        <v>budget</v>
      </c>
      <c r="L1055">
        <v>71</v>
      </c>
    </row>
    <row r="1056" spans="2:12" x14ac:dyDescent="0.3">
      <c r="B1056" t="s">
        <v>1034</v>
      </c>
      <c r="C1056">
        <v>94</v>
      </c>
      <c r="D1056" t="s">
        <v>45</v>
      </c>
      <c r="E1056">
        <v>56</v>
      </c>
      <c r="F1056">
        <v>76</v>
      </c>
      <c r="G1056">
        <v>14.55</v>
      </c>
      <c r="H1056" t="s">
        <v>18</v>
      </c>
      <c r="I1056" t="s">
        <v>150</v>
      </c>
      <c r="K1056" t="str">
        <v>budget</v>
      </c>
      <c r="L1056">
        <v>66</v>
      </c>
    </row>
    <row r="1057" spans="2:12" x14ac:dyDescent="0.3">
      <c r="B1057" t="s">
        <v>1035</v>
      </c>
      <c r="C1057">
        <v>94</v>
      </c>
      <c r="D1057" t="s">
        <v>45</v>
      </c>
      <c r="E1057">
        <v>58</v>
      </c>
      <c r="F1057">
        <v>76</v>
      </c>
      <c r="G1057">
        <v>25.2</v>
      </c>
      <c r="H1057" t="s">
        <v>18</v>
      </c>
      <c r="I1057" t="s">
        <v>150</v>
      </c>
      <c r="K1057" t="str">
        <v>middle</v>
      </c>
      <c r="L1057">
        <v>67</v>
      </c>
    </row>
    <row r="1058" spans="2:12" x14ac:dyDescent="0.3">
      <c r="B1058" t="s">
        <v>1036</v>
      </c>
      <c r="C1058">
        <v>94</v>
      </c>
      <c r="D1058" t="s">
        <v>41</v>
      </c>
      <c r="E1058">
        <v>64</v>
      </c>
      <c r="F1058">
        <v>82</v>
      </c>
      <c r="G1058">
        <v>181.82</v>
      </c>
      <c r="H1058" t="s">
        <v>2</v>
      </c>
      <c r="I1058" t="s">
        <v>9</v>
      </c>
      <c r="K1058" t="str">
        <v>premium</v>
      </c>
      <c r="L1058">
        <v>73</v>
      </c>
    </row>
    <row r="1059" spans="2:12" x14ac:dyDescent="0.3">
      <c r="B1059" t="s">
        <v>787</v>
      </c>
      <c r="C1059">
        <v>94</v>
      </c>
      <c r="D1059" t="s">
        <v>45</v>
      </c>
      <c r="E1059">
        <v>58</v>
      </c>
      <c r="F1059">
        <v>78</v>
      </c>
      <c r="G1059">
        <v>22</v>
      </c>
      <c r="H1059" t="s">
        <v>18</v>
      </c>
      <c r="I1059" t="s">
        <v>8</v>
      </c>
      <c r="K1059" t="str">
        <v>budget</v>
      </c>
      <c r="L1059">
        <v>68</v>
      </c>
    </row>
    <row r="1060" spans="2:12" x14ac:dyDescent="0.3">
      <c r="B1060" t="s">
        <v>1037</v>
      </c>
      <c r="C1060">
        <v>95</v>
      </c>
      <c r="D1060" t="s">
        <v>45</v>
      </c>
      <c r="E1060">
        <v>58</v>
      </c>
      <c r="F1060">
        <v>74</v>
      </c>
      <c r="G1060">
        <v>5.58</v>
      </c>
      <c r="H1060" t="s">
        <v>18</v>
      </c>
      <c r="I1060" t="s">
        <v>150</v>
      </c>
      <c r="K1060" t="str">
        <v>budget</v>
      </c>
      <c r="L1060">
        <v>66</v>
      </c>
    </row>
    <row r="1061" spans="2:12" x14ac:dyDescent="0.3">
      <c r="B1061" t="s">
        <v>1038</v>
      </c>
      <c r="C1061">
        <v>96</v>
      </c>
      <c r="D1061" t="s">
        <v>45</v>
      </c>
      <c r="E1061">
        <v>54</v>
      </c>
      <c r="F1061">
        <v>76</v>
      </c>
      <c r="G1061">
        <v>220.46</v>
      </c>
      <c r="H1061" t="s">
        <v>2</v>
      </c>
      <c r="I1061" t="s">
        <v>5</v>
      </c>
      <c r="K1061" t="str">
        <v>premium</v>
      </c>
      <c r="L1061">
        <v>65</v>
      </c>
    </row>
    <row r="1062" spans="2:12" x14ac:dyDescent="0.3">
      <c r="B1062" t="s">
        <v>1039</v>
      </c>
      <c r="C1062">
        <v>94</v>
      </c>
      <c r="D1062" t="s">
        <v>41</v>
      </c>
      <c r="E1062">
        <v>62</v>
      </c>
      <c r="F1062">
        <v>84</v>
      </c>
      <c r="G1062">
        <v>5.29</v>
      </c>
      <c r="H1062" t="s">
        <v>18</v>
      </c>
      <c r="I1062" t="s">
        <v>9</v>
      </c>
      <c r="K1062" t="str">
        <v>budget</v>
      </c>
      <c r="L1062">
        <v>73</v>
      </c>
    </row>
    <row r="1063" spans="2:12" x14ac:dyDescent="0.3">
      <c r="B1063" t="s">
        <v>1040</v>
      </c>
      <c r="C1063">
        <v>94</v>
      </c>
      <c r="D1063" t="s">
        <v>41</v>
      </c>
      <c r="E1063">
        <v>64</v>
      </c>
      <c r="F1063">
        <v>82</v>
      </c>
      <c r="G1063">
        <v>8.81</v>
      </c>
      <c r="H1063" t="s">
        <v>18</v>
      </c>
      <c r="I1063" t="s">
        <v>14</v>
      </c>
      <c r="K1063" t="str">
        <v>budget</v>
      </c>
      <c r="L1063">
        <v>73</v>
      </c>
    </row>
    <row r="1064" spans="2:12" x14ac:dyDescent="0.3">
      <c r="B1064" t="s">
        <v>1041</v>
      </c>
      <c r="C1064">
        <v>94</v>
      </c>
      <c r="D1064" t="s">
        <v>41</v>
      </c>
      <c r="E1064">
        <v>64</v>
      </c>
      <c r="F1064">
        <v>84</v>
      </c>
      <c r="G1064">
        <v>6.96</v>
      </c>
      <c r="H1064" t="s">
        <v>2</v>
      </c>
      <c r="I1064" t="s">
        <v>9</v>
      </c>
      <c r="K1064" t="str">
        <v>budget</v>
      </c>
      <c r="L1064">
        <v>74</v>
      </c>
    </row>
    <row r="1065" spans="2:12" x14ac:dyDescent="0.3">
      <c r="B1065" t="s">
        <v>1042</v>
      </c>
      <c r="C1065">
        <v>94</v>
      </c>
      <c r="D1065" t="s">
        <v>45</v>
      </c>
      <c r="E1065">
        <v>52</v>
      </c>
      <c r="F1065">
        <v>70</v>
      </c>
      <c r="G1065">
        <v>119.05</v>
      </c>
      <c r="H1065" t="s">
        <v>2</v>
      </c>
      <c r="I1065" t="s">
        <v>15</v>
      </c>
      <c r="K1065" t="str">
        <v>premium</v>
      </c>
      <c r="L1065">
        <v>61</v>
      </c>
    </row>
    <row r="1066" spans="2:12" x14ac:dyDescent="0.3">
      <c r="B1066" t="s">
        <v>1043</v>
      </c>
      <c r="C1066">
        <v>94</v>
      </c>
      <c r="D1066" t="s">
        <v>45</v>
      </c>
      <c r="E1066">
        <v>54</v>
      </c>
      <c r="F1066">
        <v>74</v>
      </c>
      <c r="G1066">
        <v>4.63</v>
      </c>
      <c r="H1066" t="s">
        <v>18</v>
      </c>
      <c r="I1066" t="s">
        <v>150</v>
      </c>
      <c r="K1066" t="str">
        <v>budget</v>
      </c>
      <c r="L1066">
        <v>64</v>
      </c>
    </row>
    <row r="1067" spans="2:12" x14ac:dyDescent="0.3">
      <c r="B1067" t="s">
        <v>1044</v>
      </c>
      <c r="C1067">
        <v>94</v>
      </c>
      <c r="D1067" t="s">
        <v>82</v>
      </c>
      <c r="E1067">
        <v>45</v>
      </c>
      <c r="F1067">
        <v>63</v>
      </c>
      <c r="G1067">
        <v>5.57</v>
      </c>
      <c r="H1067" t="s">
        <v>18</v>
      </c>
      <c r="I1067" t="s">
        <v>16</v>
      </c>
      <c r="K1067" t="str">
        <v>budget</v>
      </c>
      <c r="L1067">
        <v>54</v>
      </c>
    </row>
    <row r="1068" spans="2:12" x14ac:dyDescent="0.3">
      <c r="B1068" t="s">
        <v>1045</v>
      </c>
      <c r="C1068">
        <v>94</v>
      </c>
      <c r="D1068" t="s">
        <v>45</v>
      </c>
      <c r="E1068">
        <v>60</v>
      </c>
      <c r="F1068">
        <v>80</v>
      </c>
      <c r="G1068">
        <v>26.41</v>
      </c>
      <c r="H1068" t="s">
        <v>18</v>
      </c>
      <c r="I1068" t="s">
        <v>18</v>
      </c>
      <c r="K1068" t="str">
        <v>middle</v>
      </c>
      <c r="L1068">
        <v>70</v>
      </c>
    </row>
    <row r="1069" spans="2:12" x14ac:dyDescent="0.3">
      <c r="B1069" t="s">
        <v>1046</v>
      </c>
      <c r="C1069">
        <v>94</v>
      </c>
      <c r="D1069" t="s">
        <v>41</v>
      </c>
      <c r="E1069">
        <v>64</v>
      </c>
      <c r="F1069">
        <v>82</v>
      </c>
      <c r="G1069">
        <v>8.7899999999999991</v>
      </c>
      <c r="H1069" t="s">
        <v>18</v>
      </c>
      <c r="I1069" t="s">
        <v>14</v>
      </c>
      <c r="K1069" t="str">
        <v>budget</v>
      </c>
      <c r="L1069">
        <v>73</v>
      </c>
    </row>
    <row r="1070" spans="2:12" x14ac:dyDescent="0.3">
      <c r="B1070" t="s">
        <v>1047</v>
      </c>
      <c r="C1070">
        <v>94</v>
      </c>
      <c r="D1070" t="s">
        <v>45</v>
      </c>
      <c r="E1070">
        <v>58</v>
      </c>
      <c r="F1070">
        <v>78</v>
      </c>
      <c r="G1070">
        <v>5.88</v>
      </c>
      <c r="H1070" t="s">
        <v>18</v>
      </c>
      <c r="I1070" t="s">
        <v>9</v>
      </c>
      <c r="K1070" t="str">
        <v>budget</v>
      </c>
      <c r="L1070">
        <v>68</v>
      </c>
    </row>
    <row r="1071" spans="2:12" x14ac:dyDescent="0.3">
      <c r="B1071" t="s">
        <v>1048</v>
      </c>
      <c r="C1071">
        <v>94</v>
      </c>
      <c r="D1071" t="s">
        <v>45</v>
      </c>
      <c r="E1071">
        <v>60</v>
      </c>
      <c r="F1071">
        <v>78</v>
      </c>
      <c r="G1071">
        <v>11.9</v>
      </c>
      <c r="H1071" t="s">
        <v>18</v>
      </c>
      <c r="I1071" t="s">
        <v>6</v>
      </c>
      <c r="K1071" t="str">
        <v>budget</v>
      </c>
      <c r="L1071">
        <v>69</v>
      </c>
    </row>
    <row r="1072" spans="2:12" x14ac:dyDescent="0.3">
      <c r="B1072" t="s">
        <v>1049</v>
      </c>
      <c r="C1072">
        <v>94</v>
      </c>
      <c r="D1072" t="s">
        <v>45</v>
      </c>
      <c r="E1072">
        <v>60</v>
      </c>
      <c r="F1072">
        <v>78</v>
      </c>
      <c r="G1072">
        <v>5.88</v>
      </c>
      <c r="H1072" t="s">
        <v>18</v>
      </c>
      <c r="I1072" t="s">
        <v>5</v>
      </c>
      <c r="K1072" t="str">
        <v>budget</v>
      </c>
      <c r="L1072">
        <v>69</v>
      </c>
    </row>
    <row r="1073" spans="2:12" x14ac:dyDescent="0.3">
      <c r="B1073" t="s">
        <v>1050</v>
      </c>
      <c r="C1073">
        <v>94</v>
      </c>
      <c r="D1073" t="s">
        <v>45</v>
      </c>
      <c r="E1073">
        <v>58</v>
      </c>
      <c r="F1073">
        <v>78</v>
      </c>
      <c r="G1073">
        <v>160</v>
      </c>
      <c r="H1073" t="s">
        <v>2</v>
      </c>
      <c r="I1073" t="s">
        <v>7</v>
      </c>
      <c r="K1073" t="str">
        <v>premium</v>
      </c>
      <c r="L1073">
        <v>68</v>
      </c>
    </row>
    <row r="1074" spans="2:12" x14ac:dyDescent="0.3">
      <c r="B1074" t="s">
        <v>1051</v>
      </c>
      <c r="C1074">
        <v>94</v>
      </c>
      <c r="D1074" t="s">
        <v>45</v>
      </c>
      <c r="E1074">
        <v>58</v>
      </c>
      <c r="F1074">
        <v>78</v>
      </c>
      <c r="G1074">
        <v>5.59</v>
      </c>
      <c r="H1074" t="s">
        <v>18</v>
      </c>
      <c r="I1074" t="s">
        <v>9</v>
      </c>
      <c r="K1074" t="str">
        <v>budget</v>
      </c>
      <c r="L1074">
        <v>68</v>
      </c>
    </row>
    <row r="1075" spans="2:12" x14ac:dyDescent="0.3">
      <c r="B1075" t="s">
        <v>1052</v>
      </c>
      <c r="C1075">
        <v>96</v>
      </c>
      <c r="D1075" t="s">
        <v>41</v>
      </c>
      <c r="E1075">
        <v>85</v>
      </c>
      <c r="F1075">
        <v>105</v>
      </c>
      <c r="G1075">
        <v>1</v>
      </c>
      <c r="H1075" t="s">
        <v>27</v>
      </c>
      <c r="I1075" t="s">
        <v>14</v>
      </c>
      <c r="K1075" t="str">
        <v>budget</v>
      </c>
      <c r="L1075">
        <v>95</v>
      </c>
    </row>
    <row r="1076" spans="2:12" x14ac:dyDescent="0.3">
      <c r="B1076" t="s">
        <v>1053</v>
      </c>
      <c r="C1076">
        <v>94</v>
      </c>
      <c r="D1076" t="s">
        <v>41</v>
      </c>
      <c r="E1076">
        <v>79</v>
      </c>
      <c r="F1076">
        <v>92</v>
      </c>
      <c r="G1076">
        <v>4</v>
      </c>
      <c r="H1076" t="s">
        <v>27</v>
      </c>
      <c r="I1076" t="s">
        <v>2</v>
      </c>
      <c r="K1076" t="str">
        <v>budget</v>
      </c>
      <c r="L1076">
        <v>85.5</v>
      </c>
    </row>
    <row r="1077" spans="2:12" x14ac:dyDescent="0.3">
      <c r="B1077" t="s">
        <v>1054</v>
      </c>
      <c r="C1077">
        <v>94</v>
      </c>
      <c r="D1077" t="s">
        <v>45</v>
      </c>
      <c r="E1077">
        <v>60</v>
      </c>
      <c r="F1077">
        <v>78</v>
      </c>
      <c r="G1077">
        <v>288.89</v>
      </c>
      <c r="H1077" t="s">
        <v>2</v>
      </c>
      <c r="I1077" t="s">
        <v>12</v>
      </c>
      <c r="K1077" t="str">
        <v>premium</v>
      </c>
      <c r="L1077">
        <v>69</v>
      </c>
    </row>
    <row r="1078" spans="2:12" x14ac:dyDescent="0.3">
      <c r="B1078" t="s">
        <v>1055</v>
      </c>
      <c r="C1078">
        <v>94</v>
      </c>
      <c r="D1078" t="s">
        <v>45</v>
      </c>
      <c r="E1078">
        <v>54</v>
      </c>
      <c r="F1078">
        <v>74</v>
      </c>
      <c r="G1078">
        <v>4.9800000000000004</v>
      </c>
      <c r="H1078" t="s">
        <v>18</v>
      </c>
      <c r="I1078" t="s">
        <v>12</v>
      </c>
      <c r="K1078" t="str">
        <v>budget</v>
      </c>
      <c r="L1078">
        <v>64</v>
      </c>
    </row>
    <row r="1079" spans="2:12" x14ac:dyDescent="0.3">
      <c r="B1079" t="s">
        <v>1056</v>
      </c>
      <c r="C1079">
        <v>94</v>
      </c>
      <c r="D1079" t="s">
        <v>45</v>
      </c>
      <c r="E1079">
        <v>54</v>
      </c>
      <c r="F1079">
        <v>74</v>
      </c>
      <c r="G1079">
        <v>5</v>
      </c>
      <c r="H1079" t="s">
        <v>18</v>
      </c>
      <c r="I1079" t="s">
        <v>16</v>
      </c>
      <c r="K1079" t="str">
        <v>budget</v>
      </c>
      <c r="L1079">
        <v>64</v>
      </c>
    </row>
    <row r="1080" spans="2:12" x14ac:dyDescent="0.3">
      <c r="B1080" t="s">
        <v>1057</v>
      </c>
      <c r="C1080">
        <v>95</v>
      </c>
      <c r="D1080" t="s">
        <v>45</v>
      </c>
      <c r="E1080">
        <v>58</v>
      </c>
      <c r="F1080">
        <v>78</v>
      </c>
      <c r="G1080">
        <v>163.88</v>
      </c>
      <c r="H1080" t="s">
        <v>2</v>
      </c>
      <c r="I1080" t="s">
        <v>9</v>
      </c>
      <c r="K1080" t="str">
        <v>premium</v>
      </c>
      <c r="L1080">
        <v>68</v>
      </c>
    </row>
    <row r="1081" spans="2:12" x14ac:dyDescent="0.3">
      <c r="B1081" t="s">
        <v>1058</v>
      </c>
      <c r="C1081">
        <v>95</v>
      </c>
      <c r="D1081" t="s">
        <v>45</v>
      </c>
      <c r="E1081">
        <v>60</v>
      </c>
      <c r="F1081">
        <v>78</v>
      </c>
      <c r="G1081">
        <v>111.01</v>
      </c>
      <c r="H1081" t="s">
        <v>2</v>
      </c>
      <c r="I1081" t="s">
        <v>9</v>
      </c>
      <c r="K1081" t="str">
        <v>premium</v>
      </c>
      <c r="L1081">
        <v>69</v>
      </c>
    </row>
    <row r="1082" spans="2:12" x14ac:dyDescent="0.3">
      <c r="B1082" t="s">
        <v>1059</v>
      </c>
      <c r="C1082">
        <v>96</v>
      </c>
      <c r="D1082" t="s">
        <v>82</v>
      </c>
      <c r="E1082">
        <v>44</v>
      </c>
      <c r="F1082">
        <v>62</v>
      </c>
      <c r="G1082">
        <v>225</v>
      </c>
      <c r="H1082" t="s">
        <v>2</v>
      </c>
      <c r="I1082" t="s">
        <v>16</v>
      </c>
      <c r="K1082" t="str">
        <v>premium</v>
      </c>
      <c r="L1082">
        <v>53</v>
      </c>
    </row>
    <row r="1083" spans="2:12" x14ac:dyDescent="0.3">
      <c r="B1083" t="s">
        <v>1060</v>
      </c>
      <c r="C1083">
        <v>95</v>
      </c>
      <c r="D1083" t="s">
        <v>45</v>
      </c>
      <c r="E1083">
        <v>54</v>
      </c>
      <c r="F1083">
        <v>72</v>
      </c>
      <c r="G1083">
        <v>6.61</v>
      </c>
      <c r="H1083" t="s">
        <v>18</v>
      </c>
      <c r="I1083" t="s">
        <v>12</v>
      </c>
      <c r="K1083" t="str">
        <v>budget</v>
      </c>
      <c r="L1083">
        <v>63</v>
      </c>
    </row>
    <row r="1084" spans="2:12" x14ac:dyDescent="0.3">
      <c r="B1084" t="s">
        <v>1061</v>
      </c>
      <c r="C1084">
        <v>94</v>
      </c>
      <c r="D1084" t="s">
        <v>45</v>
      </c>
      <c r="E1084">
        <v>52</v>
      </c>
      <c r="F1084">
        <v>72</v>
      </c>
      <c r="G1084">
        <v>5.59</v>
      </c>
      <c r="H1084" t="s">
        <v>18</v>
      </c>
      <c r="I1084" t="s">
        <v>9</v>
      </c>
      <c r="K1084" t="str">
        <v>budget</v>
      </c>
      <c r="L1084">
        <v>62</v>
      </c>
    </row>
    <row r="1085" spans="2:12" x14ac:dyDescent="0.3">
      <c r="B1085" t="s">
        <v>1062</v>
      </c>
      <c r="C1085">
        <v>94</v>
      </c>
      <c r="D1085" t="s">
        <v>45</v>
      </c>
      <c r="E1085">
        <v>58</v>
      </c>
      <c r="F1085">
        <v>80</v>
      </c>
      <c r="G1085">
        <v>5.59</v>
      </c>
      <c r="H1085" t="s">
        <v>18</v>
      </c>
      <c r="I1085" t="s">
        <v>9</v>
      </c>
      <c r="K1085" t="str">
        <v>budget</v>
      </c>
      <c r="L1085">
        <v>69</v>
      </c>
    </row>
    <row r="1086" spans="2:12" x14ac:dyDescent="0.3">
      <c r="B1086" t="s">
        <v>1063</v>
      </c>
      <c r="C1086">
        <v>94</v>
      </c>
      <c r="D1086" t="s">
        <v>45</v>
      </c>
      <c r="E1086">
        <v>52</v>
      </c>
      <c r="F1086">
        <v>70</v>
      </c>
      <c r="G1086">
        <v>25</v>
      </c>
      <c r="H1086" t="s">
        <v>31</v>
      </c>
      <c r="I1086" t="s">
        <v>5</v>
      </c>
      <c r="K1086" t="str">
        <v>budget</v>
      </c>
      <c r="L1086">
        <v>61</v>
      </c>
    </row>
    <row r="1087" spans="2:12" x14ac:dyDescent="0.3">
      <c r="B1087" t="s">
        <v>1064</v>
      </c>
      <c r="C1087">
        <v>94</v>
      </c>
      <c r="D1087" t="s">
        <v>41</v>
      </c>
      <c r="E1087">
        <v>64</v>
      </c>
      <c r="F1087">
        <v>84</v>
      </c>
      <c r="G1087">
        <v>22</v>
      </c>
      <c r="H1087" t="s">
        <v>18</v>
      </c>
      <c r="I1087" t="s">
        <v>18</v>
      </c>
      <c r="K1087" t="str">
        <v>budget</v>
      </c>
      <c r="L1087">
        <v>74</v>
      </c>
    </row>
    <row r="1088" spans="2:12" x14ac:dyDescent="0.3">
      <c r="B1088" t="s">
        <v>1065</v>
      </c>
      <c r="C1088">
        <v>94</v>
      </c>
      <c r="D1088" t="s">
        <v>41</v>
      </c>
      <c r="E1088">
        <v>64</v>
      </c>
      <c r="F1088">
        <v>86</v>
      </c>
      <c r="G1088">
        <v>26.41</v>
      </c>
      <c r="H1088" t="s">
        <v>18</v>
      </c>
      <c r="I1088" t="s">
        <v>18</v>
      </c>
      <c r="K1088" t="str">
        <v>middle</v>
      </c>
      <c r="L1088">
        <v>75</v>
      </c>
    </row>
    <row r="1089" spans="2:12" x14ac:dyDescent="0.3">
      <c r="B1089" t="s">
        <v>1066</v>
      </c>
      <c r="C1089">
        <v>95</v>
      </c>
      <c r="D1089" t="s">
        <v>45</v>
      </c>
      <c r="E1089">
        <v>54</v>
      </c>
      <c r="F1089">
        <v>72</v>
      </c>
      <c r="G1089">
        <v>132.28</v>
      </c>
      <c r="H1089" t="s">
        <v>2</v>
      </c>
      <c r="I1089" t="s">
        <v>16</v>
      </c>
      <c r="K1089" t="str">
        <v>premium</v>
      </c>
      <c r="L1089">
        <v>63</v>
      </c>
    </row>
    <row r="1090" spans="2:12" x14ac:dyDescent="0.3">
      <c r="B1090" t="s">
        <v>1067</v>
      </c>
      <c r="C1090">
        <v>95</v>
      </c>
      <c r="D1090" t="s">
        <v>45</v>
      </c>
      <c r="E1090">
        <v>56</v>
      </c>
      <c r="F1090">
        <v>76</v>
      </c>
      <c r="G1090">
        <v>99.12</v>
      </c>
      <c r="H1090" t="s">
        <v>2</v>
      </c>
      <c r="I1090" t="s">
        <v>12</v>
      </c>
      <c r="K1090" t="str">
        <v>middle</v>
      </c>
      <c r="L1090">
        <v>66</v>
      </c>
    </row>
    <row r="1091" spans="2:12" x14ac:dyDescent="0.3">
      <c r="B1091" t="s">
        <v>1068</v>
      </c>
      <c r="C1091">
        <v>95</v>
      </c>
      <c r="D1091" t="s">
        <v>45</v>
      </c>
      <c r="E1091">
        <v>58</v>
      </c>
      <c r="F1091">
        <v>80</v>
      </c>
      <c r="G1091">
        <v>167.55</v>
      </c>
      <c r="H1091" t="s">
        <v>2</v>
      </c>
      <c r="I1091" t="s">
        <v>9</v>
      </c>
      <c r="K1091" t="str">
        <v>premium</v>
      </c>
      <c r="L1091">
        <v>69</v>
      </c>
    </row>
    <row r="1092" spans="2:12" x14ac:dyDescent="0.3">
      <c r="B1092" t="s">
        <v>871</v>
      </c>
      <c r="C1092">
        <v>95</v>
      </c>
      <c r="D1092" t="s">
        <v>41</v>
      </c>
      <c r="E1092">
        <v>64</v>
      </c>
      <c r="F1092">
        <v>82</v>
      </c>
      <c r="G1092">
        <v>6.46</v>
      </c>
      <c r="H1092" t="s">
        <v>18</v>
      </c>
      <c r="I1092" t="s">
        <v>9</v>
      </c>
      <c r="K1092" t="str">
        <v>budget</v>
      </c>
      <c r="L1092">
        <v>73</v>
      </c>
    </row>
    <row r="1093" spans="2:12" x14ac:dyDescent="0.3">
      <c r="B1093" t="s">
        <v>1069</v>
      </c>
      <c r="C1093">
        <v>96</v>
      </c>
      <c r="D1093" t="s">
        <v>41</v>
      </c>
      <c r="E1093">
        <v>64</v>
      </c>
      <c r="F1093">
        <v>84</v>
      </c>
      <c r="G1093">
        <v>8.3699999999999992</v>
      </c>
      <c r="H1093" t="s">
        <v>18</v>
      </c>
      <c r="I1093" t="s">
        <v>14</v>
      </c>
      <c r="K1093" t="str">
        <v>budget</v>
      </c>
      <c r="L1093">
        <v>74</v>
      </c>
    </row>
    <row r="1094" spans="2:12" x14ac:dyDescent="0.3">
      <c r="B1094" t="s">
        <v>1070</v>
      </c>
      <c r="C1094">
        <v>95</v>
      </c>
      <c r="D1094" t="s">
        <v>41</v>
      </c>
      <c r="E1094">
        <v>62</v>
      </c>
      <c r="F1094">
        <v>80</v>
      </c>
      <c r="G1094">
        <v>9.9600000000000009</v>
      </c>
      <c r="H1094" t="s">
        <v>18</v>
      </c>
      <c r="I1094" t="s">
        <v>14</v>
      </c>
      <c r="K1094" t="str">
        <v>budget</v>
      </c>
      <c r="L1094">
        <v>71</v>
      </c>
    </row>
    <row r="1095" spans="2:12" x14ac:dyDescent="0.3">
      <c r="B1095" t="s">
        <v>1071</v>
      </c>
      <c r="C1095">
        <v>95</v>
      </c>
      <c r="D1095" t="s">
        <v>45</v>
      </c>
      <c r="E1095">
        <v>60</v>
      </c>
      <c r="F1095">
        <v>80</v>
      </c>
      <c r="G1095">
        <v>136.68</v>
      </c>
      <c r="H1095" t="s">
        <v>2</v>
      </c>
      <c r="I1095" t="s">
        <v>14</v>
      </c>
      <c r="K1095" t="str">
        <v>premium</v>
      </c>
      <c r="L1095">
        <v>70</v>
      </c>
    </row>
    <row r="1096" spans="2:12" x14ac:dyDescent="0.3">
      <c r="B1096" t="s">
        <v>1072</v>
      </c>
      <c r="C1096">
        <v>94</v>
      </c>
      <c r="D1096" t="s">
        <v>41</v>
      </c>
      <c r="E1096">
        <v>64</v>
      </c>
      <c r="F1096">
        <v>84</v>
      </c>
      <c r="G1096">
        <v>273.37</v>
      </c>
      <c r="H1096" t="s">
        <v>2</v>
      </c>
      <c r="I1096" t="s">
        <v>14</v>
      </c>
      <c r="K1096" t="str">
        <v>premium</v>
      </c>
      <c r="L1096">
        <v>74</v>
      </c>
    </row>
    <row r="1097" spans="2:12" x14ac:dyDescent="0.3">
      <c r="B1097" t="s">
        <v>1073</v>
      </c>
      <c r="C1097">
        <v>94</v>
      </c>
      <c r="D1097" t="s">
        <v>45</v>
      </c>
      <c r="E1097">
        <v>58</v>
      </c>
      <c r="F1097">
        <v>76</v>
      </c>
      <c r="G1097">
        <v>14.7</v>
      </c>
      <c r="H1097" t="s">
        <v>11</v>
      </c>
      <c r="I1097" t="s">
        <v>14</v>
      </c>
      <c r="K1097" t="str">
        <v>budget</v>
      </c>
      <c r="L1097">
        <v>67</v>
      </c>
    </row>
    <row r="1098" spans="2:12" x14ac:dyDescent="0.3">
      <c r="B1098" t="s">
        <v>1074</v>
      </c>
      <c r="C1098">
        <v>94</v>
      </c>
      <c r="D1098" t="s">
        <v>45</v>
      </c>
      <c r="E1098">
        <v>58</v>
      </c>
      <c r="F1098">
        <v>80</v>
      </c>
      <c r="G1098">
        <v>8.82</v>
      </c>
      <c r="H1098" t="s">
        <v>18</v>
      </c>
      <c r="I1098" t="s">
        <v>14</v>
      </c>
      <c r="K1098" t="str">
        <v>budget</v>
      </c>
      <c r="L1098">
        <v>69</v>
      </c>
    </row>
    <row r="1099" spans="2:12" x14ac:dyDescent="0.3">
      <c r="B1099" t="s">
        <v>1075</v>
      </c>
      <c r="C1099">
        <v>94</v>
      </c>
      <c r="D1099" t="s">
        <v>41</v>
      </c>
      <c r="E1099">
        <v>62</v>
      </c>
      <c r="F1099">
        <v>80</v>
      </c>
      <c r="G1099">
        <v>1146.3800000000001</v>
      </c>
      <c r="H1099" t="s">
        <v>2</v>
      </c>
      <c r="I1099" t="s">
        <v>14</v>
      </c>
      <c r="K1099" t="str">
        <v>premium</v>
      </c>
      <c r="L1099">
        <v>71</v>
      </c>
    </row>
    <row r="1100" spans="2:12" x14ac:dyDescent="0.3">
      <c r="B1100" t="s">
        <v>1076</v>
      </c>
      <c r="C1100">
        <v>94</v>
      </c>
      <c r="D1100" t="s">
        <v>45</v>
      </c>
      <c r="E1100">
        <v>60</v>
      </c>
      <c r="F1100">
        <v>78</v>
      </c>
      <c r="G1100">
        <v>5.88</v>
      </c>
      <c r="H1100" t="s">
        <v>18</v>
      </c>
      <c r="I1100" t="s">
        <v>4</v>
      </c>
      <c r="K1100" t="str">
        <v>budget</v>
      </c>
      <c r="L1100">
        <v>69</v>
      </c>
    </row>
    <row r="1101" spans="2:12" x14ac:dyDescent="0.3">
      <c r="B1101" t="s">
        <v>1077</v>
      </c>
      <c r="C1101">
        <v>95</v>
      </c>
      <c r="D1101" t="s">
        <v>45</v>
      </c>
      <c r="E1101">
        <v>52</v>
      </c>
      <c r="F1101">
        <v>70</v>
      </c>
      <c r="G1101">
        <v>263.88</v>
      </c>
      <c r="H1101" t="s">
        <v>2</v>
      </c>
      <c r="I1101" t="s">
        <v>9</v>
      </c>
      <c r="K1101" t="str">
        <v>premium</v>
      </c>
      <c r="L1101">
        <v>61</v>
      </c>
    </row>
    <row r="1102" spans="2:12" x14ac:dyDescent="0.3">
      <c r="B1102" t="s">
        <v>135</v>
      </c>
      <c r="C1102">
        <v>95</v>
      </c>
      <c r="D1102" t="s">
        <v>41</v>
      </c>
      <c r="E1102">
        <v>64</v>
      </c>
      <c r="F1102">
        <v>84</v>
      </c>
      <c r="G1102">
        <v>66.09</v>
      </c>
      <c r="H1102" t="s">
        <v>18</v>
      </c>
      <c r="I1102" t="s">
        <v>18</v>
      </c>
      <c r="K1102" t="str">
        <v>middle</v>
      </c>
      <c r="L1102">
        <v>74</v>
      </c>
    </row>
    <row r="1103" spans="2:12" x14ac:dyDescent="0.3">
      <c r="B1103" t="s">
        <v>1078</v>
      </c>
      <c r="C1103">
        <v>95</v>
      </c>
      <c r="D1103" t="s">
        <v>41</v>
      </c>
      <c r="E1103">
        <v>64</v>
      </c>
      <c r="F1103">
        <v>84</v>
      </c>
      <c r="G1103">
        <v>6.32</v>
      </c>
      <c r="H1103" t="s">
        <v>18</v>
      </c>
      <c r="I1103" t="s">
        <v>9</v>
      </c>
      <c r="K1103" t="str">
        <v>budget</v>
      </c>
      <c r="L1103">
        <v>74</v>
      </c>
    </row>
    <row r="1104" spans="2:12" x14ac:dyDescent="0.3">
      <c r="B1104" t="s">
        <v>1079</v>
      </c>
      <c r="C1104">
        <v>95</v>
      </c>
      <c r="D1104" t="s">
        <v>41</v>
      </c>
      <c r="E1104">
        <v>64</v>
      </c>
      <c r="F1104">
        <v>84</v>
      </c>
      <c r="G1104">
        <v>149.91</v>
      </c>
      <c r="H1104" t="s">
        <v>2</v>
      </c>
      <c r="I1104" t="s">
        <v>9</v>
      </c>
      <c r="K1104" t="str">
        <v>premium</v>
      </c>
      <c r="L1104">
        <v>74</v>
      </c>
    </row>
    <row r="1105" spans="2:12" x14ac:dyDescent="0.3">
      <c r="B1105" t="s">
        <v>1080</v>
      </c>
      <c r="C1105">
        <v>94</v>
      </c>
      <c r="D1105" t="s">
        <v>45</v>
      </c>
      <c r="E1105">
        <v>60</v>
      </c>
      <c r="F1105">
        <v>78</v>
      </c>
      <c r="G1105">
        <v>11.64</v>
      </c>
      <c r="H1105" t="s">
        <v>18</v>
      </c>
      <c r="I1105" t="s">
        <v>18</v>
      </c>
      <c r="K1105" t="str">
        <v>budget</v>
      </c>
      <c r="L1105">
        <v>69</v>
      </c>
    </row>
    <row r="1106" spans="2:12" x14ac:dyDescent="0.3">
      <c r="B1106" t="s">
        <v>1081</v>
      </c>
      <c r="C1106">
        <v>95</v>
      </c>
      <c r="D1106" t="s">
        <v>45</v>
      </c>
      <c r="E1106">
        <v>58</v>
      </c>
      <c r="F1106">
        <v>76</v>
      </c>
      <c r="G1106">
        <v>136.68</v>
      </c>
      <c r="H1106" t="s">
        <v>2</v>
      </c>
      <c r="I1106" t="s">
        <v>9</v>
      </c>
      <c r="K1106" t="str">
        <v>premium</v>
      </c>
      <c r="L1106">
        <v>67</v>
      </c>
    </row>
    <row r="1107" spans="2:12" x14ac:dyDescent="0.3">
      <c r="B1107" t="s">
        <v>1082</v>
      </c>
      <c r="C1107">
        <v>94</v>
      </c>
      <c r="D1107" t="s">
        <v>45</v>
      </c>
      <c r="E1107">
        <v>58</v>
      </c>
      <c r="F1107">
        <v>76</v>
      </c>
      <c r="G1107">
        <v>5.88</v>
      </c>
      <c r="H1107" t="s">
        <v>18</v>
      </c>
      <c r="I1107" t="s">
        <v>17</v>
      </c>
      <c r="K1107" t="str">
        <v>budget</v>
      </c>
      <c r="L1107">
        <v>67</v>
      </c>
    </row>
    <row r="1108" spans="2:12" x14ac:dyDescent="0.3">
      <c r="B1108" t="s">
        <v>1083</v>
      </c>
      <c r="C1108">
        <v>94</v>
      </c>
      <c r="D1108" t="s">
        <v>45</v>
      </c>
      <c r="E1108">
        <v>58</v>
      </c>
      <c r="F1108">
        <v>78</v>
      </c>
      <c r="G1108">
        <v>165.34</v>
      </c>
      <c r="H1108" t="s">
        <v>2</v>
      </c>
      <c r="I1108" t="s">
        <v>9</v>
      </c>
      <c r="K1108" t="str">
        <v>premium</v>
      </c>
      <c r="L1108">
        <v>68</v>
      </c>
    </row>
    <row r="1109" spans="2:12" x14ac:dyDescent="0.3">
      <c r="B1109" t="s">
        <v>1084</v>
      </c>
      <c r="C1109">
        <v>94</v>
      </c>
      <c r="D1109" t="s">
        <v>41</v>
      </c>
      <c r="E1109">
        <v>62</v>
      </c>
      <c r="F1109">
        <v>80</v>
      </c>
      <c r="G1109">
        <v>154.32</v>
      </c>
      <c r="H1109" t="s">
        <v>2</v>
      </c>
      <c r="I1109" t="s">
        <v>12</v>
      </c>
      <c r="K1109" t="str">
        <v>premium</v>
      </c>
      <c r="L1109">
        <v>71</v>
      </c>
    </row>
    <row r="1110" spans="2:12" x14ac:dyDescent="0.3">
      <c r="B1110" t="s">
        <v>1085</v>
      </c>
      <c r="C1110">
        <v>95</v>
      </c>
      <c r="D1110" t="s">
        <v>45</v>
      </c>
      <c r="E1110">
        <v>56</v>
      </c>
      <c r="F1110">
        <v>74</v>
      </c>
      <c r="G1110">
        <v>59</v>
      </c>
      <c r="H1110" t="s">
        <v>11</v>
      </c>
      <c r="I1110" t="s">
        <v>12</v>
      </c>
      <c r="K1110" t="str">
        <v>middle</v>
      </c>
      <c r="L1110">
        <v>65</v>
      </c>
    </row>
    <row r="1111" spans="2:12" x14ac:dyDescent="0.3">
      <c r="B1111" t="s">
        <v>1086</v>
      </c>
      <c r="C1111">
        <v>94</v>
      </c>
      <c r="D1111" t="s">
        <v>45</v>
      </c>
      <c r="E1111">
        <v>56</v>
      </c>
      <c r="F1111">
        <v>76</v>
      </c>
      <c r="G1111">
        <v>300</v>
      </c>
      <c r="H1111" t="s">
        <v>2</v>
      </c>
      <c r="I1111" t="s">
        <v>9</v>
      </c>
      <c r="K1111" t="str">
        <v>premium</v>
      </c>
      <c r="L1111">
        <v>66</v>
      </c>
    </row>
    <row r="1112" spans="2:12" x14ac:dyDescent="0.3">
      <c r="B1112" t="s">
        <v>1087</v>
      </c>
      <c r="C1112">
        <v>94</v>
      </c>
      <c r="D1112" t="s">
        <v>45</v>
      </c>
      <c r="E1112">
        <v>57</v>
      </c>
      <c r="F1112">
        <v>73</v>
      </c>
      <c r="G1112">
        <v>5.57</v>
      </c>
      <c r="H1112" t="s">
        <v>18</v>
      </c>
      <c r="I1112" t="s">
        <v>9</v>
      </c>
      <c r="K1112" t="str">
        <v>budget</v>
      </c>
      <c r="L1112">
        <v>65</v>
      </c>
    </row>
    <row r="1113" spans="2:12" x14ac:dyDescent="0.3">
      <c r="B1113" t="s">
        <v>1088</v>
      </c>
      <c r="C1113">
        <v>94</v>
      </c>
      <c r="D1113" t="s">
        <v>41</v>
      </c>
      <c r="E1113">
        <v>64</v>
      </c>
      <c r="F1113">
        <v>80</v>
      </c>
      <c r="G1113">
        <v>546.74</v>
      </c>
      <c r="H1113" t="s">
        <v>2</v>
      </c>
      <c r="I1113" t="s">
        <v>7</v>
      </c>
      <c r="K1113" t="str">
        <v>premium</v>
      </c>
      <c r="L1113">
        <v>72</v>
      </c>
    </row>
    <row r="1114" spans="2:12" x14ac:dyDescent="0.3">
      <c r="B1114" t="s">
        <v>1089</v>
      </c>
      <c r="C1114">
        <v>94</v>
      </c>
      <c r="D1114" t="s">
        <v>45</v>
      </c>
      <c r="E1114">
        <v>58</v>
      </c>
      <c r="F1114">
        <v>78</v>
      </c>
      <c r="G1114">
        <v>4</v>
      </c>
      <c r="H1114" t="s">
        <v>6</v>
      </c>
      <c r="I1114" t="s">
        <v>6</v>
      </c>
      <c r="K1114" t="str">
        <v>budget</v>
      </c>
      <c r="L1114">
        <v>68</v>
      </c>
    </row>
    <row r="1115" spans="2:12" x14ac:dyDescent="0.3">
      <c r="B1115" t="s">
        <v>1090</v>
      </c>
      <c r="C1115">
        <v>95</v>
      </c>
      <c r="D1115" t="s">
        <v>41</v>
      </c>
      <c r="E1115">
        <v>64</v>
      </c>
      <c r="F1115">
        <v>82</v>
      </c>
      <c r="G1115">
        <v>198.41</v>
      </c>
      <c r="H1115" t="s">
        <v>2</v>
      </c>
      <c r="I1115" t="s">
        <v>9</v>
      </c>
      <c r="K1115" t="str">
        <v>premium</v>
      </c>
      <c r="L1115">
        <v>73</v>
      </c>
    </row>
    <row r="1116" spans="2:12" x14ac:dyDescent="0.3">
      <c r="B1116" t="s">
        <v>1091</v>
      </c>
      <c r="C1116">
        <v>94</v>
      </c>
      <c r="D1116" t="s">
        <v>45</v>
      </c>
      <c r="E1116">
        <v>60</v>
      </c>
      <c r="F1116">
        <v>80</v>
      </c>
      <c r="G1116">
        <v>132.28</v>
      </c>
      <c r="H1116" t="s">
        <v>2</v>
      </c>
      <c r="I1116" t="s">
        <v>9</v>
      </c>
      <c r="K1116" t="str">
        <v>premium</v>
      </c>
      <c r="L1116">
        <v>70</v>
      </c>
    </row>
    <row r="1117" spans="2:12" x14ac:dyDescent="0.3">
      <c r="B1117" t="s">
        <v>868</v>
      </c>
      <c r="C1117">
        <v>96</v>
      </c>
      <c r="D1117" t="s">
        <v>45</v>
      </c>
      <c r="E1117">
        <v>58</v>
      </c>
      <c r="F1117">
        <v>78</v>
      </c>
      <c r="G1117">
        <v>24.69</v>
      </c>
      <c r="H1117" t="s">
        <v>18</v>
      </c>
      <c r="I1117" t="s">
        <v>5</v>
      </c>
      <c r="K1117" t="str">
        <v>budget</v>
      </c>
      <c r="L1117">
        <v>68</v>
      </c>
    </row>
    <row r="1118" spans="2:12" x14ac:dyDescent="0.3">
      <c r="B1118" t="s">
        <v>1092</v>
      </c>
      <c r="C1118">
        <v>95</v>
      </c>
      <c r="D1118" t="s">
        <v>41</v>
      </c>
      <c r="E1118">
        <v>68</v>
      </c>
      <c r="F1118">
        <v>90</v>
      </c>
      <c r="G1118">
        <v>17.59</v>
      </c>
      <c r="H1118" t="s">
        <v>18</v>
      </c>
      <c r="I1118" t="s">
        <v>9</v>
      </c>
      <c r="K1118" t="str">
        <v>budget</v>
      </c>
      <c r="L1118">
        <v>79</v>
      </c>
    </row>
    <row r="1119" spans="2:12" x14ac:dyDescent="0.3">
      <c r="B1119" t="s">
        <v>1093</v>
      </c>
      <c r="C1119">
        <v>95</v>
      </c>
      <c r="D1119" t="s">
        <v>45</v>
      </c>
      <c r="E1119">
        <v>58</v>
      </c>
      <c r="F1119">
        <v>76</v>
      </c>
      <c r="G1119">
        <v>6.76</v>
      </c>
      <c r="H1119" t="s">
        <v>18</v>
      </c>
      <c r="I1119" t="s">
        <v>9</v>
      </c>
      <c r="K1119" t="str">
        <v>budget</v>
      </c>
      <c r="L1119">
        <v>67</v>
      </c>
    </row>
    <row r="1120" spans="2:12" x14ac:dyDescent="0.3">
      <c r="B1120" t="s">
        <v>1094</v>
      </c>
      <c r="C1120">
        <v>94</v>
      </c>
      <c r="D1120" t="s">
        <v>41</v>
      </c>
      <c r="E1120">
        <v>64</v>
      </c>
      <c r="F1120">
        <v>82</v>
      </c>
      <c r="G1120">
        <v>7.33</v>
      </c>
      <c r="H1120" t="s">
        <v>18</v>
      </c>
      <c r="I1120" t="s">
        <v>9</v>
      </c>
      <c r="K1120" t="str">
        <v>budget</v>
      </c>
      <c r="L1120">
        <v>73</v>
      </c>
    </row>
    <row r="1121" spans="2:12" x14ac:dyDescent="0.3">
      <c r="B1121" t="s">
        <v>1095</v>
      </c>
      <c r="C1121">
        <v>94</v>
      </c>
      <c r="D1121" t="s">
        <v>45</v>
      </c>
      <c r="E1121">
        <v>56</v>
      </c>
      <c r="F1121">
        <v>78</v>
      </c>
      <c r="G1121">
        <v>90.83</v>
      </c>
      <c r="H1121" t="s">
        <v>2</v>
      </c>
      <c r="I1121" t="s">
        <v>12</v>
      </c>
      <c r="K1121" t="str">
        <v>middle</v>
      </c>
      <c r="L1121">
        <v>67</v>
      </c>
    </row>
    <row r="1122" spans="2:12" x14ac:dyDescent="0.3">
      <c r="B1122" t="s">
        <v>1096</v>
      </c>
      <c r="C1122">
        <v>94</v>
      </c>
      <c r="D1122" t="s">
        <v>41</v>
      </c>
      <c r="E1122">
        <v>62</v>
      </c>
      <c r="F1122">
        <v>80</v>
      </c>
      <c r="G1122">
        <v>6.47</v>
      </c>
      <c r="H1122" t="s">
        <v>18</v>
      </c>
      <c r="I1122" t="s">
        <v>9</v>
      </c>
      <c r="K1122" t="str">
        <v>budget</v>
      </c>
      <c r="L1122">
        <v>71</v>
      </c>
    </row>
    <row r="1123" spans="2:12" x14ac:dyDescent="0.3">
      <c r="B1123" t="s">
        <v>1097</v>
      </c>
      <c r="C1123">
        <v>95</v>
      </c>
      <c r="D1123" t="s">
        <v>82</v>
      </c>
      <c r="E1123">
        <v>47</v>
      </c>
      <c r="F1123">
        <v>73</v>
      </c>
      <c r="G1123">
        <v>485.01</v>
      </c>
      <c r="H1123" t="s">
        <v>2</v>
      </c>
      <c r="I1123" t="s">
        <v>9</v>
      </c>
      <c r="K1123" t="str">
        <v>premium</v>
      </c>
      <c r="L1123">
        <v>60</v>
      </c>
    </row>
    <row r="1124" spans="2:12" x14ac:dyDescent="0.3">
      <c r="B1124" t="s">
        <v>1098</v>
      </c>
      <c r="C1124">
        <v>94</v>
      </c>
      <c r="D1124" t="s">
        <v>82</v>
      </c>
      <c r="E1124">
        <v>46</v>
      </c>
      <c r="F1124">
        <v>64</v>
      </c>
      <c r="G1124">
        <v>485.01</v>
      </c>
      <c r="H1124" t="s">
        <v>2</v>
      </c>
      <c r="I1124" t="s">
        <v>2</v>
      </c>
      <c r="K1124" t="str">
        <v>premium</v>
      </c>
      <c r="L1124">
        <v>55</v>
      </c>
    </row>
    <row r="1125" spans="2:12" x14ac:dyDescent="0.3">
      <c r="B1125" t="s">
        <v>1099</v>
      </c>
      <c r="C1125">
        <v>94</v>
      </c>
      <c r="D1125" t="s">
        <v>45</v>
      </c>
      <c r="E1125">
        <v>60</v>
      </c>
      <c r="F1125">
        <v>78</v>
      </c>
      <c r="G1125">
        <v>24.25</v>
      </c>
      <c r="H1125" t="s">
        <v>18</v>
      </c>
      <c r="I1125" t="s">
        <v>9</v>
      </c>
      <c r="K1125" t="str">
        <v>budget</v>
      </c>
      <c r="L1125">
        <v>69</v>
      </c>
    </row>
    <row r="1126" spans="2:12" x14ac:dyDescent="0.3">
      <c r="B1126" t="s">
        <v>1100</v>
      </c>
      <c r="C1126">
        <v>94</v>
      </c>
      <c r="D1126" t="s">
        <v>41</v>
      </c>
      <c r="E1126">
        <v>62</v>
      </c>
      <c r="F1126">
        <v>80</v>
      </c>
      <c r="G1126">
        <v>40</v>
      </c>
      <c r="H1126" t="s">
        <v>18</v>
      </c>
      <c r="I1126" t="s">
        <v>5</v>
      </c>
      <c r="K1126" t="str">
        <v>middle</v>
      </c>
      <c r="L1126">
        <v>71</v>
      </c>
    </row>
    <row r="1127" spans="2:12" x14ac:dyDescent="0.3">
      <c r="B1127" t="s">
        <v>1101</v>
      </c>
      <c r="C1127">
        <v>94</v>
      </c>
      <c r="D1127" t="s">
        <v>45</v>
      </c>
      <c r="E1127">
        <v>61</v>
      </c>
      <c r="F1127">
        <v>79</v>
      </c>
      <c r="G1127">
        <v>0.44</v>
      </c>
      <c r="H1127" t="s">
        <v>2</v>
      </c>
      <c r="I1127" t="s">
        <v>6</v>
      </c>
      <c r="K1127" t="str">
        <v>budget</v>
      </c>
      <c r="L1127">
        <v>70</v>
      </c>
    </row>
    <row r="1128" spans="2:12" x14ac:dyDescent="0.3">
      <c r="B1128" t="s">
        <v>1102</v>
      </c>
      <c r="C1128">
        <v>95</v>
      </c>
      <c r="D1128" t="s">
        <v>45</v>
      </c>
      <c r="E1128">
        <v>58</v>
      </c>
      <c r="F1128">
        <v>76</v>
      </c>
      <c r="G1128">
        <v>198.24</v>
      </c>
      <c r="H1128" t="s">
        <v>2</v>
      </c>
      <c r="I1128" t="s">
        <v>9</v>
      </c>
      <c r="K1128" t="str">
        <v>premium</v>
      </c>
      <c r="L1128">
        <v>67</v>
      </c>
    </row>
    <row r="1129" spans="2:12" x14ac:dyDescent="0.3">
      <c r="B1129" t="s">
        <v>1054</v>
      </c>
      <c r="C1129">
        <v>94</v>
      </c>
      <c r="D1129" t="s">
        <v>45</v>
      </c>
      <c r="E1129">
        <v>57</v>
      </c>
      <c r="F1129">
        <v>77</v>
      </c>
      <c r="G1129">
        <v>200</v>
      </c>
      <c r="H1129" t="s">
        <v>2</v>
      </c>
      <c r="I1129" t="s">
        <v>12</v>
      </c>
      <c r="K1129" t="str">
        <v>premium</v>
      </c>
      <c r="L1129">
        <v>67</v>
      </c>
    </row>
    <row r="1130" spans="2:12" x14ac:dyDescent="0.3">
      <c r="B1130" t="s">
        <v>1103</v>
      </c>
      <c r="C1130">
        <v>95</v>
      </c>
      <c r="D1130" t="s">
        <v>45</v>
      </c>
      <c r="E1130">
        <v>58</v>
      </c>
      <c r="F1130">
        <v>74</v>
      </c>
      <c r="G1130">
        <v>26.41</v>
      </c>
      <c r="H1130" t="s">
        <v>18</v>
      </c>
      <c r="I1130" t="s">
        <v>18</v>
      </c>
      <c r="K1130" t="str">
        <v>middle</v>
      </c>
      <c r="L1130">
        <v>66</v>
      </c>
    </row>
    <row r="1131" spans="2:12" x14ac:dyDescent="0.3">
      <c r="B1131" t="s">
        <v>1104</v>
      </c>
      <c r="C1131">
        <v>95</v>
      </c>
      <c r="D1131" t="s">
        <v>41</v>
      </c>
      <c r="E1131">
        <v>60</v>
      </c>
      <c r="F1131">
        <v>82</v>
      </c>
      <c r="G1131">
        <v>6.17</v>
      </c>
      <c r="H1131" t="s">
        <v>18</v>
      </c>
      <c r="I1131" t="s">
        <v>9</v>
      </c>
      <c r="K1131" t="str">
        <v>budget</v>
      </c>
      <c r="L1131">
        <v>71</v>
      </c>
    </row>
    <row r="1132" spans="2:12" x14ac:dyDescent="0.3">
      <c r="B1132" t="s">
        <v>1105</v>
      </c>
      <c r="C1132">
        <v>95</v>
      </c>
      <c r="D1132" t="s">
        <v>45</v>
      </c>
      <c r="E1132">
        <v>56</v>
      </c>
      <c r="F1132">
        <v>74</v>
      </c>
      <c r="G1132">
        <v>16.53</v>
      </c>
      <c r="H1132" t="s">
        <v>18</v>
      </c>
      <c r="I1132" t="s">
        <v>150</v>
      </c>
      <c r="K1132" t="str">
        <v>budget</v>
      </c>
      <c r="L1132">
        <v>65</v>
      </c>
    </row>
    <row r="1133" spans="2:12" x14ac:dyDescent="0.3">
      <c r="B1133" t="s">
        <v>1106</v>
      </c>
      <c r="C1133">
        <v>94</v>
      </c>
      <c r="D1133" t="s">
        <v>45</v>
      </c>
      <c r="E1133">
        <v>55</v>
      </c>
      <c r="F1133">
        <v>71</v>
      </c>
      <c r="G1133">
        <v>14.55</v>
      </c>
      <c r="H1133" t="s">
        <v>18</v>
      </c>
      <c r="I1133" t="s">
        <v>150</v>
      </c>
      <c r="K1133" t="str">
        <v>budget</v>
      </c>
      <c r="L1133">
        <v>63</v>
      </c>
    </row>
    <row r="1134" spans="2:12" x14ac:dyDescent="0.3">
      <c r="B1134" t="s">
        <v>1107</v>
      </c>
      <c r="C1134">
        <v>96</v>
      </c>
      <c r="D1134" t="s">
        <v>45</v>
      </c>
      <c r="E1134">
        <v>58</v>
      </c>
      <c r="F1134">
        <v>76</v>
      </c>
      <c r="G1134">
        <v>1058.2</v>
      </c>
      <c r="H1134" t="s">
        <v>2</v>
      </c>
      <c r="I1134" t="s">
        <v>5</v>
      </c>
      <c r="K1134" t="str">
        <v>premium</v>
      </c>
      <c r="L1134">
        <v>67</v>
      </c>
    </row>
    <row r="1135" spans="2:12" x14ac:dyDescent="0.3">
      <c r="B1135" t="s">
        <v>1108</v>
      </c>
      <c r="C1135">
        <v>95</v>
      </c>
      <c r="D1135" t="s">
        <v>45</v>
      </c>
      <c r="E1135">
        <v>60</v>
      </c>
      <c r="F1135">
        <v>77</v>
      </c>
      <c r="G1135">
        <v>5.86</v>
      </c>
      <c r="H1135" t="s">
        <v>18</v>
      </c>
      <c r="I1135" t="s">
        <v>9</v>
      </c>
      <c r="K1135" t="str">
        <v>budget</v>
      </c>
      <c r="L1135">
        <v>68.5</v>
      </c>
    </row>
    <row r="1136" spans="2:12" x14ac:dyDescent="0.3">
      <c r="B1136" t="s">
        <v>1109</v>
      </c>
      <c r="C1136">
        <v>95</v>
      </c>
      <c r="D1136" t="s">
        <v>45</v>
      </c>
      <c r="E1136">
        <v>46</v>
      </c>
      <c r="F1136">
        <v>76</v>
      </c>
      <c r="G1136">
        <v>529.1</v>
      </c>
      <c r="H1136" t="s">
        <v>2</v>
      </c>
      <c r="I1136" t="s">
        <v>5</v>
      </c>
      <c r="K1136" t="str">
        <v>premium</v>
      </c>
      <c r="L1136">
        <v>61</v>
      </c>
    </row>
    <row r="1137" spans="2:12" x14ac:dyDescent="0.3">
      <c r="B1137" t="s">
        <v>1110</v>
      </c>
      <c r="C1137">
        <v>94</v>
      </c>
      <c r="D1137" t="s">
        <v>41</v>
      </c>
      <c r="E1137">
        <v>62</v>
      </c>
      <c r="F1137">
        <v>80</v>
      </c>
      <c r="G1137">
        <v>5.28</v>
      </c>
      <c r="H1137" t="s">
        <v>18</v>
      </c>
      <c r="I1137" t="s">
        <v>20</v>
      </c>
      <c r="K1137" t="str">
        <v>budget</v>
      </c>
      <c r="L1137">
        <v>71</v>
      </c>
    </row>
    <row r="1138" spans="2:12" x14ac:dyDescent="0.3">
      <c r="B1138" t="s">
        <v>1111</v>
      </c>
      <c r="C1138">
        <v>95</v>
      </c>
      <c r="D1138" t="s">
        <v>45</v>
      </c>
      <c r="E1138">
        <v>59</v>
      </c>
      <c r="F1138">
        <v>77</v>
      </c>
      <c r="G1138">
        <v>143.30000000000001</v>
      </c>
      <c r="H1138" t="s">
        <v>2</v>
      </c>
      <c r="I1138" t="s">
        <v>9</v>
      </c>
      <c r="K1138" t="str">
        <v>premium</v>
      </c>
      <c r="L1138">
        <v>68</v>
      </c>
    </row>
    <row r="1139" spans="2:12" x14ac:dyDescent="0.3">
      <c r="B1139" t="s">
        <v>1112</v>
      </c>
      <c r="C1139">
        <v>94</v>
      </c>
      <c r="D1139" t="s">
        <v>45</v>
      </c>
      <c r="E1139">
        <v>52</v>
      </c>
      <c r="F1139">
        <v>74</v>
      </c>
      <c r="G1139">
        <v>143.30000000000001</v>
      </c>
      <c r="H1139" t="s">
        <v>2</v>
      </c>
      <c r="I1139" t="s">
        <v>12</v>
      </c>
      <c r="K1139" t="str">
        <v>premium</v>
      </c>
      <c r="L1139">
        <v>63</v>
      </c>
    </row>
    <row r="1140" spans="2:12" x14ac:dyDescent="0.3">
      <c r="B1140" t="s">
        <v>1113</v>
      </c>
      <c r="C1140">
        <v>94</v>
      </c>
      <c r="D1140" t="s">
        <v>45</v>
      </c>
      <c r="E1140">
        <v>60</v>
      </c>
      <c r="F1140">
        <v>78</v>
      </c>
      <c r="G1140">
        <v>1750</v>
      </c>
      <c r="H1140" t="s">
        <v>2</v>
      </c>
      <c r="I1140" t="s">
        <v>9</v>
      </c>
      <c r="K1140" t="str">
        <v>premium</v>
      </c>
      <c r="L1140">
        <v>69</v>
      </c>
    </row>
    <row r="1141" spans="2:12" x14ac:dyDescent="0.3">
      <c r="B1141" t="s">
        <v>1114</v>
      </c>
      <c r="C1141">
        <v>94</v>
      </c>
      <c r="D1141" t="s">
        <v>45</v>
      </c>
      <c r="E1141">
        <v>60</v>
      </c>
      <c r="F1141">
        <v>80</v>
      </c>
      <c r="G1141">
        <v>136.68</v>
      </c>
      <c r="H1141" t="s">
        <v>2</v>
      </c>
      <c r="I1141" t="s">
        <v>9</v>
      </c>
      <c r="K1141" t="str">
        <v>premium</v>
      </c>
      <c r="L1141">
        <v>70</v>
      </c>
    </row>
    <row r="1142" spans="2:12" x14ac:dyDescent="0.3">
      <c r="B1142" t="s">
        <v>1115</v>
      </c>
      <c r="C1142">
        <v>98</v>
      </c>
      <c r="D1142" t="s">
        <v>45</v>
      </c>
      <c r="E1142">
        <v>58</v>
      </c>
      <c r="F1142">
        <v>76</v>
      </c>
      <c r="G1142">
        <v>44.09</v>
      </c>
      <c r="H1142" t="s">
        <v>18</v>
      </c>
      <c r="I1142" t="s">
        <v>5</v>
      </c>
      <c r="K1142" t="str">
        <v>middle</v>
      </c>
      <c r="L1142">
        <v>67</v>
      </c>
    </row>
    <row r="1143" spans="2:12" x14ac:dyDescent="0.3">
      <c r="B1143" t="s">
        <v>1116</v>
      </c>
      <c r="C1143">
        <v>95</v>
      </c>
      <c r="D1143" t="s">
        <v>45</v>
      </c>
      <c r="E1143">
        <v>53</v>
      </c>
      <c r="F1143">
        <v>73</v>
      </c>
      <c r="G1143">
        <v>49.97</v>
      </c>
      <c r="H1143" t="s">
        <v>18</v>
      </c>
      <c r="I1143" t="s">
        <v>14</v>
      </c>
      <c r="K1143" t="str">
        <v>middle</v>
      </c>
      <c r="L1143">
        <v>63</v>
      </c>
    </row>
    <row r="1144" spans="2:12" x14ac:dyDescent="0.3">
      <c r="B1144" t="s">
        <v>1117</v>
      </c>
      <c r="C1144">
        <v>94</v>
      </c>
      <c r="D1144" t="s">
        <v>41</v>
      </c>
      <c r="E1144">
        <v>62</v>
      </c>
      <c r="F1144">
        <v>80</v>
      </c>
      <c r="G1144">
        <v>5.59</v>
      </c>
      <c r="H1144" t="s">
        <v>18</v>
      </c>
      <c r="I1144" t="s">
        <v>9</v>
      </c>
      <c r="K1144" t="str">
        <v>budget</v>
      </c>
      <c r="L1144">
        <v>71</v>
      </c>
    </row>
    <row r="1145" spans="2:12" x14ac:dyDescent="0.3">
      <c r="B1145" t="s">
        <v>1118</v>
      </c>
      <c r="C1145">
        <v>94</v>
      </c>
      <c r="D1145" t="s">
        <v>45</v>
      </c>
      <c r="E1145">
        <v>60</v>
      </c>
      <c r="F1145">
        <v>77</v>
      </c>
      <c r="G1145">
        <v>165</v>
      </c>
      <c r="H1145" t="s">
        <v>2</v>
      </c>
      <c r="I1145" t="s">
        <v>12</v>
      </c>
      <c r="K1145" t="str">
        <v>premium</v>
      </c>
      <c r="L1145">
        <v>68.5</v>
      </c>
    </row>
    <row r="1146" spans="2:12" x14ac:dyDescent="0.3">
      <c r="B1146" t="s">
        <v>1119</v>
      </c>
      <c r="C1146">
        <v>97</v>
      </c>
      <c r="D1146" t="s">
        <v>45</v>
      </c>
      <c r="E1146">
        <v>57</v>
      </c>
      <c r="F1146">
        <v>77</v>
      </c>
      <c r="G1146">
        <v>15.43</v>
      </c>
      <c r="H1146" t="s">
        <v>18</v>
      </c>
      <c r="I1146" t="s">
        <v>9</v>
      </c>
      <c r="K1146" t="str">
        <v>budget</v>
      </c>
      <c r="L1146">
        <v>67</v>
      </c>
    </row>
    <row r="1147" spans="2:12" x14ac:dyDescent="0.3">
      <c r="B1147" t="s">
        <v>467</v>
      </c>
      <c r="C1147">
        <v>96</v>
      </c>
      <c r="D1147" t="s">
        <v>45</v>
      </c>
      <c r="E1147">
        <v>52</v>
      </c>
      <c r="F1147">
        <v>70</v>
      </c>
      <c r="G1147">
        <v>33.049999999999997</v>
      </c>
      <c r="H1147" t="s">
        <v>18</v>
      </c>
      <c r="I1147" t="s">
        <v>18</v>
      </c>
      <c r="K1147" t="str">
        <v>middle</v>
      </c>
      <c r="L1147">
        <v>61</v>
      </c>
    </row>
    <row r="1148" spans="2:12" x14ac:dyDescent="0.3">
      <c r="B1148" t="s">
        <v>490</v>
      </c>
      <c r="C1148">
        <v>94</v>
      </c>
      <c r="D1148" t="s">
        <v>45</v>
      </c>
      <c r="E1148">
        <v>54</v>
      </c>
      <c r="F1148">
        <v>74</v>
      </c>
      <c r="G1148">
        <v>17.61</v>
      </c>
      <c r="H1148" t="s">
        <v>18</v>
      </c>
      <c r="I1148" t="s">
        <v>150</v>
      </c>
      <c r="K1148" t="str">
        <v>budget</v>
      </c>
      <c r="L1148">
        <v>64</v>
      </c>
    </row>
    <row r="1149" spans="2:12" x14ac:dyDescent="0.3">
      <c r="B1149" t="s">
        <v>1120</v>
      </c>
      <c r="C1149">
        <v>94</v>
      </c>
      <c r="D1149" t="s">
        <v>45</v>
      </c>
      <c r="E1149">
        <v>60</v>
      </c>
      <c r="F1149">
        <v>78</v>
      </c>
      <c r="G1149">
        <v>5.58</v>
      </c>
      <c r="H1149" t="s">
        <v>18</v>
      </c>
      <c r="I1149" t="s">
        <v>9</v>
      </c>
      <c r="K1149" t="str">
        <v>budget</v>
      </c>
      <c r="L1149">
        <v>69</v>
      </c>
    </row>
    <row r="1150" spans="2:12" x14ac:dyDescent="0.3">
      <c r="B1150" t="s">
        <v>1121</v>
      </c>
      <c r="C1150">
        <v>96</v>
      </c>
      <c r="D1150" t="s">
        <v>82</v>
      </c>
      <c r="E1150">
        <v>44</v>
      </c>
      <c r="F1150">
        <v>60</v>
      </c>
      <c r="G1150">
        <v>396.83</v>
      </c>
      <c r="H1150" t="s">
        <v>2</v>
      </c>
      <c r="I1150" t="s">
        <v>12</v>
      </c>
      <c r="K1150" t="str">
        <v>premium</v>
      </c>
      <c r="L1150">
        <v>52</v>
      </c>
    </row>
    <row r="1151" spans="2:12" x14ac:dyDescent="0.3">
      <c r="B1151" t="s">
        <v>1122</v>
      </c>
      <c r="C1151">
        <v>98</v>
      </c>
      <c r="D1151" t="s">
        <v>45</v>
      </c>
      <c r="E1151">
        <v>58</v>
      </c>
      <c r="F1151">
        <v>76</v>
      </c>
      <c r="G1151">
        <v>25</v>
      </c>
      <c r="H1151" t="s">
        <v>2</v>
      </c>
      <c r="I1151" t="s">
        <v>5</v>
      </c>
      <c r="K1151" t="str">
        <v>budget</v>
      </c>
      <c r="L1151">
        <v>67</v>
      </c>
    </row>
    <row r="1152" spans="2:12" x14ac:dyDescent="0.3">
      <c r="B1152" t="s">
        <v>1123</v>
      </c>
      <c r="C1152">
        <v>94</v>
      </c>
      <c r="D1152" t="s">
        <v>45</v>
      </c>
      <c r="E1152">
        <v>54</v>
      </c>
      <c r="F1152">
        <v>70</v>
      </c>
      <c r="G1152">
        <v>4.9800000000000004</v>
      </c>
      <c r="H1152" t="s">
        <v>18</v>
      </c>
      <c r="I1152" t="s">
        <v>14</v>
      </c>
      <c r="K1152" t="str">
        <v>budget</v>
      </c>
      <c r="L1152">
        <v>62</v>
      </c>
    </row>
    <row r="1153" spans="2:12" x14ac:dyDescent="0.3">
      <c r="B1153" t="s">
        <v>1124</v>
      </c>
      <c r="C1153">
        <v>94</v>
      </c>
      <c r="D1153" t="s">
        <v>41</v>
      </c>
      <c r="E1153">
        <v>62</v>
      </c>
      <c r="F1153">
        <v>80</v>
      </c>
      <c r="G1153">
        <v>57.28</v>
      </c>
      <c r="H1153" t="s">
        <v>18</v>
      </c>
      <c r="I1153" t="s">
        <v>2</v>
      </c>
      <c r="K1153" t="str">
        <v>middle</v>
      </c>
      <c r="L1153">
        <v>71</v>
      </c>
    </row>
    <row r="1154" spans="2:12" x14ac:dyDescent="0.3">
      <c r="B1154" t="s">
        <v>1125</v>
      </c>
      <c r="C1154">
        <v>95</v>
      </c>
      <c r="D1154" t="s">
        <v>45</v>
      </c>
      <c r="E1154">
        <v>60</v>
      </c>
      <c r="F1154">
        <v>78</v>
      </c>
      <c r="G1154">
        <v>49.97</v>
      </c>
      <c r="H1154" t="s">
        <v>18</v>
      </c>
      <c r="I1154" t="s">
        <v>5</v>
      </c>
      <c r="K1154" t="str">
        <v>middle</v>
      </c>
      <c r="L1154">
        <v>69</v>
      </c>
    </row>
    <row r="1155" spans="2:12" x14ac:dyDescent="0.3">
      <c r="B1155" t="s">
        <v>1126</v>
      </c>
      <c r="C1155">
        <v>95</v>
      </c>
      <c r="D1155" t="s">
        <v>45</v>
      </c>
      <c r="E1155">
        <v>54</v>
      </c>
      <c r="F1155">
        <v>70</v>
      </c>
      <c r="G1155">
        <v>28.66</v>
      </c>
      <c r="H1155" t="s">
        <v>18</v>
      </c>
      <c r="I1155" t="s">
        <v>5</v>
      </c>
      <c r="K1155" t="str">
        <v>middle</v>
      </c>
      <c r="L1155">
        <v>62</v>
      </c>
    </row>
    <row r="1156" spans="2:12" x14ac:dyDescent="0.3">
      <c r="B1156" t="s">
        <v>1127</v>
      </c>
      <c r="C1156">
        <v>94</v>
      </c>
      <c r="D1156" t="s">
        <v>45</v>
      </c>
      <c r="E1156">
        <v>58</v>
      </c>
      <c r="F1156">
        <v>78</v>
      </c>
      <c r="G1156">
        <v>12.79</v>
      </c>
      <c r="H1156" t="s">
        <v>2</v>
      </c>
      <c r="I1156" t="s">
        <v>9</v>
      </c>
      <c r="K1156" t="str">
        <v>budget</v>
      </c>
      <c r="L1156">
        <v>68</v>
      </c>
    </row>
    <row r="1157" spans="2:12" x14ac:dyDescent="0.3">
      <c r="B1157" t="s">
        <v>1128</v>
      </c>
      <c r="C1157">
        <v>94</v>
      </c>
      <c r="D1157" t="s">
        <v>45</v>
      </c>
      <c r="E1157">
        <v>59</v>
      </c>
      <c r="F1157">
        <v>74</v>
      </c>
      <c r="G1157">
        <v>7.35</v>
      </c>
      <c r="H1157" t="s">
        <v>2</v>
      </c>
      <c r="I1157" t="s">
        <v>9</v>
      </c>
      <c r="K1157" t="str">
        <v>budget</v>
      </c>
      <c r="L1157">
        <v>66.5</v>
      </c>
    </row>
    <row r="1158" spans="2:12" x14ac:dyDescent="0.3">
      <c r="B1158" t="s">
        <v>667</v>
      </c>
      <c r="C1158">
        <v>94</v>
      </c>
      <c r="D1158" t="s">
        <v>45</v>
      </c>
      <c r="E1158">
        <v>55</v>
      </c>
      <c r="F1158">
        <v>73</v>
      </c>
      <c r="G1158">
        <v>3.82</v>
      </c>
      <c r="H1158" t="s">
        <v>7</v>
      </c>
      <c r="I1158" t="s">
        <v>7</v>
      </c>
      <c r="K1158" t="str">
        <v>budget</v>
      </c>
      <c r="L1158">
        <v>64</v>
      </c>
    </row>
    <row r="1159" spans="2:12" x14ac:dyDescent="0.3">
      <c r="B1159" t="s">
        <v>1129</v>
      </c>
      <c r="C1159">
        <v>94</v>
      </c>
      <c r="D1159" t="s">
        <v>45</v>
      </c>
      <c r="E1159">
        <v>56</v>
      </c>
      <c r="F1159">
        <v>72</v>
      </c>
      <c r="G1159">
        <v>3.82</v>
      </c>
      <c r="H1159" t="s">
        <v>7</v>
      </c>
      <c r="I1159" t="s">
        <v>7</v>
      </c>
      <c r="K1159" t="str">
        <v>budget</v>
      </c>
      <c r="L1159">
        <v>64</v>
      </c>
    </row>
    <row r="1160" spans="2:12" x14ac:dyDescent="0.3">
      <c r="B1160" t="s">
        <v>1130</v>
      </c>
      <c r="C1160">
        <v>97</v>
      </c>
      <c r="D1160" t="s">
        <v>45</v>
      </c>
      <c r="E1160">
        <v>60</v>
      </c>
      <c r="F1160">
        <v>76</v>
      </c>
      <c r="G1160">
        <v>176.37</v>
      </c>
      <c r="H1160" t="s">
        <v>2</v>
      </c>
      <c r="I1160" t="s">
        <v>9</v>
      </c>
      <c r="K1160" t="str">
        <v>premium</v>
      </c>
      <c r="L1160">
        <v>68</v>
      </c>
    </row>
    <row r="1161" spans="2:12" x14ac:dyDescent="0.3">
      <c r="B1161" t="s">
        <v>1131</v>
      </c>
      <c r="C1161">
        <v>94</v>
      </c>
      <c r="D1161" t="s">
        <v>45</v>
      </c>
      <c r="E1161">
        <v>58</v>
      </c>
      <c r="F1161">
        <v>74</v>
      </c>
      <c r="G1161">
        <v>661.38</v>
      </c>
      <c r="H1161" t="s">
        <v>2</v>
      </c>
      <c r="I1161" t="s">
        <v>5</v>
      </c>
      <c r="K1161" t="str">
        <v>premium</v>
      </c>
      <c r="L1161">
        <v>66</v>
      </c>
    </row>
    <row r="1162" spans="2:12" x14ac:dyDescent="0.3">
      <c r="B1162" t="s">
        <v>1132</v>
      </c>
      <c r="C1162">
        <v>94</v>
      </c>
      <c r="D1162" t="s">
        <v>45</v>
      </c>
      <c r="E1162">
        <v>58</v>
      </c>
      <c r="F1162">
        <v>76</v>
      </c>
      <c r="G1162">
        <v>10.58</v>
      </c>
      <c r="H1162" t="s">
        <v>18</v>
      </c>
      <c r="I1162" t="s">
        <v>15</v>
      </c>
      <c r="K1162" t="str">
        <v>budget</v>
      </c>
      <c r="L1162">
        <v>67</v>
      </c>
    </row>
    <row r="1163" spans="2:12" x14ac:dyDescent="0.3">
      <c r="B1163" t="s">
        <v>1133</v>
      </c>
      <c r="C1163">
        <v>94</v>
      </c>
      <c r="D1163" t="s">
        <v>45</v>
      </c>
      <c r="E1163">
        <v>58</v>
      </c>
      <c r="F1163">
        <v>76</v>
      </c>
      <c r="G1163">
        <v>7.35</v>
      </c>
      <c r="H1163" t="s">
        <v>18</v>
      </c>
      <c r="I1163" t="s">
        <v>9</v>
      </c>
      <c r="K1163" t="str">
        <v>budget</v>
      </c>
      <c r="L1163">
        <v>67</v>
      </c>
    </row>
    <row r="1164" spans="2:12" x14ac:dyDescent="0.3">
      <c r="B1164" t="s">
        <v>1134</v>
      </c>
      <c r="C1164">
        <v>94</v>
      </c>
      <c r="D1164" t="s">
        <v>45</v>
      </c>
      <c r="E1164">
        <v>52</v>
      </c>
      <c r="F1164">
        <v>70</v>
      </c>
      <c r="G1164">
        <v>4.9800000000000004</v>
      </c>
      <c r="H1164" t="s">
        <v>18</v>
      </c>
      <c r="I1164" t="s">
        <v>9</v>
      </c>
      <c r="K1164" t="str">
        <v>budget</v>
      </c>
      <c r="L1164">
        <v>61</v>
      </c>
    </row>
    <row r="1165" spans="2:12" x14ac:dyDescent="0.3">
      <c r="B1165" t="s">
        <v>1135</v>
      </c>
      <c r="C1165">
        <v>95</v>
      </c>
      <c r="D1165" t="s">
        <v>41</v>
      </c>
      <c r="E1165">
        <v>64</v>
      </c>
      <c r="F1165">
        <v>84</v>
      </c>
      <c r="G1165">
        <v>17.59</v>
      </c>
      <c r="H1165" t="s">
        <v>18</v>
      </c>
      <c r="I1165" t="s">
        <v>7</v>
      </c>
      <c r="K1165" t="str">
        <v>budget</v>
      </c>
      <c r="L1165">
        <v>74</v>
      </c>
    </row>
    <row r="1166" spans="2:12" x14ac:dyDescent="0.3">
      <c r="B1166" t="s">
        <v>1136</v>
      </c>
      <c r="C1166">
        <v>94</v>
      </c>
      <c r="D1166" t="s">
        <v>45</v>
      </c>
      <c r="E1166">
        <v>58</v>
      </c>
      <c r="F1166">
        <v>76</v>
      </c>
      <c r="G1166">
        <v>17.59</v>
      </c>
      <c r="H1166" t="s">
        <v>18</v>
      </c>
      <c r="I1166" t="s">
        <v>18</v>
      </c>
      <c r="K1166" t="str">
        <v>budget</v>
      </c>
      <c r="L1166">
        <v>67</v>
      </c>
    </row>
    <row r="1167" spans="2:12" x14ac:dyDescent="0.3">
      <c r="B1167" t="s">
        <v>1137</v>
      </c>
      <c r="C1167">
        <v>94</v>
      </c>
      <c r="D1167" t="s">
        <v>45</v>
      </c>
      <c r="E1167">
        <v>62</v>
      </c>
      <c r="F1167">
        <v>78</v>
      </c>
      <c r="G1167">
        <v>5.88</v>
      </c>
      <c r="H1167" t="s">
        <v>31</v>
      </c>
      <c r="I1167" t="s">
        <v>14</v>
      </c>
      <c r="K1167" t="str">
        <v>budget</v>
      </c>
      <c r="L1167">
        <v>70</v>
      </c>
    </row>
    <row r="1168" spans="2:12" x14ac:dyDescent="0.3">
      <c r="B1168" t="s">
        <v>1138</v>
      </c>
      <c r="C1168">
        <v>94</v>
      </c>
      <c r="D1168" t="s">
        <v>45</v>
      </c>
      <c r="E1168">
        <v>58</v>
      </c>
      <c r="F1168">
        <v>78</v>
      </c>
      <c r="G1168">
        <v>121.25</v>
      </c>
      <c r="H1168" t="s">
        <v>2</v>
      </c>
      <c r="I1168" t="s">
        <v>9</v>
      </c>
      <c r="K1168" t="str">
        <v>premium</v>
      </c>
      <c r="L1168">
        <v>68</v>
      </c>
    </row>
    <row r="1169" spans="2:12" x14ac:dyDescent="0.3">
      <c r="B1169" t="s">
        <v>1139</v>
      </c>
      <c r="C1169">
        <v>94</v>
      </c>
      <c r="D1169" t="s">
        <v>45</v>
      </c>
      <c r="E1169">
        <v>52</v>
      </c>
      <c r="F1169">
        <v>70</v>
      </c>
      <c r="G1169">
        <v>110.23</v>
      </c>
      <c r="H1169" t="s">
        <v>2</v>
      </c>
      <c r="I1169" t="s">
        <v>15</v>
      </c>
      <c r="K1169" t="str">
        <v>premium</v>
      </c>
      <c r="L1169">
        <v>61</v>
      </c>
    </row>
    <row r="1170" spans="2:12" x14ac:dyDescent="0.3">
      <c r="B1170" t="s">
        <v>1140</v>
      </c>
      <c r="C1170">
        <v>95</v>
      </c>
      <c r="D1170" t="s">
        <v>45</v>
      </c>
      <c r="E1170">
        <v>55</v>
      </c>
      <c r="F1170">
        <v>75</v>
      </c>
      <c r="G1170">
        <v>5.26</v>
      </c>
      <c r="H1170" t="s">
        <v>18</v>
      </c>
      <c r="I1170" t="s">
        <v>15</v>
      </c>
      <c r="K1170" t="str">
        <v>budget</v>
      </c>
      <c r="L1170">
        <v>65</v>
      </c>
    </row>
    <row r="1171" spans="2:12" x14ac:dyDescent="0.3">
      <c r="B1171" t="s">
        <v>1141</v>
      </c>
      <c r="C1171">
        <v>94</v>
      </c>
      <c r="D1171" t="s">
        <v>45</v>
      </c>
      <c r="E1171">
        <v>60</v>
      </c>
      <c r="F1171">
        <v>78</v>
      </c>
      <c r="G1171">
        <v>5.51</v>
      </c>
      <c r="H1171" t="s">
        <v>18</v>
      </c>
      <c r="I1171" t="s">
        <v>9</v>
      </c>
      <c r="K1171" t="str">
        <v>budget</v>
      </c>
      <c r="L1171">
        <v>69</v>
      </c>
    </row>
    <row r="1172" spans="2:12" x14ac:dyDescent="0.3">
      <c r="B1172" t="s">
        <v>1142</v>
      </c>
      <c r="C1172">
        <v>94</v>
      </c>
      <c r="D1172" t="s">
        <v>45</v>
      </c>
      <c r="E1172">
        <v>58</v>
      </c>
      <c r="F1172">
        <v>74</v>
      </c>
      <c r="G1172">
        <v>12.35</v>
      </c>
      <c r="H1172" t="s">
        <v>18</v>
      </c>
      <c r="I1172" t="s">
        <v>14</v>
      </c>
      <c r="K1172" t="str">
        <v>budget</v>
      </c>
      <c r="L1172">
        <v>66</v>
      </c>
    </row>
    <row r="1173" spans="2:12" x14ac:dyDescent="0.3">
      <c r="B1173" t="s">
        <v>1143</v>
      </c>
      <c r="C1173">
        <v>95</v>
      </c>
      <c r="D1173" t="s">
        <v>82</v>
      </c>
      <c r="E1173">
        <v>48</v>
      </c>
      <c r="F1173">
        <v>66</v>
      </c>
      <c r="G1173">
        <v>6.47</v>
      </c>
      <c r="H1173" t="s">
        <v>18</v>
      </c>
      <c r="I1173" t="s">
        <v>12</v>
      </c>
      <c r="K1173" t="str">
        <v>budget</v>
      </c>
      <c r="L1173">
        <v>57</v>
      </c>
    </row>
    <row r="1174" spans="2:12" x14ac:dyDescent="0.3">
      <c r="B1174" t="s">
        <v>1144</v>
      </c>
      <c r="C1174">
        <v>95</v>
      </c>
      <c r="D1174" t="s">
        <v>45</v>
      </c>
      <c r="E1174">
        <v>60</v>
      </c>
      <c r="F1174">
        <v>80</v>
      </c>
      <c r="G1174">
        <v>5</v>
      </c>
      <c r="H1174" t="s">
        <v>18</v>
      </c>
      <c r="I1174" t="s">
        <v>12</v>
      </c>
      <c r="K1174" t="str">
        <v>budget</v>
      </c>
      <c r="L1174">
        <v>70</v>
      </c>
    </row>
    <row r="1175" spans="2:12" x14ac:dyDescent="0.3">
      <c r="B1175" t="s">
        <v>1145</v>
      </c>
      <c r="C1175">
        <v>95</v>
      </c>
      <c r="D1175" t="s">
        <v>45</v>
      </c>
      <c r="E1175">
        <v>54</v>
      </c>
      <c r="F1175">
        <v>74</v>
      </c>
      <c r="G1175">
        <v>330.43</v>
      </c>
      <c r="H1175" t="s">
        <v>2</v>
      </c>
      <c r="I1175" t="s">
        <v>12</v>
      </c>
      <c r="K1175" t="str">
        <v>premium</v>
      </c>
      <c r="L1175">
        <v>64</v>
      </c>
    </row>
    <row r="1176" spans="2:12" x14ac:dyDescent="0.3">
      <c r="B1176" t="s">
        <v>1146</v>
      </c>
      <c r="C1176">
        <v>95</v>
      </c>
      <c r="D1176" t="s">
        <v>45</v>
      </c>
      <c r="E1176">
        <v>58</v>
      </c>
      <c r="F1176">
        <v>74</v>
      </c>
      <c r="G1176">
        <v>244.44</v>
      </c>
      <c r="H1176" t="s">
        <v>2</v>
      </c>
      <c r="I1176" t="s">
        <v>12</v>
      </c>
      <c r="K1176" t="str">
        <v>premium</v>
      </c>
      <c r="L1176">
        <v>66</v>
      </c>
    </row>
    <row r="1177" spans="2:12" x14ac:dyDescent="0.3">
      <c r="B1177" t="s">
        <v>1147</v>
      </c>
      <c r="C1177">
        <v>94</v>
      </c>
      <c r="D1177" t="s">
        <v>45</v>
      </c>
      <c r="E1177">
        <v>54</v>
      </c>
      <c r="F1177">
        <v>72</v>
      </c>
      <c r="G1177">
        <v>198.24</v>
      </c>
      <c r="H1177" t="s">
        <v>2</v>
      </c>
      <c r="I1177" t="s">
        <v>12</v>
      </c>
      <c r="K1177" t="str">
        <v>premium</v>
      </c>
      <c r="L1177">
        <v>63</v>
      </c>
    </row>
    <row r="1178" spans="2:12" x14ac:dyDescent="0.3">
      <c r="B1178" t="s">
        <v>1148</v>
      </c>
      <c r="C1178">
        <v>94</v>
      </c>
      <c r="D1178" t="s">
        <v>45</v>
      </c>
      <c r="E1178">
        <v>60</v>
      </c>
      <c r="F1178">
        <v>78</v>
      </c>
      <c r="G1178">
        <v>143.30000000000001</v>
      </c>
      <c r="H1178" t="s">
        <v>2</v>
      </c>
      <c r="I1178" t="s">
        <v>12</v>
      </c>
      <c r="K1178" t="str">
        <v>premium</v>
      </c>
      <c r="L1178">
        <v>69</v>
      </c>
    </row>
    <row r="1179" spans="2:12" x14ac:dyDescent="0.3">
      <c r="B1179" t="s">
        <v>1149</v>
      </c>
      <c r="C1179">
        <v>94</v>
      </c>
      <c r="D1179" t="s">
        <v>45</v>
      </c>
      <c r="E1179">
        <v>58</v>
      </c>
      <c r="F1179">
        <v>80</v>
      </c>
      <c r="G1179">
        <v>6.45</v>
      </c>
      <c r="H1179" t="s">
        <v>18</v>
      </c>
      <c r="I1179" t="s">
        <v>12</v>
      </c>
      <c r="K1179" t="str">
        <v>budget</v>
      </c>
      <c r="L1179">
        <v>69</v>
      </c>
    </row>
    <row r="1180" spans="2:12" x14ac:dyDescent="0.3">
      <c r="B1180" t="s">
        <v>1150</v>
      </c>
      <c r="C1180">
        <v>94</v>
      </c>
      <c r="D1180" t="s">
        <v>45</v>
      </c>
      <c r="E1180">
        <v>60</v>
      </c>
      <c r="F1180">
        <v>78</v>
      </c>
      <c r="G1180">
        <v>9.7799999999999994</v>
      </c>
      <c r="H1180" t="s">
        <v>31</v>
      </c>
      <c r="I1180" t="s">
        <v>12</v>
      </c>
      <c r="K1180" t="str">
        <v>budget</v>
      </c>
      <c r="L1180">
        <v>69</v>
      </c>
    </row>
    <row r="1181" spans="2:12" x14ac:dyDescent="0.3">
      <c r="B1181" t="s">
        <v>1151</v>
      </c>
      <c r="C1181">
        <v>94</v>
      </c>
      <c r="D1181" t="s">
        <v>45</v>
      </c>
      <c r="E1181">
        <v>57</v>
      </c>
      <c r="F1181">
        <v>77</v>
      </c>
      <c r="G1181">
        <v>250</v>
      </c>
      <c r="H1181" t="s">
        <v>2</v>
      </c>
      <c r="I1181" t="s">
        <v>12</v>
      </c>
      <c r="K1181" t="str">
        <v>premium</v>
      </c>
      <c r="L1181">
        <v>67</v>
      </c>
    </row>
    <row r="1182" spans="2:12" x14ac:dyDescent="0.3">
      <c r="B1182" t="s">
        <v>1152</v>
      </c>
      <c r="C1182">
        <v>94</v>
      </c>
      <c r="D1182" t="s">
        <v>45</v>
      </c>
      <c r="E1182">
        <v>56</v>
      </c>
      <c r="F1182">
        <v>72</v>
      </c>
      <c r="G1182">
        <v>6.76</v>
      </c>
      <c r="H1182" t="s">
        <v>18</v>
      </c>
      <c r="I1182" t="s">
        <v>12</v>
      </c>
      <c r="K1182" t="str">
        <v>budget</v>
      </c>
      <c r="L1182">
        <v>64</v>
      </c>
    </row>
    <row r="1183" spans="2:12" x14ac:dyDescent="0.3">
      <c r="B1183" t="s">
        <v>1153</v>
      </c>
      <c r="C1183">
        <v>94</v>
      </c>
      <c r="D1183" t="s">
        <v>45</v>
      </c>
      <c r="E1183">
        <v>54</v>
      </c>
      <c r="F1183">
        <v>72</v>
      </c>
      <c r="G1183">
        <v>5.29</v>
      </c>
      <c r="H1183" t="s">
        <v>18</v>
      </c>
      <c r="I1183" t="s">
        <v>12</v>
      </c>
      <c r="K1183" t="str">
        <v>budget</v>
      </c>
      <c r="L1183">
        <v>63</v>
      </c>
    </row>
    <row r="1184" spans="2:12" x14ac:dyDescent="0.3">
      <c r="B1184" t="s">
        <v>1154</v>
      </c>
      <c r="C1184">
        <v>94</v>
      </c>
      <c r="D1184" t="s">
        <v>82</v>
      </c>
      <c r="E1184">
        <v>50</v>
      </c>
      <c r="F1184">
        <v>70</v>
      </c>
      <c r="G1184">
        <v>5.29</v>
      </c>
      <c r="H1184" t="s">
        <v>18</v>
      </c>
      <c r="I1184" t="s">
        <v>9</v>
      </c>
      <c r="K1184" t="str">
        <v>budget</v>
      </c>
      <c r="L1184">
        <v>60</v>
      </c>
    </row>
    <row r="1185" spans="2:12" x14ac:dyDescent="0.3">
      <c r="B1185" t="s">
        <v>427</v>
      </c>
      <c r="C1185">
        <v>94</v>
      </c>
      <c r="D1185" t="s">
        <v>45</v>
      </c>
      <c r="E1185">
        <v>57</v>
      </c>
      <c r="F1185">
        <v>77</v>
      </c>
      <c r="G1185">
        <v>5.88</v>
      </c>
      <c r="H1185" t="s">
        <v>18</v>
      </c>
      <c r="I1185" t="s">
        <v>9</v>
      </c>
      <c r="K1185" t="str">
        <v>budget</v>
      </c>
      <c r="L1185">
        <v>67</v>
      </c>
    </row>
    <row r="1186" spans="2:12" x14ac:dyDescent="0.3">
      <c r="B1186" t="s">
        <v>1155</v>
      </c>
      <c r="C1186">
        <v>94</v>
      </c>
      <c r="D1186" t="s">
        <v>45</v>
      </c>
      <c r="E1186">
        <v>58</v>
      </c>
      <c r="F1186">
        <v>78</v>
      </c>
      <c r="G1186">
        <v>5.88</v>
      </c>
      <c r="H1186" t="s">
        <v>18</v>
      </c>
      <c r="I1186" t="s">
        <v>9</v>
      </c>
      <c r="K1186" t="str">
        <v>budget</v>
      </c>
      <c r="L1186">
        <v>68</v>
      </c>
    </row>
    <row r="1187" spans="2:12" x14ac:dyDescent="0.3">
      <c r="B1187" t="s">
        <v>427</v>
      </c>
      <c r="C1187">
        <v>94</v>
      </c>
      <c r="D1187" t="s">
        <v>45</v>
      </c>
      <c r="E1187">
        <v>60</v>
      </c>
      <c r="F1187">
        <v>78</v>
      </c>
      <c r="G1187">
        <v>5.73</v>
      </c>
      <c r="H1187" t="s">
        <v>18</v>
      </c>
      <c r="I1187" t="s">
        <v>9</v>
      </c>
      <c r="K1187" t="str">
        <v>budget</v>
      </c>
      <c r="L1187">
        <v>69</v>
      </c>
    </row>
    <row r="1188" spans="2:12" x14ac:dyDescent="0.3">
      <c r="B1188" t="s">
        <v>1156</v>
      </c>
      <c r="C1188">
        <v>94</v>
      </c>
      <c r="D1188" t="s">
        <v>45</v>
      </c>
      <c r="E1188">
        <v>58</v>
      </c>
      <c r="F1188">
        <v>74</v>
      </c>
      <c r="G1188">
        <v>198.24</v>
      </c>
      <c r="H1188" t="s">
        <v>2</v>
      </c>
      <c r="I1188" t="s">
        <v>14</v>
      </c>
      <c r="K1188" t="str">
        <v>premium</v>
      </c>
      <c r="L1188">
        <v>66</v>
      </c>
    </row>
    <row r="1189" spans="2:12" x14ac:dyDescent="0.3">
      <c r="B1189" t="s">
        <v>398</v>
      </c>
      <c r="C1189">
        <v>95</v>
      </c>
      <c r="D1189" t="s">
        <v>45</v>
      </c>
      <c r="E1189">
        <v>60</v>
      </c>
      <c r="F1189">
        <v>78</v>
      </c>
      <c r="G1189">
        <v>27.76</v>
      </c>
      <c r="H1189" t="s">
        <v>18</v>
      </c>
      <c r="I1189" t="s">
        <v>150</v>
      </c>
      <c r="K1189" t="str">
        <v>middle</v>
      </c>
      <c r="L1189">
        <v>69</v>
      </c>
    </row>
    <row r="1190" spans="2:12" x14ac:dyDescent="0.3">
      <c r="B1190" t="s">
        <v>409</v>
      </c>
      <c r="C1190">
        <v>94</v>
      </c>
      <c r="D1190" t="s">
        <v>45</v>
      </c>
      <c r="E1190">
        <v>60</v>
      </c>
      <c r="F1190">
        <v>76</v>
      </c>
      <c r="G1190">
        <v>6.03</v>
      </c>
      <c r="H1190" t="s">
        <v>18</v>
      </c>
      <c r="I1190" t="s">
        <v>9</v>
      </c>
      <c r="K1190" t="str">
        <v>budget</v>
      </c>
      <c r="L1190">
        <v>68</v>
      </c>
    </row>
    <row r="1191" spans="2:12" x14ac:dyDescent="0.3">
      <c r="B1191" t="s">
        <v>1157</v>
      </c>
      <c r="C1191">
        <v>94</v>
      </c>
      <c r="D1191" t="s">
        <v>41</v>
      </c>
      <c r="E1191">
        <v>62</v>
      </c>
      <c r="F1191">
        <v>84</v>
      </c>
      <c r="G1191">
        <v>4.7</v>
      </c>
      <c r="H1191" t="s">
        <v>18</v>
      </c>
      <c r="I1191" t="s">
        <v>14</v>
      </c>
      <c r="K1191" t="str">
        <v>budget</v>
      </c>
      <c r="L1191">
        <v>73</v>
      </c>
    </row>
    <row r="1192" spans="2:12" x14ac:dyDescent="0.3">
      <c r="B1192" t="s">
        <v>1158</v>
      </c>
      <c r="C1192">
        <v>94</v>
      </c>
      <c r="D1192" t="s">
        <v>45</v>
      </c>
      <c r="E1192">
        <v>52</v>
      </c>
      <c r="F1192">
        <v>72</v>
      </c>
      <c r="G1192">
        <v>239.13</v>
      </c>
      <c r="H1192" t="s">
        <v>2</v>
      </c>
      <c r="I1192" t="s">
        <v>9</v>
      </c>
      <c r="K1192" t="str">
        <v>premium</v>
      </c>
      <c r="L1192">
        <v>62</v>
      </c>
    </row>
    <row r="1193" spans="2:12" x14ac:dyDescent="0.3">
      <c r="B1193" t="s">
        <v>1159</v>
      </c>
      <c r="C1193">
        <v>94</v>
      </c>
      <c r="D1193" t="s">
        <v>41</v>
      </c>
      <c r="E1193">
        <v>62</v>
      </c>
      <c r="F1193">
        <v>80</v>
      </c>
      <c r="G1193">
        <v>2500</v>
      </c>
      <c r="H1193" t="s">
        <v>2</v>
      </c>
      <c r="I1193" t="s">
        <v>5</v>
      </c>
      <c r="K1193" t="str">
        <v>premium</v>
      </c>
      <c r="L1193">
        <v>71</v>
      </c>
    </row>
    <row r="1194" spans="2:12" x14ac:dyDescent="0.3">
      <c r="B1194" t="s">
        <v>1160</v>
      </c>
      <c r="C1194">
        <v>94</v>
      </c>
      <c r="D1194" t="s">
        <v>45</v>
      </c>
      <c r="E1194">
        <v>56</v>
      </c>
      <c r="F1194">
        <v>70</v>
      </c>
      <c r="G1194">
        <v>13.23</v>
      </c>
      <c r="H1194" t="s">
        <v>18</v>
      </c>
      <c r="I1194" t="s">
        <v>150</v>
      </c>
      <c r="K1194" t="str">
        <v>budget</v>
      </c>
      <c r="L1194">
        <v>63</v>
      </c>
    </row>
    <row r="1195" spans="2:12" x14ac:dyDescent="0.3">
      <c r="B1195" t="s">
        <v>1161</v>
      </c>
      <c r="C1195">
        <v>96</v>
      </c>
      <c r="D1195" t="s">
        <v>45</v>
      </c>
      <c r="E1195">
        <v>58</v>
      </c>
      <c r="F1195">
        <v>76</v>
      </c>
      <c r="G1195">
        <v>26.41</v>
      </c>
      <c r="H1195" t="s">
        <v>18</v>
      </c>
      <c r="I1195" t="s">
        <v>18</v>
      </c>
      <c r="K1195" t="str">
        <v>middle</v>
      </c>
      <c r="L1195">
        <v>67</v>
      </c>
    </row>
    <row r="1196" spans="2:12" x14ac:dyDescent="0.3">
      <c r="B1196" t="s">
        <v>1162</v>
      </c>
      <c r="C1196">
        <v>94</v>
      </c>
      <c r="D1196" t="s">
        <v>45</v>
      </c>
      <c r="E1196">
        <v>58</v>
      </c>
      <c r="F1196">
        <v>78</v>
      </c>
      <c r="G1196">
        <v>22</v>
      </c>
      <c r="H1196" t="s">
        <v>18</v>
      </c>
      <c r="I1196" t="s">
        <v>18</v>
      </c>
      <c r="K1196" t="str">
        <v>budget</v>
      </c>
      <c r="L1196">
        <v>68</v>
      </c>
    </row>
    <row r="1197" spans="2:12" x14ac:dyDescent="0.3">
      <c r="B1197" t="s">
        <v>130</v>
      </c>
      <c r="C1197">
        <v>94</v>
      </c>
      <c r="D1197" t="s">
        <v>45</v>
      </c>
      <c r="E1197">
        <v>60</v>
      </c>
      <c r="F1197">
        <v>78</v>
      </c>
      <c r="G1197">
        <v>5.86</v>
      </c>
      <c r="H1197" t="s">
        <v>18</v>
      </c>
      <c r="I1197" t="s">
        <v>9</v>
      </c>
      <c r="K1197" t="str">
        <v>budget</v>
      </c>
      <c r="L1197">
        <v>69</v>
      </c>
    </row>
    <row r="1198" spans="2:12" x14ac:dyDescent="0.3">
      <c r="B1198" t="s">
        <v>1163</v>
      </c>
      <c r="C1198">
        <v>94</v>
      </c>
      <c r="D1198" t="s">
        <v>45</v>
      </c>
      <c r="E1198">
        <v>60</v>
      </c>
      <c r="F1198">
        <v>78</v>
      </c>
      <c r="G1198">
        <v>5.51</v>
      </c>
      <c r="H1198" t="s">
        <v>18</v>
      </c>
      <c r="I1198" t="s">
        <v>9</v>
      </c>
      <c r="K1198" t="str">
        <v>budget</v>
      </c>
      <c r="L1198">
        <v>69</v>
      </c>
    </row>
    <row r="1199" spans="2:12" x14ac:dyDescent="0.3">
      <c r="B1199" t="s">
        <v>1164</v>
      </c>
      <c r="C1199">
        <v>94</v>
      </c>
      <c r="D1199" t="s">
        <v>45</v>
      </c>
      <c r="E1199">
        <v>54</v>
      </c>
      <c r="F1199">
        <v>70</v>
      </c>
      <c r="G1199">
        <v>250</v>
      </c>
      <c r="H1199" t="s">
        <v>2</v>
      </c>
      <c r="I1199" t="s">
        <v>21</v>
      </c>
      <c r="K1199" t="str">
        <v>premium</v>
      </c>
      <c r="L1199">
        <v>62</v>
      </c>
    </row>
    <row r="1200" spans="2:12" x14ac:dyDescent="0.3">
      <c r="B1200" t="s">
        <v>1165</v>
      </c>
      <c r="C1200">
        <v>95</v>
      </c>
      <c r="D1200" t="s">
        <v>45</v>
      </c>
      <c r="E1200">
        <v>58</v>
      </c>
      <c r="F1200">
        <v>72</v>
      </c>
      <c r="G1200">
        <v>7.33</v>
      </c>
      <c r="H1200" t="s">
        <v>18</v>
      </c>
      <c r="I1200" t="s">
        <v>9</v>
      </c>
      <c r="K1200" t="str">
        <v>budget</v>
      </c>
      <c r="L1200">
        <v>65</v>
      </c>
    </row>
    <row r="1201" spans="2:12" x14ac:dyDescent="0.3">
      <c r="B1201" t="s">
        <v>1166</v>
      </c>
      <c r="C1201">
        <v>94</v>
      </c>
      <c r="D1201" t="s">
        <v>45</v>
      </c>
      <c r="E1201">
        <v>54</v>
      </c>
      <c r="F1201">
        <v>70</v>
      </c>
      <c r="G1201">
        <v>114.64</v>
      </c>
      <c r="H1201" t="s">
        <v>2</v>
      </c>
      <c r="I1201" t="s">
        <v>9</v>
      </c>
      <c r="K1201" t="str">
        <v>premium</v>
      </c>
      <c r="L1201">
        <v>62</v>
      </c>
    </row>
    <row r="1202" spans="2:12" x14ac:dyDescent="0.3">
      <c r="B1202" t="s">
        <v>1167</v>
      </c>
      <c r="C1202">
        <v>94</v>
      </c>
      <c r="D1202" t="s">
        <v>45</v>
      </c>
      <c r="E1202">
        <v>58</v>
      </c>
      <c r="F1202">
        <v>78</v>
      </c>
      <c r="G1202">
        <v>200</v>
      </c>
      <c r="H1202" t="s">
        <v>2</v>
      </c>
      <c r="I1202" t="s">
        <v>16</v>
      </c>
      <c r="K1202" t="str">
        <v>premium</v>
      </c>
      <c r="L1202">
        <v>68</v>
      </c>
    </row>
    <row r="1203" spans="2:12" x14ac:dyDescent="0.3">
      <c r="B1203" t="s">
        <v>1168</v>
      </c>
      <c r="C1203">
        <v>94</v>
      </c>
      <c r="D1203" t="s">
        <v>45</v>
      </c>
      <c r="E1203">
        <v>58</v>
      </c>
      <c r="F1203">
        <v>76</v>
      </c>
      <c r="G1203">
        <v>6.47</v>
      </c>
      <c r="H1203" t="s">
        <v>18</v>
      </c>
      <c r="I1203" t="s">
        <v>9</v>
      </c>
      <c r="K1203" t="str">
        <v>budget</v>
      </c>
      <c r="L1203">
        <v>67</v>
      </c>
    </row>
    <row r="1204" spans="2:12" x14ac:dyDescent="0.3">
      <c r="B1204" t="s">
        <v>1169</v>
      </c>
      <c r="C1204">
        <v>94</v>
      </c>
      <c r="D1204" t="s">
        <v>45</v>
      </c>
      <c r="E1204">
        <v>58</v>
      </c>
      <c r="F1204">
        <v>76</v>
      </c>
      <c r="G1204">
        <v>7.05</v>
      </c>
      <c r="H1204" t="s">
        <v>18</v>
      </c>
      <c r="I1204" t="s">
        <v>12</v>
      </c>
      <c r="K1204" t="str">
        <v>budget</v>
      </c>
      <c r="L1204">
        <v>67</v>
      </c>
    </row>
    <row r="1205" spans="2:12" x14ac:dyDescent="0.3">
      <c r="B1205" t="s">
        <v>1170</v>
      </c>
      <c r="C1205">
        <v>94</v>
      </c>
      <c r="D1205" t="s">
        <v>45</v>
      </c>
      <c r="E1205">
        <v>60</v>
      </c>
      <c r="F1205">
        <v>76</v>
      </c>
      <c r="G1205">
        <v>8.81</v>
      </c>
      <c r="H1205" t="s">
        <v>18</v>
      </c>
      <c r="I1205" t="s">
        <v>14</v>
      </c>
      <c r="K1205" t="str">
        <v>budget</v>
      </c>
      <c r="L1205">
        <v>68</v>
      </c>
    </row>
    <row r="1206" spans="2:12" x14ac:dyDescent="0.3">
      <c r="B1206" t="s">
        <v>1171</v>
      </c>
      <c r="C1206">
        <v>95</v>
      </c>
      <c r="D1206" t="s">
        <v>45</v>
      </c>
      <c r="E1206">
        <v>56</v>
      </c>
      <c r="F1206">
        <v>74</v>
      </c>
      <c r="G1206">
        <v>6.17</v>
      </c>
      <c r="H1206" t="s">
        <v>18</v>
      </c>
      <c r="I1206" t="s">
        <v>12</v>
      </c>
      <c r="K1206" t="str">
        <v>budget</v>
      </c>
      <c r="L1206">
        <v>65</v>
      </c>
    </row>
    <row r="1207" spans="2:12" x14ac:dyDescent="0.3">
      <c r="B1207" t="s">
        <v>1172</v>
      </c>
      <c r="C1207">
        <v>95</v>
      </c>
      <c r="D1207" t="s">
        <v>45</v>
      </c>
      <c r="E1207">
        <v>58</v>
      </c>
      <c r="F1207">
        <v>78</v>
      </c>
      <c r="G1207">
        <v>6.47</v>
      </c>
      <c r="H1207" t="s">
        <v>18</v>
      </c>
      <c r="I1207" t="s">
        <v>14</v>
      </c>
      <c r="K1207" t="str">
        <v>budget</v>
      </c>
      <c r="L1207">
        <v>68</v>
      </c>
    </row>
    <row r="1208" spans="2:12" x14ac:dyDescent="0.3">
      <c r="B1208" t="s">
        <v>1173</v>
      </c>
      <c r="C1208">
        <v>94</v>
      </c>
      <c r="D1208" t="s">
        <v>45</v>
      </c>
      <c r="E1208">
        <v>55</v>
      </c>
      <c r="F1208">
        <v>73</v>
      </c>
      <c r="G1208">
        <v>6.17</v>
      </c>
      <c r="H1208" t="s">
        <v>18</v>
      </c>
      <c r="I1208" t="s">
        <v>12</v>
      </c>
      <c r="K1208" t="str">
        <v>budget</v>
      </c>
      <c r="L1208">
        <v>64</v>
      </c>
    </row>
    <row r="1209" spans="2:12" x14ac:dyDescent="0.3">
      <c r="B1209" t="s">
        <v>1037</v>
      </c>
      <c r="C1209">
        <v>94</v>
      </c>
      <c r="D1209" t="s">
        <v>45</v>
      </c>
      <c r="E1209">
        <v>58</v>
      </c>
      <c r="F1209">
        <v>80</v>
      </c>
      <c r="G1209">
        <v>5.44</v>
      </c>
      <c r="H1209" t="s">
        <v>18</v>
      </c>
      <c r="I1209" t="s">
        <v>9</v>
      </c>
      <c r="K1209" t="str">
        <v>budget</v>
      </c>
      <c r="L1209">
        <v>69</v>
      </c>
    </row>
    <row r="1210" spans="2:12" x14ac:dyDescent="0.3">
      <c r="B1210" t="s">
        <v>1174</v>
      </c>
      <c r="C1210">
        <v>94</v>
      </c>
      <c r="D1210" t="s">
        <v>45</v>
      </c>
      <c r="E1210">
        <v>58</v>
      </c>
      <c r="F1210">
        <v>78</v>
      </c>
      <c r="G1210">
        <v>6.91</v>
      </c>
      <c r="H1210" t="s">
        <v>18</v>
      </c>
      <c r="I1210" t="s">
        <v>12</v>
      </c>
      <c r="K1210" t="str">
        <v>budget</v>
      </c>
      <c r="L1210">
        <v>68</v>
      </c>
    </row>
    <row r="1211" spans="2:12" x14ac:dyDescent="0.3">
      <c r="B1211" t="s">
        <v>1175</v>
      </c>
      <c r="C1211">
        <v>94</v>
      </c>
      <c r="D1211" t="s">
        <v>41</v>
      </c>
      <c r="E1211">
        <v>64</v>
      </c>
      <c r="F1211">
        <v>92</v>
      </c>
      <c r="G1211">
        <v>5.58</v>
      </c>
      <c r="H1211" t="s">
        <v>18</v>
      </c>
      <c r="I1211" t="s">
        <v>9</v>
      </c>
      <c r="K1211" t="str">
        <v>budget</v>
      </c>
      <c r="L1211">
        <v>78</v>
      </c>
    </row>
    <row r="1212" spans="2:12" x14ac:dyDescent="0.3">
      <c r="B1212" t="s">
        <v>1176</v>
      </c>
      <c r="C1212">
        <v>94</v>
      </c>
      <c r="D1212" t="s">
        <v>41</v>
      </c>
      <c r="E1212">
        <v>62</v>
      </c>
      <c r="F1212">
        <v>88</v>
      </c>
      <c r="G1212">
        <v>5.44</v>
      </c>
      <c r="H1212" t="s">
        <v>18</v>
      </c>
      <c r="I1212" t="s">
        <v>9</v>
      </c>
      <c r="K1212" t="str">
        <v>budget</v>
      </c>
      <c r="L1212">
        <v>75</v>
      </c>
    </row>
    <row r="1213" spans="2:12" x14ac:dyDescent="0.3">
      <c r="B1213" t="s">
        <v>365</v>
      </c>
      <c r="C1213">
        <v>95</v>
      </c>
      <c r="D1213" t="s">
        <v>45</v>
      </c>
      <c r="E1213">
        <v>60</v>
      </c>
      <c r="F1213">
        <v>76</v>
      </c>
      <c r="G1213">
        <v>4.7</v>
      </c>
      <c r="H1213" t="s">
        <v>18</v>
      </c>
      <c r="I1213" t="s">
        <v>9</v>
      </c>
      <c r="K1213" t="str">
        <v>budget</v>
      </c>
      <c r="L1213">
        <v>68</v>
      </c>
    </row>
    <row r="1214" spans="2:12" x14ac:dyDescent="0.3">
      <c r="B1214" t="s">
        <v>1177</v>
      </c>
      <c r="C1214">
        <v>96</v>
      </c>
      <c r="D1214" t="s">
        <v>45</v>
      </c>
      <c r="E1214">
        <v>58</v>
      </c>
      <c r="F1214">
        <v>78</v>
      </c>
      <c r="G1214">
        <v>176.37</v>
      </c>
      <c r="H1214" t="s">
        <v>2</v>
      </c>
      <c r="I1214" t="s">
        <v>12</v>
      </c>
      <c r="K1214" t="str">
        <v>premium</v>
      </c>
      <c r="L1214">
        <v>68</v>
      </c>
    </row>
    <row r="1215" spans="2:12" x14ac:dyDescent="0.3">
      <c r="B1215" t="s">
        <v>1178</v>
      </c>
      <c r="C1215">
        <v>94</v>
      </c>
      <c r="D1215" t="s">
        <v>45</v>
      </c>
      <c r="E1215">
        <v>58</v>
      </c>
      <c r="F1215">
        <v>76</v>
      </c>
      <c r="G1215">
        <v>127.87</v>
      </c>
      <c r="H1215" t="s">
        <v>2</v>
      </c>
      <c r="I1215" t="s">
        <v>9</v>
      </c>
      <c r="K1215" t="str">
        <v>premium</v>
      </c>
      <c r="L1215">
        <v>67</v>
      </c>
    </row>
    <row r="1216" spans="2:12" x14ac:dyDescent="0.3">
      <c r="B1216" t="s">
        <v>1179</v>
      </c>
      <c r="C1216">
        <v>94</v>
      </c>
      <c r="D1216" t="s">
        <v>41</v>
      </c>
      <c r="E1216">
        <v>62</v>
      </c>
      <c r="F1216">
        <v>80</v>
      </c>
      <c r="G1216">
        <v>5.88</v>
      </c>
      <c r="H1216" t="s">
        <v>18</v>
      </c>
      <c r="I1216" t="s">
        <v>9</v>
      </c>
      <c r="K1216" t="str">
        <v>budget</v>
      </c>
      <c r="L1216">
        <v>71</v>
      </c>
    </row>
    <row r="1217" spans="2:12" x14ac:dyDescent="0.3">
      <c r="B1217" t="s">
        <v>1180</v>
      </c>
      <c r="C1217">
        <v>94</v>
      </c>
      <c r="D1217" t="s">
        <v>45</v>
      </c>
      <c r="E1217">
        <v>58</v>
      </c>
      <c r="F1217">
        <v>78</v>
      </c>
      <c r="G1217">
        <v>14.7</v>
      </c>
      <c r="H1217" t="s">
        <v>18</v>
      </c>
      <c r="I1217" t="s">
        <v>18</v>
      </c>
      <c r="K1217" t="str">
        <v>budget</v>
      </c>
      <c r="L1217">
        <v>68</v>
      </c>
    </row>
    <row r="1218" spans="2:12" x14ac:dyDescent="0.3">
      <c r="B1218" t="s">
        <v>1181</v>
      </c>
      <c r="C1218">
        <v>95</v>
      </c>
      <c r="D1218" t="s">
        <v>45</v>
      </c>
      <c r="E1218">
        <v>60</v>
      </c>
      <c r="F1218">
        <v>74</v>
      </c>
      <c r="G1218">
        <v>5.29</v>
      </c>
      <c r="H1218" t="s">
        <v>18</v>
      </c>
      <c r="I1218" t="s">
        <v>9</v>
      </c>
      <c r="K1218" t="str">
        <v>budget</v>
      </c>
      <c r="L1218">
        <v>67</v>
      </c>
    </row>
    <row r="1219" spans="2:12" x14ac:dyDescent="0.3">
      <c r="B1219" t="s">
        <v>1182</v>
      </c>
      <c r="C1219">
        <v>95</v>
      </c>
      <c r="D1219" t="s">
        <v>45</v>
      </c>
      <c r="E1219">
        <v>60</v>
      </c>
      <c r="F1219">
        <v>76</v>
      </c>
      <c r="G1219">
        <v>5.88</v>
      </c>
      <c r="H1219" t="s">
        <v>18</v>
      </c>
      <c r="I1219" t="s">
        <v>24</v>
      </c>
      <c r="K1219" t="str">
        <v>budget</v>
      </c>
      <c r="L1219">
        <v>68</v>
      </c>
    </row>
    <row r="1220" spans="2:12" x14ac:dyDescent="0.3">
      <c r="B1220" t="s">
        <v>1183</v>
      </c>
      <c r="C1220">
        <v>94</v>
      </c>
      <c r="D1220" t="s">
        <v>41</v>
      </c>
      <c r="E1220">
        <v>64</v>
      </c>
      <c r="F1220">
        <v>83</v>
      </c>
      <c r="G1220">
        <v>5.29</v>
      </c>
      <c r="H1220" t="s">
        <v>18</v>
      </c>
      <c r="I1220" t="s">
        <v>9</v>
      </c>
      <c r="K1220" t="str">
        <v>budget</v>
      </c>
      <c r="L1220">
        <v>73.5</v>
      </c>
    </row>
    <row r="1221" spans="2:12" x14ac:dyDescent="0.3">
      <c r="B1221" t="s">
        <v>1184</v>
      </c>
      <c r="C1221">
        <v>94</v>
      </c>
      <c r="D1221" t="s">
        <v>41</v>
      </c>
      <c r="E1221">
        <v>67</v>
      </c>
      <c r="F1221">
        <v>96</v>
      </c>
      <c r="G1221">
        <v>4.7</v>
      </c>
      <c r="H1221" t="s">
        <v>18</v>
      </c>
      <c r="I1221" t="s">
        <v>9</v>
      </c>
      <c r="K1221" t="str">
        <v>budget</v>
      </c>
      <c r="L1221">
        <v>81.5</v>
      </c>
    </row>
    <row r="1222" spans="2:12" x14ac:dyDescent="0.3">
      <c r="B1222" t="s">
        <v>1185</v>
      </c>
      <c r="C1222">
        <v>94</v>
      </c>
      <c r="D1222" t="s">
        <v>45</v>
      </c>
      <c r="E1222">
        <v>60</v>
      </c>
      <c r="F1222">
        <v>79</v>
      </c>
      <c r="G1222">
        <v>6.61</v>
      </c>
      <c r="H1222" t="s">
        <v>18</v>
      </c>
      <c r="I1222" t="s">
        <v>22</v>
      </c>
      <c r="K1222" t="str">
        <v>budget</v>
      </c>
      <c r="L1222">
        <v>69.5</v>
      </c>
    </row>
    <row r="1223" spans="2:12" x14ac:dyDescent="0.3">
      <c r="B1223" t="s">
        <v>1186</v>
      </c>
      <c r="C1223">
        <v>94</v>
      </c>
      <c r="D1223" t="s">
        <v>41</v>
      </c>
      <c r="E1223">
        <v>66</v>
      </c>
      <c r="F1223">
        <v>85</v>
      </c>
      <c r="G1223">
        <v>4.12</v>
      </c>
      <c r="H1223" t="s">
        <v>18</v>
      </c>
      <c r="I1223" t="s">
        <v>9</v>
      </c>
      <c r="K1223" t="str">
        <v>budget</v>
      </c>
      <c r="L1223">
        <v>75.5</v>
      </c>
    </row>
    <row r="1224" spans="2:12" x14ac:dyDescent="0.3">
      <c r="B1224" t="s">
        <v>1187</v>
      </c>
      <c r="C1224">
        <v>94</v>
      </c>
      <c r="D1224" t="s">
        <v>45</v>
      </c>
      <c r="E1224">
        <v>60</v>
      </c>
      <c r="F1224">
        <v>76</v>
      </c>
      <c r="G1224">
        <v>4.8499999999999996</v>
      </c>
      <c r="H1224" t="s">
        <v>18</v>
      </c>
      <c r="I1224" t="s">
        <v>14</v>
      </c>
      <c r="K1224" t="str">
        <v>budget</v>
      </c>
      <c r="L1224">
        <v>68</v>
      </c>
    </row>
    <row r="1225" spans="2:12" x14ac:dyDescent="0.3">
      <c r="B1225" t="s">
        <v>300</v>
      </c>
      <c r="C1225">
        <v>94</v>
      </c>
      <c r="D1225" t="s">
        <v>45</v>
      </c>
      <c r="E1225">
        <v>58</v>
      </c>
      <c r="F1225">
        <v>74</v>
      </c>
      <c r="G1225">
        <v>5.59</v>
      </c>
      <c r="H1225" t="s">
        <v>18</v>
      </c>
      <c r="I1225" t="s">
        <v>7</v>
      </c>
      <c r="K1225" t="str">
        <v>budget</v>
      </c>
      <c r="L1225">
        <v>66</v>
      </c>
    </row>
    <row r="1226" spans="2:12" x14ac:dyDescent="0.3">
      <c r="B1226" t="s">
        <v>1188</v>
      </c>
      <c r="C1226">
        <v>94</v>
      </c>
      <c r="D1226" t="s">
        <v>45</v>
      </c>
      <c r="E1226">
        <v>54</v>
      </c>
      <c r="F1226">
        <v>70</v>
      </c>
      <c r="G1226">
        <v>4.12</v>
      </c>
      <c r="H1226" t="s">
        <v>18</v>
      </c>
      <c r="I1226" t="s">
        <v>9</v>
      </c>
      <c r="K1226" t="str">
        <v>budget</v>
      </c>
      <c r="L1226">
        <v>62</v>
      </c>
    </row>
    <row r="1227" spans="2:12" x14ac:dyDescent="0.3">
      <c r="B1227" t="s">
        <v>1189</v>
      </c>
      <c r="C1227">
        <v>95</v>
      </c>
      <c r="D1227" t="s">
        <v>41</v>
      </c>
      <c r="E1227">
        <v>64</v>
      </c>
      <c r="F1227">
        <v>80</v>
      </c>
      <c r="G1227">
        <v>26.41</v>
      </c>
      <c r="H1227" t="s">
        <v>18</v>
      </c>
      <c r="I1227" t="s">
        <v>150</v>
      </c>
      <c r="K1227" t="str">
        <v>middle</v>
      </c>
      <c r="L1227">
        <v>72</v>
      </c>
    </row>
    <row r="1228" spans="2:12" x14ac:dyDescent="0.3">
      <c r="B1228" t="s">
        <v>1190</v>
      </c>
      <c r="C1228">
        <v>94</v>
      </c>
      <c r="D1228" t="s">
        <v>41</v>
      </c>
      <c r="E1228">
        <v>62</v>
      </c>
      <c r="F1228">
        <v>80</v>
      </c>
      <c r="G1228">
        <v>11.73</v>
      </c>
      <c r="H1228" t="s">
        <v>18</v>
      </c>
      <c r="I1228" t="s">
        <v>22</v>
      </c>
      <c r="K1228" t="str">
        <v>budget</v>
      </c>
      <c r="L1228">
        <v>71</v>
      </c>
    </row>
    <row r="1229" spans="2:12" x14ac:dyDescent="0.3">
      <c r="B1229" t="s">
        <v>1191</v>
      </c>
      <c r="C1229">
        <v>94</v>
      </c>
      <c r="D1229" t="s">
        <v>41</v>
      </c>
      <c r="E1229">
        <v>62</v>
      </c>
      <c r="F1229">
        <v>82</v>
      </c>
      <c r="G1229">
        <v>17.62</v>
      </c>
      <c r="H1229" t="s">
        <v>18</v>
      </c>
      <c r="I1229" t="s">
        <v>14</v>
      </c>
      <c r="K1229" t="str">
        <v>budget</v>
      </c>
      <c r="L1229">
        <v>72</v>
      </c>
    </row>
    <row r="1230" spans="2:12" x14ac:dyDescent="0.3">
      <c r="B1230" t="s">
        <v>1192</v>
      </c>
      <c r="C1230">
        <v>94</v>
      </c>
      <c r="D1230" t="s">
        <v>41</v>
      </c>
      <c r="E1230">
        <v>62</v>
      </c>
      <c r="F1230">
        <v>80</v>
      </c>
      <c r="G1230">
        <v>176.37</v>
      </c>
      <c r="H1230" t="s">
        <v>2</v>
      </c>
      <c r="I1230" t="s">
        <v>9</v>
      </c>
      <c r="K1230" t="str">
        <v>premium</v>
      </c>
      <c r="L1230">
        <v>71</v>
      </c>
    </row>
    <row r="1231" spans="2:12" x14ac:dyDescent="0.3">
      <c r="B1231" t="s">
        <v>1193</v>
      </c>
      <c r="C1231">
        <v>95</v>
      </c>
      <c r="D1231" t="s">
        <v>45</v>
      </c>
      <c r="E1231">
        <v>60</v>
      </c>
      <c r="F1231">
        <v>78</v>
      </c>
      <c r="G1231">
        <v>264.55</v>
      </c>
      <c r="H1231" t="s">
        <v>2</v>
      </c>
      <c r="I1231" t="s">
        <v>12</v>
      </c>
      <c r="K1231" t="str">
        <v>premium</v>
      </c>
      <c r="L1231">
        <v>69</v>
      </c>
    </row>
    <row r="1232" spans="2:12" x14ac:dyDescent="0.3">
      <c r="B1232" t="s">
        <v>1194</v>
      </c>
      <c r="C1232">
        <v>94</v>
      </c>
      <c r="D1232" t="s">
        <v>45</v>
      </c>
      <c r="E1232">
        <v>62</v>
      </c>
      <c r="F1232">
        <v>76</v>
      </c>
      <c r="G1232">
        <v>308.64</v>
      </c>
      <c r="H1232" t="s">
        <v>2</v>
      </c>
      <c r="I1232" t="s">
        <v>14</v>
      </c>
      <c r="K1232" t="str">
        <v>premium</v>
      </c>
      <c r="L1232">
        <v>69</v>
      </c>
    </row>
    <row r="1233" spans="2:12" x14ac:dyDescent="0.3">
      <c r="B1233" t="s">
        <v>1195</v>
      </c>
      <c r="C1233">
        <v>96</v>
      </c>
      <c r="D1233" t="s">
        <v>45</v>
      </c>
      <c r="E1233">
        <v>58</v>
      </c>
      <c r="F1233">
        <v>76</v>
      </c>
      <c r="G1233">
        <v>6.17</v>
      </c>
      <c r="H1233" t="s">
        <v>18</v>
      </c>
      <c r="I1233" t="s">
        <v>12</v>
      </c>
      <c r="K1233" t="str">
        <v>budget</v>
      </c>
      <c r="L1233">
        <v>67</v>
      </c>
    </row>
    <row r="1234" spans="2:12" x14ac:dyDescent="0.3">
      <c r="B1234" t="s">
        <v>1196</v>
      </c>
      <c r="C1234">
        <v>95</v>
      </c>
      <c r="D1234" t="s">
        <v>45</v>
      </c>
      <c r="E1234">
        <v>58</v>
      </c>
      <c r="F1234">
        <v>76</v>
      </c>
      <c r="G1234">
        <v>6.17</v>
      </c>
      <c r="H1234" t="s">
        <v>18</v>
      </c>
      <c r="I1234" t="s">
        <v>12</v>
      </c>
      <c r="K1234" t="str">
        <v>budget</v>
      </c>
      <c r="L1234">
        <v>67</v>
      </c>
    </row>
    <row r="1235" spans="2:12" x14ac:dyDescent="0.3">
      <c r="B1235" t="s">
        <v>1197</v>
      </c>
      <c r="C1235">
        <v>94</v>
      </c>
      <c r="D1235" t="s">
        <v>45</v>
      </c>
      <c r="E1235">
        <v>56</v>
      </c>
      <c r="F1235">
        <v>72</v>
      </c>
      <c r="G1235">
        <v>5.59</v>
      </c>
      <c r="H1235" t="s">
        <v>18</v>
      </c>
      <c r="I1235" t="s">
        <v>14</v>
      </c>
      <c r="K1235" t="str">
        <v>budget</v>
      </c>
      <c r="L1235">
        <v>64</v>
      </c>
    </row>
    <row r="1236" spans="2:12" x14ac:dyDescent="0.3">
      <c r="B1236" t="s">
        <v>1198</v>
      </c>
      <c r="C1236">
        <v>94</v>
      </c>
      <c r="D1236" t="s">
        <v>45</v>
      </c>
      <c r="E1236">
        <v>58</v>
      </c>
      <c r="F1236">
        <v>76</v>
      </c>
      <c r="G1236">
        <v>6.17</v>
      </c>
      <c r="H1236" t="s">
        <v>18</v>
      </c>
      <c r="I1236" t="s">
        <v>23</v>
      </c>
      <c r="K1236" t="str">
        <v>budget</v>
      </c>
      <c r="L1236">
        <v>67</v>
      </c>
    </row>
    <row r="1237" spans="2:12" x14ac:dyDescent="0.3">
      <c r="B1237" t="s">
        <v>1199</v>
      </c>
      <c r="C1237">
        <v>95</v>
      </c>
      <c r="D1237" t="s">
        <v>45</v>
      </c>
      <c r="E1237">
        <v>59</v>
      </c>
      <c r="F1237">
        <v>77</v>
      </c>
      <c r="G1237">
        <v>6.17</v>
      </c>
      <c r="H1237" t="s">
        <v>18</v>
      </c>
      <c r="I1237" t="s">
        <v>14</v>
      </c>
      <c r="K1237" t="str">
        <v>budget</v>
      </c>
      <c r="L1237">
        <v>68</v>
      </c>
    </row>
    <row r="1238" spans="2:12" x14ac:dyDescent="0.3">
      <c r="B1238" t="s">
        <v>1200</v>
      </c>
      <c r="C1238">
        <v>94</v>
      </c>
      <c r="D1238" t="s">
        <v>45</v>
      </c>
      <c r="E1238">
        <v>58</v>
      </c>
      <c r="F1238">
        <v>74</v>
      </c>
      <c r="G1238">
        <v>9.9600000000000009</v>
      </c>
      <c r="H1238" t="s">
        <v>18</v>
      </c>
      <c r="I1238" t="s">
        <v>21</v>
      </c>
      <c r="K1238" t="str">
        <v>budget</v>
      </c>
      <c r="L1238">
        <v>66</v>
      </c>
    </row>
    <row r="1239" spans="2:12" x14ac:dyDescent="0.3">
      <c r="B1239" t="s">
        <v>1201</v>
      </c>
      <c r="C1239">
        <v>95</v>
      </c>
      <c r="D1239" t="s">
        <v>45</v>
      </c>
      <c r="E1239">
        <v>58</v>
      </c>
      <c r="F1239">
        <v>76</v>
      </c>
      <c r="G1239">
        <v>121.25</v>
      </c>
      <c r="H1239" t="s">
        <v>2</v>
      </c>
      <c r="I1239" t="s">
        <v>9</v>
      </c>
      <c r="K1239" t="str">
        <v>premium</v>
      </c>
      <c r="L1239">
        <v>67</v>
      </c>
    </row>
    <row r="1240" spans="2:12" x14ac:dyDescent="0.3">
      <c r="B1240" t="s">
        <v>1202</v>
      </c>
      <c r="C1240">
        <v>94</v>
      </c>
      <c r="D1240" t="s">
        <v>45</v>
      </c>
      <c r="E1240">
        <v>56</v>
      </c>
      <c r="F1240">
        <v>72</v>
      </c>
      <c r="G1240">
        <v>0.88</v>
      </c>
      <c r="H1240" t="s">
        <v>2</v>
      </c>
      <c r="I1240" t="s">
        <v>2</v>
      </c>
      <c r="K1240" t="str">
        <v>budget</v>
      </c>
      <c r="L1240">
        <v>64</v>
      </c>
    </row>
    <row r="1241" spans="2:12" x14ac:dyDescent="0.3">
      <c r="B1241" t="s">
        <v>1203</v>
      </c>
      <c r="C1241">
        <v>94</v>
      </c>
      <c r="D1241" t="s">
        <v>45</v>
      </c>
      <c r="E1241">
        <v>54</v>
      </c>
      <c r="F1241">
        <v>72</v>
      </c>
      <c r="G1241">
        <v>5.88</v>
      </c>
      <c r="H1241" t="s">
        <v>18</v>
      </c>
      <c r="I1241" t="s">
        <v>23</v>
      </c>
      <c r="K1241" t="str">
        <v>budget</v>
      </c>
      <c r="L1241">
        <v>63</v>
      </c>
    </row>
    <row r="1242" spans="2:12" x14ac:dyDescent="0.3">
      <c r="B1242" t="s">
        <v>1204</v>
      </c>
      <c r="C1242">
        <v>94</v>
      </c>
      <c r="D1242" t="s">
        <v>45</v>
      </c>
      <c r="E1242">
        <v>52</v>
      </c>
      <c r="F1242">
        <v>70</v>
      </c>
      <c r="G1242">
        <v>204.55</v>
      </c>
      <c r="H1242" t="s">
        <v>2</v>
      </c>
      <c r="I1242" t="s">
        <v>15</v>
      </c>
      <c r="K1242" t="str">
        <v>premium</v>
      </c>
      <c r="L1242">
        <v>61</v>
      </c>
    </row>
    <row r="1243" spans="2:12" x14ac:dyDescent="0.3">
      <c r="B1243" t="s">
        <v>952</v>
      </c>
      <c r="C1243">
        <v>94</v>
      </c>
      <c r="D1243" t="s">
        <v>41</v>
      </c>
      <c r="E1243">
        <v>62</v>
      </c>
      <c r="F1243">
        <v>80</v>
      </c>
      <c r="G1243">
        <v>17.64</v>
      </c>
      <c r="H1243" t="s">
        <v>18</v>
      </c>
      <c r="I1243" t="s">
        <v>14</v>
      </c>
      <c r="K1243" t="str">
        <v>budget</v>
      </c>
      <c r="L1243">
        <v>71</v>
      </c>
    </row>
    <row r="1244" spans="2:12" x14ac:dyDescent="0.3">
      <c r="B1244" t="s">
        <v>1205</v>
      </c>
      <c r="C1244">
        <v>94</v>
      </c>
      <c r="D1244" t="s">
        <v>45</v>
      </c>
      <c r="E1244">
        <v>60</v>
      </c>
      <c r="F1244">
        <v>76</v>
      </c>
      <c r="G1244">
        <v>7.35</v>
      </c>
      <c r="H1244" t="s">
        <v>18</v>
      </c>
      <c r="I1244" t="s">
        <v>9</v>
      </c>
      <c r="K1244" t="str">
        <v>budget</v>
      </c>
      <c r="L1244">
        <v>68</v>
      </c>
    </row>
    <row r="1245" spans="2:12" x14ac:dyDescent="0.3">
      <c r="B1245" t="s">
        <v>1206</v>
      </c>
      <c r="C1245">
        <v>95</v>
      </c>
      <c r="D1245" t="s">
        <v>45</v>
      </c>
      <c r="E1245">
        <v>58</v>
      </c>
      <c r="F1245">
        <v>76</v>
      </c>
      <c r="G1245">
        <v>16.75</v>
      </c>
      <c r="H1245" t="s">
        <v>18</v>
      </c>
      <c r="I1245" t="s">
        <v>18</v>
      </c>
      <c r="K1245" t="str">
        <v>budget</v>
      </c>
      <c r="L1245">
        <v>67</v>
      </c>
    </row>
    <row r="1246" spans="2:12" x14ac:dyDescent="0.3">
      <c r="B1246" t="s">
        <v>1207</v>
      </c>
      <c r="C1246">
        <v>94</v>
      </c>
      <c r="D1246" t="s">
        <v>82</v>
      </c>
      <c r="E1246">
        <v>52</v>
      </c>
      <c r="F1246">
        <v>68</v>
      </c>
      <c r="G1246">
        <v>6.17</v>
      </c>
      <c r="H1246" t="s">
        <v>18</v>
      </c>
      <c r="I1246" t="s">
        <v>9</v>
      </c>
      <c r="K1246" t="str">
        <v>budget</v>
      </c>
      <c r="L1246">
        <v>60</v>
      </c>
    </row>
    <row r="1247" spans="2:12" x14ac:dyDescent="0.3">
      <c r="B1247" t="s">
        <v>390</v>
      </c>
      <c r="C1247">
        <v>94</v>
      </c>
      <c r="D1247" t="s">
        <v>45</v>
      </c>
      <c r="E1247">
        <v>58</v>
      </c>
      <c r="F1247">
        <v>74</v>
      </c>
      <c r="G1247">
        <v>6.17</v>
      </c>
      <c r="H1247" t="s">
        <v>18</v>
      </c>
      <c r="I1247" t="s">
        <v>16</v>
      </c>
      <c r="K1247" t="str">
        <v>budget</v>
      </c>
      <c r="L1247">
        <v>66</v>
      </c>
    </row>
    <row r="1248" spans="2:12" x14ac:dyDescent="0.3">
      <c r="B1248" t="s">
        <v>1208</v>
      </c>
      <c r="C1248">
        <v>94</v>
      </c>
      <c r="D1248" t="s">
        <v>82</v>
      </c>
      <c r="E1248">
        <v>52</v>
      </c>
      <c r="F1248">
        <v>68</v>
      </c>
      <c r="G1248">
        <v>16.71</v>
      </c>
      <c r="H1248" t="s">
        <v>18</v>
      </c>
      <c r="I1248" t="s">
        <v>18</v>
      </c>
      <c r="K1248" t="str">
        <v>budget</v>
      </c>
      <c r="L1248">
        <v>60</v>
      </c>
    </row>
    <row r="1249" spans="2:12" x14ac:dyDescent="0.3">
      <c r="B1249" t="s">
        <v>1209</v>
      </c>
      <c r="C1249">
        <v>94</v>
      </c>
      <c r="D1249" t="s">
        <v>45</v>
      </c>
      <c r="E1249">
        <v>58</v>
      </c>
      <c r="F1249">
        <v>76</v>
      </c>
      <c r="G1249">
        <v>5.88</v>
      </c>
      <c r="H1249" t="s">
        <v>18</v>
      </c>
      <c r="I1249" t="s">
        <v>9</v>
      </c>
      <c r="K1249" t="str">
        <v>budget</v>
      </c>
      <c r="L1249">
        <v>67</v>
      </c>
    </row>
    <row r="1250" spans="2:12" x14ac:dyDescent="0.3">
      <c r="B1250" t="s">
        <v>1210</v>
      </c>
      <c r="C1250">
        <v>94</v>
      </c>
      <c r="D1250" t="s">
        <v>45</v>
      </c>
      <c r="E1250">
        <v>60</v>
      </c>
      <c r="F1250">
        <v>78</v>
      </c>
      <c r="G1250">
        <v>5.29</v>
      </c>
      <c r="H1250" t="s">
        <v>18</v>
      </c>
      <c r="I1250" t="s">
        <v>14</v>
      </c>
      <c r="K1250" t="str">
        <v>budget</v>
      </c>
      <c r="L1250">
        <v>69</v>
      </c>
    </row>
    <row r="1251" spans="2:12" x14ac:dyDescent="0.3">
      <c r="B1251" t="s">
        <v>390</v>
      </c>
      <c r="C1251">
        <v>94</v>
      </c>
      <c r="D1251" t="s">
        <v>45</v>
      </c>
      <c r="E1251">
        <v>54</v>
      </c>
      <c r="F1251">
        <v>72</v>
      </c>
      <c r="G1251">
        <v>7.33</v>
      </c>
      <c r="H1251" t="s">
        <v>18</v>
      </c>
      <c r="I1251" t="s">
        <v>16</v>
      </c>
      <c r="K1251" t="str">
        <v>budget</v>
      </c>
      <c r="L1251">
        <v>63</v>
      </c>
    </row>
    <row r="1252" spans="2:12" x14ac:dyDescent="0.3">
      <c r="B1252" t="s">
        <v>1211</v>
      </c>
      <c r="C1252">
        <v>94</v>
      </c>
      <c r="D1252" t="s">
        <v>45</v>
      </c>
      <c r="E1252">
        <v>56</v>
      </c>
      <c r="F1252">
        <v>74</v>
      </c>
      <c r="G1252">
        <v>99.21</v>
      </c>
      <c r="H1252" t="s">
        <v>2</v>
      </c>
      <c r="I1252" t="s">
        <v>16</v>
      </c>
      <c r="K1252" t="str">
        <v>middle</v>
      </c>
      <c r="L1252">
        <v>65</v>
      </c>
    </row>
    <row r="1253" spans="2:12" x14ac:dyDescent="0.3">
      <c r="B1253" t="s">
        <v>1212</v>
      </c>
      <c r="C1253">
        <v>96</v>
      </c>
      <c r="D1253" t="s">
        <v>45</v>
      </c>
      <c r="E1253">
        <v>56</v>
      </c>
      <c r="F1253">
        <v>74</v>
      </c>
      <c r="G1253">
        <v>5.51</v>
      </c>
      <c r="H1253" t="s">
        <v>18</v>
      </c>
      <c r="I1253" t="s">
        <v>9</v>
      </c>
      <c r="K1253" t="str">
        <v>budget</v>
      </c>
      <c r="L1253">
        <v>65</v>
      </c>
    </row>
    <row r="1254" spans="2:12" x14ac:dyDescent="0.3">
      <c r="B1254" t="s">
        <v>1213</v>
      </c>
      <c r="C1254">
        <v>95</v>
      </c>
      <c r="D1254" t="s">
        <v>45</v>
      </c>
      <c r="E1254">
        <v>58</v>
      </c>
      <c r="F1254">
        <v>78</v>
      </c>
      <c r="G1254">
        <v>5.29</v>
      </c>
      <c r="H1254" t="s">
        <v>18</v>
      </c>
      <c r="I1254" t="s">
        <v>14</v>
      </c>
      <c r="K1254" t="str">
        <v>budget</v>
      </c>
      <c r="L1254">
        <v>68</v>
      </c>
    </row>
    <row r="1255" spans="2:12" x14ac:dyDescent="0.3">
      <c r="B1255" t="s">
        <v>76</v>
      </c>
      <c r="C1255">
        <v>94</v>
      </c>
      <c r="D1255" t="s">
        <v>45</v>
      </c>
      <c r="E1255">
        <v>54</v>
      </c>
      <c r="F1255">
        <v>68</v>
      </c>
      <c r="G1255">
        <v>12.35</v>
      </c>
      <c r="H1255" t="s">
        <v>18</v>
      </c>
      <c r="I1255" t="s">
        <v>18</v>
      </c>
      <c r="K1255" t="str">
        <v>budget</v>
      </c>
      <c r="L1255">
        <v>61</v>
      </c>
    </row>
    <row r="1256" spans="2:12" x14ac:dyDescent="0.3">
      <c r="B1256" t="s">
        <v>1214</v>
      </c>
      <c r="C1256">
        <v>94</v>
      </c>
      <c r="D1256" t="s">
        <v>45</v>
      </c>
      <c r="E1256">
        <v>58</v>
      </c>
      <c r="F1256">
        <v>74</v>
      </c>
      <c r="G1256">
        <v>6.75</v>
      </c>
      <c r="H1256" t="s">
        <v>18</v>
      </c>
      <c r="I1256" t="s">
        <v>9</v>
      </c>
      <c r="K1256" t="str">
        <v>budget</v>
      </c>
      <c r="L1256">
        <v>66</v>
      </c>
    </row>
    <row r="1257" spans="2:12" x14ac:dyDescent="0.3">
      <c r="B1257" t="s">
        <v>1215</v>
      </c>
      <c r="C1257">
        <v>94</v>
      </c>
      <c r="D1257" t="s">
        <v>45</v>
      </c>
      <c r="E1257">
        <v>58</v>
      </c>
      <c r="F1257">
        <v>78</v>
      </c>
      <c r="G1257">
        <v>5.23</v>
      </c>
      <c r="H1257" t="s">
        <v>18</v>
      </c>
      <c r="I1257" t="s">
        <v>16</v>
      </c>
      <c r="K1257" t="str">
        <v>budget</v>
      </c>
      <c r="L1257">
        <v>68</v>
      </c>
    </row>
    <row r="1258" spans="2:12" x14ac:dyDescent="0.3">
      <c r="B1258" t="s">
        <v>1216</v>
      </c>
      <c r="C1258">
        <v>95</v>
      </c>
      <c r="D1258" t="s">
        <v>45</v>
      </c>
      <c r="E1258">
        <v>58</v>
      </c>
      <c r="F1258">
        <v>74</v>
      </c>
      <c r="G1258">
        <v>290</v>
      </c>
      <c r="H1258" t="s">
        <v>2</v>
      </c>
      <c r="I1258" t="s">
        <v>12</v>
      </c>
      <c r="K1258" t="str">
        <v>premium</v>
      </c>
      <c r="L1258">
        <v>66</v>
      </c>
    </row>
    <row r="1259" spans="2:12" x14ac:dyDescent="0.3">
      <c r="B1259" t="s">
        <v>1217</v>
      </c>
      <c r="C1259">
        <v>94</v>
      </c>
      <c r="D1259" t="s">
        <v>41</v>
      </c>
      <c r="E1259">
        <v>62</v>
      </c>
      <c r="F1259">
        <v>80</v>
      </c>
      <c r="G1259">
        <v>7.33</v>
      </c>
      <c r="H1259" t="s">
        <v>18</v>
      </c>
      <c r="I1259" t="s">
        <v>14</v>
      </c>
      <c r="K1259" t="str">
        <v>budget</v>
      </c>
      <c r="L1259">
        <v>71</v>
      </c>
    </row>
    <row r="1260" spans="2:12" x14ac:dyDescent="0.3">
      <c r="B1260" t="s">
        <v>1218</v>
      </c>
      <c r="C1260">
        <v>96</v>
      </c>
      <c r="D1260" t="s">
        <v>82</v>
      </c>
      <c r="E1260">
        <v>52</v>
      </c>
      <c r="F1260">
        <v>68</v>
      </c>
      <c r="G1260">
        <v>4.26</v>
      </c>
      <c r="H1260" t="s">
        <v>18</v>
      </c>
      <c r="I1260" t="s">
        <v>9</v>
      </c>
      <c r="K1260" t="str">
        <v>budget</v>
      </c>
      <c r="L1260">
        <v>60</v>
      </c>
    </row>
    <row r="1261" spans="2:12" x14ac:dyDescent="0.3">
      <c r="B1261" t="s">
        <v>466</v>
      </c>
      <c r="C1261">
        <v>96</v>
      </c>
      <c r="D1261" t="s">
        <v>45</v>
      </c>
      <c r="E1261">
        <v>60</v>
      </c>
      <c r="F1261">
        <v>78</v>
      </c>
      <c r="G1261">
        <v>6.17</v>
      </c>
      <c r="H1261" t="s">
        <v>18</v>
      </c>
      <c r="I1261" t="s">
        <v>9</v>
      </c>
      <c r="K1261" t="str">
        <v>budget</v>
      </c>
      <c r="L1261">
        <v>69</v>
      </c>
    </row>
    <row r="1262" spans="2:12" x14ac:dyDescent="0.3">
      <c r="B1262" t="s">
        <v>1219</v>
      </c>
      <c r="C1262">
        <v>95</v>
      </c>
      <c r="D1262" t="s">
        <v>45</v>
      </c>
      <c r="E1262">
        <v>56</v>
      </c>
      <c r="F1262">
        <v>74</v>
      </c>
      <c r="G1262">
        <v>5.59</v>
      </c>
      <c r="H1262" t="s">
        <v>18</v>
      </c>
      <c r="I1262" t="s">
        <v>9</v>
      </c>
      <c r="K1262" t="str">
        <v>budget</v>
      </c>
      <c r="L1262">
        <v>65</v>
      </c>
    </row>
    <row r="1263" spans="2:12" x14ac:dyDescent="0.3">
      <c r="B1263" t="s">
        <v>1220</v>
      </c>
      <c r="C1263">
        <v>95</v>
      </c>
      <c r="D1263" t="s">
        <v>45</v>
      </c>
      <c r="E1263">
        <v>56</v>
      </c>
      <c r="F1263">
        <v>72</v>
      </c>
      <c r="G1263">
        <v>132.28</v>
      </c>
      <c r="H1263" t="s">
        <v>2</v>
      </c>
      <c r="I1263" t="s">
        <v>12</v>
      </c>
      <c r="K1263" t="str">
        <v>premium</v>
      </c>
      <c r="L1263">
        <v>64</v>
      </c>
    </row>
    <row r="1264" spans="2:12" x14ac:dyDescent="0.3">
      <c r="B1264" t="s">
        <v>439</v>
      </c>
      <c r="C1264">
        <v>94</v>
      </c>
      <c r="D1264" t="s">
        <v>45</v>
      </c>
      <c r="E1264">
        <v>58</v>
      </c>
      <c r="F1264">
        <v>80</v>
      </c>
      <c r="G1264">
        <v>4.41</v>
      </c>
      <c r="H1264" t="s">
        <v>18</v>
      </c>
      <c r="I1264" t="s">
        <v>18</v>
      </c>
      <c r="K1264" t="str">
        <v>budget</v>
      </c>
      <c r="L1264">
        <v>69</v>
      </c>
    </row>
    <row r="1265" spans="2:12" x14ac:dyDescent="0.3">
      <c r="B1265" t="s">
        <v>1221</v>
      </c>
      <c r="C1265">
        <v>94</v>
      </c>
      <c r="D1265" t="s">
        <v>45</v>
      </c>
      <c r="E1265">
        <v>58</v>
      </c>
      <c r="F1265">
        <v>78</v>
      </c>
      <c r="G1265">
        <v>20.55</v>
      </c>
      <c r="H1265" t="s">
        <v>18</v>
      </c>
      <c r="I1265" t="s">
        <v>5</v>
      </c>
      <c r="K1265" t="str">
        <v>budget</v>
      </c>
      <c r="L1265">
        <v>68</v>
      </c>
    </row>
    <row r="1266" spans="2:12" x14ac:dyDescent="0.3">
      <c r="B1266" t="s">
        <v>1222</v>
      </c>
      <c r="C1266">
        <v>94</v>
      </c>
      <c r="D1266" t="s">
        <v>45</v>
      </c>
      <c r="E1266">
        <v>55</v>
      </c>
      <c r="F1266">
        <v>73</v>
      </c>
      <c r="G1266">
        <v>17.64</v>
      </c>
      <c r="H1266" t="s">
        <v>18</v>
      </c>
      <c r="I1266" t="s">
        <v>14</v>
      </c>
      <c r="K1266" t="str">
        <v>budget</v>
      </c>
      <c r="L1266">
        <v>64</v>
      </c>
    </row>
    <row r="1267" spans="2:12" x14ac:dyDescent="0.3">
      <c r="B1267" t="s">
        <v>1223</v>
      </c>
      <c r="C1267">
        <v>94</v>
      </c>
      <c r="D1267" t="s">
        <v>45</v>
      </c>
      <c r="E1267">
        <v>60</v>
      </c>
      <c r="F1267">
        <v>78</v>
      </c>
      <c r="G1267">
        <v>8.8000000000000007</v>
      </c>
      <c r="H1267" t="s">
        <v>18</v>
      </c>
      <c r="I1267" t="s">
        <v>4</v>
      </c>
      <c r="K1267" t="str">
        <v>budget</v>
      </c>
      <c r="L1267">
        <v>69</v>
      </c>
    </row>
    <row r="1268" spans="2:12" x14ac:dyDescent="0.3">
      <c r="B1268" t="s">
        <v>1224</v>
      </c>
      <c r="C1268">
        <v>94</v>
      </c>
      <c r="D1268" t="s">
        <v>45</v>
      </c>
      <c r="E1268">
        <v>58</v>
      </c>
      <c r="F1268">
        <v>74</v>
      </c>
      <c r="G1268">
        <v>13.23</v>
      </c>
      <c r="H1268" t="s">
        <v>11</v>
      </c>
      <c r="I1268" t="s">
        <v>9</v>
      </c>
      <c r="K1268" t="str">
        <v>budget</v>
      </c>
      <c r="L1268">
        <v>66</v>
      </c>
    </row>
    <row r="1269" spans="2:12" x14ac:dyDescent="0.3">
      <c r="B1269" t="s">
        <v>1225</v>
      </c>
      <c r="C1269">
        <v>94</v>
      </c>
      <c r="D1269" t="s">
        <v>45</v>
      </c>
      <c r="E1269">
        <v>58</v>
      </c>
      <c r="F1269">
        <v>74</v>
      </c>
      <c r="G1269">
        <v>8.52</v>
      </c>
      <c r="H1269" t="s">
        <v>18</v>
      </c>
      <c r="I1269" t="s">
        <v>14</v>
      </c>
      <c r="K1269" t="str">
        <v>budget</v>
      </c>
      <c r="L1269">
        <v>66</v>
      </c>
    </row>
    <row r="1270" spans="2:12" x14ac:dyDescent="0.3">
      <c r="B1270" t="s">
        <v>1226</v>
      </c>
      <c r="C1270">
        <v>94</v>
      </c>
      <c r="D1270" t="s">
        <v>45</v>
      </c>
      <c r="E1270">
        <v>57</v>
      </c>
      <c r="F1270">
        <v>73</v>
      </c>
      <c r="G1270">
        <v>8.52</v>
      </c>
      <c r="H1270" t="s">
        <v>18</v>
      </c>
      <c r="I1270" t="s">
        <v>14</v>
      </c>
      <c r="K1270" t="str">
        <v>budget</v>
      </c>
      <c r="L1270">
        <v>65</v>
      </c>
    </row>
    <row r="1271" spans="2:12" x14ac:dyDescent="0.3">
      <c r="B1271" t="s">
        <v>1227</v>
      </c>
      <c r="C1271">
        <v>94</v>
      </c>
      <c r="D1271" t="s">
        <v>82</v>
      </c>
      <c r="E1271">
        <v>46</v>
      </c>
      <c r="F1271">
        <v>64</v>
      </c>
      <c r="G1271">
        <v>9.8699999999999992</v>
      </c>
      <c r="H1271" t="s">
        <v>18</v>
      </c>
      <c r="I1271" t="s">
        <v>150</v>
      </c>
      <c r="K1271" t="str">
        <v>budget</v>
      </c>
      <c r="L1271">
        <v>55</v>
      </c>
    </row>
    <row r="1272" spans="2:12" x14ac:dyDescent="0.3">
      <c r="B1272" t="s">
        <v>1228</v>
      </c>
      <c r="C1272">
        <v>95</v>
      </c>
      <c r="D1272" t="s">
        <v>45</v>
      </c>
      <c r="E1272">
        <v>54</v>
      </c>
      <c r="F1272">
        <v>72</v>
      </c>
      <c r="G1272">
        <v>44.05</v>
      </c>
      <c r="H1272" t="s">
        <v>18</v>
      </c>
      <c r="I1272" t="s">
        <v>8</v>
      </c>
      <c r="K1272" t="str">
        <v>middle</v>
      </c>
      <c r="L1272">
        <v>63</v>
      </c>
    </row>
    <row r="1273" spans="2:12" x14ac:dyDescent="0.3">
      <c r="B1273" t="s">
        <v>1229</v>
      </c>
      <c r="C1273">
        <v>94</v>
      </c>
      <c r="D1273" t="s">
        <v>45</v>
      </c>
      <c r="E1273">
        <v>57</v>
      </c>
      <c r="F1273">
        <v>73</v>
      </c>
      <c r="G1273">
        <v>6.75</v>
      </c>
      <c r="H1273" t="s">
        <v>18</v>
      </c>
      <c r="I1273" t="s">
        <v>4</v>
      </c>
      <c r="K1273" t="str">
        <v>budget</v>
      </c>
      <c r="L1273">
        <v>65</v>
      </c>
    </row>
    <row r="1274" spans="2:12" x14ac:dyDescent="0.3">
      <c r="B1274" t="s">
        <v>1230</v>
      </c>
      <c r="C1274">
        <v>94</v>
      </c>
      <c r="D1274" t="s">
        <v>45</v>
      </c>
      <c r="E1274">
        <v>56</v>
      </c>
      <c r="F1274">
        <v>76</v>
      </c>
      <c r="G1274">
        <v>132.28</v>
      </c>
      <c r="H1274" t="s">
        <v>2</v>
      </c>
      <c r="I1274" t="s">
        <v>9</v>
      </c>
      <c r="K1274" t="str">
        <v>premium</v>
      </c>
      <c r="L1274">
        <v>66</v>
      </c>
    </row>
    <row r="1275" spans="2:12" x14ac:dyDescent="0.3">
      <c r="B1275" t="s">
        <v>1231</v>
      </c>
      <c r="C1275">
        <v>96</v>
      </c>
      <c r="D1275" t="s">
        <v>41</v>
      </c>
      <c r="E1275">
        <v>62</v>
      </c>
      <c r="F1275">
        <v>80</v>
      </c>
      <c r="G1275">
        <v>9.6999999999999993</v>
      </c>
      <c r="H1275" t="s">
        <v>18</v>
      </c>
      <c r="I1275" t="s">
        <v>9</v>
      </c>
      <c r="K1275" t="str">
        <v>budget</v>
      </c>
      <c r="L1275">
        <v>71</v>
      </c>
    </row>
    <row r="1276" spans="2:12" x14ac:dyDescent="0.3">
      <c r="B1276" t="s">
        <v>1232</v>
      </c>
      <c r="C1276">
        <v>94</v>
      </c>
      <c r="D1276" t="s">
        <v>45</v>
      </c>
      <c r="E1276">
        <v>58</v>
      </c>
      <c r="F1276">
        <v>74</v>
      </c>
      <c r="G1276">
        <v>6.61</v>
      </c>
      <c r="H1276" t="s">
        <v>18</v>
      </c>
      <c r="I1276" t="s">
        <v>9</v>
      </c>
      <c r="K1276" t="str">
        <v>budget</v>
      </c>
      <c r="L1276">
        <v>66</v>
      </c>
    </row>
    <row r="1277" spans="2:12" x14ac:dyDescent="0.3">
      <c r="B1277" t="s">
        <v>1233</v>
      </c>
      <c r="C1277">
        <v>94</v>
      </c>
      <c r="D1277" t="s">
        <v>45</v>
      </c>
      <c r="E1277">
        <v>58</v>
      </c>
      <c r="F1277">
        <v>76</v>
      </c>
      <c r="G1277">
        <v>6.76</v>
      </c>
      <c r="H1277" t="s">
        <v>18</v>
      </c>
      <c r="I1277" t="s">
        <v>15</v>
      </c>
      <c r="K1277" t="str">
        <v>budget</v>
      </c>
      <c r="L1277">
        <v>67</v>
      </c>
    </row>
    <row r="1278" spans="2:12" x14ac:dyDescent="0.3">
      <c r="B1278" t="s">
        <v>1234</v>
      </c>
      <c r="C1278">
        <v>94</v>
      </c>
      <c r="D1278" t="s">
        <v>45</v>
      </c>
      <c r="E1278">
        <v>60</v>
      </c>
      <c r="F1278">
        <v>74</v>
      </c>
      <c r="G1278">
        <v>6.91</v>
      </c>
      <c r="H1278" t="s">
        <v>18</v>
      </c>
      <c r="I1278" t="s">
        <v>14</v>
      </c>
      <c r="K1278" t="str">
        <v>budget</v>
      </c>
      <c r="L1278">
        <v>67</v>
      </c>
    </row>
    <row r="1279" spans="2:12" x14ac:dyDescent="0.3">
      <c r="B1279" t="s">
        <v>1235</v>
      </c>
      <c r="C1279">
        <v>94</v>
      </c>
      <c r="D1279" t="s">
        <v>45</v>
      </c>
      <c r="E1279">
        <v>58</v>
      </c>
      <c r="F1279">
        <v>76</v>
      </c>
      <c r="G1279">
        <v>4.8499999999999996</v>
      </c>
      <c r="H1279" t="s">
        <v>18</v>
      </c>
      <c r="I1279" t="s">
        <v>14</v>
      </c>
      <c r="K1279" t="str">
        <v>budget</v>
      </c>
      <c r="L1279">
        <v>67</v>
      </c>
    </row>
    <row r="1280" spans="2:12" x14ac:dyDescent="0.3">
      <c r="B1280" t="s">
        <v>1236</v>
      </c>
      <c r="C1280">
        <v>94</v>
      </c>
      <c r="D1280" t="s">
        <v>45</v>
      </c>
      <c r="E1280">
        <v>58</v>
      </c>
      <c r="F1280">
        <v>76</v>
      </c>
      <c r="G1280">
        <v>132.28</v>
      </c>
      <c r="H1280" t="s">
        <v>2</v>
      </c>
      <c r="I1280" t="s">
        <v>12</v>
      </c>
      <c r="K1280" t="str">
        <v>premium</v>
      </c>
      <c r="L1280">
        <v>67</v>
      </c>
    </row>
    <row r="1281" spans="2:12" x14ac:dyDescent="0.3">
      <c r="B1281" t="s">
        <v>1237</v>
      </c>
      <c r="C1281">
        <v>95</v>
      </c>
      <c r="D1281" t="s">
        <v>45</v>
      </c>
      <c r="E1281">
        <v>54</v>
      </c>
      <c r="F1281">
        <v>70</v>
      </c>
      <c r="G1281">
        <v>5.88</v>
      </c>
      <c r="H1281" t="s">
        <v>18</v>
      </c>
      <c r="I1281" t="s">
        <v>5</v>
      </c>
      <c r="K1281" t="str">
        <v>budget</v>
      </c>
      <c r="L1281">
        <v>62</v>
      </c>
    </row>
    <row r="1282" spans="2:12" x14ac:dyDescent="0.3">
      <c r="B1282" t="s">
        <v>1238</v>
      </c>
      <c r="C1282">
        <v>94</v>
      </c>
      <c r="D1282" t="s">
        <v>45</v>
      </c>
      <c r="E1282">
        <v>56</v>
      </c>
      <c r="F1282">
        <v>70</v>
      </c>
      <c r="G1282">
        <v>25.2</v>
      </c>
      <c r="H1282" t="s">
        <v>18</v>
      </c>
      <c r="I1282" t="s">
        <v>18</v>
      </c>
      <c r="K1282" t="str">
        <v>middle</v>
      </c>
      <c r="L1282">
        <v>63</v>
      </c>
    </row>
    <row r="1283" spans="2:12" x14ac:dyDescent="0.3">
      <c r="B1283" t="s">
        <v>1239</v>
      </c>
      <c r="C1283">
        <v>94</v>
      </c>
      <c r="D1283" t="s">
        <v>82</v>
      </c>
      <c r="E1283">
        <v>52</v>
      </c>
      <c r="F1283">
        <v>68</v>
      </c>
      <c r="G1283">
        <v>175</v>
      </c>
      <c r="H1283" t="s">
        <v>2</v>
      </c>
      <c r="I1283" t="s">
        <v>7</v>
      </c>
      <c r="K1283" t="str">
        <v>premium</v>
      </c>
      <c r="L1283">
        <v>60</v>
      </c>
    </row>
    <row r="1284" spans="2:12" x14ac:dyDescent="0.3">
      <c r="B1284" t="s">
        <v>1240</v>
      </c>
      <c r="C1284">
        <v>95</v>
      </c>
      <c r="D1284" t="s">
        <v>45</v>
      </c>
      <c r="E1284">
        <v>58</v>
      </c>
      <c r="F1284">
        <v>82</v>
      </c>
      <c r="G1284">
        <v>6.17</v>
      </c>
      <c r="H1284" t="s">
        <v>18</v>
      </c>
      <c r="I1284" t="s">
        <v>9</v>
      </c>
      <c r="K1284" t="str">
        <v>budget</v>
      </c>
      <c r="L1284">
        <v>70</v>
      </c>
    </row>
    <row r="1285" spans="2:12" x14ac:dyDescent="0.3">
      <c r="B1285" t="s">
        <v>1241</v>
      </c>
      <c r="C1285">
        <v>94</v>
      </c>
      <c r="D1285" t="s">
        <v>45</v>
      </c>
      <c r="E1285">
        <v>58</v>
      </c>
      <c r="F1285">
        <v>78</v>
      </c>
      <c r="G1285">
        <v>5.81</v>
      </c>
      <c r="H1285" t="s">
        <v>18</v>
      </c>
      <c r="I1285" t="s">
        <v>9</v>
      </c>
      <c r="K1285" t="str">
        <v>budget</v>
      </c>
      <c r="L1285">
        <v>68</v>
      </c>
    </row>
    <row r="1286" spans="2:12" x14ac:dyDescent="0.3">
      <c r="B1286" t="s">
        <v>1242</v>
      </c>
      <c r="C1286">
        <v>94</v>
      </c>
      <c r="D1286" t="s">
        <v>45</v>
      </c>
      <c r="E1286">
        <v>56</v>
      </c>
      <c r="F1286">
        <v>74</v>
      </c>
      <c r="G1286">
        <v>5.59</v>
      </c>
      <c r="H1286" t="s">
        <v>18</v>
      </c>
      <c r="I1286" t="s">
        <v>12</v>
      </c>
      <c r="K1286" t="str">
        <v>budget</v>
      </c>
      <c r="L1286">
        <v>65</v>
      </c>
    </row>
    <row r="1287" spans="2:12" x14ac:dyDescent="0.3">
      <c r="B1287" t="s">
        <v>1243</v>
      </c>
      <c r="C1287">
        <v>94</v>
      </c>
      <c r="D1287" t="s">
        <v>82</v>
      </c>
      <c r="E1287">
        <v>48</v>
      </c>
      <c r="F1287">
        <v>66</v>
      </c>
      <c r="G1287">
        <v>300</v>
      </c>
      <c r="H1287" t="s">
        <v>2</v>
      </c>
      <c r="I1287" t="s">
        <v>9</v>
      </c>
      <c r="K1287" t="str">
        <v>premium</v>
      </c>
      <c r="L1287">
        <v>57</v>
      </c>
    </row>
    <row r="1288" spans="2:12" x14ac:dyDescent="0.3">
      <c r="B1288" t="s">
        <v>1244</v>
      </c>
      <c r="C1288">
        <v>95</v>
      </c>
      <c r="D1288" t="s">
        <v>45</v>
      </c>
      <c r="E1288">
        <v>52</v>
      </c>
      <c r="F1288">
        <v>78</v>
      </c>
      <c r="G1288">
        <v>143.30000000000001</v>
      </c>
      <c r="H1288" t="s">
        <v>2</v>
      </c>
      <c r="I1288" t="s">
        <v>12</v>
      </c>
      <c r="K1288" t="str">
        <v>premium</v>
      </c>
      <c r="L1288">
        <v>65</v>
      </c>
    </row>
    <row r="1289" spans="2:12" x14ac:dyDescent="0.3">
      <c r="B1289" t="s">
        <v>1245</v>
      </c>
      <c r="C1289">
        <v>95</v>
      </c>
      <c r="D1289" t="s">
        <v>82</v>
      </c>
      <c r="E1289">
        <v>50</v>
      </c>
      <c r="F1289">
        <v>68</v>
      </c>
      <c r="G1289">
        <v>88.18</v>
      </c>
      <c r="H1289" t="s">
        <v>2</v>
      </c>
      <c r="I1289" t="s">
        <v>15</v>
      </c>
      <c r="K1289" t="str">
        <v>middle</v>
      </c>
      <c r="L1289">
        <v>59</v>
      </c>
    </row>
    <row r="1290" spans="2:12" x14ac:dyDescent="0.3">
      <c r="B1290" t="s">
        <v>890</v>
      </c>
      <c r="C1290">
        <v>95</v>
      </c>
      <c r="D1290" t="s">
        <v>45</v>
      </c>
      <c r="E1290">
        <v>53</v>
      </c>
      <c r="F1290">
        <v>75</v>
      </c>
      <c r="G1290">
        <v>27.76</v>
      </c>
      <c r="H1290" t="s">
        <v>18</v>
      </c>
      <c r="I1290" t="s">
        <v>18</v>
      </c>
      <c r="K1290" t="str">
        <v>middle</v>
      </c>
      <c r="L1290">
        <v>64</v>
      </c>
    </row>
    <row r="1291" spans="2:12" x14ac:dyDescent="0.3">
      <c r="B1291" t="s">
        <v>1246</v>
      </c>
      <c r="C1291">
        <v>94</v>
      </c>
      <c r="D1291" t="s">
        <v>45</v>
      </c>
      <c r="E1291">
        <v>54</v>
      </c>
      <c r="F1291">
        <v>72</v>
      </c>
      <c r="G1291">
        <v>1410.93</v>
      </c>
      <c r="H1291" t="s">
        <v>2</v>
      </c>
      <c r="I1291" t="s">
        <v>5</v>
      </c>
      <c r="K1291" t="str">
        <v>premium</v>
      </c>
      <c r="L1291">
        <v>63</v>
      </c>
    </row>
    <row r="1292" spans="2:12" x14ac:dyDescent="0.3">
      <c r="B1292" t="s">
        <v>1247</v>
      </c>
      <c r="C1292">
        <v>94</v>
      </c>
      <c r="D1292" t="s">
        <v>45</v>
      </c>
      <c r="E1292">
        <v>58</v>
      </c>
      <c r="F1292">
        <v>78</v>
      </c>
      <c r="G1292">
        <v>6.76</v>
      </c>
      <c r="H1292" t="s">
        <v>18</v>
      </c>
      <c r="I1292" t="s">
        <v>21</v>
      </c>
      <c r="K1292" t="str">
        <v>budget</v>
      </c>
      <c r="L1292">
        <v>68</v>
      </c>
    </row>
    <row r="1293" spans="2:12" x14ac:dyDescent="0.3">
      <c r="B1293" t="s">
        <v>1248</v>
      </c>
      <c r="C1293">
        <v>94</v>
      </c>
      <c r="D1293" t="s">
        <v>45</v>
      </c>
      <c r="E1293">
        <v>57</v>
      </c>
      <c r="F1293">
        <v>77</v>
      </c>
      <c r="G1293">
        <v>5.26</v>
      </c>
      <c r="H1293" t="s">
        <v>18</v>
      </c>
      <c r="I1293" t="s">
        <v>9</v>
      </c>
      <c r="K1293" t="str">
        <v>budget</v>
      </c>
      <c r="L1293">
        <v>67</v>
      </c>
    </row>
    <row r="1294" spans="2:12" x14ac:dyDescent="0.3">
      <c r="B1294" t="s">
        <v>1249</v>
      </c>
      <c r="C1294">
        <v>94</v>
      </c>
      <c r="D1294" t="s">
        <v>82</v>
      </c>
      <c r="E1294">
        <v>48</v>
      </c>
      <c r="F1294">
        <v>60</v>
      </c>
      <c r="G1294">
        <v>4.1900000000000004</v>
      </c>
      <c r="H1294" t="s">
        <v>18</v>
      </c>
      <c r="I1294" t="s">
        <v>150</v>
      </c>
      <c r="K1294" t="str">
        <v>budget</v>
      </c>
      <c r="L1294">
        <v>54</v>
      </c>
    </row>
    <row r="1295" spans="2:12" x14ac:dyDescent="0.3">
      <c r="B1295" t="s">
        <v>1250</v>
      </c>
      <c r="C1295">
        <v>95</v>
      </c>
      <c r="D1295" t="s">
        <v>45</v>
      </c>
      <c r="E1295">
        <v>60</v>
      </c>
      <c r="F1295">
        <v>78</v>
      </c>
      <c r="G1295">
        <v>275</v>
      </c>
      <c r="H1295" t="s">
        <v>2</v>
      </c>
      <c r="I1295" t="s">
        <v>9</v>
      </c>
      <c r="K1295" t="str">
        <v>premium</v>
      </c>
      <c r="L1295">
        <v>69</v>
      </c>
    </row>
    <row r="1296" spans="2:12" x14ac:dyDescent="0.3">
      <c r="B1296" t="s">
        <v>1251</v>
      </c>
      <c r="C1296">
        <v>94</v>
      </c>
      <c r="D1296" t="s">
        <v>45</v>
      </c>
      <c r="E1296">
        <v>59</v>
      </c>
      <c r="F1296">
        <v>77</v>
      </c>
      <c r="G1296">
        <v>500</v>
      </c>
      <c r="H1296" t="s">
        <v>2</v>
      </c>
      <c r="I1296" t="s">
        <v>9</v>
      </c>
      <c r="K1296" t="str">
        <v>premium</v>
      </c>
      <c r="L1296">
        <v>68</v>
      </c>
    </row>
    <row r="1297" spans="2:12" x14ac:dyDescent="0.3">
      <c r="B1297" t="s">
        <v>1252</v>
      </c>
      <c r="C1297">
        <v>94</v>
      </c>
      <c r="D1297" t="s">
        <v>45</v>
      </c>
      <c r="E1297">
        <v>55</v>
      </c>
      <c r="F1297">
        <v>73</v>
      </c>
      <c r="G1297">
        <v>10.29</v>
      </c>
      <c r="H1297" t="s">
        <v>18</v>
      </c>
      <c r="I1297" t="s">
        <v>4</v>
      </c>
      <c r="K1297" t="str">
        <v>budget</v>
      </c>
      <c r="L1297">
        <v>64</v>
      </c>
    </row>
    <row r="1298" spans="2:12" x14ac:dyDescent="0.3">
      <c r="B1298" t="s">
        <v>1253</v>
      </c>
      <c r="C1298">
        <v>96</v>
      </c>
      <c r="D1298" t="s">
        <v>45</v>
      </c>
      <c r="E1298">
        <v>56</v>
      </c>
      <c r="F1298">
        <v>74</v>
      </c>
      <c r="G1298">
        <v>17.59</v>
      </c>
      <c r="H1298" t="s">
        <v>18</v>
      </c>
      <c r="I1298" t="s">
        <v>5</v>
      </c>
      <c r="K1298" t="str">
        <v>budget</v>
      </c>
      <c r="L1298">
        <v>65</v>
      </c>
    </row>
    <row r="1299" spans="2:12" x14ac:dyDescent="0.3">
      <c r="B1299" t="s">
        <v>1254</v>
      </c>
      <c r="C1299">
        <v>95</v>
      </c>
      <c r="D1299" t="s">
        <v>45</v>
      </c>
      <c r="E1299">
        <v>52</v>
      </c>
      <c r="F1299">
        <v>70</v>
      </c>
      <c r="G1299">
        <v>5.81</v>
      </c>
      <c r="H1299" t="s">
        <v>18</v>
      </c>
      <c r="I1299" t="s">
        <v>9</v>
      </c>
      <c r="K1299" t="str">
        <v>budget</v>
      </c>
      <c r="L1299">
        <v>61</v>
      </c>
    </row>
    <row r="1300" spans="2:12" x14ac:dyDescent="0.3">
      <c r="B1300" t="s">
        <v>1255</v>
      </c>
      <c r="C1300">
        <v>94</v>
      </c>
      <c r="D1300" t="s">
        <v>82</v>
      </c>
      <c r="E1300">
        <v>50</v>
      </c>
      <c r="F1300">
        <v>67</v>
      </c>
      <c r="G1300">
        <v>1</v>
      </c>
      <c r="H1300" t="s">
        <v>2</v>
      </c>
      <c r="I1300" t="s">
        <v>12</v>
      </c>
      <c r="K1300" t="str">
        <v>budget</v>
      </c>
      <c r="L1300">
        <v>58.5</v>
      </c>
    </row>
    <row r="1301" spans="2:12" x14ac:dyDescent="0.3">
      <c r="B1301" t="s">
        <v>1256</v>
      </c>
      <c r="C1301">
        <v>94</v>
      </c>
      <c r="D1301" t="s">
        <v>45</v>
      </c>
      <c r="E1301">
        <v>54</v>
      </c>
      <c r="F1301">
        <v>72</v>
      </c>
      <c r="G1301">
        <v>60</v>
      </c>
      <c r="H1301" t="s">
        <v>16</v>
      </c>
      <c r="I1301" t="s">
        <v>16</v>
      </c>
      <c r="K1301" t="str">
        <v>middle</v>
      </c>
      <c r="L1301">
        <v>63</v>
      </c>
    </row>
    <row r="1302" spans="2:12" x14ac:dyDescent="0.3">
      <c r="B1302" t="s">
        <v>1257</v>
      </c>
      <c r="C1302">
        <v>94</v>
      </c>
      <c r="D1302" t="s">
        <v>82</v>
      </c>
      <c r="E1302">
        <v>50</v>
      </c>
      <c r="F1302">
        <v>66</v>
      </c>
      <c r="G1302">
        <v>60</v>
      </c>
      <c r="H1302" t="s">
        <v>16</v>
      </c>
      <c r="I1302" t="s">
        <v>16</v>
      </c>
      <c r="K1302" t="str">
        <v>middle</v>
      </c>
      <c r="L1302">
        <v>58</v>
      </c>
    </row>
    <row r="1303" spans="2:12" x14ac:dyDescent="0.3">
      <c r="B1303" t="s">
        <v>1258</v>
      </c>
      <c r="C1303">
        <v>94</v>
      </c>
      <c r="D1303" t="s">
        <v>45</v>
      </c>
      <c r="E1303">
        <v>54</v>
      </c>
      <c r="F1303">
        <v>74</v>
      </c>
      <c r="G1303">
        <v>8</v>
      </c>
      <c r="H1303" t="s">
        <v>11</v>
      </c>
      <c r="I1303" t="s">
        <v>9</v>
      </c>
      <c r="K1303" t="str">
        <v>budget</v>
      </c>
      <c r="L1303">
        <v>64</v>
      </c>
    </row>
    <row r="1304" spans="2:12" x14ac:dyDescent="0.3">
      <c r="B1304" t="s">
        <v>1259</v>
      </c>
      <c r="C1304">
        <v>94</v>
      </c>
      <c r="D1304" t="s">
        <v>82</v>
      </c>
      <c r="E1304">
        <v>47</v>
      </c>
      <c r="F1304">
        <v>67</v>
      </c>
      <c r="G1304">
        <v>5.51</v>
      </c>
      <c r="H1304" t="s">
        <v>18</v>
      </c>
      <c r="I1304" t="s">
        <v>7</v>
      </c>
      <c r="K1304" t="str">
        <v>budget</v>
      </c>
      <c r="L1304">
        <v>57</v>
      </c>
    </row>
    <row r="1305" spans="2:12" x14ac:dyDescent="0.3">
      <c r="B1305" t="s">
        <v>1260</v>
      </c>
      <c r="C1305">
        <v>95</v>
      </c>
      <c r="D1305" t="s">
        <v>45</v>
      </c>
      <c r="E1305">
        <v>56</v>
      </c>
      <c r="F1305">
        <v>74</v>
      </c>
      <c r="G1305">
        <v>285</v>
      </c>
      <c r="H1305" t="s">
        <v>2</v>
      </c>
      <c r="I1305" t="s">
        <v>12</v>
      </c>
      <c r="K1305" t="str">
        <v>premium</v>
      </c>
      <c r="L1305">
        <v>65</v>
      </c>
    </row>
    <row r="1306" spans="2:12" x14ac:dyDescent="0.3">
      <c r="B1306" t="s">
        <v>1261</v>
      </c>
      <c r="C1306">
        <v>96</v>
      </c>
      <c r="D1306" t="s">
        <v>82</v>
      </c>
      <c r="E1306">
        <v>44</v>
      </c>
      <c r="F1306">
        <v>61</v>
      </c>
      <c r="G1306">
        <v>121.25</v>
      </c>
      <c r="H1306" t="s">
        <v>2</v>
      </c>
      <c r="I1306" t="s">
        <v>16</v>
      </c>
      <c r="K1306" t="str">
        <v>premium</v>
      </c>
      <c r="L1306">
        <v>52.5</v>
      </c>
    </row>
    <row r="1307" spans="2:12" x14ac:dyDescent="0.3">
      <c r="B1307" t="s">
        <v>1262</v>
      </c>
      <c r="C1307">
        <v>94</v>
      </c>
      <c r="D1307" t="s">
        <v>45</v>
      </c>
      <c r="E1307">
        <v>59</v>
      </c>
      <c r="F1307">
        <v>77</v>
      </c>
      <c r="G1307">
        <v>41.12</v>
      </c>
      <c r="H1307" t="s">
        <v>18</v>
      </c>
      <c r="I1307" t="s">
        <v>5</v>
      </c>
      <c r="K1307" t="str">
        <v>middle</v>
      </c>
      <c r="L1307">
        <v>68</v>
      </c>
    </row>
    <row r="1308" spans="2:12" x14ac:dyDescent="0.3">
      <c r="B1308" t="s">
        <v>1263</v>
      </c>
      <c r="C1308">
        <v>94</v>
      </c>
      <c r="D1308" t="s">
        <v>82</v>
      </c>
      <c r="E1308">
        <v>50</v>
      </c>
      <c r="F1308">
        <v>68</v>
      </c>
      <c r="G1308">
        <v>132.28</v>
      </c>
      <c r="H1308" t="s">
        <v>2</v>
      </c>
      <c r="I1308" t="s">
        <v>12</v>
      </c>
      <c r="K1308" t="str">
        <v>premium</v>
      </c>
      <c r="L1308">
        <v>59</v>
      </c>
    </row>
    <row r="1309" spans="2:12" x14ac:dyDescent="0.3">
      <c r="B1309" t="s">
        <v>1264</v>
      </c>
      <c r="C1309">
        <v>94</v>
      </c>
      <c r="D1309" t="s">
        <v>45</v>
      </c>
      <c r="E1309">
        <v>52</v>
      </c>
      <c r="F1309">
        <v>70</v>
      </c>
      <c r="G1309">
        <v>132.28</v>
      </c>
      <c r="H1309" t="s">
        <v>2</v>
      </c>
      <c r="I1309" t="s">
        <v>12</v>
      </c>
      <c r="K1309" t="str">
        <v>premium</v>
      </c>
      <c r="L1309">
        <v>61</v>
      </c>
    </row>
    <row r="1310" spans="2:12" x14ac:dyDescent="0.3">
      <c r="B1310" t="s">
        <v>1265</v>
      </c>
      <c r="C1310">
        <v>94</v>
      </c>
      <c r="D1310" t="s">
        <v>45</v>
      </c>
      <c r="E1310">
        <v>56</v>
      </c>
      <c r="F1310">
        <v>78</v>
      </c>
      <c r="G1310">
        <v>132.28</v>
      </c>
      <c r="H1310" t="s">
        <v>2</v>
      </c>
      <c r="I1310" t="s">
        <v>9</v>
      </c>
      <c r="K1310" t="str">
        <v>premium</v>
      </c>
      <c r="L1310">
        <v>67</v>
      </c>
    </row>
    <row r="1311" spans="2:12" x14ac:dyDescent="0.3">
      <c r="B1311" t="s">
        <v>1266</v>
      </c>
      <c r="C1311">
        <v>95</v>
      </c>
      <c r="D1311" t="s">
        <v>45</v>
      </c>
      <c r="E1311">
        <v>56</v>
      </c>
      <c r="F1311">
        <v>74</v>
      </c>
      <c r="G1311">
        <v>6.17</v>
      </c>
      <c r="H1311" t="s">
        <v>18</v>
      </c>
      <c r="I1311" t="s">
        <v>9</v>
      </c>
      <c r="K1311" t="str">
        <v>budget</v>
      </c>
      <c r="L1311">
        <v>65</v>
      </c>
    </row>
    <row r="1312" spans="2:12" x14ac:dyDescent="0.3">
      <c r="B1312" t="s">
        <v>1267</v>
      </c>
      <c r="C1312">
        <v>97</v>
      </c>
      <c r="D1312" t="s">
        <v>45</v>
      </c>
      <c r="E1312">
        <v>54</v>
      </c>
      <c r="F1312">
        <v>74</v>
      </c>
      <c r="G1312">
        <v>555.55999999999995</v>
      </c>
      <c r="H1312" t="s">
        <v>18</v>
      </c>
      <c r="I1312" t="s">
        <v>5</v>
      </c>
      <c r="K1312" t="str">
        <v>premium</v>
      </c>
      <c r="L1312">
        <v>64</v>
      </c>
    </row>
    <row r="1313" spans="2:12" x14ac:dyDescent="0.3">
      <c r="B1313" t="s">
        <v>1268</v>
      </c>
      <c r="C1313">
        <v>97</v>
      </c>
      <c r="D1313" t="s">
        <v>82</v>
      </c>
      <c r="E1313">
        <v>44</v>
      </c>
      <c r="F1313">
        <v>58</v>
      </c>
      <c r="G1313">
        <v>60</v>
      </c>
      <c r="H1313" t="s">
        <v>11</v>
      </c>
      <c r="I1313" t="s">
        <v>8</v>
      </c>
      <c r="K1313" t="str">
        <v>middle</v>
      </c>
      <c r="L1313">
        <v>51</v>
      </c>
    </row>
    <row r="1314" spans="2:12" x14ac:dyDescent="0.3">
      <c r="B1314" t="s">
        <v>1269</v>
      </c>
      <c r="C1314">
        <v>95</v>
      </c>
      <c r="D1314" t="s">
        <v>45</v>
      </c>
      <c r="E1314">
        <v>58</v>
      </c>
      <c r="F1314">
        <v>78</v>
      </c>
      <c r="G1314">
        <v>6.45</v>
      </c>
      <c r="H1314" t="s">
        <v>18</v>
      </c>
      <c r="I1314" t="s">
        <v>5</v>
      </c>
      <c r="K1314" t="str">
        <v>budget</v>
      </c>
      <c r="L1314">
        <v>68</v>
      </c>
    </row>
    <row r="1315" spans="2:12" x14ac:dyDescent="0.3">
      <c r="B1315" t="s">
        <v>1270</v>
      </c>
      <c r="C1315">
        <v>95</v>
      </c>
      <c r="D1315" t="s">
        <v>45</v>
      </c>
      <c r="E1315">
        <v>52</v>
      </c>
      <c r="F1315">
        <v>70</v>
      </c>
      <c r="G1315">
        <v>100</v>
      </c>
      <c r="H1315" t="s">
        <v>2</v>
      </c>
      <c r="I1315" t="s">
        <v>9</v>
      </c>
      <c r="K1315" t="str">
        <v>middle</v>
      </c>
      <c r="L1315">
        <v>61</v>
      </c>
    </row>
    <row r="1316" spans="2:12" x14ac:dyDescent="0.3">
      <c r="B1316" t="s">
        <v>1056</v>
      </c>
      <c r="C1316">
        <v>96</v>
      </c>
      <c r="D1316" t="s">
        <v>45</v>
      </c>
      <c r="E1316">
        <v>52</v>
      </c>
      <c r="F1316">
        <v>70</v>
      </c>
      <c r="G1316">
        <v>5.0599999999999996</v>
      </c>
      <c r="H1316" t="s">
        <v>18</v>
      </c>
      <c r="I1316" t="s">
        <v>16</v>
      </c>
      <c r="K1316" t="str">
        <v>budget</v>
      </c>
      <c r="L1316">
        <v>61</v>
      </c>
    </row>
    <row r="1317" spans="2:12" x14ac:dyDescent="0.3">
      <c r="B1317" t="s">
        <v>1271</v>
      </c>
      <c r="C1317">
        <v>94</v>
      </c>
      <c r="D1317" t="s">
        <v>45</v>
      </c>
      <c r="E1317">
        <v>56</v>
      </c>
      <c r="F1317">
        <v>72</v>
      </c>
      <c r="G1317">
        <v>5.64</v>
      </c>
      <c r="H1317" t="s">
        <v>18</v>
      </c>
      <c r="I1317" t="s">
        <v>12</v>
      </c>
      <c r="K1317" t="str">
        <v>budget</v>
      </c>
      <c r="L1317">
        <v>64</v>
      </c>
    </row>
    <row r="1318" spans="2:12" x14ac:dyDescent="0.3">
      <c r="B1318" t="s">
        <v>1272</v>
      </c>
      <c r="C1318">
        <v>95</v>
      </c>
      <c r="D1318" t="s">
        <v>82</v>
      </c>
      <c r="E1318">
        <v>44</v>
      </c>
      <c r="F1318">
        <v>60</v>
      </c>
      <c r="G1318">
        <v>0.44</v>
      </c>
      <c r="H1318" t="s">
        <v>2</v>
      </c>
      <c r="I1318" t="s">
        <v>9</v>
      </c>
      <c r="K1318" t="str">
        <v>budget</v>
      </c>
      <c r="L1318">
        <v>52</v>
      </c>
    </row>
    <row r="1319" spans="2:12" x14ac:dyDescent="0.3">
      <c r="B1319" t="s">
        <v>1273</v>
      </c>
      <c r="C1319">
        <v>95</v>
      </c>
      <c r="D1319" t="s">
        <v>541</v>
      </c>
      <c r="E1319">
        <v>38</v>
      </c>
      <c r="F1319">
        <v>46</v>
      </c>
      <c r="G1319">
        <v>0.44</v>
      </c>
      <c r="H1319" t="s">
        <v>2</v>
      </c>
      <c r="I1319" t="s">
        <v>15</v>
      </c>
      <c r="K1319" t="str">
        <v>budget</v>
      </c>
      <c r="L1319">
        <v>42</v>
      </c>
    </row>
    <row r="1320" spans="2:12" x14ac:dyDescent="0.3">
      <c r="B1320" t="s">
        <v>1274</v>
      </c>
      <c r="C1320">
        <v>97</v>
      </c>
      <c r="D1320" t="s">
        <v>45</v>
      </c>
      <c r="E1320">
        <v>56</v>
      </c>
      <c r="F1320">
        <v>76</v>
      </c>
      <c r="G1320">
        <v>110.23</v>
      </c>
      <c r="H1320" t="s">
        <v>18</v>
      </c>
      <c r="I1320" t="s">
        <v>5</v>
      </c>
      <c r="K1320" t="str">
        <v>premium</v>
      </c>
      <c r="L1320">
        <v>66</v>
      </c>
    </row>
    <row r="1321" spans="2:12" x14ac:dyDescent="0.3">
      <c r="B1321" t="s">
        <v>1275</v>
      </c>
      <c r="C1321">
        <v>96</v>
      </c>
      <c r="D1321" t="s">
        <v>45</v>
      </c>
      <c r="E1321">
        <v>52</v>
      </c>
      <c r="F1321">
        <v>72</v>
      </c>
      <c r="G1321">
        <v>26.46</v>
      </c>
      <c r="H1321" t="s">
        <v>18</v>
      </c>
      <c r="I1321" t="s">
        <v>5</v>
      </c>
      <c r="K1321" t="str">
        <v>middle</v>
      </c>
      <c r="L1321">
        <v>62</v>
      </c>
    </row>
    <row r="1322" spans="2:12" x14ac:dyDescent="0.3">
      <c r="B1322" t="s">
        <v>1276</v>
      </c>
      <c r="C1322">
        <v>98</v>
      </c>
      <c r="D1322" t="s">
        <v>45</v>
      </c>
      <c r="E1322">
        <v>54</v>
      </c>
      <c r="F1322">
        <v>78</v>
      </c>
      <c r="G1322">
        <v>476.19</v>
      </c>
      <c r="H1322" t="s">
        <v>18</v>
      </c>
      <c r="I1322" t="s">
        <v>5</v>
      </c>
      <c r="K1322" t="str">
        <v>premium</v>
      </c>
      <c r="L1322">
        <v>66</v>
      </c>
    </row>
    <row r="1323" spans="2:12" x14ac:dyDescent="0.3">
      <c r="B1323" t="s">
        <v>1277</v>
      </c>
      <c r="C1323">
        <v>95</v>
      </c>
      <c r="D1323" t="s">
        <v>82</v>
      </c>
      <c r="E1323">
        <v>47</v>
      </c>
      <c r="F1323">
        <v>67</v>
      </c>
      <c r="G1323">
        <v>244.44</v>
      </c>
      <c r="H1323" t="s">
        <v>2</v>
      </c>
      <c r="I1323" t="s">
        <v>12</v>
      </c>
      <c r="K1323" t="str">
        <v>premium</v>
      </c>
      <c r="L1323">
        <v>57</v>
      </c>
    </row>
    <row r="1324" spans="2:12" x14ac:dyDescent="0.3">
      <c r="B1324" t="s">
        <v>1278</v>
      </c>
      <c r="C1324">
        <v>96</v>
      </c>
      <c r="D1324" t="s">
        <v>45</v>
      </c>
      <c r="E1324">
        <v>54</v>
      </c>
      <c r="F1324">
        <v>78</v>
      </c>
      <c r="G1324">
        <v>100</v>
      </c>
      <c r="H1324" t="s">
        <v>29</v>
      </c>
      <c r="I1324" t="s">
        <v>5</v>
      </c>
      <c r="K1324" t="str">
        <v>middle</v>
      </c>
      <c r="L1324">
        <v>66</v>
      </c>
    </row>
    <row r="1325" spans="2:12" x14ac:dyDescent="0.3">
      <c r="B1325" t="s">
        <v>1279</v>
      </c>
      <c r="C1325">
        <v>94</v>
      </c>
      <c r="D1325" t="s">
        <v>45</v>
      </c>
      <c r="E1325">
        <v>56</v>
      </c>
      <c r="F1325">
        <v>78</v>
      </c>
      <c r="G1325">
        <v>6.17</v>
      </c>
      <c r="H1325" t="s">
        <v>31</v>
      </c>
      <c r="I1325" t="s">
        <v>12</v>
      </c>
      <c r="K1325" t="str">
        <v>budget</v>
      </c>
      <c r="L1325">
        <v>67</v>
      </c>
    </row>
    <row r="1326" spans="2:12" x14ac:dyDescent="0.3">
      <c r="B1326" t="s">
        <v>1280</v>
      </c>
      <c r="C1326">
        <v>94</v>
      </c>
      <c r="D1326" t="s">
        <v>45</v>
      </c>
      <c r="E1326">
        <v>58</v>
      </c>
      <c r="F1326">
        <v>80</v>
      </c>
      <c r="G1326">
        <v>6</v>
      </c>
      <c r="H1326" t="s">
        <v>18</v>
      </c>
      <c r="I1326" t="s">
        <v>12</v>
      </c>
      <c r="K1326" t="str">
        <v>budget</v>
      </c>
      <c r="L1326">
        <v>69</v>
      </c>
    </row>
    <row r="1327" spans="2:12" x14ac:dyDescent="0.3">
      <c r="B1327" t="s">
        <v>1281</v>
      </c>
      <c r="C1327">
        <v>95</v>
      </c>
      <c r="D1327" t="s">
        <v>45</v>
      </c>
      <c r="E1327">
        <v>54</v>
      </c>
      <c r="F1327">
        <v>72</v>
      </c>
      <c r="G1327">
        <v>17.61</v>
      </c>
      <c r="H1327" t="s">
        <v>18</v>
      </c>
      <c r="I1327" t="s">
        <v>9</v>
      </c>
      <c r="K1327" t="str">
        <v>budget</v>
      </c>
      <c r="L1327">
        <v>63</v>
      </c>
    </row>
    <row r="1328" spans="2:12" x14ac:dyDescent="0.3">
      <c r="B1328" t="s">
        <v>1282</v>
      </c>
      <c r="C1328">
        <v>94</v>
      </c>
      <c r="D1328" t="s">
        <v>45</v>
      </c>
      <c r="E1328">
        <v>52</v>
      </c>
      <c r="F1328">
        <v>70</v>
      </c>
      <c r="G1328">
        <v>143.30000000000001</v>
      </c>
      <c r="H1328" t="s">
        <v>2</v>
      </c>
      <c r="I1328" t="s">
        <v>9</v>
      </c>
      <c r="K1328" t="str">
        <v>premium</v>
      </c>
      <c r="L1328">
        <v>61</v>
      </c>
    </row>
    <row r="1329" spans="2:12" x14ac:dyDescent="0.3">
      <c r="B1329" t="s">
        <v>1283</v>
      </c>
      <c r="C1329">
        <v>94</v>
      </c>
      <c r="D1329" t="s">
        <v>545</v>
      </c>
      <c r="E1329">
        <v>36</v>
      </c>
      <c r="F1329">
        <v>44</v>
      </c>
      <c r="G1329">
        <v>264.56</v>
      </c>
      <c r="H1329" t="s">
        <v>2</v>
      </c>
      <c r="I1329" t="s">
        <v>16</v>
      </c>
      <c r="K1329" t="str">
        <v>premium</v>
      </c>
      <c r="L1329">
        <v>40</v>
      </c>
    </row>
    <row r="1330" spans="2:12" x14ac:dyDescent="0.3">
      <c r="B1330" t="s">
        <v>1284</v>
      </c>
      <c r="C1330">
        <v>94</v>
      </c>
      <c r="D1330" t="s">
        <v>45</v>
      </c>
      <c r="E1330">
        <v>54</v>
      </c>
      <c r="F1330">
        <v>74</v>
      </c>
      <c r="G1330">
        <v>5.73</v>
      </c>
      <c r="H1330" t="s">
        <v>18</v>
      </c>
      <c r="I1330" t="s">
        <v>9</v>
      </c>
      <c r="K1330" t="str">
        <v>budget</v>
      </c>
      <c r="L1330">
        <v>64</v>
      </c>
    </row>
    <row r="1331" spans="2:12" x14ac:dyDescent="0.3">
      <c r="B1331" t="s">
        <v>1285</v>
      </c>
      <c r="C1331">
        <v>97</v>
      </c>
      <c r="D1331" t="s">
        <v>45</v>
      </c>
      <c r="E1331">
        <v>55</v>
      </c>
      <c r="F1331">
        <v>73</v>
      </c>
      <c r="G1331">
        <v>188.88</v>
      </c>
      <c r="H1331" t="s">
        <v>18</v>
      </c>
      <c r="I1331" t="s">
        <v>5</v>
      </c>
      <c r="K1331" t="str">
        <v>premium</v>
      </c>
      <c r="L1331">
        <v>64</v>
      </c>
    </row>
    <row r="1332" spans="2:12" x14ac:dyDescent="0.3">
      <c r="B1332" t="s">
        <v>1286</v>
      </c>
      <c r="C1332">
        <v>96</v>
      </c>
      <c r="D1332" t="s">
        <v>82</v>
      </c>
      <c r="E1332">
        <v>54</v>
      </c>
      <c r="F1332">
        <v>62</v>
      </c>
      <c r="G1332">
        <v>26.46</v>
      </c>
      <c r="H1332" t="s">
        <v>18</v>
      </c>
      <c r="I1332" t="s">
        <v>14</v>
      </c>
      <c r="K1332" t="str">
        <v>middle</v>
      </c>
      <c r="L1332">
        <v>58</v>
      </c>
    </row>
    <row r="1333" spans="2:12" x14ac:dyDescent="0.3">
      <c r="B1333" t="s">
        <v>1287</v>
      </c>
      <c r="C1333">
        <v>96</v>
      </c>
      <c r="D1333" t="s">
        <v>45</v>
      </c>
      <c r="E1333">
        <v>57</v>
      </c>
      <c r="F1333">
        <v>74</v>
      </c>
      <c r="G1333">
        <v>32.299999999999997</v>
      </c>
      <c r="H1333" t="s">
        <v>18</v>
      </c>
      <c r="I1333" t="s">
        <v>14</v>
      </c>
      <c r="K1333" t="str">
        <v>middle</v>
      </c>
      <c r="L1333">
        <v>65.5</v>
      </c>
    </row>
    <row r="1334" spans="2:12" x14ac:dyDescent="0.3">
      <c r="B1334" t="s">
        <v>1288</v>
      </c>
      <c r="C1334">
        <v>96</v>
      </c>
      <c r="D1334" t="s">
        <v>45</v>
      </c>
      <c r="E1334">
        <v>55</v>
      </c>
      <c r="F1334">
        <v>79</v>
      </c>
      <c r="G1334">
        <v>661.38</v>
      </c>
      <c r="H1334" t="s">
        <v>2</v>
      </c>
      <c r="I1334" t="s">
        <v>5</v>
      </c>
      <c r="K1334" t="str">
        <v>premium</v>
      </c>
      <c r="L1334">
        <v>67</v>
      </c>
    </row>
    <row r="1335" spans="2:12" x14ac:dyDescent="0.3">
      <c r="B1335" t="s">
        <v>1289</v>
      </c>
      <c r="C1335">
        <v>95</v>
      </c>
      <c r="D1335" t="s">
        <v>45</v>
      </c>
      <c r="E1335">
        <v>51</v>
      </c>
      <c r="F1335">
        <v>71</v>
      </c>
      <c r="G1335">
        <v>26.46</v>
      </c>
      <c r="H1335" t="s">
        <v>18</v>
      </c>
      <c r="I1335" t="s">
        <v>5</v>
      </c>
      <c r="K1335" t="str">
        <v>middle</v>
      </c>
      <c r="L1335">
        <v>61</v>
      </c>
    </row>
    <row r="1336" spans="2:12" x14ac:dyDescent="0.3">
      <c r="B1336" t="s">
        <v>1290</v>
      </c>
      <c r="C1336">
        <v>94</v>
      </c>
      <c r="D1336" t="s">
        <v>45</v>
      </c>
      <c r="E1336">
        <v>53</v>
      </c>
      <c r="F1336">
        <v>71</v>
      </c>
      <c r="G1336">
        <v>35.270000000000003</v>
      </c>
      <c r="H1336" t="s">
        <v>18</v>
      </c>
      <c r="I1336" t="s">
        <v>5</v>
      </c>
      <c r="K1336" t="str">
        <v>middle</v>
      </c>
      <c r="L1336">
        <v>62</v>
      </c>
    </row>
    <row r="1337" spans="2:12" x14ac:dyDescent="0.3">
      <c r="B1337" t="s">
        <v>1291</v>
      </c>
      <c r="C1337">
        <v>94</v>
      </c>
      <c r="D1337" t="s">
        <v>45</v>
      </c>
      <c r="E1337">
        <v>52</v>
      </c>
      <c r="F1337">
        <v>70</v>
      </c>
      <c r="G1337">
        <v>586.96</v>
      </c>
      <c r="H1337" t="s">
        <v>2</v>
      </c>
      <c r="I1337" t="s">
        <v>14</v>
      </c>
      <c r="K1337" t="str">
        <v>premium</v>
      </c>
      <c r="L1337">
        <v>61</v>
      </c>
    </row>
    <row r="1338" spans="2:12" x14ac:dyDescent="0.3">
      <c r="B1338" t="s">
        <v>1292</v>
      </c>
      <c r="C1338">
        <v>94</v>
      </c>
      <c r="D1338" t="s">
        <v>45</v>
      </c>
      <c r="E1338">
        <v>58</v>
      </c>
      <c r="F1338">
        <v>80</v>
      </c>
      <c r="G1338">
        <v>1200</v>
      </c>
      <c r="H1338" t="s">
        <v>2</v>
      </c>
      <c r="I1338" t="s">
        <v>9</v>
      </c>
      <c r="K1338" t="str">
        <v>premium</v>
      </c>
      <c r="L1338">
        <v>69</v>
      </c>
    </row>
    <row r="1339" spans="2:12" x14ac:dyDescent="0.3">
      <c r="B1339" t="s">
        <v>1293</v>
      </c>
      <c r="C1339">
        <v>94</v>
      </c>
      <c r="D1339" t="s">
        <v>45</v>
      </c>
      <c r="E1339">
        <v>60</v>
      </c>
      <c r="F1339">
        <v>78</v>
      </c>
      <c r="G1339">
        <v>22.05</v>
      </c>
      <c r="H1339" t="s">
        <v>18</v>
      </c>
      <c r="I1339" t="s">
        <v>9</v>
      </c>
      <c r="K1339" t="str">
        <v>budget</v>
      </c>
      <c r="L1339">
        <v>69</v>
      </c>
    </row>
    <row r="1340" spans="2:12" x14ac:dyDescent="0.3">
      <c r="B1340" t="s">
        <v>1294</v>
      </c>
      <c r="C1340">
        <v>94</v>
      </c>
      <c r="D1340" t="s">
        <v>45</v>
      </c>
      <c r="E1340">
        <v>59</v>
      </c>
      <c r="F1340">
        <v>72</v>
      </c>
      <c r="G1340">
        <v>5.59</v>
      </c>
      <c r="H1340" t="s">
        <v>18</v>
      </c>
      <c r="I1340" t="s">
        <v>9</v>
      </c>
      <c r="K1340" t="str">
        <v>budget</v>
      </c>
      <c r="L1340">
        <v>65.5</v>
      </c>
    </row>
    <row r="1341" spans="2:12" x14ac:dyDescent="0.3">
      <c r="B1341" t="s">
        <v>1295</v>
      </c>
      <c r="C1341">
        <v>94</v>
      </c>
      <c r="D1341" t="s">
        <v>45</v>
      </c>
      <c r="E1341">
        <v>52</v>
      </c>
      <c r="F1341">
        <v>70</v>
      </c>
      <c r="G1341">
        <v>5.03</v>
      </c>
      <c r="H1341" t="s">
        <v>18</v>
      </c>
      <c r="I1341" t="s">
        <v>9</v>
      </c>
      <c r="K1341" t="str">
        <v>budget</v>
      </c>
      <c r="L1341">
        <v>61</v>
      </c>
    </row>
    <row r="1342" spans="2:12" x14ac:dyDescent="0.3">
      <c r="B1342" t="s">
        <v>1296</v>
      </c>
      <c r="C1342">
        <v>94</v>
      </c>
      <c r="D1342" t="s">
        <v>45</v>
      </c>
      <c r="E1342">
        <v>53</v>
      </c>
      <c r="F1342">
        <v>71</v>
      </c>
      <c r="G1342">
        <v>3.53</v>
      </c>
      <c r="H1342" t="s">
        <v>18</v>
      </c>
      <c r="I1342" t="s">
        <v>5</v>
      </c>
      <c r="K1342" t="str">
        <v>budget</v>
      </c>
      <c r="L1342">
        <v>62</v>
      </c>
    </row>
    <row r="1343" spans="2:12" x14ac:dyDescent="0.3">
      <c r="B1343" t="s">
        <v>1297</v>
      </c>
      <c r="C1343">
        <v>94</v>
      </c>
      <c r="D1343" t="s">
        <v>41</v>
      </c>
      <c r="E1343">
        <v>62</v>
      </c>
      <c r="F1343">
        <v>83</v>
      </c>
      <c r="G1343">
        <v>154.32</v>
      </c>
      <c r="H1343" t="s">
        <v>2</v>
      </c>
      <c r="I1343" t="s">
        <v>9</v>
      </c>
      <c r="K1343" t="str">
        <v>premium</v>
      </c>
      <c r="L1343">
        <v>72.5</v>
      </c>
    </row>
    <row r="1344" spans="2:12" x14ac:dyDescent="0.3">
      <c r="B1344" t="s">
        <v>1298</v>
      </c>
      <c r="C1344">
        <v>95</v>
      </c>
      <c r="D1344" t="s">
        <v>82</v>
      </c>
      <c r="E1344">
        <v>52</v>
      </c>
      <c r="F1344">
        <v>68</v>
      </c>
      <c r="G1344">
        <v>154.32</v>
      </c>
      <c r="H1344" t="s">
        <v>2</v>
      </c>
      <c r="I1344" t="s">
        <v>12</v>
      </c>
      <c r="K1344" t="str">
        <v>premium</v>
      </c>
      <c r="L1344">
        <v>60</v>
      </c>
    </row>
    <row r="1345" spans="2:12" x14ac:dyDescent="0.3">
      <c r="B1345" t="s">
        <v>1299</v>
      </c>
      <c r="C1345">
        <v>94</v>
      </c>
      <c r="D1345" t="s">
        <v>45</v>
      </c>
      <c r="E1345">
        <v>53</v>
      </c>
      <c r="F1345">
        <v>71</v>
      </c>
      <c r="G1345">
        <v>114.64</v>
      </c>
      <c r="H1345" t="s">
        <v>2</v>
      </c>
      <c r="I1345" t="s">
        <v>9</v>
      </c>
      <c r="K1345" t="str">
        <v>premium</v>
      </c>
      <c r="L1345">
        <v>62</v>
      </c>
    </row>
    <row r="1346" spans="2:12" x14ac:dyDescent="0.3">
      <c r="B1346" t="s">
        <v>1300</v>
      </c>
      <c r="C1346">
        <v>94</v>
      </c>
      <c r="D1346" t="s">
        <v>45</v>
      </c>
      <c r="E1346">
        <v>55</v>
      </c>
      <c r="F1346">
        <v>77</v>
      </c>
      <c r="G1346">
        <v>121.25</v>
      </c>
      <c r="H1346" t="s">
        <v>2</v>
      </c>
      <c r="I1346" t="s">
        <v>9</v>
      </c>
      <c r="K1346" t="str">
        <v>premium</v>
      </c>
      <c r="L1346">
        <v>66</v>
      </c>
    </row>
    <row r="1347" spans="2:12" x14ac:dyDescent="0.3">
      <c r="B1347" t="s">
        <v>21</v>
      </c>
      <c r="C1347">
        <v>94</v>
      </c>
      <c r="D1347" t="s">
        <v>82</v>
      </c>
      <c r="E1347">
        <v>47</v>
      </c>
      <c r="F1347">
        <v>59</v>
      </c>
      <c r="G1347">
        <v>8.66</v>
      </c>
      <c r="H1347" t="s">
        <v>11</v>
      </c>
      <c r="I1347" t="s">
        <v>21</v>
      </c>
      <c r="K1347" t="str">
        <v>budget</v>
      </c>
      <c r="L1347">
        <v>53</v>
      </c>
    </row>
    <row r="1348" spans="2:12" x14ac:dyDescent="0.3">
      <c r="B1348" t="s">
        <v>1301</v>
      </c>
      <c r="C1348">
        <v>94</v>
      </c>
      <c r="D1348" t="s">
        <v>82</v>
      </c>
      <c r="E1348">
        <v>50</v>
      </c>
      <c r="F1348">
        <v>70</v>
      </c>
      <c r="G1348">
        <v>6.17</v>
      </c>
      <c r="H1348" t="s">
        <v>18</v>
      </c>
      <c r="I1348" t="s">
        <v>9</v>
      </c>
      <c r="K1348" t="str">
        <v>budget</v>
      </c>
      <c r="L1348">
        <v>60</v>
      </c>
    </row>
    <row r="1349" spans="2:12" x14ac:dyDescent="0.3">
      <c r="B1349" t="s">
        <v>1302</v>
      </c>
      <c r="C1349">
        <v>94</v>
      </c>
      <c r="D1349" t="s">
        <v>45</v>
      </c>
      <c r="E1349">
        <v>57</v>
      </c>
      <c r="F1349">
        <v>75</v>
      </c>
      <c r="G1349">
        <v>132.28</v>
      </c>
      <c r="H1349" t="s">
        <v>2</v>
      </c>
      <c r="I1349" t="s">
        <v>9</v>
      </c>
      <c r="K1349" t="str">
        <v>premium</v>
      </c>
      <c r="L1349">
        <v>66</v>
      </c>
    </row>
    <row r="1350" spans="2:12" x14ac:dyDescent="0.3">
      <c r="B1350" t="s">
        <v>1303</v>
      </c>
      <c r="C1350">
        <v>94</v>
      </c>
      <c r="D1350" t="s">
        <v>45</v>
      </c>
      <c r="E1350">
        <v>52</v>
      </c>
      <c r="F1350">
        <v>75</v>
      </c>
      <c r="G1350">
        <v>22.71</v>
      </c>
      <c r="H1350" t="s">
        <v>18</v>
      </c>
      <c r="I1350" t="s">
        <v>9</v>
      </c>
      <c r="K1350" t="str">
        <v>budget</v>
      </c>
      <c r="L1350">
        <v>63.5</v>
      </c>
    </row>
    <row r="1351" spans="2:12" x14ac:dyDescent="0.3">
      <c r="B1351" t="s">
        <v>1304</v>
      </c>
      <c r="C1351">
        <v>96</v>
      </c>
      <c r="D1351" t="s">
        <v>45</v>
      </c>
      <c r="E1351">
        <v>58</v>
      </c>
      <c r="F1351">
        <v>82</v>
      </c>
      <c r="G1351">
        <v>5.29</v>
      </c>
      <c r="H1351" t="s">
        <v>18</v>
      </c>
      <c r="I1351" t="s">
        <v>9</v>
      </c>
      <c r="K1351" t="str">
        <v>budget</v>
      </c>
      <c r="L1351">
        <v>70</v>
      </c>
    </row>
    <row r="1352" spans="2:12" x14ac:dyDescent="0.3">
      <c r="B1352" t="s">
        <v>1305</v>
      </c>
      <c r="C1352">
        <v>94</v>
      </c>
      <c r="D1352" t="s">
        <v>45</v>
      </c>
      <c r="E1352">
        <v>54</v>
      </c>
      <c r="F1352">
        <v>72</v>
      </c>
      <c r="G1352">
        <v>6.76</v>
      </c>
      <c r="H1352" t="s">
        <v>18</v>
      </c>
      <c r="I1352" t="s">
        <v>12</v>
      </c>
      <c r="K1352" t="str">
        <v>budget</v>
      </c>
      <c r="L1352">
        <v>63</v>
      </c>
    </row>
    <row r="1353" spans="2:12" x14ac:dyDescent="0.3">
      <c r="B1353" t="s">
        <v>1306</v>
      </c>
      <c r="C1353">
        <v>94</v>
      </c>
      <c r="D1353" t="s">
        <v>82</v>
      </c>
      <c r="E1353">
        <v>53</v>
      </c>
      <c r="F1353">
        <v>65</v>
      </c>
      <c r="G1353">
        <v>5.59</v>
      </c>
      <c r="H1353" t="s">
        <v>18</v>
      </c>
      <c r="I1353" t="s">
        <v>12</v>
      </c>
      <c r="K1353" t="str">
        <v>budget</v>
      </c>
      <c r="L1353">
        <v>59</v>
      </c>
    </row>
    <row r="1354" spans="2:12" x14ac:dyDescent="0.3">
      <c r="B1354" t="s">
        <v>1307</v>
      </c>
      <c r="C1354">
        <v>96</v>
      </c>
      <c r="D1354" t="s">
        <v>82</v>
      </c>
      <c r="E1354">
        <v>48</v>
      </c>
      <c r="F1354">
        <v>67</v>
      </c>
      <c r="G1354">
        <v>16.670000000000002</v>
      </c>
      <c r="H1354" t="s">
        <v>18</v>
      </c>
      <c r="I1354" t="s">
        <v>14</v>
      </c>
      <c r="K1354" t="str">
        <v>budget</v>
      </c>
      <c r="L1354">
        <v>57.5</v>
      </c>
    </row>
    <row r="1355" spans="2:12" x14ac:dyDescent="0.3">
      <c r="B1355" t="s">
        <v>1308</v>
      </c>
      <c r="C1355">
        <v>94</v>
      </c>
      <c r="D1355" t="s">
        <v>45</v>
      </c>
      <c r="E1355">
        <v>56</v>
      </c>
      <c r="F1355">
        <v>78</v>
      </c>
      <c r="G1355">
        <v>15.43</v>
      </c>
      <c r="H1355" t="s">
        <v>10</v>
      </c>
      <c r="I1355" t="s">
        <v>10</v>
      </c>
      <c r="K1355" t="str">
        <v>budget</v>
      </c>
      <c r="L1355">
        <v>67</v>
      </c>
    </row>
    <row r="1356" spans="2:12" x14ac:dyDescent="0.3">
      <c r="B1356" t="s">
        <v>1309</v>
      </c>
      <c r="C1356">
        <v>94</v>
      </c>
      <c r="D1356" t="s">
        <v>45</v>
      </c>
      <c r="E1356">
        <v>53</v>
      </c>
      <c r="F1356">
        <v>75</v>
      </c>
      <c r="G1356">
        <v>11.76</v>
      </c>
      <c r="H1356" t="s">
        <v>18</v>
      </c>
      <c r="I1356" t="s">
        <v>12</v>
      </c>
      <c r="K1356" t="str">
        <v>budget</v>
      </c>
      <c r="L1356">
        <v>64</v>
      </c>
    </row>
    <row r="1357" spans="2:12" x14ac:dyDescent="0.3">
      <c r="B1357" t="s">
        <v>1310</v>
      </c>
      <c r="C1357">
        <v>97</v>
      </c>
      <c r="D1357" t="s">
        <v>45</v>
      </c>
      <c r="E1357">
        <v>54</v>
      </c>
      <c r="F1357">
        <v>78</v>
      </c>
      <c r="G1357">
        <v>6.23</v>
      </c>
      <c r="H1357" t="s">
        <v>18</v>
      </c>
      <c r="I1357" t="s">
        <v>12</v>
      </c>
      <c r="K1357" t="str">
        <v>budget</v>
      </c>
      <c r="L1357">
        <v>66</v>
      </c>
    </row>
    <row r="1358" spans="2:12" x14ac:dyDescent="0.3">
      <c r="B1358" t="s">
        <v>1311</v>
      </c>
      <c r="C1358">
        <v>97</v>
      </c>
      <c r="D1358" t="s">
        <v>45</v>
      </c>
      <c r="E1358">
        <v>54</v>
      </c>
      <c r="F1358">
        <v>78</v>
      </c>
      <c r="G1358">
        <v>6.23</v>
      </c>
      <c r="H1358" t="s">
        <v>18</v>
      </c>
      <c r="I1358" t="s">
        <v>12</v>
      </c>
      <c r="K1358" t="str">
        <v>budget</v>
      </c>
      <c r="L1358">
        <v>66</v>
      </c>
    </row>
    <row r="1359" spans="2:12" x14ac:dyDescent="0.3">
      <c r="B1359" t="s">
        <v>1312</v>
      </c>
      <c r="C1359">
        <v>94</v>
      </c>
      <c r="D1359" t="s">
        <v>82</v>
      </c>
      <c r="E1359">
        <v>45</v>
      </c>
      <c r="F1359">
        <v>67</v>
      </c>
      <c r="G1359">
        <v>5.07</v>
      </c>
      <c r="H1359" t="s">
        <v>18</v>
      </c>
      <c r="I1359" t="s">
        <v>150</v>
      </c>
      <c r="K1359" t="str">
        <v>budget</v>
      </c>
      <c r="L1359">
        <v>56</v>
      </c>
    </row>
    <row r="1360" spans="2:12" x14ac:dyDescent="0.3">
      <c r="B1360" t="s">
        <v>1313</v>
      </c>
      <c r="C1360">
        <v>94</v>
      </c>
      <c r="D1360" t="s">
        <v>82</v>
      </c>
      <c r="E1360">
        <v>46</v>
      </c>
      <c r="F1360">
        <v>68</v>
      </c>
      <c r="G1360">
        <v>4.9800000000000004</v>
      </c>
      <c r="H1360" t="s">
        <v>18</v>
      </c>
      <c r="I1360" t="s">
        <v>9</v>
      </c>
      <c r="K1360" t="str">
        <v>budget</v>
      </c>
      <c r="L1360">
        <v>57</v>
      </c>
    </row>
    <row r="1361" spans="2:12" x14ac:dyDescent="0.3">
      <c r="B1361" t="s">
        <v>1314</v>
      </c>
      <c r="C1361">
        <v>94</v>
      </c>
      <c r="D1361" t="s">
        <v>82</v>
      </c>
      <c r="E1361">
        <v>46</v>
      </c>
      <c r="F1361">
        <v>68</v>
      </c>
      <c r="G1361">
        <v>5.57</v>
      </c>
      <c r="H1361" t="s">
        <v>18</v>
      </c>
      <c r="I1361" t="s">
        <v>14</v>
      </c>
      <c r="K1361" t="str">
        <v>budget</v>
      </c>
      <c r="L1361">
        <v>57</v>
      </c>
    </row>
    <row r="1362" spans="2:12" x14ac:dyDescent="0.3">
      <c r="B1362" t="s">
        <v>1315</v>
      </c>
      <c r="C1362">
        <v>95</v>
      </c>
      <c r="D1362" t="s">
        <v>45</v>
      </c>
      <c r="E1362">
        <v>60</v>
      </c>
      <c r="F1362">
        <v>78</v>
      </c>
      <c r="G1362">
        <v>293.33</v>
      </c>
      <c r="H1362" t="s">
        <v>2</v>
      </c>
      <c r="I1362" t="s">
        <v>9</v>
      </c>
      <c r="K1362" t="str">
        <v>premium</v>
      </c>
      <c r="L1362">
        <v>69</v>
      </c>
    </row>
    <row r="1363" spans="2:12" x14ac:dyDescent="0.3">
      <c r="B1363" t="s">
        <v>1316</v>
      </c>
      <c r="C1363">
        <v>94</v>
      </c>
      <c r="D1363" t="s">
        <v>45</v>
      </c>
      <c r="E1363">
        <v>57</v>
      </c>
      <c r="F1363">
        <v>79</v>
      </c>
      <c r="G1363">
        <v>5.73</v>
      </c>
      <c r="H1363" t="s">
        <v>18</v>
      </c>
      <c r="I1363" t="s">
        <v>14</v>
      </c>
      <c r="K1363" t="str">
        <v>budget</v>
      </c>
      <c r="L1363">
        <v>68</v>
      </c>
    </row>
    <row r="1364" spans="2:12" x14ac:dyDescent="0.3">
      <c r="B1364" t="s">
        <v>603</v>
      </c>
      <c r="C1364">
        <v>94</v>
      </c>
      <c r="D1364" t="s">
        <v>45</v>
      </c>
      <c r="E1364">
        <v>56</v>
      </c>
      <c r="F1364">
        <v>74</v>
      </c>
      <c r="G1364">
        <v>7.33</v>
      </c>
      <c r="H1364" t="s">
        <v>18</v>
      </c>
      <c r="I1364" t="s">
        <v>14</v>
      </c>
      <c r="K1364" t="str">
        <v>budget</v>
      </c>
      <c r="L1364">
        <v>65</v>
      </c>
    </row>
    <row r="1365" spans="2:12" x14ac:dyDescent="0.3">
      <c r="B1365" t="s">
        <v>1317</v>
      </c>
      <c r="C1365">
        <v>94</v>
      </c>
      <c r="D1365" t="s">
        <v>45</v>
      </c>
      <c r="E1365">
        <v>60</v>
      </c>
      <c r="F1365">
        <v>78</v>
      </c>
      <c r="G1365">
        <v>5.88</v>
      </c>
      <c r="H1365" t="s">
        <v>18</v>
      </c>
      <c r="I1365" t="s">
        <v>14</v>
      </c>
      <c r="K1365" t="str">
        <v>budget</v>
      </c>
      <c r="L1365">
        <v>69</v>
      </c>
    </row>
    <row r="1366" spans="2:12" x14ac:dyDescent="0.3">
      <c r="B1366" t="s">
        <v>1318</v>
      </c>
      <c r="C1366">
        <v>94</v>
      </c>
      <c r="D1366" t="s">
        <v>45</v>
      </c>
      <c r="E1366">
        <v>55</v>
      </c>
      <c r="F1366">
        <v>75</v>
      </c>
      <c r="G1366">
        <v>158.72999999999999</v>
      </c>
      <c r="H1366" t="s">
        <v>2</v>
      </c>
      <c r="I1366" t="s">
        <v>12</v>
      </c>
      <c r="K1366" t="str">
        <v>premium</v>
      </c>
      <c r="L1366">
        <v>65</v>
      </c>
    </row>
    <row r="1367" spans="2:12" x14ac:dyDescent="0.3">
      <c r="B1367" t="s">
        <v>1319</v>
      </c>
      <c r="C1367">
        <v>94</v>
      </c>
      <c r="D1367" t="s">
        <v>45</v>
      </c>
      <c r="E1367">
        <v>55</v>
      </c>
      <c r="F1367">
        <v>74</v>
      </c>
      <c r="G1367">
        <v>43.65</v>
      </c>
      <c r="H1367" t="s">
        <v>18</v>
      </c>
      <c r="I1367" t="s">
        <v>5</v>
      </c>
      <c r="K1367" t="str">
        <v>middle</v>
      </c>
      <c r="L1367">
        <v>64.5</v>
      </c>
    </row>
    <row r="1368" spans="2:12" x14ac:dyDescent="0.3">
      <c r="B1368" t="s">
        <v>1320</v>
      </c>
      <c r="C1368">
        <v>96</v>
      </c>
      <c r="D1368" t="s">
        <v>45</v>
      </c>
      <c r="E1368">
        <v>57</v>
      </c>
      <c r="F1368">
        <v>83</v>
      </c>
      <c r="G1368">
        <v>26.46</v>
      </c>
      <c r="H1368" t="s">
        <v>18</v>
      </c>
      <c r="I1368" t="s">
        <v>14</v>
      </c>
      <c r="K1368" t="str">
        <v>middle</v>
      </c>
      <c r="L1368">
        <v>70</v>
      </c>
    </row>
    <row r="1369" spans="2:12" x14ac:dyDescent="0.3">
      <c r="B1369" t="s">
        <v>1321</v>
      </c>
      <c r="C1369">
        <v>94</v>
      </c>
      <c r="D1369" t="s">
        <v>41</v>
      </c>
      <c r="E1369">
        <v>58</v>
      </c>
      <c r="F1369">
        <v>84</v>
      </c>
      <c r="G1369">
        <v>17.59</v>
      </c>
      <c r="H1369" t="s">
        <v>18</v>
      </c>
      <c r="I1369" t="s">
        <v>18</v>
      </c>
      <c r="K1369" t="str">
        <v>budget</v>
      </c>
      <c r="L1369">
        <v>71</v>
      </c>
    </row>
    <row r="1370" spans="2:12" x14ac:dyDescent="0.3">
      <c r="B1370" t="s">
        <v>1322</v>
      </c>
      <c r="C1370">
        <v>94</v>
      </c>
      <c r="D1370" t="s">
        <v>45</v>
      </c>
      <c r="E1370">
        <v>51</v>
      </c>
      <c r="F1370">
        <v>73</v>
      </c>
      <c r="G1370">
        <v>37.04</v>
      </c>
      <c r="H1370" t="s">
        <v>18</v>
      </c>
      <c r="I1370" t="s">
        <v>150</v>
      </c>
      <c r="K1370" t="str">
        <v>middle</v>
      </c>
      <c r="L1370">
        <v>62</v>
      </c>
    </row>
    <row r="1371" spans="2:12" x14ac:dyDescent="0.3">
      <c r="B1371" t="s">
        <v>1323</v>
      </c>
      <c r="C1371">
        <v>95</v>
      </c>
      <c r="D1371" t="s">
        <v>45</v>
      </c>
      <c r="E1371">
        <v>51</v>
      </c>
      <c r="F1371">
        <v>73</v>
      </c>
      <c r="G1371">
        <v>9.5</v>
      </c>
      <c r="H1371" t="s">
        <v>11</v>
      </c>
      <c r="I1371" t="s">
        <v>9</v>
      </c>
      <c r="K1371" t="str">
        <v>budget</v>
      </c>
      <c r="L1371">
        <v>62</v>
      </c>
    </row>
    <row r="1372" spans="2:12" x14ac:dyDescent="0.3">
      <c r="B1372" t="s">
        <v>1324</v>
      </c>
      <c r="C1372">
        <v>94</v>
      </c>
      <c r="D1372" t="s">
        <v>82</v>
      </c>
      <c r="E1372">
        <v>53</v>
      </c>
      <c r="F1372">
        <v>64</v>
      </c>
      <c r="G1372">
        <v>533.33000000000004</v>
      </c>
      <c r="H1372" t="s">
        <v>2</v>
      </c>
      <c r="I1372" t="s">
        <v>14</v>
      </c>
      <c r="K1372" t="str">
        <v>premium</v>
      </c>
      <c r="L1372">
        <v>58.5</v>
      </c>
    </row>
    <row r="1373" spans="2:12" x14ac:dyDescent="0.3">
      <c r="B1373" t="s">
        <v>1325</v>
      </c>
      <c r="C1373">
        <v>94</v>
      </c>
      <c r="D1373" t="s">
        <v>45</v>
      </c>
      <c r="E1373">
        <v>60</v>
      </c>
      <c r="F1373">
        <v>79</v>
      </c>
      <c r="G1373">
        <v>266.67</v>
      </c>
      <c r="H1373" t="s">
        <v>2</v>
      </c>
      <c r="I1373" t="s">
        <v>9</v>
      </c>
      <c r="K1373" t="str">
        <v>premium</v>
      </c>
      <c r="L1373">
        <v>69.5</v>
      </c>
    </row>
    <row r="1374" spans="2:12" x14ac:dyDescent="0.3">
      <c r="B1374" t="s">
        <v>1326</v>
      </c>
      <c r="C1374">
        <v>94</v>
      </c>
      <c r="D1374" t="s">
        <v>45</v>
      </c>
      <c r="E1374">
        <v>53</v>
      </c>
      <c r="F1374">
        <v>75</v>
      </c>
      <c r="G1374">
        <v>5.95</v>
      </c>
      <c r="H1374" t="s">
        <v>2</v>
      </c>
      <c r="I1374" t="s">
        <v>12</v>
      </c>
      <c r="K1374" t="str">
        <v>budget</v>
      </c>
      <c r="L1374">
        <v>64</v>
      </c>
    </row>
    <row r="1375" spans="2:12" x14ac:dyDescent="0.3">
      <c r="B1375" t="s">
        <v>1327</v>
      </c>
      <c r="C1375">
        <v>95</v>
      </c>
      <c r="D1375" t="s">
        <v>45</v>
      </c>
      <c r="E1375">
        <v>58</v>
      </c>
      <c r="F1375">
        <v>82</v>
      </c>
      <c r="G1375">
        <v>5.59</v>
      </c>
      <c r="H1375" t="s">
        <v>18</v>
      </c>
      <c r="I1375" t="s">
        <v>9</v>
      </c>
      <c r="K1375" t="str">
        <v>budget</v>
      </c>
      <c r="L1375">
        <v>70</v>
      </c>
    </row>
    <row r="1376" spans="2:12" x14ac:dyDescent="0.3">
      <c r="B1376" t="s">
        <v>1328</v>
      </c>
      <c r="C1376">
        <v>95</v>
      </c>
      <c r="D1376" t="s">
        <v>45</v>
      </c>
      <c r="E1376">
        <v>58</v>
      </c>
      <c r="F1376">
        <v>80</v>
      </c>
      <c r="G1376">
        <v>154.32</v>
      </c>
      <c r="H1376" t="s">
        <v>2</v>
      </c>
      <c r="I1376" t="s">
        <v>9</v>
      </c>
      <c r="K1376" t="str">
        <v>premium</v>
      </c>
      <c r="L1376">
        <v>69</v>
      </c>
    </row>
    <row r="1377" spans="2:12" x14ac:dyDescent="0.3">
      <c r="B1377" t="s">
        <v>1329</v>
      </c>
      <c r="C1377">
        <v>95</v>
      </c>
      <c r="D1377" t="s">
        <v>82</v>
      </c>
      <c r="E1377">
        <v>51</v>
      </c>
      <c r="F1377">
        <v>69</v>
      </c>
      <c r="G1377">
        <v>16.53</v>
      </c>
      <c r="H1377" t="s">
        <v>18</v>
      </c>
      <c r="I1377" t="s">
        <v>14</v>
      </c>
      <c r="K1377" t="str">
        <v>budget</v>
      </c>
      <c r="L1377">
        <v>60</v>
      </c>
    </row>
    <row r="1378" spans="2:12" x14ac:dyDescent="0.3">
      <c r="B1378" t="s">
        <v>1330</v>
      </c>
      <c r="C1378">
        <v>94</v>
      </c>
      <c r="D1378" t="s">
        <v>45</v>
      </c>
      <c r="E1378">
        <v>53</v>
      </c>
      <c r="F1378">
        <v>75</v>
      </c>
      <c r="G1378">
        <v>5.29</v>
      </c>
      <c r="H1378" t="s">
        <v>31</v>
      </c>
      <c r="I1378" t="s">
        <v>16</v>
      </c>
      <c r="K1378" t="str">
        <v>budget</v>
      </c>
      <c r="L1378">
        <v>64</v>
      </c>
    </row>
    <row r="1379" spans="2:12" x14ac:dyDescent="0.3">
      <c r="B1379" t="s">
        <v>1331</v>
      </c>
      <c r="C1379">
        <v>94</v>
      </c>
      <c r="D1379" t="s">
        <v>45</v>
      </c>
      <c r="E1379">
        <v>55</v>
      </c>
      <c r="F1379">
        <v>68</v>
      </c>
      <c r="G1379">
        <v>5.29</v>
      </c>
      <c r="H1379" t="s">
        <v>18</v>
      </c>
      <c r="I1379" t="s">
        <v>16</v>
      </c>
      <c r="K1379" t="str">
        <v>budget</v>
      </c>
      <c r="L1379">
        <v>61.5</v>
      </c>
    </row>
    <row r="1380" spans="2:12" x14ac:dyDescent="0.3">
      <c r="B1380" t="s">
        <v>1332</v>
      </c>
      <c r="C1380">
        <v>95</v>
      </c>
      <c r="D1380" t="s">
        <v>82</v>
      </c>
      <c r="E1380">
        <v>51</v>
      </c>
      <c r="F1380">
        <v>68</v>
      </c>
      <c r="G1380">
        <v>5</v>
      </c>
      <c r="H1380" t="s">
        <v>18</v>
      </c>
      <c r="I1380" t="s">
        <v>16</v>
      </c>
      <c r="K1380" t="str">
        <v>budget</v>
      </c>
      <c r="L1380">
        <v>59.5</v>
      </c>
    </row>
    <row r="1381" spans="2:12" x14ac:dyDescent="0.3">
      <c r="B1381" t="s">
        <v>1333</v>
      </c>
      <c r="C1381">
        <v>95</v>
      </c>
      <c r="D1381" t="s">
        <v>45</v>
      </c>
      <c r="E1381">
        <v>51</v>
      </c>
      <c r="F1381">
        <v>73</v>
      </c>
      <c r="G1381">
        <v>143.30000000000001</v>
      </c>
      <c r="H1381" t="s">
        <v>2</v>
      </c>
      <c r="I1381" t="s">
        <v>9</v>
      </c>
      <c r="K1381" t="str">
        <v>premium</v>
      </c>
      <c r="L1381">
        <v>62</v>
      </c>
    </row>
    <row r="1382" spans="2:12" x14ac:dyDescent="0.3">
      <c r="B1382" t="s">
        <v>1334</v>
      </c>
      <c r="C1382">
        <v>94</v>
      </c>
      <c r="D1382" t="s">
        <v>45</v>
      </c>
      <c r="E1382">
        <v>56</v>
      </c>
      <c r="F1382">
        <v>80</v>
      </c>
      <c r="G1382">
        <v>5</v>
      </c>
      <c r="H1382" t="s">
        <v>18</v>
      </c>
      <c r="I1382" t="s">
        <v>20</v>
      </c>
      <c r="K1382" t="str">
        <v>budget</v>
      </c>
      <c r="L1382">
        <v>68</v>
      </c>
    </row>
    <row r="1383" spans="2:12" x14ac:dyDescent="0.3">
      <c r="B1383" t="s">
        <v>1335</v>
      </c>
      <c r="C1383">
        <v>94</v>
      </c>
      <c r="D1383" t="s">
        <v>45</v>
      </c>
      <c r="E1383">
        <v>50</v>
      </c>
      <c r="F1383">
        <v>74</v>
      </c>
      <c r="G1383">
        <v>79.37</v>
      </c>
      <c r="H1383" t="s">
        <v>2</v>
      </c>
      <c r="I1383" t="s">
        <v>21</v>
      </c>
      <c r="K1383" t="str">
        <v>middle</v>
      </c>
      <c r="L1383">
        <v>62</v>
      </c>
    </row>
    <row r="1384" spans="2:12" x14ac:dyDescent="0.3">
      <c r="B1384" t="s">
        <v>1336</v>
      </c>
      <c r="C1384">
        <v>94</v>
      </c>
      <c r="D1384" t="s">
        <v>45</v>
      </c>
      <c r="E1384">
        <v>52</v>
      </c>
      <c r="F1384">
        <v>74</v>
      </c>
      <c r="G1384">
        <v>485.01</v>
      </c>
      <c r="H1384" t="s">
        <v>2</v>
      </c>
      <c r="I1384" t="s">
        <v>5</v>
      </c>
      <c r="K1384" t="str">
        <v>premium</v>
      </c>
      <c r="L1384">
        <v>63</v>
      </c>
    </row>
    <row r="1385" spans="2:12" x14ac:dyDescent="0.3">
      <c r="B1385" t="s">
        <v>1037</v>
      </c>
      <c r="C1385">
        <v>94</v>
      </c>
      <c r="D1385" t="s">
        <v>45</v>
      </c>
      <c r="E1385">
        <v>54</v>
      </c>
      <c r="F1385">
        <v>78</v>
      </c>
      <c r="G1385">
        <v>5.29</v>
      </c>
      <c r="H1385" t="s">
        <v>18</v>
      </c>
      <c r="I1385" t="s">
        <v>9</v>
      </c>
      <c r="K1385" t="str">
        <v>budget</v>
      </c>
      <c r="L1385">
        <v>66</v>
      </c>
    </row>
    <row r="1386" spans="2:12" x14ac:dyDescent="0.3">
      <c r="B1386" t="s">
        <v>1337</v>
      </c>
      <c r="C1386">
        <v>94</v>
      </c>
      <c r="D1386" t="s">
        <v>45</v>
      </c>
      <c r="E1386">
        <v>52</v>
      </c>
      <c r="F1386">
        <v>76</v>
      </c>
      <c r="G1386">
        <v>5.59</v>
      </c>
      <c r="H1386" t="s">
        <v>18</v>
      </c>
      <c r="I1386" t="s">
        <v>12</v>
      </c>
      <c r="K1386" t="str">
        <v>budget</v>
      </c>
      <c r="L1386">
        <v>64</v>
      </c>
    </row>
    <row r="1387" spans="2:12" x14ac:dyDescent="0.3">
      <c r="B1387" t="s">
        <v>582</v>
      </c>
      <c r="C1387">
        <v>94</v>
      </c>
      <c r="D1387" t="s">
        <v>45</v>
      </c>
      <c r="E1387">
        <v>54</v>
      </c>
      <c r="F1387">
        <v>78</v>
      </c>
      <c r="G1387">
        <v>5.29</v>
      </c>
      <c r="H1387" t="s">
        <v>18</v>
      </c>
      <c r="I1387" t="s">
        <v>9</v>
      </c>
      <c r="K1387" t="str">
        <v>budget</v>
      </c>
      <c r="L1387">
        <v>66</v>
      </c>
    </row>
    <row r="1388" spans="2:12" x14ac:dyDescent="0.3">
      <c r="B1388" t="s">
        <v>1338</v>
      </c>
      <c r="C1388">
        <v>94</v>
      </c>
      <c r="D1388" t="s">
        <v>41</v>
      </c>
      <c r="E1388">
        <v>58</v>
      </c>
      <c r="F1388">
        <v>84</v>
      </c>
      <c r="G1388">
        <v>111.11</v>
      </c>
      <c r="H1388" t="s">
        <v>2</v>
      </c>
      <c r="I1388" t="s">
        <v>9</v>
      </c>
      <c r="K1388" t="str">
        <v>premium</v>
      </c>
      <c r="L1388">
        <v>71</v>
      </c>
    </row>
    <row r="1389" spans="2:12" x14ac:dyDescent="0.3">
      <c r="B1389" t="s">
        <v>1339</v>
      </c>
      <c r="C1389">
        <v>97</v>
      </c>
      <c r="D1389" t="s">
        <v>45</v>
      </c>
      <c r="E1389">
        <v>54</v>
      </c>
      <c r="F1389">
        <v>78</v>
      </c>
      <c r="G1389">
        <v>5.29</v>
      </c>
      <c r="H1389" t="s">
        <v>18</v>
      </c>
      <c r="I1389" t="s">
        <v>12</v>
      </c>
      <c r="K1389" t="str">
        <v>budget</v>
      </c>
      <c r="L1389">
        <v>66</v>
      </c>
    </row>
    <row r="1390" spans="2:12" x14ac:dyDescent="0.3">
      <c r="B1390" t="s">
        <v>1340</v>
      </c>
      <c r="C1390">
        <v>94</v>
      </c>
      <c r="D1390" t="s">
        <v>45</v>
      </c>
      <c r="E1390">
        <v>55</v>
      </c>
      <c r="F1390">
        <v>77</v>
      </c>
      <c r="G1390">
        <v>7.05</v>
      </c>
      <c r="H1390" t="s">
        <v>18</v>
      </c>
      <c r="I1390" t="s">
        <v>17</v>
      </c>
      <c r="K1390" t="str">
        <v>budget</v>
      </c>
      <c r="L1390">
        <v>66</v>
      </c>
    </row>
    <row r="1391" spans="2:12" x14ac:dyDescent="0.3">
      <c r="B1391" t="s">
        <v>1341</v>
      </c>
      <c r="C1391">
        <v>94</v>
      </c>
      <c r="D1391" t="s">
        <v>45</v>
      </c>
      <c r="E1391">
        <v>52</v>
      </c>
      <c r="F1391">
        <v>74</v>
      </c>
      <c r="G1391">
        <v>5.29</v>
      </c>
      <c r="H1391" t="s">
        <v>18</v>
      </c>
      <c r="I1391" t="s">
        <v>9</v>
      </c>
      <c r="K1391" t="str">
        <v>budget</v>
      </c>
      <c r="L1391">
        <v>63</v>
      </c>
    </row>
    <row r="1392" spans="2:12" x14ac:dyDescent="0.3">
      <c r="B1392" t="s">
        <v>1342</v>
      </c>
      <c r="C1392">
        <v>94</v>
      </c>
      <c r="D1392" t="s">
        <v>82</v>
      </c>
      <c r="E1392">
        <v>42</v>
      </c>
      <c r="F1392">
        <v>64</v>
      </c>
      <c r="G1392">
        <v>6.47</v>
      </c>
      <c r="H1392" t="s">
        <v>18</v>
      </c>
      <c r="I1392" t="s">
        <v>12</v>
      </c>
      <c r="K1392" t="str">
        <v>budget</v>
      </c>
      <c r="L1392">
        <v>53</v>
      </c>
    </row>
    <row r="1393" spans="2:12" x14ac:dyDescent="0.3">
      <c r="B1393" t="s">
        <v>1331</v>
      </c>
      <c r="C1393">
        <v>95</v>
      </c>
      <c r="D1393" t="s">
        <v>45</v>
      </c>
      <c r="E1393">
        <v>54</v>
      </c>
      <c r="F1393">
        <v>76</v>
      </c>
      <c r="G1393">
        <v>6.17</v>
      </c>
      <c r="H1393" t="s">
        <v>18</v>
      </c>
      <c r="I1393" t="s">
        <v>16</v>
      </c>
      <c r="K1393" t="str">
        <v>budget</v>
      </c>
      <c r="L1393">
        <v>65</v>
      </c>
    </row>
    <row r="1394" spans="2:12" x14ac:dyDescent="0.3">
      <c r="B1394" t="s">
        <v>1343</v>
      </c>
      <c r="C1394">
        <v>94</v>
      </c>
      <c r="D1394" t="s">
        <v>45</v>
      </c>
      <c r="E1394">
        <v>54</v>
      </c>
      <c r="F1394">
        <v>78</v>
      </c>
      <c r="G1394">
        <v>8.8000000000000007</v>
      </c>
      <c r="H1394" t="s">
        <v>18</v>
      </c>
      <c r="I1394" t="s">
        <v>17</v>
      </c>
      <c r="K1394" t="str">
        <v>budget</v>
      </c>
      <c r="L1394">
        <v>66</v>
      </c>
    </row>
    <row r="1395" spans="2:12" x14ac:dyDescent="0.3">
      <c r="B1395" t="s">
        <v>1344</v>
      </c>
      <c r="C1395">
        <v>94</v>
      </c>
      <c r="D1395" t="s">
        <v>45</v>
      </c>
      <c r="E1395">
        <v>52</v>
      </c>
      <c r="F1395">
        <v>76</v>
      </c>
      <c r="G1395">
        <v>4.41</v>
      </c>
      <c r="H1395" t="s">
        <v>18</v>
      </c>
      <c r="I1395" t="s">
        <v>9</v>
      </c>
      <c r="K1395" t="str">
        <v>budget</v>
      </c>
      <c r="L1395">
        <v>64</v>
      </c>
    </row>
    <row r="1396" spans="2:12" x14ac:dyDescent="0.3">
      <c r="B1396" t="s">
        <v>701</v>
      </c>
      <c r="C1396">
        <v>94</v>
      </c>
      <c r="D1396" t="s">
        <v>82</v>
      </c>
      <c r="E1396">
        <v>47</v>
      </c>
      <c r="F1396">
        <v>69</v>
      </c>
      <c r="G1396">
        <v>5.29</v>
      </c>
      <c r="H1396" t="s">
        <v>18</v>
      </c>
      <c r="I1396" t="s">
        <v>12</v>
      </c>
      <c r="K1396" t="str">
        <v>budget</v>
      </c>
      <c r="L1396">
        <v>58</v>
      </c>
    </row>
    <row r="1397" spans="2:12" x14ac:dyDescent="0.3">
      <c r="B1397" t="s">
        <v>1345</v>
      </c>
      <c r="C1397">
        <v>95</v>
      </c>
      <c r="D1397" t="s">
        <v>45</v>
      </c>
      <c r="E1397">
        <v>55</v>
      </c>
      <c r="F1397">
        <v>79</v>
      </c>
      <c r="G1397">
        <v>4.7</v>
      </c>
      <c r="H1397" t="s">
        <v>18</v>
      </c>
      <c r="I1397" t="s">
        <v>20</v>
      </c>
      <c r="K1397" t="str">
        <v>budget</v>
      </c>
      <c r="L1397">
        <v>67</v>
      </c>
    </row>
    <row r="1398" spans="2:12" x14ac:dyDescent="0.3">
      <c r="B1398" t="s">
        <v>890</v>
      </c>
      <c r="C1398">
        <v>95</v>
      </c>
      <c r="D1398" t="s">
        <v>45</v>
      </c>
      <c r="E1398">
        <v>52</v>
      </c>
      <c r="F1398">
        <v>74</v>
      </c>
      <c r="G1398">
        <v>19.82</v>
      </c>
      <c r="H1398" t="s">
        <v>18</v>
      </c>
      <c r="I1398" t="s">
        <v>18</v>
      </c>
      <c r="K1398" t="str">
        <v>budget</v>
      </c>
      <c r="L1398">
        <v>63</v>
      </c>
    </row>
    <row r="1399" spans="2:12" x14ac:dyDescent="0.3">
      <c r="B1399" t="s">
        <v>1346</v>
      </c>
      <c r="C1399">
        <v>94</v>
      </c>
      <c r="D1399" t="s">
        <v>45</v>
      </c>
      <c r="E1399">
        <v>50</v>
      </c>
      <c r="F1399">
        <v>72</v>
      </c>
      <c r="G1399">
        <v>6.61</v>
      </c>
      <c r="H1399" t="s">
        <v>18</v>
      </c>
      <c r="I1399" t="s">
        <v>9</v>
      </c>
      <c r="K1399" t="str">
        <v>budget</v>
      </c>
      <c r="L1399">
        <v>61</v>
      </c>
    </row>
    <row r="1400" spans="2:12" x14ac:dyDescent="0.3">
      <c r="B1400" t="s">
        <v>1347</v>
      </c>
      <c r="C1400">
        <v>94</v>
      </c>
      <c r="D1400" t="s">
        <v>45</v>
      </c>
      <c r="E1400">
        <v>53</v>
      </c>
      <c r="F1400">
        <v>75</v>
      </c>
      <c r="G1400">
        <v>5.44</v>
      </c>
      <c r="H1400" t="s">
        <v>18</v>
      </c>
      <c r="I1400" t="s">
        <v>9</v>
      </c>
      <c r="K1400" t="str">
        <v>budget</v>
      </c>
      <c r="L1400">
        <v>64</v>
      </c>
    </row>
    <row r="1401" spans="2:12" x14ac:dyDescent="0.3">
      <c r="B1401" t="s">
        <v>1348</v>
      </c>
      <c r="C1401">
        <v>95</v>
      </c>
      <c r="D1401" t="s">
        <v>82</v>
      </c>
      <c r="E1401">
        <v>48</v>
      </c>
      <c r="F1401">
        <v>72</v>
      </c>
      <c r="G1401">
        <v>5.59</v>
      </c>
      <c r="H1401" t="s">
        <v>18</v>
      </c>
      <c r="I1401" t="s">
        <v>12</v>
      </c>
      <c r="K1401" t="str">
        <v>budget</v>
      </c>
      <c r="L1401">
        <v>60</v>
      </c>
    </row>
    <row r="1402" spans="2:12" x14ac:dyDescent="0.3">
      <c r="B1402" t="s">
        <v>1349</v>
      </c>
      <c r="C1402">
        <v>94</v>
      </c>
      <c r="D1402" t="s">
        <v>45</v>
      </c>
      <c r="E1402">
        <v>56</v>
      </c>
      <c r="F1402">
        <v>80</v>
      </c>
      <c r="G1402">
        <v>6.47</v>
      </c>
      <c r="H1402" t="s">
        <v>18</v>
      </c>
      <c r="I1402" t="s">
        <v>13</v>
      </c>
      <c r="K1402" t="str">
        <v>budget</v>
      </c>
      <c r="L1402">
        <v>68</v>
      </c>
    </row>
    <row r="1403" spans="2:12" x14ac:dyDescent="0.3">
      <c r="B1403" t="s">
        <v>1350</v>
      </c>
      <c r="C1403">
        <v>94</v>
      </c>
      <c r="D1403" t="s">
        <v>45</v>
      </c>
      <c r="E1403">
        <v>56</v>
      </c>
      <c r="F1403">
        <v>78</v>
      </c>
      <c r="G1403">
        <v>4.97</v>
      </c>
      <c r="H1403" t="s">
        <v>18</v>
      </c>
      <c r="I1403" t="s">
        <v>23</v>
      </c>
      <c r="K1403" t="str">
        <v>budget</v>
      </c>
      <c r="L1403">
        <v>67</v>
      </c>
    </row>
    <row r="1404" spans="2:12" x14ac:dyDescent="0.3">
      <c r="B1404" t="s">
        <v>1351</v>
      </c>
      <c r="C1404">
        <v>97</v>
      </c>
      <c r="D1404" t="s">
        <v>45</v>
      </c>
      <c r="E1404">
        <v>50</v>
      </c>
      <c r="F1404">
        <v>74</v>
      </c>
      <c r="G1404">
        <v>26.46</v>
      </c>
      <c r="H1404" t="s">
        <v>18</v>
      </c>
      <c r="I1404" t="s">
        <v>5</v>
      </c>
      <c r="K1404" t="str">
        <v>middle</v>
      </c>
      <c r="L1404">
        <v>62</v>
      </c>
    </row>
    <row r="1405" spans="2:12" x14ac:dyDescent="0.3">
      <c r="B1405" t="s">
        <v>1352</v>
      </c>
      <c r="C1405">
        <v>94</v>
      </c>
      <c r="D1405" t="s">
        <v>45</v>
      </c>
      <c r="E1405">
        <v>58</v>
      </c>
      <c r="F1405">
        <v>80</v>
      </c>
      <c r="G1405">
        <v>6.61</v>
      </c>
      <c r="H1405" t="s">
        <v>2</v>
      </c>
      <c r="I1405" t="s">
        <v>14</v>
      </c>
      <c r="K1405" t="str">
        <v>budget</v>
      </c>
      <c r="L1405">
        <v>69</v>
      </c>
    </row>
    <row r="1406" spans="2:12" x14ac:dyDescent="0.3">
      <c r="B1406" t="s">
        <v>717</v>
      </c>
      <c r="C1406">
        <v>94</v>
      </c>
      <c r="D1406" t="s">
        <v>45</v>
      </c>
      <c r="E1406">
        <v>53</v>
      </c>
      <c r="F1406">
        <v>77</v>
      </c>
      <c r="G1406">
        <v>7.61</v>
      </c>
      <c r="H1406" t="s">
        <v>18</v>
      </c>
      <c r="I1406" t="s">
        <v>14</v>
      </c>
      <c r="K1406" t="str">
        <v>budget</v>
      </c>
      <c r="L1406">
        <v>65</v>
      </c>
    </row>
    <row r="1407" spans="2:12" x14ac:dyDescent="0.3">
      <c r="B1407" t="s">
        <v>1353</v>
      </c>
      <c r="C1407">
        <v>94</v>
      </c>
      <c r="D1407" t="s">
        <v>45</v>
      </c>
      <c r="E1407">
        <v>54</v>
      </c>
      <c r="F1407">
        <v>76</v>
      </c>
      <c r="G1407">
        <v>7.05</v>
      </c>
      <c r="H1407" t="s">
        <v>2</v>
      </c>
      <c r="I1407" t="s">
        <v>12</v>
      </c>
      <c r="K1407" t="str">
        <v>budget</v>
      </c>
      <c r="L1407">
        <v>65</v>
      </c>
    </row>
    <row r="1408" spans="2:12" x14ac:dyDescent="0.3">
      <c r="B1408" t="s">
        <v>1354</v>
      </c>
      <c r="C1408">
        <v>94</v>
      </c>
      <c r="D1408" t="s">
        <v>45</v>
      </c>
      <c r="E1408">
        <v>60</v>
      </c>
      <c r="F1408">
        <v>80</v>
      </c>
      <c r="G1408">
        <v>5.29</v>
      </c>
      <c r="H1408" t="s">
        <v>18</v>
      </c>
      <c r="I1408" t="s">
        <v>9</v>
      </c>
      <c r="K1408" t="str">
        <v>budget</v>
      </c>
      <c r="L1408">
        <v>70</v>
      </c>
    </row>
    <row r="1409" spans="2:12" x14ac:dyDescent="0.3">
      <c r="B1409" t="s">
        <v>1355</v>
      </c>
      <c r="C1409">
        <v>94</v>
      </c>
      <c r="D1409" t="s">
        <v>41</v>
      </c>
      <c r="E1409">
        <v>62</v>
      </c>
      <c r="F1409">
        <v>82</v>
      </c>
      <c r="G1409">
        <v>5.29</v>
      </c>
      <c r="H1409" t="s">
        <v>18</v>
      </c>
      <c r="I1409" t="s">
        <v>9</v>
      </c>
      <c r="K1409" t="str">
        <v>budget</v>
      </c>
      <c r="L1409">
        <v>72</v>
      </c>
    </row>
    <row r="1410" spans="2:12" x14ac:dyDescent="0.3">
      <c r="B1410" t="s">
        <v>1356</v>
      </c>
      <c r="C1410">
        <v>95</v>
      </c>
      <c r="D1410" t="s">
        <v>45</v>
      </c>
      <c r="E1410">
        <v>56</v>
      </c>
      <c r="F1410">
        <v>72</v>
      </c>
      <c r="G1410">
        <v>6</v>
      </c>
      <c r="H1410" t="s">
        <v>18</v>
      </c>
      <c r="I1410" t="s">
        <v>12</v>
      </c>
      <c r="K1410" t="str">
        <v>budget</v>
      </c>
      <c r="L1410">
        <v>64</v>
      </c>
    </row>
    <row r="1411" spans="2:12" x14ac:dyDescent="0.3">
      <c r="B1411" t="s">
        <v>1357</v>
      </c>
      <c r="C1411">
        <v>94</v>
      </c>
      <c r="D1411" t="s">
        <v>45</v>
      </c>
      <c r="E1411">
        <v>57</v>
      </c>
      <c r="F1411">
        <v>79</v>
      </c>
      <c r="G1411">
        <v>132.28</v>
      </c>
      <c r="H1411" t="s">
        <v>2</v>
      </c>
      <c r="I1411" t="s">
        <v>12</v>
      </c>
      <c r="K1411" t="str">
        <v>premium</v>
      </c>
      <c r="L1411">
        <v>68</v>
      </c>
    </row>
    <row r="1412" spans="2:12" x14ac:dyDescent="0.3">
      <c r="B1412" t="s">
        <v>1358</v>
      </c>
      <c r="C1412">
        <v>95</v>
      </c>
      <c r="D1412" t="s">
        <v>45</v>
      </c>
      <c r="E1412">
        <v>57</v>
      </c>
      <c r="F1412">
        <v>79</v>
      </c>
      <c r="G1412">
        <v>127.87</v>
      </c>
      <c r="H1412" t="s">
        <v>2</v>
      </c>
      <c r="I1412" t="s">
        <v>9</v>
      </c>
      <c r="K1412" t="str">
        <v>premium</v>
      </c>
      <c r="L1412">
        <v>68</v>
      </c>
    </row>
    <row r="1413" spans="2:12" x14ac:dyDescent="0.3">
      <c r="B1413" t="s">
        <v>1359</v>
      </c>
      <c r="C1413">
        <v>94</v>
      </c>
      <c r="D1413" t="s">
        <v>45</v>
      </c>
      <c r="E1413">
        <v>57</v>
      </c>
      <c r="F1413">
        <v>79</v>
      </c>
      <c r="G1413">
        <v>132.28</v>
      </c>
      <c r="H1413" t="s">
        <v>2</v>
      </c>
      <c r="I1413" t="s">
        <v>9</v>
      </c>
      <c r="K1413" t="str">
        <v>premium</v>
      </c>
      <c r="L1413">
        <v>68</v>
      </c>
    </row>
    <row r="1414" spans="2:12" x14ac:dyDescent="0.3">
      <c r="B1414" t="s">
        <v>1360</v>
      </c>
      <c r="C1414">
        <v>94</v>
      </c>
      <c r="D1414" t="s">
        <v>45</v>
      </c>
      <c r="E1414">
        <v>54</v>
      </c>
      <c r="F1414">
        <v>76</v>
      </c>
      <c r="G1414">
        <v>4.99</v>
      </c>
      <c r="H1414" t="s">
        <v>18</v>
      </c>
      <c r="I1414" t="s">
        <v>14</v>
      </c>
      <c r="K1414" t="str">
        <v>budget</v>
      </c>
      <c r="L1414">
        <v>65</v>
      </c>
    </row>
    <row r="1415" spans="2:12" x14ac:dyDescent="0.3">
      <c r="B1415" t="s">
        <v>1361</v>
      </c>
      <c r="C1415">
        <v>94</v>
      </c>
      <c r="D1415" t="s">
        <v>45</v>
      </c>
      <c r="E1415">
        <v>54</v>
      </c>
      <c r="F1415">
        <v>74</v>
      </c>
      <c r="G1415">
        <v>14.11</v>
      </c>
      <c r="H1415" t="s">
        <v>18</v>
      </c>
      <c r="I1415" t="s">
        <v>14</v>
      </c>
      <c r="K1415" t="str">
        <v>budget</v>
      </c>
      <c r="L1415">
        <v>64</v>
      </c>
    </row>
    <row r="1416" spans="2:12" x14ac:dyDescent="0.3">
      <c r="B1416" t="s">
        <v>1362</v>
      </c>
      <c r="C1416">
        <v>95</v>
      </c>
      <c r="D1416" t="s">
        <v>45</v>
      </c>
      <c r="E1416">
        <v>60</v>
      </c>
      <c r="F1416">
        <v>80</v>
      </c>
      <c r="G1416">
        <v>7.94</v>
      </c>
      <c r="H1416" t="s">
        <v>2</v>
      </c>
      <c r="I1416" t="s">
        <v>9</v>
      </c>
      <c r="K1416" t="str">
        <v>budget</v>
      </c>
      <c r="L1416">
        <v>70</v>
      </c>
    </row>
    <row r="1417" spans="2:12" x14ac:dyDescent="0.3">
      <c r="B1417" t="s">
        <v>1363</v>
      </c>
      <c r="C1417">
        <v>96</v>
      </c>
      <c r="D1417" t="s">
        <v>45</v>
      </c>
      <c r="E1417">
        <v>55</v>
      </c>
      <c r="F1417">
        <v>75</v>
      </c>
      <c r="G1417">
        <v>12</v>
      </c>
      <c r="H1417" t="s">
        <v>18</v>
      </c>
      <c r="I1417" t="s">
        <v>5</v>
      </c>
      <c r="K1417" t="str">
        <v>budget</v>
      </c>
      <c r="L1417">
        <v>65</v>
      </c>
    </row>
    <row r="1418" spans="2:12" x14ac:dyDescent="0.3">
      <c r="B1418" t="s">
        <v>1125</v>
      </c>
      <c r="C1418">
        <v>94</v>
      </c>
      <c r="D1418" t="s">
        <v>45</v>
      </c>
      <c r="E1418">
        <v>54</v>
      </c>
      <c r="F1418">
        <v>78</v>
      </c>
      <c r="G1418">
        <v>19.84</v>
      </c>
      <c r="H1418" t="s">
        <v>18</v>
      </c>
      <c r="I1418" t="s">
        <v>5</v>
      </c>
      <c r="K1418" t="str">
        <v>budget</v>
      </c>
      <c r="L1418">
        <v>66</v>
      </c>
    </row>
    <row r="1419" spans="2:12" x14ac:dyDescent="0.3">
      <c r="B1419" t="s">
        <v>1364</v>
      </c>
      <c r="C1419">
        <v>94</v>
      </c>
      <c r="D1419" t="s">
        <v>45</v>
      </c>
      <c r="E1419">
        <v>56</v>
      </c>
      <c r="F1419">
        <v>84</v>
      </c>
      <c r="G1419">
        <v>15.87</v>
      </c>
      <c r="H1419" t="s">
        <v>18</v>
      </c>
      <c r="I1419" t="s">
        <v>5</v>
      </c>
      <c r="K1419" t="str">
        <v>budget</v>
      </c>
      <c r="L1419">
        <v>70</v>
      </c>
    </row>
    <row r="1420" spans="2:12" x14ac:dyDescent="0.3">
      <c r="B1420" t="s">
        <v>1365</v>
      </c>
      <c r="C1420">
        <v>94</v>
      </c>
      <c r="D1420" t="s">
        <v>45</v>
      </c>
      <c r="E1420">
        <v>55</v>
      </c>
      <c r="F1420">
        <v>72</v>
      </c>
      <c r="G1420">
        <v>132.28</v>
      </c>
      <c r="H1420" t="s">
        <v>2</v>
      </c>
      <c r="I1420" t="s">
        <v>12</v>
      </c>
      <c r="K1420" t="str">
        <v>premium</v>
      </c>
      <c r="L1420">
        <v>63.5</v>
      </c>
    </row>
    <row r="1421" spans="2:12" x14ac:dyDescent="0.3">
      <c r="B1421" t="s">
        <v>1366</v>
      </c>
      <c r="C1421">
        <v>94</v>
      </c>
      <c r="D1421" t="s">
        <v>45</v>
      </c>
      <c r="E1421">
        <v>52</v>
      </c>
      <c r="F1421">
        <v>76</v>
      </c>
      <c r="G1421">
        <v>7.64</v>
      </c>
      <c r="H1421" t="s">
        <v>18</v>
      </c>
      <c r="I1421" t="s">
        <v>12</v>
      </c>
      <c r="K1421" t="str">
        <v>budget</v>
      </c>
      <c r="L1421">
        <v>64</v>
      </c>
    </row>
    <row r="1422" spans="2:12" x14ac:dyDescent="0.3">
      <c r="B1422" t="s">
        <v>467</v>
      </c>
      <c r="C1422">
        <v>96</v>
      </c>
      <c r="D1422" t="s">
        <v>82</v>
      </c>
      <c r="E1422">
        <v>46</v>
      </c>
      <c r="F1422">
        <v>64</v>
      </c>
      <c r="G1422">
        <v>19.82</v>
      </c>
      <c r="H1422" t="s">
        <v>18</v>
      </c>
      <c r="I1422" t="s">
        <v>18</v>
      </c>
      <c r="K1422" t="str">
        <v>budget</v>
      </c>
      <c r="L1422">
        <v>55</v>
      </c>
    </row>
    <row r="1423" spans="2:12" x14ac:dyDescent="0.3">
      <c r="B1423" t="s">
        <v>1367</v>
      </c>
      <c r="C1423">
        <v>95</v>
      </c>
      <c r="D1423" t="s">
        <v>45</v>
      </c>
      <c r="E1423">
        <v>54</v>
      </c>
      <c r="F1423">
        <v>74</v>
      </c>
      <c r="G1423">
        <v>5.86</v>
      </c>
      <c r="H1423" t="s">
        <v>18</v>
      </c>
      <c r="I1423" t="s">
        <v>12</v>
      </c>
      <c r="K1423" t="str">
        <v>budget</v>
      </c>
      <c r="L1423">
        <v>64</v>
      </c>
    </row>
    <row r="1424" spans="2:12" x14ac:dyDescent="0.3">
      <c r="B1424" t="s">
        <v>1368</v>
      </c>
      <c r="C1424">
        <v>95</v>
      </c>
      <c r="D1424" t="s">
        <v>45</v>
      </c>
      <c r="E1424">
        <v>52</v>
      </c>
      <c r="F1424">
        <v>74</v>
      </c>
      <c r="G1424">
        <v>132.16</v>
      </c>
      <c r="H1424" t="s">
        <v>2</v>
      </c>
      <c r="I1424" t="s">
        <v>150</v>
      </c>
      <c r="K1424" t="str">
        <v>premium</v>
      </c>
      <c r="L1424">
        <v>63</v>
      </c>
    </row>
    <row r="1425" spans="2:12" x14ac:dyDescent="0.3">
      <c r="B1425" t="s">
        <v>1369</v>
      </c>
      <c r="C1425">
        <v>94</v>
      </c>
      <c r="D1425" t="s">
        <v>45</v>
      </c>
      <c r="E1425">
        <v>56</v>
      </c>
      <c r="F1425">
        <v>74</v>
      </c>
      <c r="G1425">
        <v>5.73</v>
      </c>
      <c r="H1425" t="s">
        <v>18</v>
      </c>
      <c r="I1425" t="s">
        <v>12</v>
      </c>
      <c r="K1425" t="str">
        <v>budget</v>
      </c>
      <c r="L1425">
        <v>65</v>
      </c>
    </row>
    <row r="1426" spans="2:12" x14ac:dyDescent="0.3">
      <c r="B1426" t="s">
        <v>1370</v>
      </c>
      <c r="C1426">
        <v>95</v>
      </c>
      <c r="D1426" t="s">
        <v>45</v>
      </c>
      <c r="E1426">
        <v>54</v>
      </c>
      <c r="F1426">
        <v>78</v>
      </c>
      <c r="G1426">
        <v>30.86</v>
      </c>
      <c r="H1426" t="s">
        <v>18</v>
      </c>
      <c r="I1426" t="s">
        <v>5</v>
      </c>
      <c r="K1426" t="str">
        <v>middle</v>
      </c>
      <c r="L1426">
        <v>66</v>
      </c>
    </row>
    <row r="1427" spans="2:12" x14ac:dyDescent="0.3">
      <c r="B1427" t="s">
        <v>1371</v>
      </c>
      <c r="C1427">
        <v>94</v>
      </c>
      <c r="D1427" t="s">
        <v>45</v>
      </c>
      <c r="E1427">
        <v>50</v>
      </c>
      <c r="F1427">
        <v>76</v>
      </c>
      <c r="G1427">
        <v>19.84</v>
      </c>
      <c r="H1427" t="s">
        <v>18</v>
      </c>
      <c r="I1427" t="s">
        <v>15</v>
      </c>
      <c r="K1427" t="str">
        <v>budget</v>
      </c>
      <c r="L1427">
        <v>63</v>
      </c>
    </row>
    <row r="1428" spans="2:12" x14ac:dyDescent="0.3">
      <c r="B1428" t="s">
        <v>1372</v>
      </c>
      <c r="C1428">
        <v>95</v>
      </c>
      <c r="D1428" t="s">
        <v>45</v>
      </c>
      <c r="E1428">
        <v>57</v>
      </c>
      <c r="F1428">
        <v>77</v>
      </c>
      <c r="G1428">
        <v>639.33000000000004</v>
      </c>
      <c r="H1428" t="s">
        <v>2</v>
      </c>
      <c r="I1428" t="s">
        <v>7</v>
      </c>
      <c r="K1428" t="str">
        <v>premium</v>
      </c>
      <c r="L1428">
        <v>67</v>
      </c>
    </row>
    <row r="1429" spans="2:12" x14ac:dyDescent="0.3">
      <c r="B1429" t="s">
        <v>1373</v>
      </c>
      <c r="C1429">
        <v>94</v>
      </c>
      <c r="D1429" t="s">
        <v>45</v>
      </c>
      <c r="E1429">
        <v>56</v>
      </c>
      <c r="F1429">
        <v>78</v>
      </c>
      <c r="G1429">
        <v>6.17</v>
      </c>
      <c r="H1429" t="s">
        <v>18</v>
      </c>
      <c r="I1429" t="s">
        <v>7</v>
      </c>
      <c r="K1429" t="str">
        <v>budget</v>
      </c>
      <c r="L1429">
        <v>67</v>
      </c>
    </row>
    <row r="1430" spans="2:12" x14ac:dyDescent="0.3">
      <c r="B1430" t="s">
        <v>1374</v>
      </c>
      <c r="C1430">
        <v>94</v>
      </c>
      <c r="D1430" t="s">
        <v>45</v>
      </c>
      <c r="E1430">
        <v>58</v>
      </c>
      <c r="F1430">
        <v>80</v>
      </c>
      <c r="G1430">
        <v>5.86</v>
      </c>
      <c r="H1430" t="s">
        <v>18</v>
      </c>
      <c r="I1430" t="s">
        <v>12</v>
      </c>
      <c r="K1430" t="str">
        <v>budget</v>
      </c>
      <c r="L1430">
        <v>69</v>
      </c>
    </row>
    <row r="1431" spans="2:12" x14ac:dyDescent="0.3">
      <c r="B1431" t="s">
        <v>1375</v>
      </c>
      <c r="C1431">
        <v>95</v>
      </c>
      <c r="D1431" t="s">
        <v>45</v>
      </c>
      <c r="E1431">
        <v>57</v>
      </c>
      <c r="F1431">
        <v>81</v>
      </c>
      <c r="G1431">
        <v>5.73</v>
      </c>
      <c r="H1431" t="s">
        <v>18</v>
      </c>
      <c r="I1431" t="s">
        <v>12</v>
      </c>
      <c r="K1431" t="str">
        <v>budget</v>
      </c>
      <c r="L1431">
        <v>69</v>
      </c>
    </row>
    <row r="1432" spans="2:12" x14ac:dyDescent="0.3">
      <c r="B1432" t="s">
        <v>1376</v>
      </c>
      <c r="C1432">
        <v>95</v>
      </c>
      <c r="D1432" t="s">
        <v>45</v>
      </c>
      <c r="E1432">
        <v>57</v>
      </c>
      <c r="F1432">
        <v>83</v>
      </c>
      <c r="G1432">
        <v>33.07</v>
      </c>
      <c r="H1432" t="s">
        <v>18</v>
      </c>
      <c r="I1432" t="s">
        <v>5</v>
      </c>
      <c r="K1432" t="str">
        <v>middle</v>
      </c>
      <c r="L1432">
        <v>70</v>
      </c>
    </row>
    <row r="1433" spans="2:12" x14ac:dyDescent="0.3">
      <c r="B1433" t="s">
        <v>1377</v>
      </c>
      <c r="C1433">
        <v>96</v>
      </c>
      <c r="D1433" t="s">
        <v>45</v>
      </c>
      <c r="E1433">
        <v>56</v>
      </c>
      <c r="F1433">
        <v>76</v>
      </c>
      <c r="G1433">
        <v>19.84</v>
      </c>
      <c r="H1433" t="s">
        <v>18</v>
      </c>
      <c r="I1433" t="s">
        <v>5</v>
      </c>
      <c r="K1433" t="str">
        <v>budget</v>
      </c>
      <c r="L1433">
        <v>66</v>
      </c>
    </row>
    <row r="1434" spans="2:12" x14ac:dyDescent="0.3">
      <c r="B1434" t="s">
        <v>1378</v>
      </c>
      <c r="C1434">
        <v>96</v>
      </c>
      <c r="D1434" t="s">
        <v>45</v>
      </c>
      <c r="E1434">
        <v>50</v>
      </c>
      <c r="F1434">
        <v>74</v>
      </c>
      <c r="G1434">
        <v>4.25</v>
      </c>
      <c r="H1434" t="s">
        <v>18</v>
      </c>
      <c r="I1434" t="s">
        <v>7</v>
      </c>
      <c r="K1434" t="str">
        <v>budget</v>
      </c>
      <c r="L1434">
        <v>62</v>
      </c>
    </row>
    <row r="1435" spans="2:12" x14ac:dyDescent="0.3">
      <c r="B1435" t="s">
        <v>1379</v>
      </c>
      <c r="C1435">
        <v>94</v>
      </c>
      <c r="D1435" t="s">
        <v>45</v>
      </c>
      <c r="E1435">
        <v>55</v>
      </c>
      <c r="F1435">
        <v>75</v>
      </c>
      <c r="G1435">
        <v>5.73</v>
      </c>
      <c r="H1435" t="s">
        <v>18</v>
      </c>
      <c r="I1435" t="s">
        <v>12</v>
      </c>
      <c r="K1435" t="str">
        <v>budget</v>
      </c>
      <c r="L1435">
        <v>65</v>
      </c>
    </row>
    <row r="1436" spans="2:12" x14ac:dyDescent="0.3">
      <c r="B1436" t="s">
        <v>1380</v>
      </c>
      <c r="C1436">
        <v>94</v>
      </c>
      <c r="D1436" t="s">
        <v>45</v>
      </c>
      <c r="E1436">
        <v>52</v>
      </c>
      <c r="F1436">
        <v>74</v>
      </c>
      <c r="G1436">
        <v>5.73</v>
      </c>
      <c r="H1436" t="s">
        <v>18</v>
      </c>
      <c r="I1436" t="s">
        <v>12</v>
      </c>
      <c r="K1436" t="str">
        <v>budget</v>
      </c>
      <c r="L1436">
        <v>63</v>
      </c>
    </row>
    <row r="1437" spans="2:12" x14ac:dyDescent="0.3">
      <c r="B1437" t="s">
        <v>1381</v>
      </c>
      <c r="C1437">
        <v>94</v>
      </c>
      <c r="D1437" t="s">
        <v>45</v>
      </c>
      <c r="E1437">
        <v>56</v>
      </c>
      <c r="F1437">
        <v>75</v>
      </c>
      <c r="G1437">
        <v>5.73</v>
      </c>
      <c r="H1437" t="s">
        <v>18</v>
      </c>
      <c r="I1437" t="s">
        <v>12</v>
      </c>
      <c r="K1437" t="str">
        <v>budget</v>
      </c>
      <c r="L1437">
        <v>65.5</v>
      </c>
    </row>
    <row r="1438" spans="2:12" x14ac:dyDescent="0.3">
      <c r="B1438" t="s">
        <v>1382</v>
      </c>
      <c r="C1438">
        <v>96</v>
      </c>
      <c r="D1438" t="s">
        <v>45</v>
      </c>
      <c r="E1438">
        <v>56</v>
      </c>
      <c r="F1438">
        <v>84</v>
      </c>
      <c r="G1438">
        <v>33.07</v>
      </c>
      <c r="H1438" t="s">
        <v>18</v>
      </c>
      <c r="I1438" t="s">
        <v>5</v>
      </c>
      <c r="K1438" t="str">
        <v>middle</v>
      </c>
      <c r="L1438">
        <v>70</v>
      </c>
    </row>
    <row r="1439" spans="2:12" x14ac:dyDescent="0.3">
      <c r="B1439" t="s">
        <v>1383</v>
      </c>
      <c r="C1439">
        <v>94</v>
      </c>
      <c r="D1439" t="s">
        <v>45</v>
      </c>
      <c r="E1439">
        <v>53</v>
      </c>
      <c r="F1439">
        <v>81</v>
      </c>
      <c r="G1439">
        <v>4.92</v>
      </c>
      <c r="H1439" t="s">
        <v>18</v>
      </c>
      <c r="I1439" t="s">
        <v>12</v>
      </c>
      <c r="K1439" t="str">
        <v>budget</v>
      </c>
      <c r="L1439">
        <v>67</v>
      </c>
    </row>
    <row r="1440" spans="2:12" x14ac:dyDescent="0.3">
      <c r="B1440" t="s">
        <v>1384</v>
      </c>
      <c r="C1440">
        <v>95</v>
      </c>
      <c r="D1440" t="s">
        <v>541</v>
      </c>
      <c r="E1440">
        <v>40</v>
      </c>
      <c r="F1440">
        <v>48</v>
      </c>
      <c r="G1440">
        <v>308.64999999999998</v>
      </c>
      <c r="H1440" t="s">
        <v>2</v>
      </c>
      <c r="I1440" t="s">
        <v>9</v>
      </c>
      <c r="K1440" t="str">
        <v>premium</v>
      </c>
      <c r="L1440">
        <v>44</v>
      </c>
    </row>
    <row r="1441" spans="2:12" x14ac:dyDescent="0.3">
      <c r="B1441" t="s">
        <v>1385</v>
      </c>
      <c r="C1441">
        <v>94</v>
      </c>
      <c r="D1441" t="s">
        <v>541</v>
      </c>
      <c r="E1441">
        <v>39</v>
      </c>
      <c r="F1441">
        <v>45</v>
      </c>
      <c r="G1441">
        <v>330.7</v>
      </c>
      <c r="H1441" t="s">
        <v>2</v>
      </c>
      <c r="I1441" t="s">
        <v>12</v>
      </c>
      <c r="K1441" t="str">
        <v>premium</v>
      </c>
      <c r="L1441">
        <v>42</v>
      </c>
    </row>
    <row r="1442" spans="2:12" x14ac:dyDescent="0.3">
      <c r="B1442" t="s">
        <v>1386</v>
      </c>
      <c r="C1442">
        <v>96</v>
      </c>
      <c r="D1442" t="s">
        <v>45</v>
      </c>
      <c r="E1442">
        <v>53</v>
      </c>
      <c r="F1442">
        <v>81</v>
      </c>
      <c r="G1442">
        <v>165.34</v>
      </c>
      <c r="H1442" t="s">
        <v>2</v>
      </c>
      <c r="I1442" t="s">
        <v>12</v>
      </c>
      <c r="K1442" t="str">
        <v>premium</v>
      </c>
      <c r="L1442">
        <v>67</v>
      </c>
    </row>
    <row r="1443" spans="2:12" x14ac:dyDescent="0.3">
      <c r="B1443" t="s">
        <v>1387</v>
      </c>
      <c r="C1443">
        <v>95</v>
      </c>
      <c r="D1443" t="s">
        <v>41</v>
      </c>
      <c r="E1443">
        <v>56</v>
      </c>
      <c r="F1443">
        <v>86</v>
      </c>
      <c r="G1443">
        <v>127.87</v>
      </c>
      <c r="H1443" t="s">
        <v>2</v>
      </c>
      <c r="I1443" t="s">
        <v>9</v>
      </c>
      <c r="K1443" t="str">
        <v>premium</v>
      </c>
      <c r="L1443">
        <v>71</v>
      </c>
    </row>
    <row r="1444" spans="2:12" x14ac:dyDescent="0.3">
      <c r="B1444" t="s">
        <v>1388</v>
      </c>
      <c r="C1444">
        <v>94</v>
      </c>
      <c r="D1444" t="s">
        <v>45</v>
      </c>
      <c r="E1444">
        <v>56</v>
      </c>
      <c r="F1444">
        <v>82</v>
      </c>
      <c r="G1444">
        <v>5.29</v>
      </c>
      <c r="H1444" t="s">
        <v>18</v>
      </c>
      <c r="I1444" t="s">
        <v>9</v>
      </c>
      <c r="K1444" t="str">
        <v>budget</v>
      </c>
      <c r="L1444">
        <v>69</v>
      </c>
    </row>
    <row r="1445" spans="2:12" x14ac:dyDescent="0.3">
      <c r="B1445" t="s">
        <v>1389</v>
      </c>
      <c r="C1445">
        <v>94</v>
      </c>
      <c r="D1445" t="s">
        <v>45</v>
      </c>
      <c r="E1445">
        <v>58</v>
      </c>
      <c r="F1445">
        <v>82</v>
      </c>
      <c r="G1445">
        <v>5.14</v>
      </c>
      <c r="H1445" t="s">
        <v>18</v>
      </c>
      <c r="I1445" t="s">
        <v>9</v>
      </c>
      <c r="K1445" t="str">
        <v>budget</v>
      </c>
      <c r="L1445">
        <v>70</v>
      </c>
    </row>
    <row r="1446" spans="2:12" x14ac:dyDescent="0.3">
      <c r="B1446" t="s">
        <v>1390</v>
      </c>
      <c r="C1446">
        <v>94</v>
      </c>
      <c r="D1446" t="s">
        <v>45</v>
      </c>
      <c r="E1446">
        <v>54</v>
      </c>
      <c r="F1446">
        <v>80</v>
      </c>
      <c r="G1446">
        <v>6.03</v>
      </c>
      <c r="H1446" t="s">
        <v>18</v>
      </c>
      <c r="I1446" t="s">
        <v>12</v>
      </c>
      <c r="K1446" t="str">
        <v>budget</v>
      </c>
      <c r="L1446">
        <v>67</v>
      </c>
    </row>
    <row r="1447" spans="2:12" x14ac:dyDescent="0.3">
      <c r="B1447" t="s">
        <v>1391</v>
      </c>
      <c r="C1447">
        <v>95</v>
      </c>
      <c r="D1447" t="s">
        <v>45</v>
      </c>
      <c r="E1447">
        <v>56</v>
      </c>
      <c r="F1447">
        <v>80</v>
      </c>
      <c r="G1447">
        <v>5.51</v>
      </c>
      <c r="H1447" t="s">
        <v>18</v>
      </c>
      <c r="I1447" t="s">
        <v>9</v>
      </c>
      <c r="K1447" t="str">
        <v>budget</v>
      </c>
      <c r="L1447">
        <v>68</v>
      </c>
    </row>
    <row r="1448" spans="2:12" x14ac:dyDescent="0.3">
      <c r="B1448" t="s">
        <v>1392</v>
      </c>
      <c r="C1448">
        <v>95</v>
      </c>
      <c r="D1448" t="s">
        <v>45</v>
      </c>
      <c r="E1448">
        <v>58</v>
      </c>
      <c r="F1448">
        <v>82</v>
      </c>
      <c r="G1448">
        <v>4.34</v>
      </c>
      <c r="H1448" t="s">
        <v>18</v>
      </c>
      <c r="I1448" t="s">
        <v>20</v>
      </c>
      <c r="K1448" t="str">
        <v>budget</v>
      </c>
      <c r="L1448">
        <v>70</v>
      </c>
    </row>
    <row r="1449" spans="2:12" x14ac:dyDescent="0.3">
      <c r="B1449" t="s">
        <v>1393</v>
      </c>
      <c r="C1449">
        <v>96</v>
      </c>
      <c r="D1449" t="s">
        <v>45</v>
      </c>
      <c r="E1449">
        <v>56</v>
      </c>
      <c r="F1449">
        <v>84</v>
      </c>
      <c r="G1449">
        <v>11.76</v>
      </c>
      <c r="H1449" t="s">
        <v>18</v>
      </c>
      <c r="I1449" t="s">
        <v>5</v>
      </c>
      <c r="K1449" t="str">
        <v>budget</v>
      </c>
      <c r="L1449">
        <v>70</v>
      </c>
    </row>
    <row r="1450" spans="2:12" x14ac:dyDescent="0.3">
      <c r="B1450" t="s">
        <v>1394</v>
      </c>
      <c r="C1450">
        <v>95</v>
      </c>
      <c r="D1450" t="s">
        <v>41</v>
      </c>
      <c r="E1450">
        <v>58</v>
      </c>
      <c r="F1450">
        <v>86</v>
      </c>
      <c r="G1450">
        <v>11.76</v>
      </c>
      <c r="H1450" t="s">
        <v>18</v>
      </c>
      <c r="I1450" t="s">
        <v>12</v>
      </c>
      <c r="K1450" t="str">
        <v>budget</v>
      </c>
      <c r="L1450">
        <v>72</v>
      </c>
    </row>
    <row r="1451" spans="2:12" x14ac:dyDescent="0.3">
      <c r="B1451" t="s">
        <v>1395</v>
      </c>
      <c r="C1451">
        <v>94</v>
      </c>
      <c r="D1451" t="s">
        <v>45</v>
      </c>
      <c r="E1451">
        <v>51</v>
      </c>
      <c r="F1451">
        <v>74</v>
      </c>
      <c r="G1451">
        <v>5.29</v>
      </c>
      <c r="H1451" t="s">
        <v>18</v>
      </c>
      <c r="I1451" t="s">
        <v>9</v>
      </c>
      <c r="K1451" t="str">
        <v>budget</v>
      </c>
      <c r="L1451">
        <v>62.5</v>
      </c>
    </row>
    <row r="1452" spans="2:12" x14ac:dyDescent="0.3">
      <c r="B1452" t="s">
        <v>1396</v>
      </c>
      <c r="C1452">
        <v>94</v>
      </c>
      <c r="D1452" t="s">
        <v>45</v>
      </c>
      <c r="E1452">
        <v>55</v>
      </c>
      <c r="F1452">
        <v>80</v>
      </c>
      <c r="G1452">
        <v>5.29</v>
      </c>
      <c r="H1452" t="s">
        <v>18</v>
      </c>
      <c r="I1452" t="s">
        <v>9</v>
      </c>
      <c r="K1452" t="str">
        <v>budget</v>
      </c>
      <c r="L1452">
        <v>67.5</v>
      </c>
    </row>
    <row r="1453" spans="2:12" x14ac:dyDescent="0.3">
      <c r="B1453" t="s">
        <v>1397</v>
      </c>
      <c r="C1453">
        <v>94</v>
      </c>
      <c r="D1453" t="s">
        <v>45</v>
      </c>
      <c r="E1453">
        <v>52</v>
      </c>
      <c r="F1453">
        <v>74</v>
      </c>
      <c r="G1453">
        <v>121.25</v>
      </c>
      <c r="H1453" t="s">
        <v>2</v>
      </c>
      <c r="I1453" t="s">
        <v>7</v>
      </c>
      <c r="K1453" t="str">
        <v>premium</v>
      </c>
      <c r="L1453">
        <v>63</v>
      </c>
    </row>
    <row r="1454" spans="2:12" x14ac:dyDescent="0.3">
      <c r="B1454" t="s">
        <v>1398</v>
      </c>
      <c r="C1454">
        <v>94</v>
      </c>
      <c r="D1454" t="s">
        <v>45</v>
      </c>
      <c r="E1454">
        <v>50</v>
      </c>
      <c r="F1454">
        <v>74</v>
      </c>
      <c r="G1454">
        <v>105.82</v>
      </c>
      <c r="H1454" t="s">
        <v>2</v>
      </c>
      <c r="I1454" t="s">
        <v>150</v>
      </c>
      <c r="K1454" t="str">
        <v>premium</v>
      </c>
      <c r="L1454">
        <v>62</v>
      </c>
    </row>
    <row r="1455" spans="2:12" x14ac:dyDescent="0.3">
      <c r="B1455" t="s">
        <v>1399</v>
      </c>
      <c r="C1455">
        <v>95</v>
      </c>
      <c r="D1455" t="s">
        <v>45</v>
      </c>
      <c r="E1455">
        <v>52</v>
      </c>
      <c r="F1455">
        <v>78</v>
      </c>
      <c r="G1455">
        <v>6.61</v>
      </c>
      <c r="H1455" t="s">
        <v>18</v>
      </c>
      <c r="I1455" t="s">
        <v>7</v>
      </c>
      <c r="K1455" t="str">
        <v>budget</v>
      </c>
      <c r="L1455">
        <v>65</v>
      </c>
    </row>
    <row r="1456" spans="2:12" x14ac:dyDescent="0.3">
      <c r="B1456" t="s">
        <v>1400</v>
      </c>
      <c r="C1456">
        <v>94</v>
      </c>
      <c r="D1456" t="s">
        <v>45</v>
      </c>
      <c r="E1456">
        <v>57</v>
      </c>
      <c r="F1456">
        <v>83</v>
      </c>
      <c r="G1456">
        <v>121.25</v>
      </c>
      <c r="H1456" t="s">
        <v>2</v>
      </c>
      <c r="I1456" t="s">
        <v>9</v>
      </c>
      <c r="K1456" t="str">
        <v>premium</v>
      </c>
      <c r="L1456">
        <v>70</v>
      </c>
    </row>
    <row r="1457" spans="2:12" x14ac:dyDescent="0.3">
      <c r="B1457" t="s">
        <v>1401</v>
      </c>
      <c r="C1457">
        <v>95</v>
      </c>
      <c r="D1457" t="s">
        <v>82</v>
      </c>
      <c r="E1457">
        <v>46</v>
      </c>
      <c r="F1457">
        <v>72</v>
      </c>
      <c r="G1457">
        <v>255.73</v>
      </c>
      <c r="H1457" t="s">
        <v>2</v>
      </c>
      <c r="I1457" t="s">
        <v>9</v>
      </c>
      <c r="K1457" t="str">
        <v>premium</v>
      </c>
      <c r="L1457">
        <v>59</v>
      </c>
    </row>
    <row r="1458" spans="2:12" x14ac:dyDescent="0.3">
      <c r="B1458" t="s">
        <v>1402</v>
      </c>
      <c r="C1458">
        <v>94</v>
      </c>
      <c r="D1458" t="s">
        <v>45</v>
      </c>
      <c r="E1458">
        <v>49</v>
      </c>
      <c r="F1458">
        <v>74</v>
      </c>
      <c r="G1458">
        <v>177.78</v>
      </c>
      <c r="H1458" t="s">
        <v>2</v>
      </c>
      <c r="I1458" t="s">
        <v>12</v>
      </c>
      <c r="K1458" t="str">
        <v>premium</v>
      </c>
      <c r="L1458">
        <v>61.5</v>
      </c>
    </row>
    <row r="1459" spans="2:12" x14ac:dyDescent="0.3">
      <c r="B1459" t="s">
        <v>1403</v>
      </c>
      <c r="C1459">
        <v>94</v>
      </c>
      <c r="D1459" t="s">
        <v>45</v>
      </c>
      <c r="E1459">
        <v>56</v>
      </c>
      <c r="F1459">
        <v>80</v>
      </c>
      <c r="G1459">
        <v>6.17</v>
      </c>
      <c r="H1459" t="s">
        <v>31</v>
      </c>
      <c r="I1459" t="s">
        <v>9</v>
      </c>
      <c r="K1459" t="str">
        <v>budget</v>
      </c>
      <c r="L1459">
        <v>68</v>
      </c>
    </row>
    <row r="1460" spans="2:12" x14ac:dyDescent="0.3">
      <c r="B1460" t="s">
        <v>1404</v>
      </c>
      <c r="C1460">
        <v>94</v>
      </c>
      <c r="D1460" t="s">
        <v>45</v>
      </c>
      <c r="E1460">
        <v>51</v>
      </c>
      <c r="F1460">
        <v>73</v>
      </c>
      <c r="G1460">
        <v>5.73</v>
      </c>
      <c r="H1460" t="s">
        <v>18</v>
      </c>
      <c r="I1460" t="s">
        <v>12</v>
      </c>
      <c r="K1460" t="str">
        <v>budget</v>
      </c>
      <c r="L1460">
        <v>62</v>
      </c>
    </row>
    <row r="1461" spans="2:12" x14ac:dyDescent="0.3">
      <c r="B1461" t="s">
        <v>1405</v>
      </c>
      <c r="C1461">
        <v>94</v>
      </c>
      <c r="D1461" t="s">
        <v>45</v>
      </c>
      <c r="E1461">
        <v>54</v>
      </c>
      <c r="F1461">
        <v>73</v>
      </c>
      <c r="G1461">
        <v>5.22</v>
      </c>
      <c r="H1461" t="s">
        <v>18</v>
      </c>
      <c r="I1461" t="s">
        <v>9</v>
      </c>
      <c r="K1461" t="str">
        <v>budget</v>
      </c>
      <c r="L1461">
        <v>63.5</v>
      </c>
    </row>
    <row r="1462" spans="2:12" x14ac:dyDescent="0.3">
      <c r="B1462" t="s">
        <v>1406</v>
      </c>
      <c r="C1462">
        <v>94</v>
      </c>
      <c r="D1462" t="s">
        <v>45</v>
      </c>
      <c r="E1462">
        <v>59</v>
      </c>
      <c r="F1462">
        <v>79</v>
      </c>
      <c r="G1462">
        <v>5.29</v>
      </c>
      <c r="H1462" t="s">
        <v>18</v>
      </c>
      <c r="I1462" t="s">
        <v>15</v>
      </c>
      <c r="K1462" t="str">
        <v>budget</v>
      </c>
      <c r="L1462">
        <v>69</v>
      </c>
    </row>
    <row r="1463" spans="2:12" x14ac:dyDescent="0.3">
      <c r="B1463" t="s">
        <v>1407</v>
      </c>
      <c r="C1463">
        <v>94</v>
      </c>
      <c r="D1463" t="s">
        <v>41</v>
      </c>
      <c r="E1463">
        <v>59</v>
      </c>
      <c r="F1463">
        <v>85</v>
      </c>
      <c r="G1463">
        <v>114.64</v>
      </c>
      <c r="H1463" t="s">
        <v>2</v>
      </c>
      <c r="I1463" t="s">
        <v>9</v>
      </c>
      <c r="K1463" t="str">
        <v>premium</v>
      </c>
      <c r="L1463">
        <v>72</v>
      </c>
    </row>
    <row r="1464" spans="2:12" x14ac:dyDescent="0.3">
      <c r="B1464" t="s">
        <v>210</v>
      </c>
      <c r="C1464">
        <v>94</v>
      </c>
      <c r="D1464" t="s">
        <v>45</v>
      </c>
      <c r="E1464">
        <v>55</v>
      </c>
      <c r="F1464">
        <v>75</v>
      </c>
      <c r="G1464">
        <v>10.29</v>
      </c>
      <c r="H1464" t="s">
        <v>18</v>
      </c>
      <c r="I1464" t="s">
        <v>8</v>
      </c>
      <c r="K1464" t="str">
        <v>budget</v>
      </c>
      <c r="L1464">
        <v>65</v>
      </c>
    </row>
    <row r="1465" spans="2:12" x14ac:dyDescent="0.3">
      <c r="B1465" t="s">
        <v>1408</v>
      </c>
      <c r="C1465">
        <v>95</v>
      </c>
      <c r="D1465" t="s">
        <v>541</v>
      </c>
      <c r="E1465">
        <v>41</v>
      </c>
      <c r="F1465">
        <v>53</v>
      </c>
      <c r="G1465">
        <v>187.39</v>
      </c>
      <c r="H1465" t="s">
        <v>2</v>
      </c>
      <c r="I1465" t="s">
        <v>9</v>
      </c>
      <c r="K1465" t="str">
        <v>premium</v>
      </c>
      <c r="L1465">
        <v>47</v>
      </c>
    </row>
    <row r="1466" spans="2:12" x14ac:dyDescent="0.3">
      <c r="B1466" t="s">
        <v>1409</v>
      </c>
      <c r="C1466">
        <v>95</v>
      </c>
      <c r="D1466" t="s">
        <v>45</v>
      </c>
      <c r="E1466">
        <v>52</v>
      </c>
      <c r="F1466">
        <v>75</v>
      </c>
      <c r="G1466">
        <v>661.38</v>
      </c>
      <c r="H1466" t="s">
        <v>2</v>
      </c>
      <c r="I1466" t="s">
        <v>9</v>
      </c>
      <c r="K1466" t="str">
        <v>premium</v>
      </c>
      <c r="L1466">
        <v>63.5</v>
      </c>
    </row>
    <row r="1467" spans="2:12" x14ac:dyDescent="0.3">
      <c r="B1467" t="s">
        <v>1410</v>
      </c>
      <c r="C1467">
        <v>95</v>
      </c>
      <c r="D1467" t="s">
        <v>82</v>
      </c>
      <c r="E1467">
        <v>50</v>
      </c>
      <c r="F1467">
        <v>65</v>
      </c>
      <c r="G1467">
        <v>4.9800000000000004</v>
      </c>
      <c r="H1467" t="s">
        <v>18</v>
      </c>
      <c r="I1467" t="s">
        <v>15</v>
      </c>
      <c r="K1467" t="str">
        <v>budget</v>
      </c>
      <c r="L1467">
        <v>57.5</v>
      </c>
    </row>
    <row r="1468" spans="2:12" x14ac:dyDescent="0.3">
      <c r="B1468" t="s">
        <v>1411</v>
      </c>
      <c r="C1468">
        <v>94</v>
      </c>
      <c r="D1468" t="s">
        <v>82</v>
      </c>
      <c r="E1468">
        <v>50</v>
      </c>
      <c r="F1468">
        <v>70</v>
      </c>
      <c r="G1468">
        <v>5.29</v>
      </c>
      <c r="H1468" t="s">
        <v>18</v>
      </c>
      <c r="I1468" t="s">
        <v>9</v>
      </c>
      <c r="K1468" t="str">
        <v>budget</v>
      </c>
      <c r="L1468">
        <v>60</v>
      </c>
    </row>
    <row r="1469" spans="2:12" x14ac:dyDescent="0.3">
      <c r="B1469" t="s">
        <v>130</v>
      </c>
      <c r="C1469">
        <v>94</v>
      </c>
      <c r="D1469" t="s">
        <v>41</v>
      </c>
      <c r="E1469">
        <v>60</v>
      </c>
      <c r="F1469">
        <v>88</v>
      </c>
      <c r="G1469">
        <v>5.58</v>
      </c>
      <c r="H1469" t="s">
        <v>18</v>
      </c>
      <c r="I1469" t="s">
        <v>9</v>
      </c>
      <c r="K1469" t="str">
        <v>budget</v>
      </c>
      <c r="L1469">
        <v>74</v>
      </c>
    </row>
    <row r="1470" spans="2:12" x14ac:dyDescent="0.3">
      <c r="B1470" t="s">
        <v>1412</v>
      </c>
      <c r="C1470">
        <v>94</v>
      </c>
      <c r="D1470" t="s">
        <v>45</v>
      </c>
      <c r="E1470">
        <v>58</v>
      </c>
      <c r="F1470">
        <v>75</v>
      </c>
      <c r="G1470">
        <v>5.44</v>
      </c>
      <c r="H1470" t="s">
        <v>18</v>
      </c>
      <c r="I1470" t="s">
        <v>16</v>
      </c>
      <c r="K1470" t="str">
        <v>budget</v>
      </c>
      <c r="L1470">
        <v>66.5</v>
      </c>
    </row>
    <row r="1471" spans="2:12" x14ac:dyDescent="0.3">
      <c r="B1471" t="s">
        <v>1413</v>
      </c>
      <c r="C1471">
        <v>95</v>
      </c>
      <c r="D1471" t="s">
        <v>82</v>
      </c>
      <c r="E1471">
        <v>47</v>
      </c>
      <c r="F1471">
        <v>69</v>
      </c>
      <c r="G1471">
        <v>198.41</v>
      </c>
      <c r="H1471" t="s">
        <v>2</v>
      </c>
      <c r="I1471" t="s">
        <v>7</v>
      </c>
      <c r="K1471" t="str">
        <v>premium</v>
      </c>
      <c r="L1471">
        <v>58</v>
      </c>
    </row>
    <row r="1472" spans="2:12" x14ac:dyDescent="0.3">
      <c r="B1472" t="s">
        <v>1414</v>
      </c>
      <c r="C1472">
        <v>94</v>
      </c>
      <c r="D1472" t="s">
        <v>45</v>
      </c>
      <c r="E1472">
        <v>56</v>
      </c>
      <c r="F1472">
        <v>80</v>
      </c>
      <c r="G1472">
        <v>154.32</v>
      </c>
      <c r="H1472" t="s">
        <v>2</v>
      </c>
      <c r="I1472" t="s">
        <v>12</v>
      </c>
      <c r="K1472" t="str">
        <v>premium</v>
      </c>
      <c r="L1472">
        <v>68</v>
      </c>
    </row>
    <row r="1473" spans="2:12" x14ac:dyDescent="0.3">
      <c r="B1473" t="s">
        <v>1415</v>
      </c>
      <c r="C1473">
        <v>94</v>
      </c>
      <c r="D1473" t="s">
        <v>45</v>
      </c>
      <c r="E1473">
        <v>50</v>
      </c>
      <c r="F1473">
        <v>74</v>
      </c>
      <c r="G1473">
        <v>5.29</v>
      </c>
      <c r="H1473" t="s">
        <v>18</v>
      </c>
      <c r="I1473" t="s">
        <v>23</v>
      </c>
      <c r="K1473" t="str">
        <v>budget</v>
      </c>
      <c r="L1473">
        <v>62</v>
      </c>
    </row>
    <row r="1474" spans="2:12" x14ac:dyDescent="0.3">
      <c r="B1474" t="s">
        <v>1392</v>
      </c>
      <c r="C1474">
        <v>95</v>
      </c>
      <c r="D1474" t="s">
        <v>45</v>
      </c>
      <c r="E1474">
        <v>56</v>
      </c>
      <c r="F1474">
        <v>80</v>
      </c>
      <c r="G1474">
        <v>5.64</v>
      </c>
      <c r="H1474" t="s">
        <v>18</v>
      </c>
      <c r="I1474" t="s">
        <v>20</v>
      </c>
      <c r="K1474" t="str">
        <v>budget</v>
      </c>
      <c r="L1474">
        <v>68</v>
      </c>
    </row>
    <row r="1475" spans="2:12" x14ac:dyDescent="0.3">
      <c r="B1475" t="s">
        <v>1416</v>
      </c>
      <c r="C1475">
        <v>95</v>
      </c>
      <c r="D1475" t="s">
        <v>45</v>
      </c>
      <c r="E1475">
        <v>54</v>
      </c>
      <c r="F1475">
        <v>78</v>
      </c>
      <c r="G1475">
        <v>5.17</v>
      </c>
      <c r="H1475" t="s">
        <v>18</v>
      </c>
      <c r="I1475" t="s">
        <v>150</v>
      </c>
      <c r="K1475" t="str">
        <v>budget</v>
      </c>
      <c r="L1475">
        <v>66</v>
      </c>
    </row>
    <row r="1476" spans="2:12" x14ac:dyDescent="0.3">
      <c r="B1476" t="s">
        <v>1417</v>
      </c>
      <c r="C1476">
        <v>95</v>
      </c>
      <c r="D1476" t="s">
        <v>45</v>
      </c>
      <c r="E1476">
        <v>52</v>
      </c>
      <c r="F1476">
        <v>78</v>
      </c>
      <c r="G1476">
        <v>15.43</v>
      </c>
      <c r="H1476" t="s">
        <v>18</v>
      </c>
      <c r="I1476" t="s">
        <v>14</v>
      </c>
      <c r="K1476" t="str">
        <v>budget</v>
      </c>
      <c r="L1476">
        <v>65</v>
      </c>
    </row>
    <row r="1477" spans="2:12" x14ac:dyDescent="0.3">
      <c r="B1477" t="s">
        <v>1418</v>
      </c>
      <c r="C1477">
        <v>94</v>
      </c>
      <c r="D1477" t="s">
        <v>45</v>
      </c>
      <c r="E1477">
        <v>55</v>
      </c>
      <c r="F1477">
        <v>77</v>
      </c>
      <c r="G1477">
        <v>121.25</v>
      </c>
      <c r="H1477" t="s">
        <v>2</v>
      </c>
      <c r="I1477" t="s">
        <v>16</v>
      </c>
      <c r="K1477" t="str">
        <v>premium</v>
      </c>
      <c r="L1477">
        <v>66</v>
      </c>
    </row>
    <row r="1478" spans="2:12" x14ac:dyDescent="0.3">
      <c r="B1478" t="s">
        <v>1419</v>
      </c>
      <c r="C1478">
        <v>94</v>
      </c>
      <c r="D1478" t="s">
        <v>41</v>
      </c>
      <c r="E1478">
        <v>60</v>
      </c>
      <c r="F1478">
        <v>84</v>
      </c>
      <c r="G1478">
        <v>154.32</v>
      </c>
      <c r="H1478" t="s">
        <v>2</v>
      </c>
      <c r="I1478" t="s">
        <v>9</v>
      </c>
      <c r="K1478" t="str">
        <v>premium</v>
      </c>
      <c r="L1478">
        <v>72</v>
      </c>
    </row>
    <row r="1479" spans="2:12" x14ac:dyDescent="0.3">
      <c r="B1479" t="s">
        <v>1420</v>
      </c>
      <c r="C1479">
        <v>96</v>
      </c>
      <c r="D1479" t="s">
        <v>41</v>
      </c>
      <c r="E1479">
        <v>58</v>
      </c>
      <c r="F1479">
        <v>84</v>
      </c>
      <c r="G1479">
        <v>33.07</v>
      </c>
      <c r="H1479" t="s">
        <v>18</v>
      </c>
      <c r="I1479" t="s">
        <v>8</v>
      </c>
      <c r="K1479" t="str">
        <v>middle</v>
      </c>
      <c r="L1479">
        <v>71</v>
      </c>
    </row>
    <row r="1480" spans="2:12" x14ac:dyDescent="0.3">
      <c r="B1480" t="s">
        <v>1421</v>
      </c>
      <c r="C1480">
        <v>95</v>
      </c>
      <c r="D1480" t="s">
        <v>45</v>
      </c>
      <c r="E1480">
        <v>54</v>
      </c>
      <c r="F1480">
        <v>78</v>
      </c>
      <c r="G1480">
        <v>33.07</v>
      </c>
      <c r="H1480" t="s">
        <v>18</v>
      </c>
      <c r="I1480" t="s">
        <v>5</v>
      </c>
      <c r="K1480" t="str">
        <v>middle</v>
      </c>
      <c r="L1480">
        <v>66</v>
      </c>
    </row>
    <row r="1481" spans="2:12" x14ac:dyDescent="0.3">
      <c r="B1481" t="s">
        <v>1422</v>
      </c>
      <c r="C1481">
        <v>95</v>
      </c>
      <c r="D1481" t="s">
        <v>45</v>
      </c>
      <c r="E1481">
        <v>52</v>
      </c>
      <c r="F1481">
        <v>72</v>
      </c>
      <c r="G1481">
        <v>63.93</v>
      </c>
      <c r="H1481" t="s">
        <v>18</v>
      </c>
      <c r="I1481" t="s">
        <v>5</v>
      </c>
      <c r="K1481" t="str">
        <v>middle</v>
      </c>
      <c r="L1481">
        <v>62</v>
      </c>
    </row>
    <row r="1482" spans="2:12" x14ac:dyDescent="0.3">
      <c r="B1482" t="s">
        <v>1423</v>
      </c>
      <c r="C1482">
        <v>94</v>
      </c>
      <c r="D1482" t="s">
        <v>45</v>
      </c>
      <c r="E1482">
        <v>58</v>
      </c>
      <c r="F1482">
        <v>80</v>
      </c>
      <c r="G1482">
        <v>20.260000000000002</v>
      </c>
      <c r="H1482" t="s">
        <v>18</v>
      </c>
      <c r="I1482" t="s">
        <v>18</v>
      </c>
      <c r="K1482" t="str">
        <v>budget</v>
      </c>
      <c r="L1482">
        <v>69</v>
      </c>
    </row>
    <row r="1483" spans="2:12" x14ac:dyDescent="0.3">
      <c r="B1483" t="s">
        <v>1424</v>
      </c>
      <c r="C1483">
        <v>94</v>
      </c>
      <c r="D1483" t="s">
        <v>82</v>
      </c>
      <c r="E1483">
        <v>45</v>
      </c>
      <c r="F1483">
        <v>75</v>
      </c>
      <c r="G1483">
        <v>5.28</v>
      </c>
      <c r="H1483" t="s">
        <v>18</v>
      </c>
      <c r="I1483" t="s">
        <v>12</v>
      </c>
      <c r="K1483" t="str">
        <v>budget</v>
      </c>
      <c r="L1483">
        <v>60</v>
      </c>
    </row>
    <row r="1484" spans="2:12" x14ac:dyDescent="0.3">
      <c r="B1484" t="s">
        <v>1425</v>
      </c>
      <c r="C1484">
        <v>94</v>
      </c>
      <c r="D1484" t="s">
        <v>45</v>
      </c>
      <c r="E1484">
        <v>56</v>
      </c>
      <c r="F1484">
        <v>78</v>
      </c>
      <c r="G1484">
        <v>202.82</v>
      </c>
      <c r="H1484" t="s">
        <v>2</v>
      </c>
      <c r="I1484" t="s">
        <v>12</v>
      </c>
      <c r="K1484" t="str">
        <v>premium</v>
      </c>
      <c r="L1484">
        <v>67</v>
      </c>
    </row>
    <row r="1485" spans="2:12" x14ac:dyDescent="0.3">
      <c r="B1485" t="s">
        <v>1331</v>
      </c>
      <c r="C1485">
        <v>94</v>
      </c>
      <c r="D1485" t="s">
        <v>45</v>
      </c>
      <c r="E1485">
        <v>53</v>
      </c>
      <c r="F1485">
        <v>77</v>
      </c>
      <c r="G1485">
        <v>6.17</v>
      </c>
      <c r="H1485" t="s">
        <v>18</v>
      </c>
      <c r="I1485" t="s">
        <v>16</v>
      </c>
      <c r="K1485" t="str">
        <v>budget</v>
      </c>
      <c r="L1485">
        <v>65</v>
      </c>
    </row>
    <row r="1486" spans="2:12" x14ac:dyDescent="0.3">
      <c r="B1486" t="s">
        <v>1331</v>
      </c>
      <c r="C1486">
        <v>94</v>
      </c>
      <c r="D1486" t="s">
        <v>45</v>
      </c>
      <c r="E1486">
        <v>55</v>
      </c>
      <c r="F1486">
        <v>77</v>
      </c>
      <c r="G1486">
        <v>5</v>
      </c>
      <c r="H1486" t="s">
        <v>18</v>
      </c>
      <c r="I1486" t="s">
        <v>16</v>
      </c>
      <c r="K1486" t="str">
        <v>budget</v>
      </c>
      <c r="L1486">
        <v>66</v>
      </c>
    </row>
    <row r="1487" spans="2:12" x14ac:dyDescent="0.3">
      <c r="B1487" t="s">
        <v>1426</v>
      </c>
      <c r="C1487">
        <v>94</v>
      </c>
      <c r="D1487" t="s">
        <v>45</v>
      </c>
      <c r="E1487">
        <v>50</v>
      </c>
      <c r="F1487">
        <v>76</v>
      </c>
      <c r="G1487">
        <v>26.9</v>
      </c>
      <c r="H1487" t="s">
        <v>18</v>
      </c>
      <c r="I1487" t="s">
        <v>8</v>
      </c>
      <c r="K1487" t="str">
        <v>middle</v>
      </c>
      <c r="L1487">
        <v>63</v>
      </c>
    </row>
    <row r="1488" spans="2:12" x14ac:dyDescent="0.3">
      <c r="B1488" t="s">
        <v>1075</v>
      </c>
      <c r="C1488">
        <v>95</v>
      </c>
      <c r="D1488" t="s">
        <v>45</v>
      </c>
      <c r="E1488">
        <v>55</v>
      </c>
      <c r="F1488">
        <v>79</v>
      </c>
      <c r="G1488">
        <v>22.49</v>
      </c>
      <c r="H1488" t="s">
        <v>18</v>
      </c>
      <c r="I1488" t="s">
        <v>14</v>
      </c>
      <c r="K1488" t="str">
        <v>budget</v>
      </c>
      <c r="L1488">
        <v>67</v>
      </c>
    </row>
    <row r="1489" spans="2:12" x14ac:dyDescent="0.3">
      <c r="B1489" t="s">
        <v>1427</v>
      </c>
      <c r="C1489">
        <v>94</v>
      </c>
      <c r="D1489" t="s">
        <v>41</v>
      </c>
      <c r="E1489">
        <v>60</v>
      </c>
      <c r="F1489">
        <v>84</v>
      </c>
      <c r="G1489">
        <v>202.82</v>
      </c>
      <c r="H1489" t="s">
        <v>2</v>
      </c>
      <c r="I1489" t="s">
        <v>9</v>
      </c>
      <c r="K1489" t="str">
        <v>premium</v>
      </c>
      <c r="L1489">
        <v>72</v>
      </c>
    </row>
    <row r="1490" spans="2:12" x14ac:dyDescent="0.3">
      <c r="B1490" t="s">
        <v>1428</v>
      </c>
      <c r="C1490">
        <v>95</v>
      </c>
      <c r="D1490" t="s">
        <v>82</v>
      </c>
      <c r="E1490">
        <v>50</v>
      </c>
      <c r="F1490">
        <v>70</v>
      </c>
      <c r="G1490">
        <v>16.53</v>
      </c>
      <c r="H1490" t="s">
        <v>18</v>
      </c>
      <c r="I1490" t="s">
        <v>14</v>
      </c>
      <c r="K1490" t="str">
        <v>budget</v>
      </c>
      <c r="L1490">
        <v>60</v>
      </c>
    </row>
    <row r="1491" spans="2:12" x14ac:dyDescent="0.3">
      <c r="B1491" t="s">
        <v>1429</v>
      </c>
      <c r="C1491">
        <v>94</v>
      </c>
      <c r="D1491" t="s">
        <v>45</v>
      </c>
      <c r="E1491">
        <v>51</v>
      </c>
      <c r="F1491">
        <v>74</v>
      </c>
      <c r="G1491">
        <v>5.51</v>
      </c>
      <c r="H1491" t="s">
        <v>18</v>
      </c>
      <c r="I1491" t="s">
        <v>9</v>
      </c>
      <c r="K1491" t="str">
        <v>budget</v>
      </c>
      <c r="L1491">
        <v>62.5</v>
      </c>
    </row>
    <row r="1492" spans="2:12" x14ac:dyDescent="0.3">
      <c r="B1492" t="s">
        <v>1430</v>
      </c>
      <c r="C1492">
        <v>94</v>
      </c>
      <c r="D1492" t="s">
        <v>45</v>
      </c>
      <c r="E1492">
        <v>56</v>
      </c>
      <c r="F1492">
        <v>78</v>
      </c>
      <c r="G1492">
        <v>396.83</v>
      </c>
      <c r="H1492" t="s">
        <v>2</v>
      </c>
      <c r="I1492" t="s">
        <v>5</v>
      </c>
      <c r="K1492" t="str">
        <v>premium</v>
      </c>
      <c r="L1492">
        <v>67</v>
      </c>
    </row>
    <row r="1493" spans="2:12" x14ac:dyDescent="0.3">
      <c r="B1493" t="s">
        <v>1431</v>
      </c>
      <c r="C1493">
        <v>94</v>
      </c>
      <c r="D1493" t="s">
        <v>45</v>
      </c>
      <c r="E1493">
        <v>58</v>
      </c>
      <c r="F1493">
        <v>80</v>
      </c>
      <c r="G1493">
        <v>418.87</v>
      </c>
      <c r="H1493" t="s">
        <v>2</v>
      </c>
      <c r="I1493" t="s">
        <v>5</v>
      </c>
      <c r="K1493" t="str">
        <v>premium</v>
      </c>
      <c r="L1493">
        <v>69</v>
      </c>
    </row>
    <row r="1494" spans="2:12" x14ac:dyDescent="0.3">
      <c r="B1494" t="s">
        <v>1432</v>
      </c>
      <c r="C1494">
        <v>94</v>
      </c>
      <c r="D1494" t="s">
        <v>45</v>
      </c>
      <c r="E1494">
        <v>54</v>
      </c>
      <c r="F1494">
        <v>78</v>
      </c>
      <c r="G1494">
        <v>4.41</v>
      </c>
      <c r="H1494" t="s">
        <v>18</v>
      </c>
      <c r="I1494" t="s">
        <v>24</v>
      </c>
      <c r="K1494" t="str">
        <v>budget</v>
      </c>
      <c r="L1494">
        <v>66</v>
      </c>
    </row>
    <row r="1495" spans="2:12" x14ac:dyDescent="0.3">
      <c r="B1495" t="s">
        <v>1433</v>
      </c>
      <c r="C1495">
        <v>96</v>
      </c>
      <c r="D1495" t="s">
        <v>41</v>
      </c>
      <c r="E1495">
        <v>60</v>
      </c>
      <c r="F1495">
        <v>84</v>
      </c>
      <c r="G1495">
        <v>8.77</v>
      </c>
      <c r="H1495" t="s">
        <v>18</v>
      </c>
      <c r="I1495" t="s">
        <v>9</v>
      </c>
      <c r="K1495" t="str">
        <v>budget</v>
      </c>
      <c r="L1495">
        <v>72</v>
      </c>
    </row>
    <row r="1496" spans="2:12" x14ac:dyDescent="0.3">
      <c r="B1496" t="s">
        <v>1434</v>
      </c>
      <c r="C1496">
        <v>94</v>
      </c>
      <c r="D1496" t="s">
        <v>45</v>
      </c>
      <c r="E1496">
        <v>58</v>
      </c>
      <c r="F1496">
        <v>82</v>
      </c>
      <c r="G1496">
        <v>110.23</v>
      </c>
      <c r="H1496" t="s">
        <v>2</v>
      </c>
      <c r="I1496" t="s">
        <v>9</v>
      </c>
      <c r="K1496" t="str">
        <v>premium</v>
      </c>
      <c r="L1496">
        <v>70</v>
      </c>
    </row>
    <row r="1497" spans="2:12" x14ac:dyDescent="0.3">
      <c r="B1497" t="s">
        <v>109</v>
      </c>
      <c r="C1497">
        <v>94</v>
      </c>
      <c r="D1497" t="s">
        <v>41</v>
      </c>
      <c r="E1497">
        <v>65</v>
      </c>
      <c r="F1497">
        <v>91</v>
      </c>
      <c r="G1497">
        <v>4.41</v>
      </c>
      <c r="H1497" t="s">
        <v>18</v>
      </c>
      <c r="I1497" t="s">
        <v>12</v>
      </c>
      <c r="K1497" t="str">
        <v>budget</v>
      </c>
      <c r="L1497">
        <v>78</v>
      </c>
    </row>
    <row r="1498" spans="2:12" x14ac:dyDescent="0.3">
      <c r="B1498" t="s">
        <v>1435</v>
      </c>
      <c r="C1498">
        <v>94</v>
      </c>
      <c r="D1498" t="s">
        <v>82</v>
      </c>
      <c r="E1498">
        <v>49</v>
      </c>
      <c r="F1498">
        <v>71</v>
      </c>
      <c r="G1498">
        <v>4.3899999999999997</v>
      </c>
      <c r="H1498" t="s">
        <v>18</v>
      </c>
      <c r="I1498" t="s">
        <v>16</v>
      </c>
      <c r="K1498" t="str">
        <v>budget</v>
      </c>
      <c r="L1498">
        <v>60</v>
      </c>
    </row>
    <row r="1499" spans="2:12" x14ac:dyDescent="0.3">
      <c r="B1499" t="s">
        <v>1436</v>
      </c>
      <c r="C1499">
        <v>94</v>
      </c>
      <c r="D1499" t="s">
        <v>45</v>
      </c>
      <c r="E1499">
        <v>52</v>
      </c>
      <c r="F1499">
        <v>73</v>
      </c>
      <c r="G1499">
        <v>4.1100000000000003</v>
      </c>
      <c r="H1499" t="s">
        <v>18</v>
      </c>
      <c r="I1499" t="s">
        <v>12</v>
      </c>
      <c r="K1499" t="str">
        <v>budget</v>
      </c>
      <c r="L1499">
        <v>62.5</v>
      </c>
    </row>
    <row r="1500" spans="2:12" x14ac:dyDescent="0.3">
      <c r="B1500" t="s">
        <v>1437</v>
      </c>
      <c r="C1500">
        <v>95</v>
      </c>
      <c r="D1500" t="s">
        <v>45</v>
      </c>
      <c r="E1500">
        <v>52</v>
      </c>
      <c r="F1500">
        <v>78</v>
      </c>
      <c r="G1500">
        <v>5.17</v>
      </c>
      <c r="H1500" t="s">
        <v>18</v>
      </c>
      <c r="I1500" t="s">
        <v>24</v>
      </c>
      <c r="K1500" t="str">
        <v>budget</v>
      </c>
      <c r="L1500">
        <v>65</v>
      </c>
    </row>
    <row r="1501" spans="2:12" x14ac:dyDescent="0.3">
      <c r="B1501" t="s">
        <v>467</v>
      </c>
      <c r="C1501">
        <v>95</v>
      </c>
      <c r="D1501" t="s">
        <v>82</v>
      </c>
      <c r="E1501">
        <v>46</v>
      </c>
      <c r="F1501">
        <v>62</v>
      </c>
      <c r="G1501">
        <v>19.82</v>
      </c>
      <c r="H1501" t="s">
        <v>18</v>
      </c>
      <c r="I1501" t="s">
        <v>18</v>
      </c>
      <c r="K1501" t="str">
        <v>budget</v>
      </c>
      <c r="L1501">
        <v>54</v>
      </c>
    </row>
    <row r="1502" spans="2:12" x14ac:dyDescent="0.3">
      <c r="B1502" t="s">
        <v>1254</v>
      </c>
      <c r="C1502">
        <v>94</v>
      </c>
      <c r="D1502" t="s">
        <v>45</v>
      </c>
      <c r="E1502">
        <v>58</v>
      </c>
      <c r="F1502">
        <v>82</v>
      </c>
      <c r="G1502">
        <v>5.28</v>
      </c>
      <c r="H1502" t="s">
        <v>18</v>
      </c>
      <c r="I1502" t="s">
        <v>9</v>
      </c>
      <c r="K1502" t="str">
        <v>budget</v>
      </c>
      <c r="L1502">
        <v>70</v>
      </c>
    </row>
    <row r="1503" spans="2:12" x14ac:dyDescent="0.3">
      <c r="B1503" t="s">
        <v>1438</v>
      </c>
      <c r="C1503">
        <v>94</v>
      </c>
      <c r="D1503" t="s">
        <v>541</v>
      </c>
      <c r="E1503">
        <v>42</v>
      </c>
      <c r="F1503">
        <v>57</v>
      </c>
      <c r="G1503">
        <v>121.25</v>
      </c>
      <c r="H1503" t="s">
        <v>2</v>
      </c>
      <c r="I1503" t="s">
        <v>9</v>
      </c>
      <c r="K1503" t="str">
        <v>premium</v>
      </c>
      <c r="L1503">
        <v>49.5</v>
      </c>
    </row>
    <row r="1504" spans="2:12" x14ac:dyDescent="0.3">
      <c r="B1504" t="s">
        <v>1419</v>
      </c>
      <c r="C1504">
        <v>94</v>
      </c>
      <c r="D1504" t="s">
        <v>41</v>
      </c>
      <c r="E1504">
        <v>60</v>
      </c>
      <c r="F1504">
        <v>88</v>
      </c>
      <c r="G1504">
        <v>143.30000000000001</v>
      </c>
      <c r="H1504" t="s">
        <v>2</v>
      </c>
      <c r="I1504" t="s">
        <v>9</v>
      </c>
      <c r="K1504" t="str">
        <v>premium</v>
      </c>
      <c r="L1504">
        <v>74</v>
      </c>
    </row>
    <row r="1505" spans="2:12" x14ac:dyDescent="0.3">
      <c r="B1505" t="s">
        <v>1439</v>
      </c>
      <c r="C1505">
        <v>94</v>
      </c>
      <c r="D1505" t="s">
        <v>45</v>
      </c>
      <c r="E1505">
        <v>56</v>
      </c>
      <c r="F1505">
        <v>82</v>
      </c>
      <c r="G1505">
        <v>4.12</v>
      </c>
      <c r="H1505" t="s">
        <v>18</v>
      </c>
      <c r="I1505" t="s">
        <v>16</v>
      </c>
      <c r="K1505" t="str">
        <v>budget</v>
      </c>
      <c r="L1505">
        <v>69</v>
      </c>
    </row>
    <row r="1506" spans="2:12" x14ac:dyDescent="0.3">
      <c r="B1506" t="s">
        <v>1440</v>
      </c>
      <c r="C1506">
        <v>94</v>
      </c>
      <c r="D1506" t="s">
        <v>45</v>
      </c>
      <c r="E1506">
        <v>57</v>
      </c>
      <c r="F1506">
        <v>70</v>
      </c>
      <c r="G1506">
        <v>4.63</v>
      </c>
      <c r="H1506" t="s">
        <v>18</v>
      </c>
      <c r="I1506" t="s">
        <v>7</v>
      </c>
      <c r="K1506" t="str">
        <v>budget</v>
      </c>
      <c r="L1506">
        <v>63.5</v>
      </c>
    </row>
    <row r="1507" spans="2:12" x14ac:dyDescent="0.3">
      <c r="B1507" t="s">
        <v>1441</v>
      </c>
      <c r="C1507">
        <v>94</v>
      </c>
      <c r="D1507" t="s">
        <v>45</v>
      </c>
      <c r="E1507">
        <v>53</v>
      </c>
      <c r="F1507">
        <v>85</v>
      </c>
      <c r="G1507">
        <v>35</v>
      </c>
      <c r="H1507" t="s">
        <v>2</v>
      </c>
      <c r="I1507" t="s">
        <v>12</v>
      </c>
      <c r="K1507" t="str">
        <v>middle</v>
      </c>
      <c r="L1507">
        <v>69</v>
      </c>
    </row>
    <row r="1508" spans="2:12" x14ac:dyDescent="0.3">
      <c r="B1508" t="s">
        <v>1442</v>
      </c>
      <c r="C1508">
        <v>95</v>
      </c>
      <c r="D1508" t="s">
        <v>45</v>
      </c>
      <c r="E1508">
        <v>58</v>
      </c>
      <c r="F1508">
        <v>82</v>
      </c>
      <c r="G1508">
        <v>5.51</v>
      </c>
      <c r="H1508" t="s">
        <v>18</v>
      </c>
      <c r="I1508" t="s">
        <v>9</v>
      </c>
      <c r="K1508" t="str">
        <v>budget</v>
      </c>
      <c r="L1508">
        <v>70</v>
      </c>
    </row>
    <row r="1509" spans="2:12" x14ac:dyDescent="0.3">
      <c r="B1509" t="s">
        <v>1443</v>
      </c>
      <c r="C1509">
        <v>95</v>
      </c>
      <c r="D1509" t="s">
        <v>45</v>
      </c>
      <c r="E1509">
        <v>56</v>
      </c>
      <c r="F1509">
        <v>75</v>
      </c>
      <c r="G1509">
        <v>35</v>
      </c>
      <c r="H1509" t="s">
        <v>2</v>
      </c>
      <c r="I1509" t="s">
        <v>9</v>
      </c>
      <c r="K1509" t="str">
        <v>middle</v>
      </c>
      <c r="L1509">
        <v>65.5</v>
      </c>
    </row>
    <row r="1510" spans="2:12" x14ac:dyDescent="0.3">
      <c r="B1510" t="s">
        <v>427</v>
      </c>
      <c r="C1510">
        <v>94</v>
      </c>
      <c r="D1510" t="s">
        <v>41</v>
      </c>
      <c r="E1510">
        <v>65</v>
      </c>
      <c r="F1510">
        <v>93</v>
      </c>
      <c r="G1510">
        <v>4.99</v>
      </c>
      <c r="H1510" t="s">
        <v>18</v>
      </c>
      <c r="I1510" t="s">
        <v>9</v>
      </c>
      <c r="K1510" t="str">
        <v>budget</v>
      </c>
      <c r="L1510">
        <v>79</v>
      </c>
    </row>
    <row r="1511" spans="2:12" x14ac:dyDescent="0.3">
      <c r="B1511" t="s">
        <v>1444</v>
      </c>
      <c r="C1511">
        <v>95</v>
      </c>
      <c r="D1511" t="s">
        <v>45</v>
      </c>
      <c r="E1511">
        <v>53</v>
      </c>
      <c r="F1511">
        <v>81</v>
      </c>
      <c r="G1511">
        <v>22.49</v>
      </c>
      <c r="H1511" t="s">
        <v>18</v>
      </c>
      <c r="I1511" t="s">
        <v>5</v>
      </c>
      <c r="K1511" t="str">
        <v>budget</v>
      </c>
      <c r="L1511">
        <v>67</v>
      </c>
    </row>
    <row r="1512" spans="2:12" x14ac:dyDescent="0.3">
      <c r="B1512" t="s">
        <v>1445</v>
      </c>
      <c r="C1512">
        <v>95</v>
      </c>
      <c r="D1512" t="s">
        <v>41</v>
      </c>
      <c r="E1512">
        <v>60</v>
      </c>
      <c r="F1512">
        <v>84</v>
      </c>
      <c r="G1512">
        <v>23.81</v>
      </c>
      <c r="H1512" t="s">
        <v>18</v>
      </c>
      <c r="I1512" t="s">
        <v>5</v>
      </c>
      <c r="K1512" t="str">
        <v>budget</v>
      </c>
      <c r="L1512">
        <v>72</v>
      </c>
    </row>
    <row r="1513" spans="2:12" x14ac:dyDescent="0.3">
      <c r="B1513" t="s">
        <v>1446</v>
      </c>
      <c r="C1513">
        <v>95</v>
      </c>
      <c r="D1513" t="s">
        <v>541</v>
      </c>
      <c r="E1513">
        <v>40</v>
      </c>
      <c r="F1513">
        <v>60</v>
      </c>
      <c r="G1513">
        <v>286.60000000000002</v>
      </c>
      <c r="H1513" t="s">
        <v>2</v>
      </c>
      <c r="I1513" t="s">
        <v>9</v>
      </c>
      <c r="K1513" t="str">
        <v>premium</v>
      </c>
      <c r="L1513">
        <v>50</v>
      </c>
    </row>
    <row r="1514" spans="2:12" x14ac:dyDescent="0.3">
      <c r="B1514" t="s">
        <v>1447</v>
      </c>
      <c r="C1514">
        <v>94</v>
      </c>
      <c r="D1514" t="s">
        <v>45</v>
      </c>
      <c r="E1514">
        <v>56</v>
      </c>
      <c r="F1514">
        <v>72</v>
      </c>
      <c r="G1514">
        <v>4.12</v>
      </c>
      <c r="H1514" t="s">
        <v>18</v>
      </c>
      <c r="I1514" t="s">
        <v>150</v>
      </c>
      <c r="K1514" t="str">
        <v>budget</v>
      </c>
      <c r="L1514">
        <v>64</v>
      </c>
    </row>
    <row r="1515" spans="2:12" x14ac:dyDescent="0.3">
      <c r="B1515" t="s">
        <v>1448</v>
      </c>
      <c r="C1515">
        <v>96</v>
      </c>
      <c r="D1515" t="s">
        <v>45</v>
      </c>
      <c r="E1515">
        <v>54</v>
      </c>
      <c r="F1515">
        <v>76</v>
      </c>
      <c r="G1515">
        <v>5.57</v>
      </c>
      <c r="H1515" t="s">
        <v>18</v>
      </c>
      <c r="I1515" t="s">
        <v>16</v>
      </c>
      <c r="K1515" t="str">
        <v>budget</v>
      </c>
      <c r="L1515">
        <v>65</v>
      </c>
    </row>
    <row r="1516" spans="2:12" x14ac:dyDescent="0.3">
      <c r="B1516" t="s">
        <v>1449</v>
      </c>
      <c r="C1516">
        <v>95</v>
      </c>
      <c r="D1516" t="s">
        <v>45</v>
      </c>
      <c r="E1516">
        <v>53</v>
      </c>
      <c r="F1516">
        <v>85</v>
      </c>
      <c r="G1516">
        <v>26.46</v>
      </c>
      <c r="H1516" t="s">
        <v>18</v>
      </c>
      <c r="I1516" t="s">
        <v>5</v>
      </c>
      <c r="K1516" t="str">
        <v>middle</v>
      </c>
      <c r="L1516">
        <v>69</v>
      </c>
    </row>
    <row r="1517" spans="2:12" x14ac:dyDescent="0.3">
      <c r="B1517" t="s">
        <v>1450</v>
      </c>
      <c r="C1517">
        <v>96</v>
      </c>
      <c r="D1517" t="s">
        <v>41</v>
      </c>
      <c r="E1517">
        <v>58</v>
      </c>
      <c r="F1517">
        <v>84</v>
      </c>
      <c r="G1517">
        <v>6</v>
      </c>
      <c r="H1517" t="s">
        <v>18</v>
      </c>
      <c r="I1517" t="s">
        <v>12</v>
      </c>
      <c r="K1517" t="str">
        <v>budget</v>
      </c>
      <c r="L1517">
        <v>71</v>
      </c>
    </row>
    <row r="1518" spans="2:12" x14ac:dyDescent="0.3">
      <c r="B1518" t="s">
        <v>1451</v>
      </c>
      <c r="C1518">
        <v>94</v>
      </c>
      <c r="D1518" t="s">
        <v>41</v>
      </c>
      <c r="E1518">
        <v>61</v>
      </c>
      <c r="F1518">
        <v>93</v>
      </c>
      <c r="G1518">
        <v>5.28</v>
      </c>
      <c r="H1518" t="s">
        <v>18</v>
      </c>
      <c r="I1518" t="s">
        <v>22</v>
      </c>
      <c r="K1518" t="str">
        <v>budget</v>
      </c>
      <c r="L1518">
        <v>77</v>
      </c>
    </row>
    <row r="1519" spans="2:12" x14ac:dyDescent="0.3">
      <c r="B1519" t="s">
        <v>1452</v>
      </c>
      <c r="C1519">
        <v>95</v>
      </c>
      <c r="D1519" t="s">
        <v>45</v>
      </c>
      <c r="E1519">
        <v>50</v>
      </c>
      <c r="F1519">
        <v>76</v>
      </c>
      <c r="G1519">
        <v>5.88</v>
      </c>
      <c r="H1519" t="s">
        <v>18</v>
      </c>
      <c r="I1519" t="s">
        <v>12</v>
      </c>
      <c r="K1519" t="str">
        <v>budget</v>
      </c>
      <c r="L1519">
        <v>63</v>
      </c>
    </row>
    <row r="1520" spans="2:12" x14ac:dyDescent="0.3">
      <c r="B1520" t="s">
        <v>1453</v>
      </c>
      <c r="C1520">
        <v>95</v>
      </c>
      <c r="D1520" t="s">
        <v>45</v>
      </c>
      <c r="E1520">
        <v>55</v>
      </c>
      <c r="F1520">
        <v>77</v>
      </c>
      <c r="G1520">
        <v>5.6</v>
      </c>
      <c r="H1520" t="s">
        <v>18</v>
      </c>
      <c r="I1520" t="s">
        <v>12</v>
      </c>
      <c r="K1520" t="str">
        <v>budget</v>
      </c>
      <c r="L1520">
        <v>66</v>
      </c>
    </row>
    <row r="1521" spans="2:12" x14ac:dyDescent="0.3">
      <c r="B1521" t="s">
        <v>1454</v>
      </c>
      <c r="C1521">
        <v>94</v>
      </c>
      <c r="D1521" t="s">
        <v>45</v>
      </c>
      <c r="E1521">
        <v>56</v>
      </c>
      <c r="F1521">
        <v>80</v>
      </c>
      <c r="G1521">
        <v>4.41</v>
      </c>
      <c r="H1521" t="s">
        <v>18</v>
      </c>
      <c r="I1521" t="s">
        <v>12</v>
      </c>
      <c r="K1521" t="str">
        <v>budget</v>
      </c>
      <c r="L1521">
        <v>68</v>
      </c>
    </row>
    <row r="1522" spans="2:12" x14ac:dyDescent="0.3">
      <c r="B1522" t="s">
        <v>1455</v>
      </c>
      <c r="C1522">
        <v>95</v>
      </c>
      <c r="D1522" t="s">
        <v>45</v>
      </c>
      <c r="E1522">
        <v>54</v>
      </c>
      <c r="F1522">
        <v>78</v>
      </c>
      <c r="G1522">
        <v>6.47</v>
      </c>
      <c r="H1522" t="s">
        <v>18</v>
      </c>
      <c r="I1522" t="s">
        <v>12</v>
      </c>
      <c r="K1522" t="str">
        <v>budget</v>
      </c>
      <c r="L1522">
        <v>66</v>
      </c>
    </row>
    <row r="1523" spans="2:12" x14ac:dyDescent="0.3">
      <c r="B1523" t="s">
        <v>1456</v>
      </c>
      <c r="C1523">
        <v>94</v>
      </c>
      <c r="D1523" t="s">
        <v>41</v>
      </c>
      <c r="E1523">
        <v>58</v>
      </c>
      <c r="F1523">
        <v>86</v>
      </c>
      <c r="G1523">
        <v>263.64</v>
      </c>
      <c r="H1523" t="s">
        <v>2</v>
      </c>
      <c r="I1523" t="s">
        <v>9</v>
      </c>
      <c r="K1523" t="str">
        <v>premium</v>
      </c>
      <c r="L1523">
        <v>72</v>
      </c>
    </row>
    <row r="1524" spans="2:12" x14ac:dyDescent="0.3">
      <c r="B1524" t="s">
        <v>1457</v>
      </c>
      <c r="C1524">
        <v>96</v>
      </c>
      <c r="D1524" t="s">
        <v>45</v>
      </c>
      <c r="E1524">
        <v>56</v>
      </c>
      <c r="F1524">
        <v>80</v>
      </c>
      <c r="G1524">
        <v>16.170000000000002</v>
      </c>
      <c r="H1524" t="s">
        <v>18</v>
      </c>
      <c r="I1524" t="s">
        <v>5</v>
      </c>
      <c r="K1524" t="str">
        <v>budget</v>
      </c>
      <c r="L1524">
        <v>68</v>
      </c>
    </row>
    <row r="1525" spans="2:12" x14ac:dyDescent="0.3">
      <c r="B1525" t="s">
        <v>1458</v>
      </c>
      <c r="C1525">
        <v>95</v>
      </c>
      <c r="D1525" t="s">
        <v>45</v>
      </c>
      <c r="E1525">
        <v>56</v>
      </c>
      <c r="F1525">
        <v>80</v>
      </c>
      <c r="G1525">
        <v>7.35</v>
      </c>
      <c r="H1525" t="s">
        <v>18</v>
      </c>
      <c r="I1525" t="s">
        <v>21</v>
      </c>
      <c r="K1525" t="str">
        <v>budget</v>
      </c>
      <c r="L1525">
        <v>68</v>
      </c>
    </row>
    <row r="1526" spans="2:12" x14ac:dyDescent="0.3">
      <c r="B1526" t="s">
        <v>1459</v>
      </c>
      <c r="C1526">
        <v>94</v>
      </c>
      <c r="D1526" t="s">
        <v>45</v>
      </c>
      <c r="E1526">
        <v>53</v>
      </c>
      <c r="F1526">
        <v>77</v>
      </c>
      <c r="G1526">
        <v>32.630000000000003</v>
      </c>
      <c r="H1526" t="s">
        <v>18</v>
      </c>
      <c r="I1526" t="s">
        <v>5</v>
      </c>
      <c r="K1526" t="str">
        <v>middle</v>
      </c>
      <c r="L1526">
        <v>65</v>
      </c>
    </row>
    <row r="1527" spans="2:12" x14ac:dyDescent="0.3">
      <c r="B1527" t="s">
        <v>1460</v>
      </c>
      <c r="C1527">
        <v>96</v>
      </c>
      <c r="D1527" t="s">
        <v>45</v>
      </c>
      <c r="E1527">
        <v>55</v>
      </c>
      <c r="F1527">
        <v>76</v>
      </c>
      <c r="G1527">
        <v>5.66</v>
      </c>
      <c r="H1527" t="s">
        <v>18</v>
      </c>
      <c r="I1527" t="s">
        <v>12</v>
      </c>
      <c r="K1527" t="str">
        <v>budget</v>
      </c>
      <c r="L1527">
        <v>65.5</v>
      </c>
    </row>
    <row r="1528" spans="2:12" x14ac:dyDescent="0.3">
      <c r="B1528" t="s">
        <v>1461</v>
      </c>
      <c r="C1528">
        <v>95</v>
      </c>
      <c r="D1528" t="s">
        <v>45</v>
      </c>
      <c r="E1528">
        <v>56</v>
      </c>
      <c r="F1528">
        <v>80</v>
      </c>
      <c r="G1528">
        <v>11.02</v>
      </c>
      <c r="H1528" t="s">
        <v>18</v>
      </c>
      <c r="I1528" t="s">
        <v>5</v>
      </c>
      <c r="K1528" t="str">
        <v>budget</v>
      </c>
      <c r="L1528">
        <v>68</v>
      </c>
    </row>
    <row r="1529" spans="2:12" x14ac:dyDescent="0.3">
      <c r="B1529" t="s">
        <v>890</v>
      </c>
      <c r="C1529">
        <v>95</v>
      </c>
      <c r="D1529" t="s">
        <v>45</v>
      </c>
      <c r="E1529">
        <v>52</v>
      </c>
      <c r="F1529">
        <v>76</v>
      </c>
      <c r="G1529">
        <v>19.82</v>
      </c>
      <c r="H1529" t="s">
        <v>18</v>
      </c>
      <c r="I1529" t="s">
        <v>18</v>
      </c>
      <c r="K1529" t="str">
        <v>budget</v>
      </c>
      <c r="L1529">
        <v>64</v>
      </c>
    </row>
    <row r="1530" spans="2:12" x14ac:dyDescent="0.3">
      <c r="B1530" t="s">
        <v>1462</v>
      </c>
      <c r="C1530">
        <v>95</v>
      </c>
      <c r="D1530" t="s">
        <v>45</v>
      </c>
      <c r="E1530">
        <v>55</v>
      </c>
      <c r="F1530">
        <v>75</v>
      </c>
      <c r="G1530">
        <v>5.86</v>
      </c>
      <c r="H1530" t="s">
        <v>18</v>
      </c>
      <c r="I1530" t="s">
        <v>12</v>
      </c>
      <c r="K1530" t="str">
        <v>budget</v>
      </c>
      <c r="L1530">
        <v>65</v>
      </c>
    </row>
    <row r="1531" spans="2:12" x14ac:dyDescent="0.3">
      <c r="B1531" t="s">
        <v>1463</v>
      </c>
      <c r="C1531">
        <v>95</v>
      </c>
      <c r="D1531" t="s">
        <v>45</v>
      </c>
      <c r="E1531">
        <v>54</v>
      </c>
      <c r="F1531">
        <v>78</v>
      </c>
      <c r="G1531">
        <v>24</v>
      </c>
      <c r="H1531" t="s">
        <v>29</v>
      </c>
      <c r="I1531" t="s">
        <v>5</v>
      </c>
      <c r="K1531" t="str">
        <v>budget</v>
      </c>
      <c r="L1531">
        <v>66</v>
      </c>
    </row>
    <row r="1532" spans="2:12" x14ac:dyDescent="0.3">
      <c r="B1532" t="s">
        <v>1464</v>
      </c>
      <c r="C1532">
        <v>97</v>
      </c>
      <c r="D1532" t="s">
        <v>45</v>
      </c>
      <c r="E1532">
        <v>56</v>
      </c>
      <c r="F1532">
        <v>78</v>
      </c>
      <c r="G1532">
        <v>33.049999999999997</v>
      </c>
      <c r="H1532" t="s">
        <v>18</v>
      </c>
      <c r="I1532" t="s">
        <v>18</v>
      </c>
      <c r="K1532" t="str">
        <v>middle</v>
      </c>
      <c r="L1532">
        <v>67</v>
      </c>
    </row>
    <row r="1533" spans="2:12" x14ac:dyDescent="0.3">
      <c r="B1533" t="s">
        <v>1465</v>
      </c>
      <c r="C1533">
        <v>95</v>
      </c>
      <c r="D1533" t="s">
        <v>45</v>
      </c>
      <c r="E1533">
        <v>54</v>
      </c>
      <c r="F1533">
        <v>76</v>
      </c>
      <c r="G1533">
        <v>143.30000000000001</v>
      </c>
      <c r="H1533" t="s">
        <v>2</v>
      </c>
      <c r="I1533" t="s">
        <v>12</v>
      </c>
      <c r="K1533" t="str">
        <v>premium</v>
      </c>
      <c r="L1533">
        <v>65</v>
      </c>
    </row>
    <row r="1534" spans="2:12" x14ac:dyDescent="0.3">
      <c r="B1534" t="s">
        <v>1466</v>
      </c>
      <c r="C1534">
        <v>95</v>
      </c>
      <c r="D1534" t="s">
        <v>45</v>
      </c>
      <c r="E1534">
        <v>56</v>
      </c>
      <c r="F1534">
        <v>78</v>
      </c>
      <c r="G1534">
        <v>121.25</v>
      </c>
      <c r="H1534" t="s">
        <v>2</v>
      </c>
      <c r="I1534" t="s">
        <v>9</v>
      </c>
      <c r="K1534" t="str">
        <v>premium</v>
      </c>
      <c r="L1534">
        <v>67</v>
      </c>
    </row>
    <row r="1535" spans="2:12" x14ac:dyDescent="0.3">
      <c r="B1535" t="s">
        <v>1467</v>
      </c>
      <c r="C1535">
        <v>94</v>
      </c>
      <c r="D1535" t="s">
        <v>45</v>
      </c>
      <c r="E1535">
        <v>52</v>
      </c>
      <c r="F1535">
        <v>74</v>
      </c>
      <c r="G1535">
        <v>5.29</v>
      </c>
      <c r="H1535" t="s">
        <v>31</v>
      </c>
      <c r="I1535" t="s">
        <v>9</v>
      </c>
      <c r="K1535" t="str">
        <v>budget</v>
      </c>
      <c r="L1535">
        <v>63</v>
      </c>
    </row>
    <row r="1536" spans="2:12" x14ac:dyDescent="0.3">
      <c r="B1536" t="s">
        <v>1468</v>
      </c>
      <c r="C1536">
        <v>94</v>
      </c>
      <c r="D1536" t="s">
        <v>45</v>
      </c>
      <c r="E1536">
        <v>54</v>
      </c>
      <c r="F1536">
        <v>80</v>
      </c>
      <c r="G1536">
        <v>6.17</v>
      </c>
      <c r="H1536" t="s">
        <v>31</v>
      </c>
      <c r="I1536" t="s">
        <v>12</v>
      </c>
      <c r="K1536" t="str">
        <v>budget</v>
      </c>
      <c r="L1536">
        <v>67</v>
      </c>
    </row>
    <row r="1537" spans="2:12" x14ac:dyDescent="0.3">
      <c r="B1537" t="s">
        <v>1469</v>
      </c>
      <c r="C1537">
        <v>94</v>
      </c>
      <c r="D1537" t="s">
        <v>82</v>
      </c>
      <c r="E1537">
        <v>48</v>
      </c>
      <c r="F1537">
        <v>70</v>
      </c>
      <c r="G1537">
        <v>4.8499999999999996</v>
      </c>
      <c r="H1537" t="s">
        <v>18</v>
      </c>
      <c r="I1537" t="s">
        <v>9</v>
      </c>
      <c r="K1537" t="str">
        <v>budget</v>
      </c>
      <c r="L1537">
        <v>59</v>
      </c>
    </row>
    <row r="1538" spans="2:12" x14ac:dyDescent="0.3">
      <c r="B1538" t="s">
        <v>1470</v>
      </c>
      <c r="C1538">
        <v>94</v>
      </c>
      <c r="D1538" t="s">
        <v>82</v>
      </c>
      <c r="E1538">
        <v>47</v>
      </c>
      <c r="F1538">
        <v>72</v>
      </c>
      <c r="G1538">
        <v>5</v>
      </c>
      <c r="H1538" t="s">
        <v>31</v>
      </c>
      <c r="I1538" t="s">
        <v>9</v>
      </c>
      <c r="K1538" t="str">
        <v>budget</v>
      </c>
      <c r="L1538">
        <v>59.5</v>
      </c>
    </row>
    <row r="1539" spans="2:12" x14ac:dyDescent="0.3">
      <c r="B1539" t="s">
        <v>1471</v>
      </c>
      <c r="C1539">
        <v>95</v>
      </c>
      <c r="D1539" t="s">
        <v>82</v>
      </c>
      <c r="E1539">
        <v>47</v>
      </c>
      <c r="F1539">
        <v>65</v>
      </c>
      <c r="G1539">
        <v>7.2</v>
      </c>
      <c r="H1539" t="s">
        <v>18</v>
      </c>
      <c r="I1539" t="s">
        <v>12</v>
      </c>
      <c r="K1539" t="str">
        <v>budget</v>
      </c>
      <c r="L1539">
        <v>56</v>
      </c>
    </row>
    <row r="1540" spans="2:12" x14ac:dyDescent="0.3">
      <c r="B1540" t="s">
        <v>1472</v>
      </c>
      <c r="C1540">
        <v>94</v>
      </c>
      <c r="D1540" t="s">
        <v>45</v>
      </c>
      <c r="E1540">
        <v>54</v>
      </c>
      <c r="F1540">
        <v>77</v>
      </c>
      <c r="G1540">
        <v>69.599999999999994</v>
      </c>
      <c r="H1540" t="s">
        <v>11</v>
      </c>
      <c r="I1540" t="s">
        <v>150</v>
      </c>
      <c r="K1540" t="str">
        <v>middle</v>
      </c>
      <c r="L1540">
        <v>65.5</v>
      </c>
    </row>
    <row r="1541" spans="2:12" x14ac:dyDescent="0.3">
      <c r="B1541" t="s">
        <v>1473</v>
      </c>
      <c r="C1541">
        <v>95</v>
      </c>
      <c r="D1541" t="s">
        <v>45</v>
      </c>
      <c r="E1541">
        <v>50</v>
      </c>
      <c r="F1541">
        <v>73</v>
      </c>
      <c r="G1541">
        <v>110.13</v>
      </c>
      <c r="H1541" t="s">
        <v>11</v>
      </c>
      <c r="I1541" t="s">
        <v>9</v>
      </c>
      <c r="K1541" t="str">
        <v>premium</v>
      </c>
      <c r="L1541">
        <v>61.5</v>
      </c>
    </row>
    <row r="1542" spans="2:12" x14ac:dyDescent="0.3">
      <c r="B1542" t="s">
        <v>1474</v>
      </c>
      <c r="C1542">
        <v>95</v>
      </c>
      <c r="D1542" t="s">
        <v>45</v>
      </c>
      <c r="E1542">
        <v>54</v>
      </c>
      <c r="F1542">
        <v>78</v>
      </c>
      <c r="G1542">
        <v>88.11</v>
      </c>
      <c r="H1542" t="s">
        <v>11</v>
      </c>
      <c r="I1542" t="s">
        <v>11</v>
      </c>
      <c r="K1542" t="str">
        <v>middle</v>
      </c>
      <c r="L1542">
        <v>66</v>
      </c>
    </row>
    <row r="1543" spans="2:12" x14ac:dyDescent="0.3">
      <c r="B1543" t="s">
        <v>1475</v>
      </c>
      <c r="C1543">
        <v>94</v>
      </c>
      <c r="D1543" t="s">
        <v>45</v>
      </c>
      <c r="E1543">
        <v>54</v>
      </c>
      <c r="F1543">
        <v>75</v>
      </c>
      <c r="G1543">
        <v>5.26</v>
      </c>
      <c r="H1543" t="s">
        <v>18</v>
      </c>
      <c r="I1543" t="s">
        <v>21</v>
      </c>
      <c r="K1543" t="str">
        <v>budget</v>
      </c>
      <c r="L1543">
        <v>64.5</v>
      </c>
    </row>
    <row r="1544" spans="2:12" x14ac:dyDescent="0.3">
      <c r="B1544" t="s">
        <v>1476</v>
      </c>
      <c r="C1544">
        <v>94</v>
      </c>
      <c r="D1544" t="s">
        <v>45</v>
      </c>
      <c r="E1544">
        <v>56</v>
      </c>
      <c r="F1544">
        <v>82</v>
      </c>
      <c r="G1544">
        <v>22.49</v>
      </c>
      <c r="H1544" t="s">
        <v>18</v>
      </c>
      <c r="I1544" t="s">
        <v>7</v>
      </c>
      <c r="K1544" t="str">
        <v>budget</v>
      </c>
      <c r="L1544">
        <v>69</v>
      </c>
    </row>
    <row r="1545" spans="2:12" x14ac:dyDescent="0.3">
      <c r="B1545" t="s">
        <v>1477</v>
      </c>
      <c r="C1545">
        <v>94</v>
      </c>
      <c r="D1545" t="s">
        <v>45</v>
      </c>
      <c r="E1545">
        <v>56</v>
      </c>
      <c r="F1545">
        <v>76</v>
      </c>
      <c r="G1545">
        <v>5.29</v>
      </c>
      <c r="H1545" t="s">
        <v>18</v>
      </c>
      <c r="I1545" t="s">
        <v>12</v>
      </c>
      <c r="K1545" t="str">
        <v>budget</v>
      </c>
      <c r="L1545">
        <v>66</v>
      </c>
    </row>
    <row r="1546" spans="2:12" x14ac:dyDescent="0.3">
      <c r="B1546" t="s">
        <v>1037</v>
      </c>
      <c r="C1546">
        <v>95</v>
      </c>
      <c r="D1546" t="s">
        <v>45</v>
      </c>
      <c r="E1546">
        <v>56</v>
      </c>
      <c r="F1546">
        <v>80</v>
      </c>
      <c r="G1546">
        <v>4.8499999999999996</v>
      </c>
      <c r="H1546" t="s">
        <v>18</v>
      </c>
      <c r="I1546" t="s">
        <v>12</v>
      </c>
      <c r="K1546" t="str">
        <v>budget</v>
      </c>
      <c r="L1546">
        <v>68</v>
      </c>
    </row>
    <row r="1547" spans="2:12" x14ac:dyDescent="0.3">
      <c r="B1547" t="s">
        <v>1478</v>
      </c>
      <c r="C1547">
        <v>95</v>
      </c>
      <c r="D1547" t="s">
        <v>45</v>
      </c>
      <c r="E1547">
        <v>56</v>
      </c>
      <c r="F1547">
        <v>76</v>
      </c>
      <c r="G1547">
        <v>11.46</v>
      </c>
      <c r="H1547" t="s">
        <v>2</v>
      </c>
      <c r="I1547" t="s">
        <v>9</v>
      </c>
      <c r="K1547" t="str">
        <v>budget</v>
      </c>
      <c r="L1547">
        <v>66</v>
      </c>
    </row>
    <row r="1548" spans="2:12" x14ac:dyDescent="0.3">
      <c r="B1548" t="s">
        <v>1479</v>
      </c>
      <c r="C1548">
        <v>94</v>
      </c>
      <c r="D1548" t="s">
        <v>45</v>
      </c>
      <c r="E1548">
        <v>55</v>
      </c>
      <c r="F1548">
        <v>79</v>
      </c>
      <c r="G1548">
        <v>5.29</v>
      </c>
      <c r="H1548" t="s">
        <v>18</v>
      </c>
      <c r="I1548" t="s">
        <v>12</v>
      </c>
      <c r="K1548" t="str">
        <v>budget</v>
      </c>
      <c r="L1548">
        <v>67</v>
      </c>
    </row>
    <row r="1549" spans="2:12" x14ac:dyDescent="0.3">
      <c r="B1549" t="s">
        <v>1480</v>
      </c>
      <c r="C1549">
        <v>94</v>
      </c>
      <c r="D1549" t="s">
        <v>45</v>
      </c>
      <c r="E1549">
        <v>53</v>
      </c>
      <c r="F1549">
        <v>78</v>
      </c>
      <c r="G1549">
        <v>5.57</v>
      </c>
      <c r="H1549" t="s">
        <v>18</v>
      </c>
      <c r="I1549" t="s">
        <v>22</v>
      </c>
      <c r="K1549" t="str">
        <v>budget</v>
      </c>
      <c r="L1549">
        <v>65.5</v>
      </c>
    </row>
    <row r="1550" spans="2:12" x14ac:dyDescent="0.3">
      <c r="B1550" t="s">
        <v>1481</v>
      </c>
      <c r="C1550">
        <v>94</v>
      </c>
      <c r="D1550" t="s">
        <v>45</v>
      </c>
      <c r="E1550">
        <v>56</v>
      </c>
      <c r="F1550">
        <v>81</v>
      </c>
      <c r="G1550">
        <v>4.99</v>
      </c>
      <c r="H1550" t="s">
        <v>18</v>
      </c>
      <c r="I1550" t="s">
        <v>22</v>
      </c>
      <c r="K1550" t="str">
        <v>budget</v>
      </c>
      <c r="L1550">
        <v>68.5</v>
      </c>
    </row>
    <row r="1551" spans="2:12" x14ac:dyDescent="0.3">
      <c r="B1551" t="s">
        <v>1482</v>
      </c>
      <c r="C1551">
        <v>95</v>
      </c>
      <c r="D1551" t="s">
        <v>45</v>
      </c>
      <c r="E1551">
        <v>58</v>
      </c>
      <c r="F1551">
        <v>82</v>
      </c>
      <c r="G1551">
        <v>5.57</v>
      </c>
      <c r="H1551" t="s">
        <v>18</v>
      </c>
      <c r="I1551" t="s">
        <v>9</v>
      </c>
      <c r="K1551" t="str">
        <v>budget</v>
      </c>
      <c r="L1551">
        <v>70</v>
      </c>
    </row>
    <row r="1552" spans="2:12" x14ac:dyDescent="0.3">
      <c r="B1552" t="s">
        <v>1483</v>
      </c>
      <c r="C1552">
        <v>94</v>
      </c>
      <c r="D1552" t="s">
        <v>45</v>
      </c>
      <c r="E1552">
        <v>53</v>
      </c>
      <c r="F1552">
        <v>77</v>
      </c>
      <c r="G1552">
        <v>5.26</v>
      </c>
      <c r="H1552" t="s">
        <v>18</v>
      </c>
      <c r="I1552" t="s">
        <v>9</v>
      </c>
      <c r="K1552" t="str">
        <v>budget</v>
      </c>
      <c r="L1552">
        <v>65</v>
      </c>
    </row>
    <row r="1553" spans="2:12" x14ac:dyDescent="0.3">
      <c r="B1553" t="s">
        <v>1484</v>
      </c>
      <c r="C1553">
        <v>94</v>
      </c>
      <c r="D1553" t="s">
        <v>45</v>
      </c>
      <c r="E1553">
        <v>60</v>
      </c>
      <c r="F1553">
        <v>78</v>
      </c>
      <c r="G1553">
        <v>4.8499999999999996</v>
      </c>
      <c r="H1553" t="s">
        <v>18</v>
      </c>
      <c r="I1553" t="s">
        <v>9</v>
      </c>
      <c r="K1553" t="str">
        <v>budget</v>
      </c>
      <c r="L1553">
        <v>69</v>
      </c>
    </row>
    <row r="1554" spans="2:12" x14ac:dyDescent="0.3">
      <c r="B1554" t="s">
        <v>1485</v>
      </c>
      <c r="C1554">
        <v>95</v>
      </c>
      <c r="D1554" t="s">
        <v>82</v>
      </c>
      <c r="E1554">
        <v>45</v>
      </c>
      <c r="F1554">
        <v>61</v>
      </c>
      <c r="G1554">
        <v>5</v>
      </c>
      <c r="H1554" t="s">
        <v>18</v>
      </c>
      <c r="I1554" t="s">
        <v>9</v>
      </c>
      <c r="K1554" t="str">
        <v>budget</v>
      </c>
      <c r="L1554">
        <v>53</v>
      </c>
    </row>
    <row r="1555" spans="2:12" x14ac:dyDescent="0.3">
      <c r="B1555" t="s">
        <v>1486</v>
      </c>
      <c r="C1555">
        <v>94</v>
      </c>
      <c r="D1555" t="s">
        <v>45</v>
      </c>
      <c r="E1555">
        <v>54</v>
      </c>
      <c r="F1555">
        <v>68</v>
      </c>
      <c r="G1555">
        <v>4.3899999999999997</v>
      </c>
      <c r="H1555" t="s">
        <v>18</v>
      </c>
      <c r="I1555" t="s">
        <v>14</v>
      </c>
      <c r="K1555" t="str">
        <v>budget</v>
      </c>
      <c r="L1555">
        <v>61</v>
      </c>
    </row>
    <row r="1556" spans="2:12" x14ac:dyDescent="0.3">
      <c r="B1556" t="s">
        <v>1487</v>
      </c>
      <c r="C1556">
        <v>94</v>
      </c>
      <c r="D1556" t="s">
        <v>41</v>
      </c>
      <c r="E1556">
        <v>61</v>
      </c>
      <c r="F1556">
        <v>84</v>
      </c>
      <c r="G1556">
        <v>217.78</v>
      </c>
      <c r="H1556" t="s">
        <v>2</v>
      </c>
      <c r="I1556" t="s">
        <v>21</v>
      </c>
      <c r="K1556" t="str">
        <v>premium</v>
      </c>
      <c r="L1556">
        <v>72.5</v>
      </c>
    </row>
    <row r="1557" spans="2:12" x14ac:dyDescent="0.3">
      <c r="B1557" t="s">
        <v>1488</v>
      </c>
      <c r="C1557">
        <v>95</v>
      </c>
      <c r="D1557" t="s">
        <v>45</v>
      </c>
      <c r="E1557">
        <v>59</v>
      </c>
      <c r="F1557">
        <v>77</v>
      </c>
      <c r="G1557">
        <v>132.28</v>
      </c>
      <c r="H1557" t="s">
        <v>2</v>
      </c>
      <c r="I1557" t="s">
        <v>12</v>
      </c>
      <c r="K1557" t="str">
        <v>premium</v>
      </c>
      <c r="L1557">
        <v>68</v>
      </c>
    </row>
    <row r="1558" spans="2:12" x14ac:dyDescent="0.3">
      <c r="B1558" t="s">
        <v>1489</v>
      </c>
      <c r="C1558">
        <v>94</v>
      </c>
      <c r="D1558" t="s">
        <v>45</v>
      </c>
      <c r="E1558">
        <v>56</v>
      </c>
      <c r="F1558">
        <v>76</v>
      </c>
      <c r="G1558">
        <v>121.25</v>
      </c>
      <c r="H1558" t="s">
        <v>2</v>
      </c>
      <c r="I1558" t="s">
        <v>7</v>
      </c>
      <c r="K1558" t="str">
        <v>premium</v>
      </c>
      <c r="L1558">
        <v>66</v>
      </c>
    </row>
    <row r="1559" spans="2:12" x14ac:dyDescent="0.3">
      <c r="B1559" t="s">
        <v>1490</v>
      </c>
      <c r="C1559">
        <v>94</v>
      </c>
      <c r="D1559" t="s">
        <v>41</v>
      </c>
      <c r="E1559">
        <v>60</v>
      </c>
      <c r="F1559">
        <v>82</v>
      </c>
      <c r="G1559">
        <v>6.5</v>
      </c>
      <c r="H1559" t="s">
        <v>30</v>
      </c>
      <c r="I1559" t="s">
        <v>9</v>
      </c>
      <c r="K1559" t="str">
        <v>budget</v>
      </c>
      <c r="L1559">
        <v>71</v>
      </c>
    </row>
    <row r="1560" spans="2:12" x14ac:dyDescent="0.3">
      <c r="B1560" t="s">
        <v>1491</v>
      </c>
      <c r="C1560">
        <v>94</v>
      </c>
      <c r="D1560" t="s">
        <v>45</v>
      </c>
      <c r="E1560">
        <v>53</v>
      </c>
      <c r="F1560">
        <v>76</v>
      </c>
      <c r="G1560">
        <v>4.7</v>
      </c>
      <c r="H1560" t="s">
        <v>18</v>
      </c>
      <c r="I1560" t="s">
        <v>12</v>
      </c>
      <c r="K1560" t="str">
        <v>budget</v>
      </c>
      <c r="L1560">
        <v>64.5</v>
      </c>
    </row>
    <row r="1561" spans="2:12" x14ac:dyDescent="0.3">
      <c r="B1561" t="s">
        <v>1492</v>
      </c>
      <c r="C1561">
        <v>94</v>
      </c>
      <c r="D1561" t="s">
        <v>45</v>
      </c>
      <c r="E1561">
        <v>55</v>
      </c>
      <c r="F1561">
        <v>77</v>
      </c>
      <c r="G1561">
        <v>3.81</v>
      </c>
      <c r="H1561" t="s">
        <v>18</v>
      </c>
      <c r="I1561" t="s">
        <v>14</v>
      </c>
      <c r="K1561" t="str">
        <v>budget</v>
      </c>
      <c r="L1561">
        <v>66</v>
      </c>
    </row>
    <row r="1562" spans="2:12" x14ac:dyDescent="0.3">
      <c r="B1562" t="s">
        <v>1493</v>
      </c>
      <c r="C1562">
        <v>94</v>
      </c>
      <c r="D1562" t="s">
        <v>45</v>
      </c>
      <c r="E1562">
        <v>54</v>
      </c>
      <c r="F1562">
        <v>76</v>
      </c>
      <c r="G1562">
        <v>4.99</v>
      </c>
      <c r="H1562" t="s">
        <v>18</v>
      </c>
      <c r="I1562" t="s">
        <v>12</v>
      </c>
      <c r="K1562" t="str">
        <v>budget</v>
      </c>
      <c r="L1562">
        <v>65</v>
      </c>
    </row>
    <row r="1563" spans="2:12" x14ac:dyDescent="0.3">
      <c r="B1563" t="s">
        <v>941</v>
      </c>
      <c r="C1563">
        <v>94</v>
      </c>
      <c r="D1563" t="s">
        <v>541</v>
      </c>
      <c r="E1563">
        <v>34</v>
      </c>
      <c r="F1563">
        <v>52</v>
      </c>
      <c r="G1563">
        <v>8.82</v>
      </c>
      <c r="H1563" t="s">
        <v>18</v>
      </c>
      <c r="I1563" t="s">
        <v>5</v>
      </c>
      <c r="K1563" t="str">
        <v>budget</v>
      </c>
      <c r="L1563">
        <v>43</v>
      </c>
    </row>
    <row r="1564" spans="2:12" x14ac:dyDescent="0.3">
      <c r="B1564" t="s">
        <v>1494</v>
      </c>
      <c r="C1564">
        <v>94</v>
      </c>
      <c r="D1564" t="s">
        <v>45</v>
      </c>
      <c r="E1564">
        <v>54</v>
      </c>
      <c r="F1564">
        <v>78</v>
      </c>
      <c r="G1564">
        <v>22.05</v>
      </c>
      <c r="H1564" t="s">
        <v>18</v>
      </c>
      <c r="I1564" t="s">
        <v>5</v>
      </c>
      <c r="K1564" t="str">
        <v>budget</v>
      </c>
      <c r="L1564">
        <v>66</v>
      </c>
    </row>
    <row r="1565" spans="2:12" x14ac:dyDescent="0.3">
      <c r="B1565" t="s">
        <v>1495</v>
      </c>
      <c r="C1565">
        <v>95</v>
      </c>
      <c r="D1565" t="s">
        <v>45</v>
      </c>
      <c r="E1565">
        <v>54</v>
      </c>
      <c r="F1565">
        <v>78</v>
      </c>
      <c r="G1565">
        <v>33.07</v>
      </c>
      <c r="H1565" t="s">
        <v>18</v>
      </c>
      <c r="I1565" t="s">
        <v>9</v>
      </c>
      <c r="K1565" t="str">
        <v>middle</v>
      </c>
      <c r="L1565">
        <v>66</v>
      </c>
    </row>
    <row r="1566" spans="2:12" x14ac:dyDescent="0.3">
      <c r="B1566" t="s">
        <v>1496</v>
      </c>
      <c r="C1566">
        <v>95</v>
      </c>
      <c r="D1566" t="s">
        <v>45</v>
      </c>
      <c r="E1566">
        <v>56</v>
      </c>
      <c r="F1566">
        <v>77</v>
      </c>
      <c r="G1566">
        <v>705.48</v>
      </c>
      <c r="H1566" t="s">
        <v>2</v>
      </c>
      <c r="I1566" t="s">
        <v>9</v>
      </c>
      <c r="K1566" t="str">
        <v>premium</v>
      </c>
      <c r="L1566">
        <v>66.5</v>
      </c>
    </row>
    <row r="1567" spans="2:12" x14ac:dyDescent="0.3">
      <c r="B1567" t="s">
        <v>1497</v>
      </c>
      <c r="C1567">
        <v>95</v>
      </c>
      <c r="D1567" t="s">
        <v>41</v>
      </c>
      <c r="E1567">
        <v>64</v>
      </c>
      <c r="F1567">
        <v>86</v>
      </c>
      <c r="G1567">
        <v>32.630000000000003</v>
      </c>
      <c r="H1567" t="s">
        <v>2</v>
      </c>
      <c r="I1567" t="s">
        <v>9</v>
      </c>
      <c r="K1567" t="str">
        <v>middle</v>
      </c>
      <c r="L1567">
        <v>75</v>
      </c>
    </row>
    <row r="1568" spans="2:12" x14ac:dyDescent="0.3">
      <c r="B1568" t="s">
        <v>1498</v>
      </c>
      <c r="C1568">
        <v>95</v>
      </c>
      <c r="D1568" t="s">
        <v>45</v>
      </c>
      <c r="E1568">
        <v>54</v>
      </c>
      <c r="F1568">
        <v>74</v>
      </c>
      <c r="G1568">
        <v>30</v>
      </c>
      <c r="H1568" t="s">
        <v>31</v>
      </c>
      <c r="I1568" t="s">
        <v>9</v>
      </c>
      <c r="K1568" t="str">
        <v>middle</v>
      </c>
      <c r="L1568">
        <v>64</v>
      </c>
    </row>
    <row r="1569" spans="2:12" x14ac:dyDescent="0.3">
      <c r="B1569" t="s">
        <v>1499</v>
      </c>
      <c r="C1569">
        <v>96</v>
      </c>
      <c r="D1569" t="s">
        <v>45</v>
      </c>
      <c r="E1569">
        <v>54</v>
      </c>
      <c r="F1569">
        <v>78</v>
      </c>
      <c r="G1569">
        <v>22.05</v>
      </c>
      <c r="H1569" t="s">
        <v>18</v>
      </c>
      <c r="I1569" t="s">
        <v>5</v>
      </c>
      <c r="K1569" t="str">
        <v>budget</v>
      </c>
      <c r="L1569">
        <v>66</v>
      </c>
    </row>
    <row r="1570" spans="2:12" x14ac:dyDescent="0.3">
      <c r="B1570" t="s">
        <v>1500</v>
      </c>
      <c r="C1570">
        <v>95</v>
      </c>
      <c r="D1570" t="s">
        <v>45</v>
      </c>
      <c r="E1570">
        <v>53</v>
      </c>
      <c r="F1570">
        <v>77</v>
      </c>
      <c r="G1570">
        <v>5.57</v>
      </c>
      <c r="H1570" t="s">
        <v>18</v>
      </c>
      <c r="I1570" t="s">
        <v>12</v>
      </c>
      <c r="K1570" t="str">
        <v>budget</v>
      </c>
      <c r="L1570">
        <v>65</v>
      </c>
    </row>
    <row r="1571" spans="2:12" x14ac:dyDescent="0.3">
      <c r="B1571" t="s">
        <v>1501</v>
      </c>
      <c r="C1571">
        <v>94</v>
      </c>
      <c r="D1571" t="s">
        <v>45</v>
      </c>
      <c r="E1571">
        <v>51</v>
      </c>
      <c r="F1571">
        <v>73</v>
      </c>
      <c r="G1571">
        <v>5.07</v>
      </c>
      <c r="H1571" t="s">
        <v>18</v>
      </c>
      <c r="I1571" t="s">
        <v>9</v>
      </c>
      <c r="K1571" t="str">
        <v>budget</v>
      </c>
      <c r="L1571">
        <v>62</v>
      </c>
    </row>
    <row r="1572" spans="2:12" x14ac:dyDescent="0.3">
      <c r="B1572" t="s">
        <v>1502</v>
      </c>
      <c r="C1572">
        <v>95</v>
      </c>
      <c r="D1572" t="s">
        <v>45</v>
      </c>
      <c r="E1572">
        <v>53</v>
      </c>
      <c r="F1572">
        <v>76</v>
      </c>
      <c r="G1572">
        <v>5.57</v>
      </c>
      <c r="H1572" t="s">
        <v>18</v>
      </c>
      <c r="I1572" t="s">
        <v>12</v>
      </c>
      <c r="K1572" t="str">
        <v>budget</v>
      </c>
      <c r="L1572">
        <v>64.5</v>
      </c>
    </row>
    <row r="1573" spans="2:12" x14ac:dyDescent="0.3">
      <c r="B1573" t="s">
        <v>1503</v>
      </c>
      <c r="C1573">
        <v>95</v>
      </c>
      <c r="D1573" t="s">
        <v>82</v>
      </c>
      <c r="E1573">
        <v>46</v>
      </c>
      <c r="F1573">
        <v>64</v>
      </c>
      <c r="G1573">
        <v>17.61</v>
      </c>
      <c r="H1573" t="s">
        <v>18</v>
      </c>
      <c r="I1573" t="s">
        <v>14</v>
      </c>
      <c r="K1573" t="str">
        <v>budget</v>
      </c>
      <c r="L1573">
        <v>55</v>
      </c>
    </row>
    <row r="1574" spans="2:12" x14ac:dyDescent="0.3">
      <c r="B1574" t="s">
        <v>1504</v>
      </c>
      <c r="C1574">
        <v>94</v>
      </c>
      <c r="D1574" t="s">
        <v>541</v>
      </c>
      <c r="E1574">
        <v>41</v>
      </c>
      <c r="F1574">
        <v>49</v>
      </c>
      <c r="G1574">
        <v>9.5</v>
      </c>
      <c r="H1574" t="s">
        <v>30</v>
      </c>
      <c r="I1574" t="s">
        <v>12</v>
      </c>
      <c r="K1574" t="str">
        <v>budget</v>
      </c>
      <c r="L1574">
        <v>45</v>
      </c>
    </row>
    <row r="1575" spans="2:12" x14ac:dyDescent="0.3">
      <c r="B1575" t="s">
        <v>1505</v>
      </c>
      <c r="C1575">
        <v>95</v>
      </c>
      <c r="D1575" t="s">
        <v>45</v>
      </c>
      <c r="E1575">
        <v>58</v>
      </c>
      <c r="F1575">
        <v>82</v>
      </c>
      <c r="G1575">
        <v>242.5</v>
      </c>
      <c r="H1575" t="s">
        <v>2</v>
      </c>
      <c r="I1575" t="s">
        <v>9</v>
      </c>
      <c r="K1575" t="str">
        <v>premium</v>
      </c>
      <c r="L1575">
        <v>70</v>
      </c>
    </row>
    <row r="1576" spans="2:12" x14ac:dyDescent="0.3">
      <c r="B1576" t="s">
        <v>1506</v>
      </c>
      <c r="C1576">
        <v>94</v>
      </c>
      <c r="D1576" t="s">
        <v>45</v>
      </c>
      <c r="E1576">
        <v>55</v>
      </c>
      <c r="F1576">
        <v>77</v>
      </c>
      <c r="G1576">
        <v>4.9800000000000004</v>
      </c>
      <c r="H1576" t="s">
        <v>18</v>
      </c>
      <c r="I1576" t="s">
        <v>16</v>
      </c>
      <c r="K1576" t="str">
        <v>budget</v>
      </c>
      <c r="L1576">
        <v>66</v>
      </c>
    </row>
    <row r="1577" spans="2:12" x14ac:dyDescent="0.3">
      <c r="B1577" t="s">
        <v>1507</v>
      </c>
      <c r="C1577">
        <v>94</v>
      </c>
      <c r="D1577" t="s">
        <v>41</v>
      </c>
      <c r="E1577">
        <v>60</v>
      </c>
      <c r="F1577">
        <v>84</v>
      </c>
      <c r="G1577">
        <v>5.57</v>
      </c>
      <c r="H1577" t="s">
        <v>18</v>
      </c>
      <c r="I1577" t="s">
        <v>12</v>
      </c>
      <c r="K1577" t="str">
        <v>budget</v>
      </c>
      <c r="L1577">
        <v>72</v>
      </c>
    </row>
    <row r="1578" spans="2:12" x14ac:dyDescent="0.3">
      <c r="B1578" t="s">
        <v>1508</v>
      </c>
      <c r="C1578">
        <v>95</v>
      </c>
      <c r="D1578" t="s">
        <v>45</v>
      </c>
      <c r="E1578">
        <v>58</v>
      </c>
      <c r="F1578">
        <v>80</v>
      </c>
      <c r="G1578">
        <v>121.25</v>
      </c>
      <c r="H1578" t="s">
        <v>2</v>
      </c>
      <c r="I1578" t="s">
        <v>9</v>
      </c>
      <c r="K1578" t="str">
        <v>premium</v>
      </c>
      <c r="L1578">
        <v>69</v>
      </c>
    </row>
    <row r="1579" spans="2:12" x14ac:dyDescent="0.3">
      <c r="B1579" t="s">
        <v>1509</v>
      </c>
      <c r="C1579">
        <v>97</v>
      </c>
      <c r="D1579" t="s">
        <v>41</v>
      </c>
      <c r="E1579">
        <v>67</v>
      </c>
      <c r="F1579">
        <v>97</v>
      </c>
      <c r="G1579">
        <v>60.41</v>
      </c>
      <c r="H1579" t="s">
        <v>18</v>
      </c>
      <c r="I1579" t="s">
        <v>5</v>
      </c>
      <c r="K1579" t="str">
        <v>middle</v>
      </c>
      <c r="L1579">
        <v>82</v>
      </c>
    </row>
    <row r="1580" spans="2:12" x14ac:dyDescent="0.3">
      <c r="B1580" t="s">
        <v>1412</v>
      </c>
      <c r="C1580">
        <v>95</v>
      </c>
      <c r="D1580" t="s">
        <v>45</v>
      </c>
      <c r="E1580">
        <v>54</v>
      </c>
      <c r="F1580">
        <v>80</v>
      </c>
      <c r="G1580">
        <v>4.8499999999999996</v>
      </c>
      <c r="H1580" t="s">
        <v>18</v>
      </c>
      <c r="I1580" t="s">
        <v>16</v>
      </c>
      <c r="K1580" t="str">
        <v>budget</v>
      </c>
      <c r="L1580">
        <v>67</v>
      </c>
    </row>
    <row r="1581" spans="2:12" x14ac:dyDescent="0.3">
      <c r="B1581" t="s">
        <v>1510</v>
      </c>
      <c r="C1581">
        <v>94</v>
      </c>
      <c r="D1581" t="s">
        <v>41</v>
      </c>
      <c r="E1581">
        <v>62</v>
      </c>
      <c r="F1581">
        <v>84</v>
      </c>
      <c r="G1581">
        <v>4.12</v>
      </c>
      <c r="H1581" t="s">
        <v>18</v>
      </c>
      <c r="I1581" t="s">
        <v>12</v>
      </c>
      <c r="K1581" t="str">
        <v>budget</v>
      </c>
      <c r="L1581">
        <v>73</v>
      </c>
    </row>
    <row r="1582" spans="2:12" x14ac:dyDescent="0.3">
      <c r="B1582" t="s">
        <v>1511</v>
      </c>
      <c r="C1582">
        <v>94</v>
      </c>
      <c r="D1582" t="s">
        <v>45</v>
      </c>
      <c r="E1582">
        <v>54</v>
      </c>
      <c r="F1582">
        <v>75</v>
      </c>
      <c r="G1582">
        <v>4.7</v>
      </c>
      <c r="H1582" t="s">
        <v>18</v>
      </c>
      <c r="I1582" t="s">
        <v>14</v>
      </c>
      <c r="K1582" t="str">
        <v>budget</v>
      </c>
      <c r="L1582">
        <v>64.5</v>
      </c>
    </row>
    <row r="1583" spans="2:12" x14ac:dyDescent="0.3">
      <c r="B1583" t="s">
        <v>1512</v>
      </c>
      <c r="C1583">
        <v>94</v>
      </c>
      <c r="D1583" t="s">
        <v>45</v>
      </c>
      <c r="E1583">
        <v>54</v>
      </c>
      <c r="F1583">
        <v>76</v>
      </c>
      <c r="G1583">
        <v>5.88</v>
      </c>
      <c r="H1583" t="s">
        <v>18</v>
      </c>
      <c r="I1583" t="s">
        <v>12</v>
      </c>
      <c r="K1583" t="str">
        <v>budget</v>
      </c>
      <c r="L1583">
        <v>65</v>
      </c>
    </row>
    <row r="1584" spans="2:12" x14ac:dyDescent="0.3">
      <c r="B1584" t="s">
        <v>1513</v>
      </c>
      <c r="C1584">
        <v>94</v>
      </c>
      <c r="D1584" t="s">
        <v>45</v>
      </c>
      <c r="E1584">
        <v>54</v>
      </c>
      <c r="F1584">
        <v>78</v>
      </c>
      <c r="G1584">
        <v>10.29</v>
      </c>
      <c r="H1584" t="s">
        <v>18</v>
      </c>
      <c r="I1584" t="s">
        <v>21</v>
      </c>
      <c r="K1584" t="str">
        <v>budget</v>
      </c>
      <c r="L1584">
        <v>66</v>
      </c>
    </row>
    <row r="1585" spans="2:12" x14ac:dyDescent="0.3">
      <c r="B1585" t="s">
        <v>1514</v>
      </c>
      <c r="C1585">
        <v>96</v>
      </c>
      <c r="D1585" t="s">
        <v>45</v>
      </c>
      <c r="E1585">
        <v>53</v>
      </c>
      <c r="F1585">
        <v>76</v>
      </c>
      <c r="G1585">
        <v>6.14</v>
      </c>
      <c r="H1585" t="s">
        <v>18</v>
      </c>
      <c r="I1585" t="s">
        <v>12</v>
      </c>
      <c r="K1585" t="str">
        <v>budget</v>
      </c>
      <c r="L1585">
        <v>64.5</v>
      </c>
    </row>
    <row r="1586" spans="2:12" x14ac:dyDescent="0.3">
      <c r="B1586" t="s">
        <v>1515</v>
      </c>
      <c r="C1586">
        <v>94</v>
      </c>
      <c r="D1586" t="s">
        <v>45</v>
      </c>
      <c r="E1586">
        <v>53</v>
      </c>
      <c r="F1586">
        <v>75</v>
      </c>
      <c r="G1586">
        <v>4.63</v>
      </c>
      <c r="H1586" t="s">
        <v>18</v>
      </c>
      <c r="I1586" t="s">
        <v>150</v>
      </c>
      <c r="K1586" t="str">
        <v>budget</v>
      </c>
      <c r="L1586">
        <v>64</v>
      </c>
    </row>
    <row r="1587" spans="2:12" x14ac:dyDescent="0.3">
      <c r="B1587" t="s">
        <v>1516</v>
      </c>
      <c r="C1587">
        <v>95</v>
      </c>
      <c r="D1587" t="s">
        <v>82</v>
      </c>
      <c r="E1587">
        <v>50</v>
      </c>
      <c r="F1587">
        <v>71</v>
      </c>
      <c r="G1587">
        <v>10.29</v>
      </c>
      <c r="H1587" t="s">
        <v>18</v>
      </c>
      <c r="I1587" t="s">
        <v>21</v>
      </c>
      <c r="K1587" t="str">
        <v>budget</v>
      </c>
      <c r="L1587">
        <v>60.5</v>
      </c>
    </row>
    <row r="1588" spans="2:12" x14ac:dyDescent="0.3">
      <c r="B1588" t="s">
        <v>1517</v>
      </c>
      <c r="C1588">
        <v>94</v>
      </c>
      <c r="D1588" t="s">
        <v>45</v>
      </c>
      <c r="E1588">
        <v>54</v>
      </c>
      <c r="F1588">
        <v>74</v>
      </c>
      <c r="G1588">
        <v>10.23</v>
      </c>
      <c r="H1588" t="s">
        <v>18</v>
      </c>
      <c r="I1588" t="s">
        <v>18</v>
      </c>
      <c r="K1588" t="str">
        <v>budget</v>
      </c>
      <c r="L1588">
        <v>64</v>
      </c>
    </row>
    <row r="1589" spans="2:12" x14ac:dyDescent="0.3">
      <c r="B1589" t="s">
        <v>1518</v>
      </c>
      <c r="C1589">
        <v>94</v>
      </c>
      <c r="D1589" t="s">
        <v>41</v>
      </c>
      <c r="E1589">
        <v>62</v>
      </c>
      <c r="F1589">
        <v>84</v>
      </c>
      <c r="G1589">
        <v>58.24</v>
      </c>
      <c r="H1589" t="s">
        <v>18</v>
      </c>
      <c r="I1589" t="s">
        <v>14</v>
      </c>
      <c r="K1589" t="str">
        <v>middle</v>
      </c>
      <c r="L1589">
        <v>73</v>
      </c>
    </row>
    <row r="1590" spans="2:12" x14ac:dyDescent="0.3">
      <c r="B1590" t="s">
        <v>1519</v>
      </c>
      <c r="C1590">
        <v>94</v>
      </c>
      <c r="D1590" t="s">
        <v>45</v>
      </c>
      <c r="E1590">
        <v>54</v>
      </c>
      <c r="F1590">
        <v>80</v>
      </c>
      <c r="G1590">
        <v>22.02</v>
      </c>
      <c r="H1590" t="s">
        <v>18</v>
      </c>
      <c r="I1590" t="s">
        <v>18</v>
      </c>
      <c r="K1590" t="str">
        <v>budget</v>
      </c>
      <c r="L1590">
        <v>67</v>
      </c>
    </row>
    <row r="1591" spans="2:12" x14ac:dyDescent="0.3">
      <c r="B1591" t="s">
        <v>810</v>
      </c>
      <c r="C1591">
        <v>94</v>
      </c>
      <c r="D1591" t="s">
        <v>45</v>
      </c>
      <c r="E1591">
        <v>54</v>
      </c>
      <c r="F1591">
        <v>80</v>
      </c>
      <c r="G1591">
        <v>4.41</v>
      </c>
      <c r="H1591" t="s">
        <v>31</v>
      </c>
      <c r="I1591" t="s">
        <v>16</v>
      </c>
      <c r="K1591" t="str">
        <v>budget</v>
      </c>
      <c r="L1591">
        <v>67</v>
      </c>
    </row>
    <row r="1592" spans="2:12" x14ac:dyDescent="0.3">
      <c r="B1592" t="s">
        <v>1520</v>
      </c>
      <c r="C1592">
        <v>95</v>
      </c>
      <c r="D1592" t="s">
        <v>45</v>
      </c>
      <c r="E1592">
        <v>55</v>
      </c>
      <c r="F1592">
        <v>78</v>
      </c>
      <c r="G1592">
        <v>15.43</v>
      </c>
      <c r="H1592" t="s">
        <v>18</v>
      </c>
      <c r="I1592" t="s">
        <v>9</v>
      </c>
      <c r="K1592" t="str">
        <v>budget</v>
      </c>
      <c r="L1592">
        <v>66.5</v>
      </c>
    </row>
    <row r="1593" spans="2:12" x14ac:dyDescent="0.3">
      <c r="B1593" t="s">
        <v>1521</v>
      </c>
      <c r="C1593">
        <v>94</v>
      </c>
      <c r="D1593" t="s">
        <v>45</v>
      </c>
      <c r="E1593">
        <v>55</v>
      </c>
      <c r="F1593">
        <v>76</v>
      </c>
      <c r="G1593">
        <v>8.82</v>
      </c>
      <c r="H1593" t="s">
        <v>18</v>
      </c>
      <c r="I1593" t="s">
        <v>12</v>
      </c>
      <c r="K1593" t="str">
        <v>budget</v>
      </c>
      <c r="L1593">
        <v>65.5</v>
      </c>
    </row>
    <row r="1594" spans="2:12" x14ac:dyDescent="0.3">
      <c r="B1594" t="s">
        <v>1522</v>
      </c>
      <c r="C1594">
        <v>94</v>
      </c>
      <c r="D1594" t="s">
        <v>45</v>
      </c>
      <c r="E1594">
        <v>53</v>
      </c>
      <c r="F1594">
        <v>73</v>
      </c>
      <c r="G1594">
        <v>5.29</v>
      </c>
      <c r="H1594" t="s">
        <v>18</v>
      </c>
      <c r="I1594" t="s">
        <v>16</v>
      </c>
      <c r="K1594" t="str">
        <v>budget</v>
      </c>
      <c r="L1594">
        <v>63</v>
      </c>
    </row>
    <row r="1595" spans="2:12" x14ac:dyDescent="0.3">
      <c r="B1595" t="s">
        <v>1523</v>
      </c>
      <c r="C1595">
        <v>94</v>
      </c>
      <c r="D1595" t="s">
        <v>45</v>
      </c>
      <c r="E1595">
        <v>51</v>
      </c>
      <c r="F1595">
        <v>72</v>
      </c>
      <c r="G1595">
        <v>110.23</v>
      </c>
      <c r="H1595" t="s">
        <v>2</v>
      </c>
      <c r="I1595" t="s">
        <v>14</v>
      </c>
      <c r="K1595" t="str">
        <v>premium</v>
      </c>
      <c r="L1595">
        <v>61.5</v>
      </c>
    </row>
    <row r="1596" spans="2:12" x14ac:dyDescent="0.3">
      <c r="B1596" t="s">
        <v>1037</v>
      </c>
      <c r="C1596">
        <v>94</v>
      </c>
      <c r="D1596" t="s">
        <v>45</v>
      </c>
      <c r="E1596">
        <v>56</v>
      </c>
      <c r="F1596">
        <v>80</v>
      </c>
      <c r="G1596">
        <v>4.26</v>
      </c>
      <c r="H1596" t="s">
        <v>18</v>
      </c>
      <c r="I1596" t="s">
        <v>9</v>
      </c>
      <c r="K1596" t="str">
        <v>budget</v>
      </c>
      <c r="L1596">
        <v>68</v>
      </c>
    </row>
    <row r="1597" spans="2:12" x14ac:dyDescent="0.3">
      <c r="B1597" t="s">
        <v>1524</v>
      </c>
      <c r="C1597">
        <v>96</v>
      </c>
      <c r="D1597" t="s">
        <v>45</v>
      </c>
      <c r="E1597">
        <v>56</v>
      </c>
      <c r="F1597">
        <v>77</v>
      </c>
      <c r="G1597">
        <v>4.26</v>
      </c>
      <c r="H1597" t="s">
        <v>18</v>
      </c>
      <c r="I1597" t="s">
        <v>12</v>
      </c>
      <c r="K1597" t="str">
        <v>budget</v>
      </c>
      <c r="L1597">
        <v>66.5</v>
      </c>
    </row>
    <row r="1598" spans="2:12" x14ac:dyDescent="0.3">
      <c r="B1598" t="s">
        <v>1525</v>
      </c>
      <c r="C1598">
        <v>94</v>
      </c>
      <c r="D1598" t="s">
        <v>45</v>
      </c>
      <c r="E1598">
        <v>56</v>
      </c>
      <c r="F1598">
        <v>77</v>
      </c>
      <c r="G1598">
        <v>38.799999999999997</v>
      </c>
      <c r="H1598" t="s">
        <v>18</v>
      </c>
      <c r="I1598" t="s">
        <v>9</v>
      </c>
      <c r="K1598" t="str">
        <v>middle</v>
      </c>
      <c r="L1598">
        <v>66.5</v>
      </c>
    </row>
    <row r="1599" spans="2:12" x14ac:dyDescent="0.3">
      <c r="B1599" t="s">
        <v>1526</v>
      </c>
      <c r="C1599">
        <v>94</v>
      </c>
      <c r="D1599" t="s">
        <v>45</v>
      </c>
      <c r="E1599">
        <v>58</v>
      </c>
      <c r="F1599">
        <v>82</v>
      </c>
      <c r="G1599">
        <v>5.86</v>
      </c>
      <c r="H1599" t="s">
        <v>18</v>
      </c>
      <c r="I1599" t="s">
        <v>9</v>
      </c>
      <c r="K1599" t="str">
        <v>budget</v>
      </c>
      <c r="L1599">
        <v>70</v>
      </c>
    </row>
    <row r="1600" spans="2:12" x14ac:dyDescent="0.3">
      <c r="B1600" t="s">
        <v>1527</v>
      </c>
      <c r="C1600">
        <v>95</v>
      </c>
      <c r="D1600" t="s">
        <v>45</v>
      </c>
      <c r="E1600">
        <v>50</v>
      </c>
      <c r="F1600">
        <v>74</v>
      </c>
      <c r="G1600">
        <v>99.21</v>
      </c>
      <c r="H1600" t="s">
        <v>2</v>
      </c>
      <c r="I1600" t="s">
        <v>7</v>
      </c>
      <c r="K1600" t="str">
        <v>middle</v>
      </c>
      <c r="L1600">
        <v>62</v>
      </c>
    </row>
    <row r="1601" spans="2:12" x14ac:dyDescent="0.3">
      <c r="B1601" t="s">
        <v>1528</v>
      </c>
      <c r="C1601">
        <v>94</v>
      </c>
      <c r="D1601" t="s">
        <v>45</v>
      </c>
      <c r="E1601">
        <v>56</v>
      </c>
      <c r="F1601">
        <v>76</v>
      </c>
      <c r="G1601">
        <v>5.29</v>
      </c>
      <c r="H1601" t="s">
        <v>18</v>
      </c>
      <c r="I1601" t="s">
        <v>9</v>
      </c>
      <c r="K1601" t="str">
        <v>budget</v>
      </c>
      <c r="L1601">
        <v>66</v>
      </c>
    </row>
    <row r="1602" spans="2:12" x14ac:dyDescent="0.3">
      <c r="B1602" t="s">
        <v>1529</v>
      </c>
      <c r="C1602">
        <v>94</v>
      </c>
      <c r="D1602" t="s">
        <v>45</v>
      </c>
      <c r="E1602">
        <v>56</v>
      </c>
      <c r="F1602">
        <v>76</v>
      </c>
      <c r="G1602">
        <v>4.5</v>
      </c>
      <c r="H1602" t="s">
        <v>18</v>
      </c>
      <c r="I1602" t="s">
        <v>12</v>
      </c>
      <c r="K1602" t="str">
        <v>budget</v>
      </c>
      <c r="L1602">
        <v>66</v>
      </c>
    </row>
    <row r="1603" spans="2:12" x14ac:dyDescent="0.3">
      <c r="B1603" t="s">
        <v>890</v>
      </c>
      <c r="C1603">
        <v>96</v>
      </c>
      <c r="D1603" t="s">
        <v>45</v>
      </c>
      <c r="E1603">
        <v>56</v>
      </c>
      <c r="F1603">
        <v>76</v>
      </c>
      <c r="G1603">
        <v>22.02</v>
      </c>
      <c r="H1603" t="s">
        <v>18</v>
      </c>
      <c r="I1603" t="s">
        <v>18</v>
      </c>
      <c r="K1603" t="str">
        <v>budget</v>
      </c>
      <c r="L1603">
        <v>66</v>
      </c>
    </row>
    <row r="1604" spans="2:12" x14ac:dyDescent="0.3">
      <c r="B1604" t="s">
        <v>1530</v>
      </c>
      <c r="C1604">
        <v>95</v>
      </c>
      <c r="D1604" t="s">
        <v>45</v>
      </c>
      <c r="E1604">
        <v>56</v>
      </c>
      <c r="F1604">
        <v>76</v>
      </c>
      <c r="G1604">
        <v>335.1</v>
      </c>
      <c r="H1604" t="s">
        <v>2</v>
      </c>
      <c r="I1604" t="s">
        <v>9</v>
      </c>
      <c r="K1604" t="str">
        <v>premium</v>
      </c>
      <c r="L1604">
        <v>66</v>
      </c>
    </row>
    <row r="1605" spans="2:12" x14ac:dyDescent="0.3">
      <c r="B1605" t="s">
        <v>1531</v>
      </c>
      <c r="C1605">
        <v>97</v>
      </c>
      <c r="D1605" t="s">
        <v>82</v>
      </c>
      <c r="E1605">
        <v>47</v>
      </c>
      <c r="F1605">
        <v>68</v>
      </c>
      <c r="G1605">
        <v>37.479999999999997</v>
      </c>
      <c r="H1605" t="s">
        <v>18</v>
      </c>
      <c r="I1605" t="s">
        <v>8</v>
      </c>
      <c r="K1605" t="str">
        <v>middle</v>
      </c>
      <c r="L1605">
        <v>57.5</v>
      </c>
    </row>
    <row r="1606" spans="2:12" x14ac:dyDescent="0.3">
      <c r="B1606" t="s">
        <v>1532</v>
      </c>
      <c r="C1606">
        <v>94</v>
      </c>
      <c r="D1606" t="s">
        <v>45</v>
      </c>
      <c r="E1606">
        <v>59</v>
      </c>
      <c r="F1606">
        <v>78</v>
      </c>
      <c r="G1606">
        <v>5.59</v>
      </c>
      <c r="H1606" t="s">
        <v>18</v>
      </c>
      <c r="I1606" t="s">
        <v>14</v>
      </c>
      <c r="K1606" t="str">
        <v>budget</v>
      </c>
      <c r="L1606">
        <v>68.5</v>
      </c>
    </row>
    <row r="1607" spans="2:12" x14ac:dyDescent="0.3">
      <c r="B1607" t="s">
        <v>1533</v>
      </c>
      <c r="C1607">
        <v>94</v>
      </c>
      <c r="D1607" t="s">
        <v>45</v>
      </c>
      <c r="E1607">
        <v>56</v>
      </c>
      <c r="F1607">
        <v>70</v>
      </c>
      <c r="G1607">
        <v>3.86</v>
      </c>
      <c r="H1607" t="s">
        <v>18</v>
      </c>
      <c r="I1607" t="s">
        <v>19</v>
      </c>
      <c r="K1607" t="str">
        <v>budget</v>
      </c>
      <c r="L1607">
        <v>63</v>
      </c>
    </row>
    <row r="1608" spans="2:12" x14ac:dyDescent="0.3">
      <c r="B1608" t="s">
        <v>1534</v>
      </c>
      <c r="C1608">
        <v>95</v>
      </c>
      <c r="D1608" t="s">
        <v>45</v>
      </c>
      <c r="E1608">
        <v>57</v>
      </c>
      <c r="F1608">
        <v>83</v>
      </c>
      <c r="G1608">
        <v>33.51</v>
      </c>
      <c r="H1608" t="s">
        <v>18</v>
      </c>
      <c r="I1608" t="s">
        <v>5</v>
      </c>
      <c r="K1608" t="str">
        <v>middle</v>
      </c>
      <c r="L1608">
        <v>70</v>
      </c>
    </row>
    <row r="1609" spans="2:12" x14ac:dyDescent="0.3">
      <c r="B1609" t="s">
        <v>1535</v>
      </c>
      <c r="C1609">
        <v>95</v>
      </c>
      <c r="D1609" t="s">
        <v>45</v>
      </c>
      <c r="E1609">
        <v>54</v>
      </c>
      <c r="F1609">
        <v>78</v>
      </c>
      <c r="G1609">
        <v>5.07</v>
      </c>
      <c r="H1609" t="s">
        <v>18</v>
      </c>
      <c r="I1609" t="s">
        <v>17</v>
      </c>
      <c r="K1609" t="str">
        <v>budget</v>
      </c>
      <c r="L1609">
        <v>66</v>
      </c>
    </row>
    <row r="1610" spans="2:12" x14ac:dyDescent="0.3">
      <c r="B1610" t="s">
        <v>1536</v>
      </c>
      <c r="C1610">
        <v>94</v>
      </c>
      <c r="D1610" t="s">
        <v>45</v>
      </c>
      <c r="E1610">
        <v>54</v>
      </c>
      <c r="F1610">
        <v>76</v>
      </c>
      <c r="G1610">
        <v>330.7</v>
      </c>
      <c r="H1610" t="s">
        <v>2</v>
      </c>
      <c r="I1610" t="s">
        <v>9</v>
      </c>
      <c r="K1610" t="str">
        <v>premium</v>
      </c>
      <c r="L1610">
        <v>65</v>
      </c>
    </row>
    <row r="1611" spans="2:12" x14ac:dyDescent="0.3">
      <c r="B1611" t="s">
        <v>1537</v>
      </c>
      <c r="C1611">
        <v>97</v>
      </c>
      <c r="D1611" t="s">
        <v>45</v>
      </c>
      <c r="E1611">
        <v>57</v>
      </c>
      <c r="F1611">
        <v>76</v>
      </c>
      <c r="G1611">
        <v>5.47</v>
      </c>
      <c r="H1611" t="s">
        <v>18</v>
      </c>
      <c r="I1611" t="s">
        <v>16</v>
      </c>
      <c r="K1611" t="str">
        <v>budget</v>
      </c>
      <c r="L1611">
        <v>66.5</v>
      </c>
    </row>
    <row r="1612" spans="2:12" x14ac:dyDescent="0.3">
      <c r="B1612" t="s">
        <v>1538</v>
      </c>
      <c r="C1612">
        <v>94</v>
      </c>
      <c r="D1612" t="s">
        <v>82</v>
      </c>
      <c r="E1612">
        <v>50</v>
      </c>
      <c r="F1612">
        <v>64</v>
      </c>
      <c r="G1612">
        <v>22.03</v>
      </c>
      <c r="H1612" t="s">
        <v>2</v>
      </c>
      <c r="I1612" t="s">
        <v>9</v>
      </c>
      <c r="K1612" t="str">
        <v>budget</v>
      </c>
      <c r="L1612">
        <v>57</v>
      </c>
    </row>
    <row r="1613" spans="2:12" x14ac:dyDescent="0.3">
      <c r="B1613" t="s">
        <v>1539</v>
      </c>
      <c r="C1613">
        <v>95</v>
      </c>
      <c r="D1613" t="s">
        <v>45</v>
      </c>
      <c r="E1613">
        <v>56</v>
      </c>
      <c r="F1613">
        <v>78</v>
      </c>
      <c r="G1613">
        <v>12.79</v>
      </c>
      <c r="H1613" t="s">
        <v>18</v>
      </c>
      <c r="I1613" t="s">
        <v>5</v>
      </c>
      <c r="K1613" t="str">
        <v>budget</v>
      </c>
      <c r="L1613">
        <v>67</v>
      </c>
    </row>
    <row r="1614" spans="2:12" x14ac:dyDescent="0.3">
      <c r="B1614" t="s">
        <v>1540</v>
      </c>
      <c r="C1614">
        <v>95</v>
      </c>
      <c r="D1614" t="s">
        <v>45</v>
      </c>
      <c r="E1614">
        <v>54</v>
      </c>
      <c r="F1614">
        <v>74</v>
      </c>
      <c r="G1614">
        <v>15.43</v>
      </c>
      <c r="H1614" t="s">
        <v>18</v>
      </c>
      <c r="I1614" t="s">
        <v>9</v>
      </c>
      <c r="K1614" t="str">
        <v>budget</v>
      </c>
      <c r="L1614">
        <v>64</v>
      </c>
    </row>
    <row r="1615" spans="2:12" x14ac:dyDescent="0.3">
      <c r="B1615" t="s">
        <v>1541</v>
      </c>
      <c r="C1615">
        <v>94</v>
      </c>
      <c r="D1615" t="s">
        <v>45</v>
      </c>
      <c r="E1615">
        <v>58</v>
      </c>
      <c r="F1615">
        <v>78</v>
      </c>
      <c r="G1615">
        <v>4.1900000000000004</v>
      </c>
      <c r="H1615" t="s">
        <v>2</v>
      </c>
      <c r="I1615" t="s">
        <v>9</v>
      </c>
      <c r="K1615" t="str">
        <v>budget</v>
      </c>
      <c r="L1615">
        <v>68</v>
      </c>
    </row>
    <row r="1616" spans="2:12" x14ac:dyDescent="0.3">
      <c r="B1616" t="s">
        <v>1542</v>
      </c>
      <c r="C1616">
        <v>94</v>
      </c>
      <c r="D1616" t="s">
        <v>45</v>
      </c>
      <c r="E1616">
        <v>58</v>
      </c>
      <c r="F1616">
        <v>78</v>
      </c>
      <c r="G1616">
        <v>22.02</v>
      </c>
      <c r="H1616" t="s">
        <v>18</v>
      </c>
      <c r="I1616" t="s">
        <v>5</v>
      </c>
      <c r="K1616" t="str">
        <v>budget</v>
      </c>
      <c r="L1616">
        <v>68</v>
      </c>
    </row>
    <row r="1617" spans="2:12" x14ac:dyDescent="0.3">
      <c r="B1617" t="s">
        <v>1543</v>
      </c>
      <c r="C1617">
        <v>94</v>
      </c>
      <c r="D1617" t="s">
        <v>45</v>
      </c>
      <c r="E1617">
        <v>52</v>
      </c>
      <c r="F1617">
        <v>71</v>
      </c>
      <c r="G1617">
        <v>5.73</v>
      </c>
      <c r="H1617" t="s">
        <v>18</v>
      </c>
      <c r="I1617" t="s">
        <v>12</v>
      </c>
      <c r="K1617" t="str">
        <v>budget</v>
      </c>
      <c r="L1617">
        <v>61.5</v>
      </c>
    </row>
    <row r="1618" spans="2:12" x14ac:dyDescent="0.3">
      <c r="B1618" t="s">
        <v>1544</v>
      </c>
      <c r="C1618">
        <v>96</v>
      </c>
      <c r="D1618" t="s">
        <v>45</v>
      </c>
      <c r="E1618">
        <v>59</v>
      </c>
      <c r="F1618">
        <v>82</v>
      </c>
      <c r="G1618">
        <v>21.16</v>
      </c>
      <c r="H1618" t="s">
        <v>18</v>
      </c>
      <c r="I1618" t="s">
        <v>18</v>
      </c>
      <c r="K1618" t="str">
        <v>budget</v>
      </c>
      <c r="L1618">
        <v>70.5</v>
      </c>
    </row>
    <row r="1619" spans="2:12" x14ac:dyDescent="0.3">
      <c r="B1619" t="s">
        <v>1545</v>
      </c>
      <c r="C1619">
        <v>95</v>
      </c>
      <c r="D1619" t="s">
        <v>45</v>
      </c>
      <c r="E1619">
        <v>60</v>
      </c>
      <c r="F1619">
        <v>80</v>
      </c>
      <c r="G1619">
        <v>5.29</v>
      </c>
      <c r="H1619" t="s">
        <v>18</v>
      </c>
      <c r="I1619" t="s">
        <v>9</v>
      </c>
      <c r="K1619" t="str">
        <v>budget</v>
      </c>
      <c r="L1619">
        <v>70</v>
      </c>
    </row>
    <row r="1620" spans="2:12" x14ac:dyDescent="0.3">
      <c r="B1620" t="s">
        <v>1461</v>
      </c>
      <c r="C1620">
        <v>95</v>
      </c>
      <c r="D1620" t="s">
        <v>41</v>
      </c>
      <c r="E1620">
        <v>65</v>
      </c>
      <c r="F1620">
        <v>82</v>
      </c>
      <c r="G1620">
        <v>11.02</v>
      </c>
      <c r="H1620" t="s">
        <v>18</v>
      </c>
      <c r="I1620" t="s">
        <v>5</v>
      </c>
      <c r="K1620" t="str">
        <v>budget</v>
      </c>
      <c r="L1620">
        <v>73.5</v>
      </c>
    </row>
    <row r="1621" spans="2:12" x14ac:dyDescent="0.3">
      <c r="B1621" t="s">
        <v>1546</v>
      </c>
      <c r="C1621">
        <v>95</v>
      </c>
      <c r="D1621" t="s">
        <v>45</v>
      </c>
      <c r="E1621">
        <v>58</v>
      </c>
      <c r="F1621">
        <v>78</v>
      </c>
      <c r="G1621">
        <v>20.94</v>
      </c>
      <c r="H1621" t="s">
        <v>18</v>
      </c>
      <c r="I1621" t="s">
        <v>5</v>
      </c>
      <c r="K1621" t="str">
        <v>budget</v>
      </c>
      <c r="L1621">
        <v>68</v>
      </c>
    </row>
    <row r="1622" spans="2:12" x14ac:dyDescent="0.3">
      <c r="B1622" t="s">
        <v>1547</v>
      </c>
      <c r="C1622">
        <v>94</v>
      </c>
      <c r="D1622" t="s">
        <v>41</v>
      </c>
      <c r="E1622">
        <v>62</v>
      </c>
      <c r="F1622">
        <v>84</v>
      </c>
      <c r="G1622">
        <v>8.82</v>
      </c>
      <c r="H1622" t="s">
        <v>18</v>
      </c>
      <c r="I1622" t="s">
        <v>12</v>
      </c>
      <c r="K1622" t="str">
        <v>budget</v>
      </c>
      <c r="L1622">
        <v>73</v>
      </c>
    </row>
    <row r="1623" spans="2:12" x14ac:dyDescent="0.3">
      <c r="B1623" t="s">
        <v>1548</v>
      </c>
      <c r="C1623">
        <v>94</v>
      </c>
      <c r="D1623" t="s">
        <v>41</v>
      </c>
      <c r="E1623">
        <v>66</v>
      </c>
      <c r="F1623">
        <v>82</v>
      </c>
      <c r="G1623">
        <v>14.11</v>
      </c>
      <c r="H1623" t="s">
        <v>18</v>
      </c>
      <c r="I1623" t="s">
        <v>5</v>
      </c>
      <c r="K1623" t="str">
        <v>budget</v>
      </c>
      <c r="L1623">
        <v>74</v>
      </c>
    </row>
    <row r="1624" spans="2:12" x14ac:dyDescent="0.3">
      <c r="B1624" t="s">
        <v>1549</v>
      </c>
      <c r="C1624">
        <v>94</v>
      </c>
      <c r="D1624" t="s">
        <v>541</v>
      </c>
      <c r="E1624">
        <v>43</v>
      </c>
      <c r="F1624">
        <v>52</v>
      </c>
      <c r="G1624">
        <v>220.46</v>
      </c>
      <c r="H1624" t="s">
        <v>2</v>
      </c>
      <c r="I1624" t="s">
        <v>10</v>
      </c>
      <c r="K1624" t="str">
        <v>premium</v>
      </c>
      <c r="L1624">
        <v>47.5</v>
      </c>
    </row>
    <row r="1625" spans="2:12" x14ac:dyDescent="0.3">
      <c r="B1625" t="s">
        <v>1550</v>
      </c>
      <c r="C1625">
        <v>94</v>
      </c>
      <c r="D1625" t="s">
        <v>41</v>
      </c>
      <c r="E1625">
        <v>63</v>
      </c>
      <c r="F1625">
        <v>84</v>
      </c>
      <c r="G1625">
        <v>6.8</v>
      </c>
      <c r="H1625" t="s">
        <v>18</v>
      </c>
      <c r="I1625" t="s">
        <v>9</v>
      </c>
      <c r="K1625" t="str">
        <v>budget</v>
      </c>
      <c r="L1625">
        <v>73.5</v>
      </c>
    </row>
    <row r="1626" spans="2:12" x14ac:dyDescent="0.3">
      <c r="B1626" t="s">
        <v>1551</v>
      </c>
      <c r="C1626">
        <v>95</v>
      </c>
      <c r="D1626" t="s">
        <v>82</v>
      </c>
      <c r="E1626">
        <v>47</v>
      </c>
      <c r="F1626">
        <v>70</v>
      </c>
      <c r="G1626">
        <v>308.64999999999998</v>
      </c>
      <c r="H1626" t="s">
        <v>2</v>
      </c>
      <c r="I1626" t="s">
        <v>9</v>
      </c>
      <c r="K1626" t="str">
        <v>premium</v>
      </c>
      <c r="L1626">
        <v>58.5</v>
      </c>
    </row>
    <row r="1627" spans="2:12" x14ac:dyDescent="0.3">
      <c r="B1627" t="s">
        <v>1552</v>
      </c>
      <c r="C1627">
        <v>94</v>
      </c>
      <c r="D1627" t="s">
        <v>82</v>
      </c>
      <c r="E1627">
        <v>52</v>
      </c>
      <c r="F1627">
        <v>64</v>
      </c>
      <c r="G1627">
        <v>4.78</v>
      </c>
      <c r="H1627" t="s">
        <v>18</v>
      </c>
      <c r="I1627" t="s">
        <v>12</v>
      </c>
      <c r="K1627" t="str">
        <v>budget</v>
      </c>
      <c r="L1627">
        <v>58</v>
      </c>
    </row>
    <row r="1628" spans="2:12" x14ac:dyDescent="0.3">
      <c r="B1628" t="s">
        <v>1553</v>
      </c>
      <c r="C1628">
        <v>95</v>
      </c>
      <c r="D1628" t="s">
        <v>45</v>
      </c>
      <c r="E1628">
        <v>52</v>
      </c>
      <c r="F1628">
        <v>74</v>
      </c>
      <c r="G1628">
        <v>286.60000000000002</v>
      </c>
      <c r="H1628" t="s">
        <v>2</v>
      </c>
      <c r="I1628" t="s">
        <v>9</v>
      </c>
      <c r="K1628" t="str">
        <v>premium</v>
      </c>
      <c r="L1628">
        <v>63</v>
      </c>
    </row>
    <row r="1629" spans="2:12" x14ac:dyDescent="0.3">
      <c r="B1629" t="s">
        <v>1554</v>
      </c>
      <c r="C1629">
        <v>97</v>
      </c>
      <c r="D1629" t="s">
        <v>45</v>
      </c>
      <c r="E1629">
        <v>56</v>
      </c>
      <c r="F1629">
        <v>78</v>
      </c>
      <c r="G1629">
        <v>7.05</v>
      </c>
      <c r="H1629" t="s">
        <v>18</v>
      </c>
      <c r="I1629" t="s">
        <v>12</v>
      </c>
      <c r="K1629" t="str">
        <v>budget</v>
      </c>
      <c r="L1629">
        <v>67</v>
      </c>
    </row>
    <row r="1630" spans="2:12" x14ac:dyDescent="0.3">
      <c r="B1630" t="s">
        <v>1331</v>
      </c>
      <c r="C1630">
        <v>95</v>
      </c>
      <c r="D1630" t="s">
        <v>45</v>
      </c>
      <c r="E1630">
        <v>55</v>
      </c>
      <c r="F1630">
        <v>77</v>
      </c>
      <c r="G1630">
        <v>6.17</v>
      </c>
      <c r="H1630" t="s">
        <v>18</v>
      </c>
      <c r="I1630" t="s">
        <v>16</v>
      </c>
      <c r="K1630" t="str">
        <v>budget</v>
      </c>
      <c r="L1630">
        <v>66</v>
      </c>
    </row>
    <row r="1631" spans="2:12" x14ac:dyDescent="0.3">
      <c r="B1631" t="s">
        <v>1555</v>
      </c>
      <c r="C1631">
        <v>94</v>
      </c>
      <c r="D1631" t="s">
        <v>45</v>
      </c>
      <c r="E1631">
        <v>60</v>
      </c>
      <c r="F1631">
        <v>76</v>
      </c>
      <c r="G1631">
        <v>5.88</v>
      </c>
      <c r="H1631" t="s">
        <v>18</v>
      </c>
      <c r="I1631" t="s">
        <v>22</v>
      </c>
      <c r="K1631" t="str">
        <v>budget</v>
      </c>
      <c r="L1631">
        <v>68</v>
      </c>
    </row>
    <row r="1632" spans="2:12" x14ac:dyDescent="0.3">
      <c r="B1632" t="s">
        <v>1367</v>
      </c>
      <c r="C1632">
        <v>94</v>
      </c>
      <c r="D1632" t="s">
        <v>45</v>
      </c>
      <c r="E1632">
        <v>60</v>
      </c>
      <c r="F1632">
        <v>78</v>
      </c>
      <c r="G1632">
        <v>5.28</v>
      </c>
      <c r="H1632" t="s">
        <v>18</v>
      </c>
      <c r="I1632" t="s">
        <v>12</v>
      </c>
      <c r="K1632" t="str">
        <v>budget</v>
      </c>
      <c r="L1632">
        <v>69</v>
      </c>
    </row>
    <row r="1633" spans="2:12" x14ac:dyDescent="0.3">
      <c r="B1633" t="s">
        <v>1556</v>
      </c>
      <c r="C1633">
        <v>94</v>
      </c>
      <c r="D1633" t="s">
        <v>45</v>
      </c>
      <c r="E1633">
        <v>56</v>
      </c>
      <c r="F1633">
        <v>78</v>
      </c>
      <c r="G1633">
        <v>7.05</v>
      </c>
      <c r="H1633" t="s">
        <v>18</v>
      </c>
      <c r="I1633" t="s">
        <v>14</v>
      </c>
      <c r="K1633" t="str">
        <v>budget</v>
      </c>
      <c r="L1633">
        <v>67</v>
      </c>
    </row>
    <row r="1634" spans="2:12" x14ac:dyDescent="0.3">
      <c r="B1634" t="s">
        <v>1557</v>
      </c>
      <c r="C1634">
        <v>95</v>
      </c>
      <c r="D1634" t="s">
        <v>45</v>
      </c>
      <c r="E1634">
        <v>54</v>
      </c>
      <c r="F1634">
        <v>76</v>
      </c>
      <c r="G1634">
        <v>17.61</v>
      </c>
      <c r="H1634" t="s">
        <v>18</v>
      </c>
      <c r="I1634" t="s">
        <v>18</v>
      </c>
      <c r="K1634" t="str">
        <v>budget</v>
      </c>
      <c r="L1634">
        <v>65</v>
      </c>
    </row>
    <row r="1635" spans="2:12" x14ac:dyDescent="0.3">
      <c r="B1635" t="s">
        <v>1558</v>
      </c>
      <c r="C1635">
        <v>95</v>
      </c>
      <c r="D1635" t="s">
        <v>45</v>
      </c>
      <c r="E1635">
        <v>60</v>
      </c>
      <c r="F1635">
        <v>80</v>
      </c>
      <c r="G1635">
        <v>5.28</v>
      </c>
      <c r="H1635" t="s">
        <v>18</v>
      </c>
      <c r="I1635" t="s">
        <v>12</v>
      </c>
      <c r="K1635" t="str">
        <v>budget</v>
      </c>
      <c r="L1635">
        <v>70</v>
      </c>
    </row>
    <row r="1636" spans="2:12" x14ac:dyDescent="0.3">
      <c r="B1636" t="s">
        <v>1559</v>
      </c>
      <c r="C1636">
        <v>94</v>
      </c>
      <c r="D1636" t="s">
        <v>45</v>
      </c>
      <c r="E1636">
        <v>55</v>
      </c>
      <c r="F1636">
        <v>78</v>
      </c>
      <c r="G1636">
        <v>5.73</v>
      </c>
      <c r="H1636" t="s">
        <v>18</v>
      </c>
      <c r="I1636" t="s">
        <v>21</v>
      </c>
      <c r="K1636" t="str">
        <v>budget</v>
      </c>
      <c r="L1636">
        <v>66.5</v>
      </c>
    </row>
    <row r="1637" spans="2:12" x14ac:dyDescent="0.3">
      <c r="B1637" t="s">
        <v>1560</v>
      </c>
      <c r="C1637">
        <v>95</v>
      </c>
      <c r="D1637" t="s">
        <v>45</v>
      </c>
      <c r="E1637">
        <v>56</v>
      </c>
      <c r="F1637">
        <v>78</v>
      </c>
      <c r="G1637">
        <v>5.29</v>
      </c>
      <c r="H1637" t="s">
        <v>18</v>
      </c>
      <c r="I1637" t="s">
        <v>12</v>
      </c>
      <c r="K1637" t="str">
        <v>budget</v>
      </c>
      <c r="L1637">
        <v>67</v>
      </c>
    </row>
    <row r="1638" spans="2:12" x14ac:dyDescent="0.3">
      <c r="B1638" t="s">
        <v>1561</v>
      </c>
      <c r="C1638">
        <v>96</v>
      </c>
      <c r="D1638" t="s">
        <v>45</v>
      </c>
      <c r="E1638">
        <v>57</v>
      </c>
      <c r="F1638">
        <v>80</v>
      </c>
      <c r="G1638">
        <v>22.05</v>
      </c>
      <c r="H1638" t="s">
        <v>18</v>
      </c>
      <c r="I1638" t="s">
        <v>5</v>
      </c>
      <c r="K1638" t="str">
        <v>budget</v>
      </c>
      <c r="L1638">
        <v>68.5</v>
      </c>
    </row>
    <row r="1639" spans="2:12" x14ac:dyDescent="0.3">
      <c r="B1639" t="s">
        <v>1562</v>
      </c>
      <c r="C1639">
        <v>95</v>
      </c>
      <c r="D1639" t="s">
        <v>45</v>
      </c>
      <c r="E1639">
        <v>56</v>
      </c>
      <c r="F1639">
        <v>78</v>
      </c>
      <c r="G1639">
        <v>52.86</v>
      </c>
      <c r="H1639" t="s">
        <v>11</v>
      </c>
      <c r="I1639" t="s">
        <v>9</v>
      </c>
      <c r="K1639" t="str">
        <v>middle</v>
      </c>
      <c r="L1639">
        <v>67</v>
      </c>
    </row>
    <row r="1640" spans="2:12" x14ac:dyDescent="0.3">
      <c r="B1640" t="s">
        <v>1563</v>
      </c>
      <c r="C1640">
        <v>94</v>
      </c>
      <c r="D1640" t="s">
        <v>45</v>
      </c>
      <c r="E1640">
        <v>57</v>
      </c>
      <c r="F1640">
        <v>77</v>
      </c>
      <c r="G1640">
        <v>4.7</v>
      </c>
      <c r="H1640" t="s">
        <v>18</v>
      </c>
      <c r="I1640" t="s">
        <v>12</v>
      </c>
      <c r="K1640" t="str">
        <v>budget</v>
      </c>
      <c r="L1640">
        <v>67</v>
      </c>
    </row>
    <row r="1641" spans="2:12" x14ac:dyDescent="0.3">
      <c r="B1641" t="s">
        <v>1564</v>
      </c>
      <c r="C1641">
        <v>95</v>
      </c>
      <c r="D1641" t="s">
        <v>45</v>
      </c>
      <c r="E1641">
        <v>56</v>
      </c>
      <c r="F1641">
        <v>82</v>
      </c>
      <c r="G1641">
        <v>6.4</v>
      </c>
      <c r="H1641" t="s">
        <v>29</v>
      </c>
      <c r="I1641" t="s">
        <v>3</v>
      </c>
      <c r="K1641" t="str">
        <v>budget</v>
      </c>
      <c r="L1641">
        <v>69</v>
      </c>
    </row>
    <row r="1642" spans="2:12" x14ac:dyDescent="0.3">
      <c r="B1642" t="s">
        <v>1565</v>
      </c>
      <c r="C1642">
        <v>96</v>
      </c>
      <c r="D1642" t="s">
        <v>45</v>
      </c>
      <c r="E1642">
        <v>56</v>
      </c>
      <c r="F1642">
        <v>82</v>
      </c>
      <c r="G1642">
        <v>19.82</v>
      </c>
      <c r="H1642" t="s">
        <v>18</v>
      </c>
      <c r="I1642" t="s">
        <v>18</v>
      </c>
      <c r="K1642" t="str">
        <v>budget</v>
      </c>
      <c r="L1642">
        <v>69</v>
      </c>
    </row>
    <row r="1643" spans="2:12" x14ac:dyDescent="0.3">
      <c r="B1643" t="s">
        <v>1566</v>
      </c>
      <c r="C1643">
        <v>94</v>
      </c>
      <c r="D1643" t="s">
        <v>41</v>
      </c>
      <c r="E1643">
        <v>58</v>
      </c>
      <c r="F1643">
        <v>84</v>
      </c>
      <c r="G1643">
        <v>6.61</v>
      </c>
      <c r="H1643" t="s">
        <v>18</v>
      </c>
      <c r="I1643" t="s">
        <v>5</v>
      </c>
      <c r="K1643" t="str">
        <v>budget</v>
      </c>
      <c r="L1643">
        <v>71</v>
      </c>
    </row>
    <row r="1644" spans="2:12" x14ac:dyDescent="0.3">
      <c r="B1644" t="s">
        <v>1567</v>
      </c>
      <c r="C1644">
        <v>96</v>
      </c>
      <c r="D1644" t="s">
        <v>45</v>
      </c>
      <c r="E1644">
        <v>56</v>
      </c>
      <c r="F1644">
        <v>78</v>
      </c>
      <c r="G1644">
        <v>6</v>
      </c>
      <c r="H1644" t="s">
        <v>18</v>
      </c>
      <c r="I1644" t="s">
        <v>12</v>
      </c>
      <c r="K1644" t="str">
        <v>budget</v>
      </c>
      <c r="L1644">
        <v>67</v>
      </c>
    </row>
    <row r="1645" spans="2:12" x14ac:dyDescent="0.3">
      <c r="B1645" t="s">
        <v>1568</v>
      </c>
      <c r="C1645">
        <v>95</v>
      </c>
      <c r="D1645" t="s">
        <v>45</v>
      </c>
      <c r="E1645">
        <v>54</v>
      </c>
      <c r="F1645">
        <v>74</v>
      </c>
      <c r="G1645">
        <v>6</v>
      </c>
      <c r="H1645" t="s">
        <v>18</v>
      </c>
      <c r="I1645" t="s">
        <v>9</v>
      </c>
      <c r="K1645" t="str">
        <v>budget</v>
      </c>
      <c r="L1645">
        <v>64</v>
      </c>
    </row>
    <row r="1646" spans="2:12" x14ac:dyDescent="0.3">
      <c r="B1646" t="s">
        <v>1569</v>
      </c>
      <c r="C1646">
        <v>94</v>
      </c>
      <c r="D1646" t="s">
        <v>45</v>
      </c>
      <c r="E1646">
        <v>54</v>
      </c>
      <c r="F1646">
        <v>68</v>
      </c>
      <c r="G1646">
        <v>11.02</v>
      </c>
      <c r="H1646" t="s">
        <v>18</v>
      </c>
      <c r="I1646" t="s">
        <v>15</v>
      </c>
      <c r="K1646" t="str">
        <v>budget</v>
      </c>
      <c r="L1646">
        <v>61</v>
      </c>
    </row>
    <row r="1647" spans="2:12" x14ac:dyDescent="0.3">
      <c r="B1647" t="s">
        <v>1570</v>
      </c>
      <c r="C1647">
        <v>94</v>
      </c>
      <c r="D1647" t="s">
        <v>45</v>
      </c>
      <c r="E1647">
        <v>52</v>
      </c>
      <c r="F1647">
        <v>70</v>
      </c>
      <c r="G1647">
        <v>6.47</v>
      </c>
      <c r="H1647" t="s">
        <v>18</v>
      </c>
      <c r="I1647" t="s">
        <v>15</v>
      </c>
      <c r="K1647" t="str">
        <v>budget</v>
      </c>
      <c r="L1647">
        <v>61</v>
      </c>
    </row>
    <row r="1648" spans="2:12" x14ac:dyDescent="0.3">
      <c r="B1648" t="s">
        <v>1571</v>
      </c>
      <c r="C1648">
        <v>96</v>
      </c>
      <c r="D1648" t="s">
        <v>82</v>
      </c>
      <c r="E1648">
        <v>45</v>
      </c>
      <c r="F1648">
        <v>58</v>
      </c>
      <c r="G1648">
        <v>1152.42</v>
      </c>
      <c r="H1648" t="s">
        <v>2</v>
      </c>
      <c r="I1648" t="s">
        <v>5</v>
      </c>
      <c r="K1648" t="str">
        <v>premium</v>
      </c>
      <c r="L1648">
        <v>51.5</v>
      </c>
    </row>
    <row r="1649" spans="2:12" x14ac:dyDescent="0.3">
      <c r="B1649" t="s">
        <v>1572</v>
      </c>
      <c r="C1649">
        <v>94</v>
      </c>
      <c r="D1649" t="s">
        <v>541</v>
      </c>
      <c r="E1649">
        <v>44</v>
      </c>
      <c r="F1649">
        <v>54</v>
      </c>
      <c r="G1649">
        <v>509.25</v>
      </c>
      <c r="H1649" t="s">
        <v>2</v>
      </c>
      <c r="I1649" t="s">
        <v>15</v>
      </c>
      <c r="K1649" t="str">
        <v>premium</v>
      </c>
      <c r="L1649">
        <v>49</v>
      </c>
    </row>
    <row r="1650" spans="2:12" x14ac:dyDescent="0.3">
      <c r="B1650" t="s">
        <v>1573</v>
      </c>
      <c r="C1650">
        <v>94</v>
      </c>
      <c r="D1650" t="s">
        <v>45</v>
      </c>
      <c r="E1650">
        <v>58</v>
      </c>
      <c r="F1650">
        <v>80</v>
      </c>
      <c r="G1650">
        <v>4.63</v>
      </c>
      <c r="H1650" t="s">
        <v>2</v>
      </c>
      <c r="I1650" t="s">
        <v>9</v>
      </c>
      <c r="K1650" t="str">
        <v>budget</v>
      </c>
      <c r="L1650">
        <v>69</v>
      </c>
    </row>
    <row r="1651" spans="2:12" x14ac:dyDescent="0.3">
      <c r="B1651" t="s">
        <v>801</v>
      </c>
      <c r="C1651">
        <v>94</v>
      </c>
      <c r="D1651" t="s">
        <v>45</v>
      </c>
      <c r="E1651">
        <v>57</v>
      </c>
      <c r="F1651">
        <v>78</v>
      </c>
      <c r="G1651">
        <v>5.29</v>
      </c>
      <c r="H1651" t="s">
        <v>18</v>
      </c>
      <c r="I1651" t="s">
        <v>12</v>
      </c>
      <c r="K1651" t="str">
        <v>budget</v>
      </c>
      <c r="L1651">
        <v>67.5</v>
      </c>
    </row>
    <row r="1652" spans="2:12" x14ac:dyDescent="0.3">
      <c r="B1652" t="s">
        <v>1574</v>
      </c>
      <c r="C1652">
        <v>94</v>
      </c>
      <c r="D1652" t="s">
        <v>45</v>
      </c>
      <c r="E1652">
        <v>58</v>
      </c>
      <c r="F1652">
        <v>77</v>
      </c>
      <c r="G1652">
        <v>5</v>
      </c>
      <c r="H1652" t="s">
        <v>18</v>
      </c>
      <c r="I1652" t="s">
        <v>9</v>
      </c>
      <c r="K1652" t="str">
        <v>budget</v>
      </c>
      <c r="L1652">
        <v>67.5</v>
      </c>
    </row>
    <row r="1653" spans="2:12" x14ac:dyDescent="0.3">
      <c r="B1653" t="s">
        <v>1331</v>
      </c>
      <c r="C1653">
        <v>95</v>
      </c>
      <c r="D1653" t="s">
        <v>82</v>
      </c>
      <c r="E1653">
        <v>51</v>
      </c>
      <c r="F1653">
        <v>62</v>
      </c>
      <c r="G1653">
        <v>4.4800000000000004</v>
      </c>
      <c r="H1653" t="s">
        <v>18</v>
      </c>
      <c r="I1653" t="s">
        <v>16</v>
      </c>
      <c r="K1653" t="str">
        <v>budget</v>
      </c>
      <c r="L1653">
        <v>56.5</v>
      </c>
    </row>
    <row r="1654" spans="2:12" x14ac:dyDescent="0.3">
      <c r="B1654" t="s">
        <v>1575</v>
      </c>
      <c r="C1654">
        <v>95</v>
      </c>
      <c r="D1654" t="s">
        <v>45</v>
      </c>
      <c r="E1654">
        <v>56</v>
      </c>
      <c r="F1654">
        <v>78</v>
      </c>
      <c r="G1654">
        <v>7.35</v>
      </c>
      <c r="H1654" t="s">
        <v>18</v>
      </c>
      <c r="I1654" t="s">
        <v>12</v>
      </c>
      <c r="K1654" t="str">
        <v>budget</v>
      </c>
      <c r="L1654">
        <v>67</v>
      </c>
    </row>
    <row r="1655" spans="2:12" x14ac:dyDescent="0.3">
      <c r="B1655" t="s">
        <v>1576</v>
      </c>
      <c r="C1655">
        <v>96</v>
      </c>
      <c r="D1655" t="s">
        <v>41</v>
      </c>
      <c r="E1655">
        <v>58</v>
      </c>
      <c r="F1655">
        <v>84</v>
      </c>
      <c r="G1655">
        <v>6.17</v>
      </c>
      <c r="H1655" t="s">
        <v>18</v>
      </c>
      <c r="I1655" t="s">
        <v>12</v>
      </c>
      <c r="K1655" t="str">
        <v>budget</v>
      </c>
      <c r="L1655">
        <v>71</v>
      </c>
    </row>
    <row r="1656" spans="2:12" x14ac:dyDescent="0.3">
      <c r="B1656" t="s">
        <v>1577</v>
      </c>
      <c r="C1656">
        <v>96</v>
      </c>
      <c r="D1656" t="s">
        <v>45</v>
      </c>
      <c r="E1656">
        <v>55</v>
      </c>
      <c r="F1656">
        <v>74</v>
      </c>
      <c r="G1656">
        <v>5.57</v>
      </c>
      <c r="H1656" t="s">
        <v>18</v>
      </c>
      <c r="I1656" t="s">
        <v>12</v>
      </c>
      <c r="K1656" t="str">
        <v>budget</v>
      </c>
      <c r="L1656">
        <v>64.5</v>
      </c>
    </row>
    <row r="1657" spans="2:12" x14ac:dyDescent="0.3">
      <c r="B1657" t="s">
        <v>1237</v>
      </c>
      <c r="C1657">
        <v>94</v>
      </c>
      <c r="D1657" t="s">
        <v>45</v>
      </c>
      <c r="E1657">
        <v>55</v>
      </c>
      <c r="F1657">
        <v>75</v>
      </c>
      <c r="G1657">
        <v>5.29</v>
      </c>
      <c r="H1657" t="s">
        <v>18</v>
      </c>
      <c r="I1657" t="s">
        <v>5</v>
      </c>
      <c r="K1657" t="str">
        <v>budget</v>
      </c>
      <c r="L1657">
        <v>65</v>
      </c>
    </row>
    <row r="1658" spans="2:12" x14ac:dyDescent="0.3">
      <c r="B1658" t="s">
        <v>1578</v>
      </c>
      <c r="C1658">
        <v>95</v>
      </c>
      <c r="D1658" t="s">
        <v>45</v>
      </c>
      <c r="E1658">
        <v>58</v>
      </c>
      <c r="F1658">
        <v>78</v>
      </c>
      <c r="G1658">
        <v>5.51</v>
      </c>
      <c r="H1658" t="s">
        <v>18</v>
      </c>
      <c r="I1658" t="s">
        <v>9</v>
      </c>
      <c r="K1658" t="str">
        <v>budget</v>
      </c>
      <c r="L1658">
        <v>68</v>
      </c>
    </row>
    <row r="1659" spans="2:12" x14ac:dyDescent="0.3">
      <c r="B1659" t="s">
        <v>1579</v>
      </c>
      <c r="C1659">
        <v>94</v>
      </c>
      <c r="D1659" t="s">
        <v>45</v>
      </c>
      <c r="E1659">
        <v>52</v>
      </c>
      <c r="F1659">
        <v>74</v>
      </c>
      <c r="G1659">
        <v>6.17</v>
      </c>
      <c r="H1659" t="s">
        <v>18</v>
      </c>
      <c r="I1659" t="s">
        <v>16</v>
      </c>
      <c r="K1659" t="str">
        <v>budget</v>
      </c>
      <c r="L1659">
        <v>63</v>
      </c>
    </row>
    <row r="1660" spans="2:12" x14ac:dyDescent="0.3">
      <c r="B1660" t="s">
        <v>1580</v>
      </c>
      <c r="C1660">
        <v>94</v>
      </c>
      <c r="D1660" t="s">
        <v>41</v>
      </c>
      <c r="E1660">
        <v>65</v>
      </c>
      <c r="F1660">
        <v>78</v>
      </c>
      <c r="G1660">
        <v>4.7</v>
      </c>
      <c r="H1660" t="s">
        <v>18</v>
      </c>
      <c r="I1660" t="s">
        <v>9</v>
      </c>
      <c r="K1660" t="str">
        <v>budget</v>
      </c>
      <c r="L1660">
        <v>71.5</v>
      </c>
    </row>
    <row r="1661" spans="2:12" x14ac:dyDescent="0.3">
      <c r="B1661" t="s">
        <v>1581</v>
      </c>
      <c r="C1661">
        <v>96</v>
      </c>
      <c r="D1661" t="s">
        <v>45</v>
      </c>
      <c r="E1661">
        <v>56</v>
      </c>
      <c r="F1661">
        <v>80</v>
      </c>
      <c r="G1661">
        <v>4.8499999999999996</v>
      </c>
      <c r="H1661" t="s">
        <v>2</v>
      </c>
      <c r="I1661" t="s">
        <v>12</v>
      </c>
      <c r="K1661" t="str">
        <v>budget</v>
      </c>
      <c r="L1661">
        <v>68</v>
      </c>
    </row>
    <row r="1662" spans="2:12" x14ac:dyDescent="0.3">
      <c r="B1662" t="s">
        <v>1582</v>
      </c>
      <c r="C1662">
        <v>95</v>
      </c>
      <c r="D1662" t="s">
        <v>45</v>
      </c>
      <c r="E1662">
        <v>56</v>
      </c>
      <c r="F1662">
        <v>78</v>
      </c>
      <c r="G1662">
        <v>5.29</v>
      </c>
      <c r="H1662" t="s">
        <v>18</v>
      </c>
      <c r="I1662" t="s">
        <v>12</v>
      </c>
      <c r="K1662" t="str">
        <v>budget</v>
      </c>
      <c r="L1662">
        <v>67</v>
      </c>
    </row>
    <row r="1663" spans="2:12" x14ac:dyDescent="0.3">
      <c r="B1663" t="s">
        <v>1583</v>
      </c>
      <c r="C1663">
        <v>95</v>
      </c>
      <c r="D1663" t="s">
        <v>45</v>
      </c>
      <c r="E1663">
        <v>56</v>
      </c>
      <c r="F1663">
        <v>78</v>
      </c>
      <c r="G1663">
        <v>4.1900000000000004</v>
      </c>
      <c r="H1663" t="s">
        <v>2</v>
      </c>
      <c r="I1663" t="s">
        <v>9</v>
      </c>
      <c r="K1663" t="str">
        <v>budget</v>
      </c>
      <c r="L1663">
        <v>67</v>
      </c>
    </row>
    <row r="1664" spans="2:12" x14ac:dyDescent="0.3">
      <c r="B1664" t="s">
        <v>1584</v>
      </c>
      <c r="C1664">
        <v>94</v>
      </c>
      <c r="D1664" t="s">
        <v>45</v>
      </c>
      <c r="E1664">
        <v>54</v>
      </c>
      <c r="F1664">
        <v>75</v>
      </c>
      <c r="G1664">
        <v>4.41</v>
      </c>
      <c r="H1664" t="s">
        <v>18</v>
      </c>
      <c r="I1664" t="s">
        <v>12</v>
      </c>
      <c r="K1664" t="str">
        <v>budget</v>
      </c>
      <c r="L1664">
        <v>64.5</v>
      </c>
    </row>
    <row r="1665" spans="2:12" x14ac:dyDescent="0.3">
      <c r="B1665" t="s">
        <v>1585</v>
      </c>
      <c r="C1665">
        <v>94</v>
      </c>
      <c r="D1665" t="s">
        <v>41</v>
      </c>
      <c r="E1665">
        <v>69</v>
      </c>
      <c r="F1665">
        <v>84</v>
      </c>
      <c r="G1665">
        <v>2557.3200000000002</v>
      </c>
      <c r="H1665" t="s">
        <v>2</v>
      </c>
      <c r="I1665" t="s">
        <v>9</v>
      </c>
      <c r="K1665" t="str">
        <v>premium</v>
      </c>
      <c r="L1665">
        <v>76.5</v>
      </c>
    </row>
    <row r="1666" spans="2:12" x14ac:dyDescent="0.3">
      <c r="B1666" t="s">
        <v>1586</v>
      </c>
      <c r="C1666">
        <v>94</v>
      </c>
      <c r="D1666" t="s">
        <v>45</v>
      </c>
      <c r="E1666">
        <v>54</v>
      </c>
      <c r="F1666">
        <v>73</v>
      </c>
      <c r="G1666">
        <v>4.7</v>
      </c>
      <c r="H1666" t="s">
        <v>18</v>
      </c>
      <c r="I1666" t="s">
        <v>12</v>
      </c>
      <c r="K1666" t="str">
        <v>budget</v>
      </c>
      <c r="L1666">
        <v>63.5</v>
      </c>
    </row>
    <row r="1667" spans="2:12" x14ac:dyDescent="0.3">
      <c r="B1667" t="s">
        <v>1587</v>
      </c>
      <c r="C1667">
        <v>94</v>
      </c>
      <c r="D1667" t="s">
        <v>45</v>
      </c>
      <c r="E1667">
        <v>57</v>
      </c>
      <c r="F1667">
        <v>80</v>
      </c>
      <c r="G1667">
        <v>4.8499999999999996</v>
      </c>
      <c r="H1667" t="s">
        <v>18</v>
      </c>
      <c r="I1667" t="s">
        <v>9</v>
      </c>
      <c r="K1667" t="str">
        <v>budget</v>
      </c>
      <c r="L1667">
        <v>68.5</v>
      </c>
    </row>
    <row r="1668" spans="2:12" x14ac:dyDescent="0.3">
      <c r="B1668" t="s">
        <v>1588</v>
      </c>
      <c r="C1668">
        <v>94</v>
      </c>
      <c r="D1668" t="s">
        <v>45</v>
      </c>
      <c r="E1668">
        <v>52</v>
      </c>
      <c r="F1668">
        <v>76</v>
      </c>
      <c r="G1668">
        <v>255.51</v>
      </c>
      <c r="H1668" t="s">
        <v>2</v>
      </c>
      <c r="I1668" t="s">
        <v>9</v>
      </c>
      <c r="K1668" t="str">
        <v>premium</v>
      </c>
      <c r="L1668">
        <v>64</v>
      </c>
    </row>
    <row r="1669" spans="2:12" x14ac:dyDescent="0.3">
      <c r="B1669" t="s">
        <v>1589</v>
      </c>
      <c r="C1669">
        <v>94</v>
      </c>
      <c r="D1669" t="s">
        <v>82</v>
      </c>
      <c r="E1669">
        <v>50</v>
      </c>
      <c r="F1669">
        <v>69</v>
      </c>
      <c r="G1669">
        <v>4</v>
      </c>
      <c r="H1669" t="s">
        <v>30</v>
      </c>
      <c r="I1669" t="s">
        <v>16</v>
      </c>
      <c r="K1669" t="str">
        <v>budget</v>
      </c>
      <c r="L1669">
        <v>59.5</v>
      </c>
    </row>
    <row r="1670" spans="2:12" x14ac:dyDescent="0.3">
      <c r="B1670" t="s">
        <v>1590</v>
      </c>
      <c r="C1670">
        <v>94</v>
      </c>
      <c r="D1670" t="s">
        <v>45</v>
      </c>
      <c r="E1670">
        <v>54</v>
      </c>
      <c r="F1670">
        <v>74</v>
      </c>
      <c r="G1670">
        <v>4.26</v>
      </c>
      <c r="H1670" t="s">
        <v>18</v>
      </c>
      <c r="I1670" t="s">
        <v>16</v>
      </c>
      <c r="K1670" t="str">
        <v>budget</v>
      </c>
      <c r="L1670">
        <v>64</v>
      </c>
    </row>
    <row r="1671" spans="2:12" x14ac:dyDescent="0.3">
      <c r="B1671" t="s">
        <v>1591</v>
      </c>
      <c r="C1671">
        <v>94</v>
      </c>
      <c r="D1671" t="s">
        <v>41</v>
      </c>
      <c r="E1671">
        <v>58</v>
      </c>
      <c r="F1671">
        <v>90</v>
      </c>
      <c r="G1671">
        <v>5.28</v>
      </c>
      <c r="H1671" t="s">
        <v>18</v>
      </c>
      <c r="I1671" t="s">
        <v>9</v>
      </c>
      <c r="K1671" t="str">
        <v>budget</v>
      </c>
      <c r="L1671">
        <v>74</v>
      </c>
    </row>
    <row r="1672" spans="2:12" x14ac:dyDescent="0.3">
      <c r="B1672" t="s">
        <v>1592</v>
      </c>
      <c r="C1672">
        <v>94</v>
      </c>
      <c r="D1672" t="s">
        <v>45</v>
      </c>
      <c r="E1672">
        <v>54</v>
      </c>
      <c r="F1672">
        <v>79</v>
      </c>
      <c r="G1672">
        <v>4.7</v>
      </c>
      <c r="H1672" t="s">
        <v>18</v>
      </c>
      <c r="I1672" t="s">
        <v>9</v>
      </c>
      <c r="K1672" t="str">
        <v>budget</v>
      </c>
      <c r="L1672">
        <v>66.5</v>
      </c>
    </row>
    <row r="1673" spans="2:12" x14ac:dyDescent="0.3">
      <c r="B1673" t="s">
        <v>1593</v>
      </c>
      <c r="C1673">
        <v>96</v>
      </c>
      <c r="D1673" t="s">
        <v>45</v>
      </c>
      <c r="E1673">
        <v>56</v>
      </c>
      <c r="F1673">
        <v>78</v>
      </c>
      <c r="G1673">
        <v>4.9400000000000004</v>
      </c>
      <c r="H1673" t="s">
        <v>18</v>
      </c>
      <c r="I1673" t="s">
        <v>9</v>
      </c>
      <c r="K1673" t="str">
        <v>budget</v>
      </c>
      <c r="L1673">
        <v>67</v>
      </c>
    </row>
    <row r="1674" spans="2:12" x14ac:dyDescent="0.3">
      <c r="B1674" t="s">
        <v>1594</v>
      </c>
      <c r="C1674">
        <v>95</v>
      </c>
      <c r="D1674" t="s">
        <v>41</v>
      </c>
      <c r="E1674">
        <v>58</v>
      </c>
      <c r="F1674">
        <v>84</v>
      </c>
      <c r="G1674">
        <v>21.83</v>
      </c>
      <c r="H1674" t="s">
        <v>18</v>
      </c>
      <c r="I1674" t="s">
        <v>5</v>
      </c>
      <c r="K1674" t="str">
        <v>budget</v>
      </c>
      <c r="L1674">
        <v>71</v>
      </c>
    </row>
    <row r="1675" spans="2:12" x14ac:dyDescent="0.3">
      <c r="B1675" t="s">
        <v>1595</v>
      </c>
      <c r="C1675">
        <v>94</v>
      </c>
      <c r="D1675" t="s">
        <v>45</v>
      </c>
      <c r="E1675">
        <v>54</v>
      </c>
      <c r="F1675">
        <v>78</v>
      </c>
      <c r="G1675">
        <v>50</v>
      </c>
      <c r="H1675" t="s">
        <v>11</v>
      </c>
      <c r="I1675" t="s">
        <v>9</v>
      </c>
      <c r="K1675" t="str">
        <v>middle</v>
      </c>
      <c r="L1675">
        <v>66</v>
      </c>
    </row>
    <row r="1676" spans="2:12" x14ac:dyDescent="0.3">
      <c r="B1676" t="s">
        <v>1596</v>
      </c>
      <c r="C1676">
        <v>94</v>
      </c>
      <c r="D1676" t="s">
        <v>45</v>
      </c>
      <c r="E1676">
        <v>56</v>
      </c>
      <c r="F1676">
        <v>80</v>
      </c>
      <c r="G1676">
        <v>4.9400000000000004</v>
      </c>
      <c r="H1676" t="s">
        <v>18</v>
      </c>
      <c r="I1676" t="s">
        <v>9</v>
      </c>
      <c r="K1676" t="str">
        <v>budget</v>
      </c>
      <c r="L1676">
        <v>68</v>
      </c>
    </row>
    <row r="1677" spans="2:12" x14ac:dyDescent="0.3">
      <c r="B1677" t="s">
        <v>1597</v>
      </c>
      <c r="C1677">
        <v>94</v>
      </c>
      <c r="D1677" t="s">
        <v>45</v>
      </c>
      <c r="E1677">
        <v>56</v>
      </c>
      <c r="F1677">
        <v>80</v>
      </c>
      <c r="G1677">
        <v>5.28</v>
      </c>
      <c r="H1677" t="s">
        <v>18</v>
      </c>
      <c r="I1677" t="s">
        <v>7</v>
      </c>
      <c r="K1677" t="str">
        <v>budget</v>
      </c>
      <c r="L1677">
        <v>68</v>
      </c>
    </row>
    <row r="1678" spans="2:12" x14ac:dyDescent="0.3">
      <c r="B1678" t="s">
        <v>1598</v>
      </c>
      <c r="C1678">
        <v>94</v>
      </c>
      <c r="D1678" t="s">
        <v>45</v>
      </c>
      <c r="E1678">
        <v>54</v>
      </c>
      <c r="F1678">
        <v>76</v>
      </c>
      <c r="G1678">
        <v>6.4</v>
      </c>
      <c r="H1678" t="s">
        <v>29</v>
      </c>
      <c r="I1678" t="s">
        <v>9</v>
      </c>
      <c r="K1678" t="str">
        <v>budget</v>
      </c>
      <c r="L1678">
        <v>65</v>
      </c>
    </row>
    <row r="1679" spans="2:12" x14ac:dyDescent="0.3">
      <c r="B1679" t="s">
        <v>1417</v>
      </c>
      <c r="C1679">
        <v>95</v>
      </c>
      <c r="D1679" t="s">
        <v>45</v>
      </c>
      <c r="E1679">
        <v>50</v>
      </c>
      <c r="F1679">
        <v>73</v>
      </c>
      <c r="G1679">
        <v>9.41</v>
      </c>
      <c r="H1679" t="s">
        <v>18</v>
      </c>
      <c r="I1679" t="s">
        <v>14</v>
      </c>
      <c r="K1679" t="str">
        <v>budget</v>
      </c>
      <c r="L1679">
        <v>61.5</v>
      </c>
    </row>
    <row r="1680" spans="2:12" x14ac:dyDescent="0.3">
      <c r="B1680" t="s">
        <v>1599</v>
      </c>
      <c r="C1680">
        <v>96</v>
      </c>
      <c r="D1680" t="s">
        <v>45</v>
      </c>
      <c r="E1680">
        <v>54</v>
      </c>
      <c r="F1680">
        <v>76</v>
      </c>
      <c r="G1680">
        <v>5.73</v>
      </c>
      <c r="H1680" t="s">
        <v>18</v>
      </c>
      <c r="I1680" t="s">
        <v>9</v>
      </c>
      <c r="K1680" t="str">
        <v>budget</v>
      </c>
      <c r="L1680">
        <v>65</v>
      </c>
    </row>
    <row r="1681" spans="2:12" x14ac:dyDescent="0.3">
      <c r="B1681" t="s">
        <v>1600</v>
      </c>
      <c r="C1681">
        <v>95</v>
      </c>
      <c r="D1681" t="s">
        <v>45</v>
      </c>
      <c r="E1681">
        <v>60</v>
      </c>
      <c r="F1681">
        <v>80</v>
      </c>
      <c r="G1681">
        <v>6.03</v>
      </c>
      <c r="H1681" t="s">
        <v>18</v>
      </c>
      <c r="I1681" t="s">
        <v>15</v>
      </c>
      <c r="K1681" t="str">
        <v>budget</v>
      </c>
      <c r="L1681">
        <v>70</v>
      </c>
    </row>
    <row r="1682" spans="2:12" x14ac:dyDescent="0.3">
      <c r="B1682" t="s">
        <v>1601</v>
      </c>
      <c r="C1682">
        <v>94</v>
      </c>
      <c r="D1682" t="s">
        <v>41</v>
      </c>
      <c r="E1682">
        <v>65</v>
      </c>
      <c r="F1682">
        <v>81</v>
      </c>
      <c r="G1682">
        <v>5</v>
      </c>
      <c r="H1682" t="s">
        <v>18</v>
      </c>
      <c r="I1682" t="s">
        <v>14</v>
      </c>
      <c r="K1682" t="str">
        <v>budget</v>
      </c>
      <c r="L1682">
        <v>73</v>
      </c>
    </row>
    <row r="1683" spans="2:12" x14ac:dyDescent="0.3">
      <c r="B1683" t="s">
        <v>1565</v>
      </c>
      <c r="C1683">
        <v>94</v>
      </c>
      <c r="D1683" t="s">
        <v>45</v>
      </c>
      <c r="E1683">
        <v>58</v>
      </c>
      <c r="F1683">
        <v>83</v>
      </c>
      <c r="G1683">
        <v>17.61</v>
      </c>
      <c r="H1683" t="s">
        <v>18</v>
      </c>
      <c r="I1683" t="s">
        <v>18</v>
      </c>
      <c r="K1683" t="str">
        <v>budget</v>
      </c>
      <c r="L1683">
        <v>70.5</v>
      </c>
    </row>
    <row r="1684" spans="2:12" x14ac:dyDescent="0.3">
      <c r="B1684" t="s">
        <v>1602</v>
      </c>
      <c r="C1684">
        <v>94</v>
      </c>
      <c r="D1684" t="s">
        <v>41</v>
      </c>
      <c r="E1684">
        <v>66</v>
      </c>
      <c r="F1684">
        <v>83</v>
      </c>
      <c r="G1684">
        <v>3.89</v>
      </c>
      <c r="H1684" t="s">
        <v>18</v>
      </c>
      <c r="I1684" t="s">
        <v>3</v>
      </c>
      <c r="K1684" t="str">
        <v>budget</v>
      </c>
      <c r="L1684">
        <v>74.5</v>
      </c>
    </row>
    <row r="1685" spans="2:12" x14ac:dyDescent="0.3">
      <c r="B1685" t="s">
        <v>1603</v>
      </c>
      <c r="C1685">
        <v>94</v>
      </c>
      <c r="D1685" t="s">
        <v>45</v>
      </c>
      <c r="E1685">
        <v>55</v>
      </c>
      <c r="F1685">
        <v>81</v>
      </c>
      <c r="G1685">
        <v>3.08</v>
      </c>
      <c r="H1685" t="s">
        <v>18</v>
      </c>
      <c r="I1685" t="s">
        <v>3</v>
      </c>
      <c r="K1685" t="str">
        <v>budget</v>
      </c>
      <c r="L1685">
        <v>68</v>
      </c>
    </row>
    <row r="1686" spans="2:12" x14ac:dyDescent="0.3">
      <c r="B1686" t="s">
        <v>1604</v>
      </c>
      <c r="C1686">
        <v>94</v>
      </c>
      <c r="D1686" t="s">
        <v>41</v>
      </c>
      <c r="E1686">
        <v>60</v>
      </c>
      <c r="F1686">
        <v>84</v>
      </c>
      <c r="G1686">
        <v>110.23</v>
      </c>
      <c r="H1686" t="s">
        <v>2</v>
      </c>
      <c r="I1686" t="s">
        <v>12</v>
      </c>
      <c r="K1686" t="str">
        <v>premium</v>
      </c>
      <c r="L1686">
        <v>72</v>
      </c>
    </row>
    <row r="1687" spans="2:12" x14ac:dyDescent="0.3">
      <c r="B1687" t="s">
        <v>1605</v>
      </c>
      <c r="C1687">
        <v>95</v>
      </c>
      <c r="D1687" t="s">
        <v>45</v>
      </c>
      <c r="E1687">
        <v>53</v>
      </c>
      <c r="F1687">
        <v>80</v>
      </c>
      <c r="G1687">
        <v>22.05</v>
      </c>
      <c r="H1687" t="s">
        <v>18</v>
      </c>
      <c r="I1687" t="s">
        <v>5</v>
      </c>
      <c r="K1687" t="str">
        <v>budget</v>
      </c>
      <c r="L1687">
        <v>66.5</v>
      </c>
    </row>
    <row r="1688" spans="2:12" x14ac:dyDescent="0.3">
      <c r="B1688" t="s">
        <v>1606</v>
      </c>
      <c r="C1688">
        <v>94</v>
      </c>
      <c r="D1688" t="s">
        <v>45</v>
      </c>
      <c r="E1688">
        <v>48</v>
      </c>
      <c r="F1688">
        <v>78</v>
      </c>
      <c r="G1688">
        <v>6.17</v>
      </c>
      <c r="H1688" t="s">
        <v>18</v>
      </c>
      <c r="I1688" t="s">
        <v>9</v>
      </c>
      <c r="K1688" t="str">
        <v>budget</v>
      </c>
      <c r="L1688">
        <v>63</v>
      </c>
    </row>
    <row r="1689" spans="2:12" x14ac:dyDescent="0.3">
      <c r="B1689" t="s">
        <v>1607</v>
      </c>
      <c r="C1689">
        <v>94</v>
      </c>
      <c r="D1689" t="s">
        <v>45</v>
      </c>
      <c r="E1689">
        <v>52</v>
      </c>
      <c r="F1689">
        <v>80</v>
      </c>
      <c r="G1689">
        <v>5.57</v>
      </c>
      <c r="H1689" t="s">
        <v>18</v>
      </c>
      <c r="I1689" t="s">
        <v>4</v>
      </c>
      <c r="K1689" t="str">
        <v>budget</v>
      </c>
      <c r="L1689">
        <v>66</v>
      </c>
    </row>
    <row r="1690" spans="2:12" x14ac:dyDescent="0.3">
      <c r="B1690" t="s">
        <v>1608</v>
      </c>
      <c r="C1690">
        <v>94</v>
      </c>
      <c r="D1690" t="s">
        <v>45</v>
      </c>
      <c r="E1690">
        <v>57</v>
      </c>
      <c r="F1690">
        <v>84</v>
      </c>
      <c r="G1690">
        <v>5.23</v>
      </c>
      <c r="H1690" t="s">
        <v>18</v>
      </c>
      <c r="I1690" t="s">
        <v>9</v>
      </c>
      <c r="K1690" t="str">
        <v>budget</v>
      </c>
      <c r="L1690">
        <v>70.5</v>
      </c>
    </row>
    <row r="1691" spans="2:12" x14ac:dyDescent="0.3">
      <c r="B1691" t="s">
        <v>1609</v>
      </c>
      <c r="C1691">
        <v>94</v>
      </c>
      <c r="D1691" t="s">
        <v>45</v>
      </c>
      <c r="E1691">
        <v>54</v>
      </c>
      <c r="F1691">
        <v>74</v>
      </c>
      <c r="G1691">
        <v>5.28</v>
      </c>
      <c r="H1691" t="s">
        <v>18</v>
      </c>
      <c r="I1691" t="s">
        <v>23</v>
      </c>
      <c r="K1691" t="str">
        <v>budget</v>
      </c>
      <c r="L1691">
        <v>64</v>
      </c>
    </row>
    <row r="1692" spans="2:12" x14ac:dyDescent="0.3">
      <c r="B1692" t="s">
        <v>1610</v>
      </c>
      <c r="C1692">
        <v>95</v>
      </c>
      <c r="D1692" t="s">
        <v>45</v>
      </c>
      <c r="E1692">
        <v>54</v>
      </c>
      <c r="F1692">
        <v>86</v>
      </c>
      <c r="G1692">
        <v>23.37</v>
      </c>
      <c r="H1692" t="s">
        <v>18</v>
      </c>
      <c r="I1692" t="s">
        <v>5</v>
      </c>
      <c r="K1692" t="str">
        <v>budget</v>
      </c>
      <c r="L1692">
        <v>70</v>
      </c>
    </row>
    <row r="1693" spans="2:12" x14ac:dyDescent="0.3">
      <c r="B1693" t="s">
        <v>1611</v>
      </c>
      <c r="C1693">
        <v>94</v>
      </c>
      <c r="D1693" t="s">
        <v>41</v>
      </c>
      <c r="E1693">
        <v>62</v>
      </c>
      <c r="F1693">
        <v>84</v>
      </c>
      <c r="G1693">
        <v>4.99</v>
      </c>
      <c r="H1693" t="s">
        <v>18</v>
      </c>
      <c r="I1693" t="s">
        <v>9</v>
      </c>
      <c r="K1693" t="str">
        <v>budget</v>
      </c>
      <c r="L1693">
        <v>73</v>
      </c>
    </row>
    <row r="1694" spans="2:12" x14ac:dyDescent="0.3">
      <c r="B1694" t="s">
        <v>1612</v>
      </c>
      <c r="C1694">
        <v>94</v>
      </c>
      <c r="D1694" t="s">
        <v>45</v>
      </c>
      <c r="E1694">
        <v>60</v>
      </c>
      <c r="F1694">
        <v>80</v>
      </c>
      <c r="G1694">
        <v>5.59</v>
      </c>
      <c r="H1694" t="s">
        <v>18</v>
      </c>
      <c r="I1694" t="s">
        <v>9</v>
      </c>
      <c r="K1694" t="str">
        <v>budget</v>
      </c>
      <c r="L1694">
        <v>70</v>
      </c>
    </row>
    <row r="1695" spans="2:12" x14ac:dyDescent="0.3">
      <c r="B1695" t="s">
        <v>1613</v>
      </c>
      <c r="C1695">
        <v>96</v>
      </c>
      <c r="D1695" t="s">
        <v>45</v>
      </c>
      <c r="E1695">
        <v>57</v>
      </c>
      <c r="F1695">
        <v>82</v>
      </c>
      <c r="G1695">
        <v>5.13</v>
      </c>
      <c r="H1695" t="s">
        <v>18</v>
      </c>
      <c r="I1695" t="s">
        <v>9</v>
      </c>
      <c r="K1695" t="str">
        <v>budget</v>
      </c>
      <c r="L1695">
        <v>69.5</v>
      </c>
    </row>
    <row r="1696" spans="2:12" x14ac:dyDescent="0.3">
      <c r="B1696" t="s">
        <v>1614</v>
      </c>
      <c r="C1696">
        <v>94</v>
      </c>
      <c r="D1696" t="s">
        <v>45</v>
      </c>
      <c r="E1696">
        <v>57</v>
      </c>
      <c r="F1696">
        <v>82</v>
      </c>
      <c r="G1696">
        <v>39.65</v>
      </c>
      <c r="H1696" t="s">
        <v>11</v>
      </c>
      <c r="I1696" t="s">
        <v>9</v>
      </c>
      <c r="K1696" t="str">
        <v>middle</v>
      </c>
      <c r="L1696">
        <v>69.5</v>
      </c>
    </row>
    <row r="1697" spans="2:12" x14ac:dyDescent="0.3">
      <c r="B1697" t="s">
        <v>1615</v>
      </c>
      <c r="C1697">
        <v>94</v>
      </c>
      <c r="D1697" t="s">
        <v>41</v>
      </c>
      <c r="E1697">
        <v>64</v>
      </c>
      <c r="F1697">
        <v>78</v>
      </c>
      <c r="G1697">
        <v>8</v>
      </c>
      <c r="H1697" t="s">
        <v>18</v>
      </c>
      <c r="I1697" t="s">
        <v>4</v>
      </c>
      <c r="K1697" t="str">
        <v>budget</v>
      </c>
      <c r="L1697">
        <v>71</v>
      </c>
    </row>
    <row r="1698" spans="2:12" x14ac:dyDescent="0.3">
      <c r="B1698" t="s">
        <v>1616</v>
      </c>
      <c r="C1698">
        <v>94</v>
      </c>
      <c r="D1698" t="s">
        <v>45</v>
      </c>
      <c r="E1698">
        <v>55</v>
      </c>
      <c r="F1698">
        <v>80</v>
      </c>
      <c r="G1698">
        <v>4.34</v>
      </c>
      <c r="H1698" t="s">
        <v>18</v>
      </c>
      <c r="I1698" t="s">
        <v>12</v>
      </c>
      <c r="K1698" t="str">
        <v>budget</v>
      </c>
      <c r="L1698">
        <v>67.5</v>
      </c>
    </row>
    <row r="1699" spans="2:12" x14ac:dyDescent="0.3">
      <c r="B1699" t="s">
        <v>1617</v>
      </c>
      <c r="C1699">
        <v>94</v>
      </c>
      <c r="D1699" t="s">
        <v>41</v>
      </c>
      <c r="E1699">
        <v>64</v>
      </c>
      <c r="F1699">
        <v>84</v>
      </c>
      <c r="G1699">
        <v>5.22</v>
      </c>
      <c r="H1699" t="s">
        <v>18</v>
      </c>
      <c r="I1699" t="s">
        <v>9</v>
      </c>
      <c r="K1699" t="str">
        <v>budget</v>
      </c>
      <c r="L1699">
        <v>74</v>
      </c>
    </row>
    <row r="1700" spans="2:12" x14ac:dyDescent="0.3">
      <c r="B1700" t="s">
        <v>1618</v>
      </c>
      <c r="C1700">
        <v>94</v>
      </c>
      <c r="D1700" t="s">
        <v>45</v>
      </c>
      <c r="E1700">
        <v>54</v>
      </c>
      <c r="F1700">
        <v>78</v>
      </c>
      <c r="G1700">
        <v>5.14</v>
      </c>
      <c r="H1700" t="s">
        <v>18</v>
      </c>
      <c r="I1700" t="s">
        <v>12</v>
      </c>
      <c r="K1700" t="str">
        <v>budget</v>
      </c>
      <c r="L1700">
        <v>66</v>
      </c>
    </row>
    <row r="1701" spans="2:12" x14ac:dyDescent="0.3">
      <c r="B1701" t="s">
        <v>890</v>
      </c>
      <c r="C1701">
        <v>94</v>
      </c>
      <c r="D1701" t="s">
        <v>45</v>
      </c>
      <c r="E1701">
        <v>56</v>
      </c>
      <c r="F1701">
        <v>78</v>
      </c>
      <c r="G1701">
        <v>15.41</v>
      </c>
      <c r="H1701" t="s">
        <v>18</v>
      </c>
      <c r="I1701" t="s">
        <v>18</v>
      </c>
      <c r="K1701" t="str">
        <v>budget</v>
      </c>
      <c r="L1701">
        <v>67</v>
      </c>
    </row>
    <row r="1702" spans="2:12" x14ac:dyDescent="0.3">
      <c r="B1702" t="s">
        <v>1619</v>
      </c>
      <c r="C1702">
        <v>95</v>
      </c>
      <c r="D1702" t="s">
        <v>41</v>
      </c>
      <c r="E1702">
        <v>60</v>
      </c>
      <c r="F1702">
        <v>82</v>
      </c>
      <c r="G1702">
        <v>5.44</v>
      </c>
      <c r="H1702" t="s">
        <v>18</v>
      </c>
      <c r="I1702" t="s">
        <v>15</v>
      </c>
      <c r="K1702" t="str">
        <v>budget</v>
      </c>
      <c r="L1702">
        <v>71</v>
      </c>
    </row>
    <row r="1703" spans="2:12" x14ac:dyDescent="0.3">
      <c r="B1703" t="s">
        <v>1620</v>
      </c>
      <c r="C1703">
        <v>95</v>
      </c>
      <c r="D1703" t="s">
        <v>45</v>
      </c>
      <c r="E1703">
        <v>56</v>
      </c>
      <c r="F1703">
        <v>72</v>
      </c>
      <c r="G1703">
        <v>5.14</v>
      </c>
      <c r="H1703" t="s">
        <v>18</v>
      </c>
      <c r="I1703" t="s">
        <v>9</v>
      </c>
      <c r="K1703" t="str">
        <v>budget</v>
      </c>
      <c r="L1703">
        <v>64</v>
      </c>
    </row>
    <row r="1704" spans="2:12" x14ac:dyDescent="0.3">
      <c r="B1704" t="s">
        <v>1621</v>
      </c>
      <c r="C1704">
        <v>94</v>
      </c>
      <c r="D1704" t="s">
        <v>45</v>
      </c>
      <c r="E1704">
        <v>60</v>
      </c>
      <c r="F1704">
        <v>80</v>
      </c>
      <c r="G1704">
        <v>4.63</v>
      </c>
      <c r="H1704" t="s">
        <v>21</v>
      </c>
      <c r="I1704" t="s">
        <v>21</v>
      </c>
      <c r="K1704" t="str">
        <v>budget</v>
      </c>
      <c r="L1704">
        <v>70</v>
      </c>
    </row>
    <row r="1705" spans="2:12" x14ac:dyDescent="0.3">
      <c r="B1705" t="s">
        <v>1622</v>
      </c>
      <c r="C1705">
        <v>95</v>
      </c>
      <c r="D1705" t="s">
        <v>41</v>
      </c>
      <c r="E1705">
        <v>62</v>
      </c>
      <c r="F1705">
        <v>84</v>
      </c>
      <c r="G1705">
        <v>132.28</v>
      </c>
      <c r="H1705" t="s">
        <v>2</v>
      </c>
      <c r="I1705" t="s">
        <v>9</v>
      </c>
      <c r="K1705" t="str">
        <v>premium</v>
      </c>
      <c r="L1705">
        <v>73</v>
      </c>
    </row>
    <row r="1706" spans="2:12" x14ac:dyDescent="0.3">
      <c r="B1706" t="s">
        <v>1623</v>
      </c>
      <c r="C1706">
        <v>94</v>
      </c>
      <c r="D1706" t="s">
        <v>45</v>
      </c>
      <c r="E1706">
        <v>53</v>
      </c>
      <c r="F1706">
        <v>81</v>
      </c>
      <c r="G1706">
        <v>110.23</v>
      </c>
      <c r="H1706" t="s">
        <v>2</v>
      </c>
      <c r="I1706" t="s">
        <v>9</v>
      </c>
      <c r="K1706" t="str">
        <v>premium</v>
      </c>
      <c r="L1706">
        <v>67</v>
      </c>
    </row>
    <row r="1707" spans="2:12" x14ac:dyDescent="0.3">
      <c r="B1707" t="s">
        <v>1624</v>
      </c>
      <c r="C1707">
        <v>95</v>
      </c>
      <c r="D1707" t="s">
        <v>45</v>
      </c>
      <c r="E1707">
        <v>52</v>
      </c>
      <c r="F1707">
        <v>78</v>
      </c>
      <c r="G1707">
        <v>15.43</v>
      </c>
      <c r="H1707" t="s">
        <v>18</v>
      </c>
      <c r="I1707" t="s">
        <v>14</v>
      </c>
      <c r="K1707" t="str">
        <v>budget</v>
      </c>
      <c r="L1707">
        <v>65</v>
      </c>
    </row>
    <row r="1708" spans="2:12" x14ac:dyDescent="0.3">
      <c r="B1708" t="s">
        <v>1625</v>
      </c>
      <c r="C1708">
        <v>94</v>
      </c>
      <c r="D1708" t="s">
        <v>45</v>
      </c>
      <c r="E1708">
        <v>54</v>
      </c>
      <c r="F1708">
        <v>82</v>
      </c>
      <c r="G1708">
        <v>5.14</v>
      </c>
      <c r="H1708" t="s">
        <v>18</v>
      </c>
      <c r="I1708" t="s">
        <v>9</v>
      </c>
      <c r="K1708" t="str">
        <v>budget</v>
      </c>
      <c r="L1708">
        <v>68</v>
      </c>
    </row>
    <row r="1709" spans="2:12" x14ac:dyDescent="0.3">
      <c r="B1709" t="s">
        <v>748</v>
      </c>
      <c r="C1709">
        <v>94</v>
      </c>
      <c r="D1709" t="s">
        <v>45</v>
      </c>
      <c r="E1709">
        <v>55</v>
      </c>
      <c r="F1709">
        <v>78</v>
      </c>
      <c r="G1709">
        <v>4.5599999999999996</v>
      </c>
      <c r="H1709" t="s">
        <v>18</v>
      </c>
      <c r="I1709" t="s">
        <v>9</v>
      </c>
      <c r="K1709" t="str">
        <v>budget</v>
      </c>
      <c r="L1709">
        <v>66.5</v>
      </c>
    </row>
    <row r="1710" spans="2:12" x14ac:dyDescent="0.3">
      <c r="B1710" t="s">
        <v>1626</v>
      </c>
      <c r="C1710">
        <v>95</v>
      </c>
      <c r="D1710" t="s">
        <v>45</v>
      </c>
      <c r="E1710">
        <v>58</v>
      </c>
      <c r="F1710">
        <v>80</v>
      </c>
      <c r="G1710">
        <v>5.14</v>
      </c>
      <c r="H1710" t="s">
        <v>18</v>
      </c>
      <c r="I1710" t="s">
        <v>5</v>
      </c>
      <c r="K1710" t="str">
        <v>budget</v>
      </c>
      <c r="L1710">
        <v>69</v>
      </c>
    </row>
    <row r="1711" spans="2:12" x14ac:dyDescent="0.3">
      <c r="B1711" t="s">
        <v>1627</v>
      </c>
      <c r="C1711">
        <v>94</v>
      </c>
      <c r="D1711" t="s">
        <v>41</v>
      </c>
      <c r="E1711">
        <v>60</v>
      </c>
      <c r="F1711">
        <v>84</v>
      </c>
      <c r="G1711">
        <v>4.55</v>
      </c>
      <c r="H1711" t="s">
        <v>18</v>
      </c>
      <c r="I1711" t="s">
        <v>12</v>
      </c>
      <c r="K1711" t="str">
        <v>budget</v>
      </c>
      <c r="L1711">
        <v>72</v>
      </c>
    </row>
    <row r="1712" spans="2:12" x14ac:dyDescent="0.3">
      <c r="B1712" t="s">
        <v>1628</v>
      </c>
      <c r="C1712">
        <v>94</v>
      </c>
      <c r="D1712" t="s">
        <v>45</v>
      </c>
      <c r="E1712">
        <v>53</v>
      </c>
      <c r="F1712">
        <v>77</v>
      </c>
      <c r="G1712">
        <v>4.8499999999999996</v>
      </c>
      <c r="H1712" t="s">
        <v>18</v>
      </c>
      <c r="I1712" t="s">
        <v>15</v>
      </c>
      <c r="K1712" t="str">
        <v>budget</v>
      </c>
      <c r="L1712">
        <v>65</v>
      </c>
    </row>
    <row r="1713" spans="2:12" x14ac:dyDescent="0.3">
      <c r="B1713" t="s">
        <v>1629</v>
      </c>
      <c r="C1713">
        <v>95</v>
      </c>
      <c r="D1713" t="s">
        <v>45</v>
      </c>
      <c r="E1713">
        <v>60</v>
      </c>
      <c r="F1713">
        <v>76</v>
      </c>
      <c r="G1713">
        <v>616.74</v>
      </c>
      <c r="H1713" t="s">
        <v>2</v>
      </c>
      <c r="I1713" t="s">
        <v>5</v>
      </c>
      <c r="K1713" t="str">
        <v>premium</v>
      </c>
      <c r="L1713">
        <v>68</v>
      </c>
    </row>
    <row r="1714" spans="2:12" x14ac:dyDescent="0.3">
      <c r="B1714" t="s">
        <v>1630</v>
      </c>
      <c r="C1714">
        <v>97</v>
      </c>
      <c r="D1714" t="s">
        <v>45</v>
      </c>
      <c r="E1714">
        <v>59</v>
      </c>
      <c r="F1714">
        <v>82</v>
      </c>
      <c r="G1714">
        <v>27.34</v>
      </c>
      <c r="H1714" t="s">
        <v>18</v>
      </c>
      <c r="I1714" t="s">
        <v>5</v>
      </c>
      <c r="K1714" t="str">
        <v>middle</v>
      </c>
      <c r="L1714">
        <v>70.5</v>
      </c>
    </row>
    <row r="1715" spans="2:12" x14ac:dyDescent="0.3">
      <c r="B1715" t="s">
        <v>1631</v>
      </c>
      <c r="C1715">
        <v>95</v>
      </c>
      <c r="D1715" t="s">
        <v>45</v>
      </c>
      <c r="E1715">
        <v>54</v>
      </c>
      <c r="F1715">
        <v>76</v>
      </c>
      <c r="G1715">
        <v>5.23</v>
      </c>
      <c r="H1715" t="s">
        <v>18</v>
      </c>
      <c r="I1715" t="s">
        <v>9</v>
      </c>
      <c r="K1715" t="str">
        <v>budget</v>
      </c>
      <c r="L1715">
        <v>65</v>
      </c>
    </row>
    <row r="1716" spans="2:12" x14ac:dyDescent="0.3">
      <c r="B1716" t="s">
        <v>1632</v>
      </c>
      <c r="C1716">
        <v>94</v>
      </c>
      <c r="D1716" t="s">
        <v>45</v>
      </c>
      <c r="E1716">
        <v>60</v>
      </c>
      <c r="F1716">
        <v>77</v>
      </c>
      <c r="G1716">
        <v>4.37</v>
      </c>
      <c r="H1716" t="s">
        <v>18</v>
      </c>
      <c r="I1716" t="s">
        <v>14</v>
      </c>
      <c r="K1716" t="str">
        <v>budget</v>
      </c>
      <c r="L1716">
        <v>68.5</v>
      </c>
    </row>
    <row r="1717" spans="2:12" x14ac:dyDescent="0.3">
      <c r="B1717" t="s">
        <v>1633</v>
      </c>
      <c r="C1717">
        <v>95</v>
      </c>
      <c r="D1717" t="s">
        <v>45</v>
      </c>
      <c r="E1717">
        <v>59</v>
      </c>
      <c r="F1717">
        <v>78</v>
      </c>
      <c r="G1717">
        <v>5.8</v>
      </c>
      <c r="H1717" t="s">
        <v>18</v>
      </c>
      <c r="I1717" t="s">
        <v>7</v>
      </c>
      <c r="K1717" t="str">
        <v>budget</v>
      </c>
      <c r="L1717">
        <v>68.5</v>
      </c>
    </row>
    <row r="1718" spans="2:12" x14ac:dyDescent="0.3">
      <c r="B1718" t="s">
        <v>1634</v>
      </c>
      <c r="C1718">
        <v>94</v>
      </c>
      <c r="D1718" t="s">
        <v>41</v>
      </c>
      <c r="E1718">
        <v>62</v>
      </c>
      <c r="F1718">
        <v>87</v>
      </c>
      <c r="G1718">
        <v>9</v>
      </c>
      <c r="H1718" t="s">
        <v>18</v>
      </c>
      <c r="I1718" t="s">
        <v>9</v>
      </c>
      <c r="K1718" t="str">
        <v>budget</v>
      </c>
      <c r="L1718">
        <v>74.5</v>
      </c>
    </row>
    <row r="1719" spans="2:12" x14ac:dyDescent="0.3">
      <c r="B1719" t="s">
        <v>1635</v>
      </c>
      <c r="C1719">
        <v>94</v>
      </c>
      <c r="D1719" t="s">
        <v>45</v>
      </c>
      <c r="E1719">
        <v>50</v>
      </c>
      <c r="F1719">
        <v>79</v>
      </c>
      <c r="G1719">
        <v>5.62</v>
      </c>
      <c r="H1719" t="s">
        <v>18</v>
      </c>
      <c r="I1719" t="s">
        <v>9</v>
      </c>
      <c r="K1719" t="str">
        <v>budget</v>
      </c>
      <c r="L1719">
        <v>64.5</v>
      </c>
    </row>
    <row r="1720" spans="2:12" x14ac:dyDescent="0.3">
      <c r="B1720" t="s">
        <v>1636</v>
      </c>
      <c r="C1720">
        <v>95</v>
      </c>
      <c r="D1720" t="s">
        <v>82</v>
      </c>
      <c r="E1720">
        <v>49</v>
      </c>
      <c r="F1720">
        <v>68</v>
      </c>
      <c r="G1720">
        <v>5.73</v>
      </c>
      <c r="H1720" t="s">
        <v>18</v>
      </c>
      <c r="I1720" t="s">
        <v>12</v>
      </c>
      <c r="K1720" t="str">
        <v>budget</v>
      </c>
      <c r="L1720">
        <v>58.5</v>
      </c>
    </row>
    <row r="1721" spans="2:12" x14ac:dyDescent="0.3">
      <c r="B1721" t="s">
        <v>1637</v>
      </c>
      <c r="C1721">
        <v>94</v>
      </c>
      <c r="D1721" t="s">
        <v>45</v>
      </c>
      <c r="E1721">
        <v>54</v>
      </c>
      <c r="F1721">
        <v>68</v>
      </c>
      <c r="G1721">
        <v>5.29</v>
      </c>
      <c r="H1721" t="s">
        <v>18</v>
      </c>
      <c r="I1721" t="s">
        <v>12</v>
      </c>
      <c r="K1721" t="str">
        <v>budget</v>
      </c>
      <c r="L1721">
        <v>61</v>
      </c>
    </row>
    <row r="1722" spans="2:12" x14ac:dyDescent="0.3">
      <c r="B1722" t="s">
        <v>1638</v>
      </c>
      <c r="C1722">
        <v>95</v>
      </c>
      <c r="D1722" t="s">
        <v>541</v>
      </c>
      <c r="E1722">
        <v>44</v>
      </c>
      <c r="F1722">
        <v>56</v>
      </c>
      <c r="G1722">
        <v>396.83</v>
      </c>
      <c r="H1722" t="s">
        <v>2</v>
      </c>
      <c r="I1722" t="s">
        <v>12</v>
      </c>
      <c r="K1722" t="str">
        <v>premium</v>
      </c>
      <c r="L1722">
        <v>50</v>
      </c>
    </row>
    <row r="1723" spans="2:12" x14ac:dyDescent="0.3">
      <c r="B1723" t="s">
        <v>1639</v>
      </c>
      <c r="C1723">
        <v>94</v>
      </c>
      <c r="D1723" t="s">
        <v>82</v>
      </c>
      <c r="E1723">
        <v>48</v>
      </c>
      <c r="F1723">
        <v>60</v>
      </c>
      <c r="G1723">
        <v>352.73</v>
      </c>
      <c r="H1723" t="s">
        <v>2</v>
      </c>
      <c r="I1723" t="s">
        <v>9</v>
      </c>
      <c r="K1723" t="str">
        <v>premium</v>
      </c>
      <c r="L1723">
        <v>54</v>
      </c>
    </row>
    <row r="1724" spans="2:12" x14ac:dyDescent="0.3">
      <c r="B1724" t="s">
        <v>1640</v>
      </c>
      <c r="C1724">
        <v>94</v>
      </c>
      <c r="D1724" t="s">
        <v>82</v>
      </c>
      <c r="E1724">
        <v>45</v>
      </c>
      <c r="F1724">
        <v>57</v>
      </c>
      <c r="G1724">
        <v>308.64</v>
      </c>
      <c r="H1724" t="s">
        <v>2</v>
      </c>
      <c r="I1724" t="s">
        <v>9</v>
      </c>
      <c r="K1724" t="str">
        <v>premium</v>
      </c>
      <c r="L1724">
        <v>51</v>
      </c>
    </row>
    <row r="1725" spans="2:12" x14ac:dyDescent="0.3">
      <c r="B1725" t="s">
        <v>1641</v>
      </c>
      <c r="C1725">
        <v>94</v>
      </c>
      <c r="D1725" t="s">
        <v>541</v>
      </c>
      <c r="E1725">
        <v>44</v>
      </c>
      <c r="F1725">
        <v>56</v>
      </c>
      <c r="G1725">
        <v>308.64</v>
      </c>
      <c r="H1725" t="s">
        <v>2</v>
      </c>
      <c r="I1725" t="s">
        <v>16</v>
      </c>
      <c r="K1725" t="str">
        <v>premium</v>
      </c>
      <c r="L1725">
        <v>50</v>
      </c>
    </row>
    <row r="1726" spans="2:12" x14ac:dyDescent="0.3">
      <c r="B1726" t="s">
        <v>1642</v>
      </c>
      <c r="C1726">
        <v>94</v>
      </c>
      <c r="D1726" t="s">
        <v>541</v>
      </c>
      <c r="E1726">
        <v>45</v>
      </c>
      <c r="F1726">
        <v>54</v>
      </c>
      <c r="G1726">
        <v>396.83</v>
      </c>
      <c r="H1726" t="s">
        <v>2</v>
      </c>
      <c r="I1726" t="s">
        <v>12</v>
      </c>
      <c r="K1726" t="str">
        <v>premium</v>
      </c>
      <c r="L1726">
        <v>49.5</v>
      </c>
    </row>
    <row r="1727" spans="2:12" x14ac:dyDescent="0.3">
      <c r="B1727" t="s">
        <v>1643</v>
      </c>
      <c r="C1727">
        <v>95</v>
      </c>
      <c r="D1727" t="s">
        <v>41</v>
      </c>
      <c r="E1727">
        <v>63</v>
      </c>
      <c r="F1727">
        <v>86</v>
      </c>
      <c r="G1727">
        <v>8</v>
      </c>
      <c r="H1727" t="s">
        <v>18</v>
      </c>
      <c r="I1727" t="s">
        <v>5</v>
      </c>
      <c r="K1727" t="str">
        <v>budget</v>
      </c>
      <c r="L1727">
        <v>74.5</v>
      </c>
    </row>
    <row r="1728" spans="2:12" x14ac:dyDescent="0.3">
      <c r="B1728" t="s">
        <v>1644</v>
      </c>
      <c r="C1728">
        <v>95</v>
      </c>
      <c r="D1728" t="s">
        <v>45</v>
      </c>
      <c r="E1728">
        <v>55</v>
      </c>
      <c r="F1728">
        <v>75</v>
      </c>
      <c r="G1728">
        <v>5.29</v>
      </c>
      <c r="H1728" t="s">
        <v>18</v>
      </c>
      <c r="I1728" t="s">
        <v>150</v>
      </c>
      <c r="K1728" t="str">
        <v>budget</v>
      </c>
      <c r="L1728">
        <v>65</v>
      </c>
    </row>
    <row r="1729" spans="2:12" x14ac:dyDescent="0.3">
      <c r="B1729" t="s">
        <v>1645</v>
      </c>
      <c r="C1729">
        <v>94</v>
      </c>
      <c r="D1729" t="s">
        <v>41</v>
      </c>
      <c r="E1729">
        <v>61</v>
      </c>
      <c r="F1729">
        <v>85</v>
      </c>
      <c r="G1729">
        <v>8</v>
      </c>
      <c r="H1729" t="s">
        <v>18</v>
      </c>
      <c r="I1729" t="s">
        <v>15</v>
      </c>
      <c r="K1729" t="str">
        <v>budget</v>
      </c>
      <c r="L1729">
        <v>73</v>
      </c>
    </row>
    <row r="1730" spans="2:12" x14ac:dyDescent="0.3">
      <c r="B1730" t="s">
        <v>1646</v>
      </c>
      <c r="C1730">
        <v>96</v>
      </c>
      <c r="D1730" t="s">
        <v>45</v>
      </c>
      <c r="E1730">
        <v>53</v>
      </c>
      <c r="F1730">
        <v>70</v>
      </c>
      <c r="G1730">
        <v>17.64</v>
      </c>
      <c r="H1730" t="s">
        <v>18</v>
      </c>
      <c r="I1730" t="s">
        <v>5</v>
      </c>
      <c r="K1730" t="str">
        <v>budget</v>
      </c>
      <c r="L1730">
        <v>61.5</v>
      </c>
    </row>
    <row r="1731" spans="2:12" x14ac:dyDescent="0.3">
      <c r="B1731" t="s">
        <v>1647</v>
      </c>
      <c r="C1731">
        <v>95</v>
      </c>
      <c r="D1731" t="s">
        <v>45</v>
      </c>
      <c r="E1731">
        <v>55</v>
      </c>
      <c r="F1731">
        <v>75</v>
      </c>
      <c r="G1731">
        <v>13.8</v>
      </c>
      <c r="H1731" t="s">
        <v>18</v>
      </c>
      <c r="I1731" t="s">
        <v>5</v>
      </c>
      <c r="K1731" t="str">
        <v>budget</v>
      </c>
      <c r="L1731">
        <v>65</v>
      </c>
    </row>
    <row r="1732" spans="2:12" x14ac:dyDescent="0.3">
      <c r="B1732" t="s">
        <v>1258</v>
      </c>
      <c r="C1732">
        <v>95</v>
      </c>
      <c r="D1732" t="s">
        <v>45</v>
      </c>
      <c r="E1732">
        <v>54</v>
      </c>
      <c r="F1732">
        <v>77</v>
      </c>
      <c r="G1732">
        <v>4.4800000000000004</v>
      </c>
      <c r="H1732" t="s">
        <v>18</v>
      </c>
      <c r="I1732" t="s">
        <v>150</v>
      </c>
      <c r="K1732" t="str">
        <v>budget</v>
      </c>
      <c r="L1732">
        <v>65.5</v>
      </c>
    </row>
    <row r="1733" spans="2:12" x14ac:dyDescent="0.3">
      <c r="B1733" t="s">
        <v>1258</v>
      </c>
      <c r="C1733">
        <v>95</v>
      </c>
      <c r="D1733" t="s">
        <v>41</v>
      </c>
      <c r="E1733">
        <v>66</v>
      </c>
      <c r="F1733">
        <v>82</v>
      </c>
      <c r="G1733">
        <v>11.02</v>
      </c>
      <c r="H1733" t="s">
        <v>2</v>
      </c>
      <c r="I1733" t="s">
        <v>150</v>
      </c>
      <c r="K1733" t="str">
        <v>budget</v>
      </c>
      <c r="L1733">
        <v>74</v>
      </c>
    </row>
    <row r="1734" spans="2:12" x14ac:dyDescent="0.3">
      <c r="B1734" t="s">
        <v>1648</v>
      </c>
      <c r="C1734">
        <v>95</v>
      </c>
      <c r="D1734" t="s">
        <v>41</v>
      </c>
      <c r="E1734">
        <v>68</v>
      </c>
      <c r="F1734">
        <v>82</v>
      </c>
      <c r="G1734">
        <v>8</v>
      </c>
      <c r="H1734" t="s">
        <v>18</v>
      </c>
      <c r="I1734" t="s">
        <v>22</v>
      </c>
      <c r="K1734" t="str">
        <v>budget</v>
      </c>
      <c r="L1734">
        <v>75</v>
      </c>
    </row>
    <row r="1735" spans="2:12" x14ac:dyDescent="0.3">
      <c r="B1735" t="s">
        <v>1649</v>
      </c>
      <c r="C1735">
        <v>94</v>
      </c>
      <c r="D1735" t="s">
        <v>41</v>
      </c>
      <c r="E1735">
        <v>64</v>
      </c>
      <c r="F1735">
        <v>84</v>
      </c>
      <c r="G1735">
        <v>19.84</v>
      </c>
      <c r="H1735" t="s">
        <v>18</v>
      </c>
      <c r="I1735" t="s">
        <v>5</v>
      </c>
      <c r="K1735" t="str">
        <v>budget</v>
      </c>
      <c r="L1735">
        <v>74</v>
      </c>
    </row>
    <row r="1736" spans="2:12" x14ac:dyDescent="0.3">
      <c r="B1736" t="s">
        <v>1258</v>
      </c>
      <c r="C1736">
        <v>94</v>
      </c>
      <c r="D1736" t="s">
        <v>45</v>
      </c>
      <c r="E1736">
        <v>59</v>
      </c>
      <c r="F1736">
        <v>70</v>
      </c>
      <c r="G1736">
        <v>5.56</v>
      </c>
      <c r="H1736" t="s">
        <v>18</v>
      </c>
      <c r="I1736" t="s">
        <v>9</v>
      </c>
      <c r="K1736" t="str">
        <v>budget</v>
      </c>
      <c r="L1736">
        <v>64.5</v>
      </c>
    </row>
    <row r="1737" spans="2:12" x14ac:dyDescent="0.3">
      <c r="B1737" t="s">
        <v>1650</v>
      </c>
      <c r="C1737">
        <v>94</v>
      </c>
      <c r="D1737" t="s">
        <v>41</v>
      </c>
      <c r="E1737">
        <v>66</v>
      </c>
      <c r="F1737">
        <v>90</v>
      </c>
      <c r="G1737">
        <v>22.05</v>
      </c>
      <c r="H1737" t="s">
        <v>18</v>
      </c>
      <c r="I1737" t="s">
        <v>5</v>
      </c>
      <c r="K1737" t="str">
        <v>budget</v>
      </c>
      <c r="L1737">
        <v>78</v>
      </c>
    </row>
    <row r="1738" spans="2:12" x14ac:dyDescent="0.3">
      <c r="B1738" t="s">
        <v>1651</v>
      </c>
      <c r="C1738">
        <v>94</v>
      </c>
      <c r="D1738" t="s">
        <v>45</v>
      </c>
      <c r="E1738">
        <v>58</v>
      </c>
      <c r="F1738">
        <v>77</v>
      </c>
      <c r="G1738">
        <v>5.51</v>
      </c>
      <c r="H1738" t="s">
        <v>18</v>
      </c>
      <c r="I1738" t="s">
        <v>21</v>
      </c>
      <c r="K1738" t="str">
        <v>budget</v>
      </c>
      <c r="L1738">
        <v>67.5</v>
      </c>
    </row>
    <row r="1739" spans="2:12" x14ac:dyDescent="0.3">
      <c r="B1739" t="s">
        <v>1652</v>
      </c>
      <c r="C1739">
        <v>95</v>
      </c>
      <c r="D1739" t="s">
        <v>41</v>
      </c>
      <c r="E1739">
        <v>63</v>
      </c>
      <c r="F1739">
        <v>86</v>
      </c>
      <c r="G1739">
        <v>5.29</v>
      </c>
      <c r="H1739" t="s">
        <v>18</v>
      </c>
      <c r="I1739" t="s">
        <v>9</v>
      </c>
      <c r="K1739" t="str">
        <v>budget</v>
      </c>
      <c r="L1739">
        <v>74.5</v>
      </c>
    </row>
    <row r="1740" spans="2:12" x14ac:dyDescent="0.3">
      <c r="B1740" t="s">
        <v>1653</v>
      </c>
      <c r="C1740">
        <v>94</v>
      </c>
      <c r="D1740" t="s">
        <v>41</v>
      </c>
      <c r="E1740">
        <v>65</v>
      </c>
      <c r="F1740">
        <v>88</v>
      </c>
      <c r="G1740">
        <v>8.82</v>
      </c>
      <c r="H1740" t="s">
        <v>18</v>
      </c>
      <c r="I1740" t="s">
        <v>5</v>
      </c>
      <c r="K1740" t="str">
        <v>budget</v>
      </c>
      <c r="L1740">
        <v>76.5</v>
      </c>
    </row>
    <row r="1741" spans="2:12" x14ac:dyDescent="0.3">
      <c r="B1741" t="s">
        <v>1654</v>
      </c>
      <c r="C1741">
        <v>96</v>
      </c>
      <c r="D1741" t="s">
        <v>45</v>
      </c>
      <c r="E1741">
        <v>63</v>
      </c>
      <c r="F1741">
        <v>74</v>
      </c>
      <c r="G1741">
        <v>188</v>
      </c>
      <c r="H1741" t="s">
        <v>11</v>
      </c>
      <c r="I1741" t="s">
        <v>9</v>
      </c>
      <c r="K1741" t="str">
        <v>premium</v>
      </c>
      <c r="L1741">
        <v>68.5</v>
      </c>
    </row>
    <row r="1742" spans="2:12" x14ac:dyDescent="0.3">
      <c r="B1742" t="s">
        <v>1655</v>
      </c>
      <c r="C1742">
        <v>94</v>
      </c>
      <c r="D1742" t="s">
        <v>41</v>
      </c>
      <c r="E1742">
        <v>64</v>
      </c>
      <c r="F1742">
        <v>85</v>
      </c>
      <c r="G1742">
        <v>21.16</v>
      </c>
      <c r="H1742" t="s">
        <v>18</v>
      </c>
      <c r="I1742" t="s">
        <v>5</v>
      </c>
      <c r="K1742" t="str">
        <v>budget</v>
      </c>
      <c r="L1742">
        <v>74.5</v>
      </c>
    </row>
    <row r="1743" spans="2:12" x14ac:dyDescent="0.3">
      <c r="B1743" t="s">
        <v>1656</v>
      </c>
      <c r="C1743">
        <v>95</v>
      </c>
      <c r="D1743" t="s">
        <v>45</v>
      </c>
      <c r="E1743">
        <v>52</v>
      </c>
      <c r="F1743">
        <v>73</v>
      </c>
      <c r="G1743">
        <v>22.02</v>
      </c>
      <c r="H1743" t="s">
        <v>18</v>
      </c>
      <c r="I1743" t="s">
        <v>5</v>
      </c>
      <c r="K1743" t="str">
        <v>budget</v>
      </c>
      <c r="L1743">
        <v>62.5</v>
      </c>
    </row>
    <row r="1744" spans="2:12" x14ac:dyDescent="0.3">
      <c r="B1744" t="s">
        <v>1657</v>
      </c>
      <c r="C1744">
        <v>94</v>
      </c>
      <c r="D1744" t="s">
        <v>45</v>
      </c>
      <c r="E1744">
        <v>59</v>
      </c>
      <c r="F1744">
        <v>79</v>
      </c>
      <c r="G1744">
        <v>5.51</v>
      </c>
      <c r="H1744" t="s">
        <v>18</v>
      </c>
      <c r="I1744" t="s">
        <v>21</v>
      </c>
      <c r="K1744" t="str">
        <v>budget</v>
      </c>
      <c r="L1744">
        <v>69</v>
      </c>
    </row>
    <row r="1745" spans="2:12" x14ac:dyDescent="0.3">
      <c r="B1745" t="s">
        <v>1658</v>
      </c>
      <c r="C1745">
        <v>95</v>
      </c>
      <c r="D1745" t="s">
        <v>45</v>
      </c>
      <c r="E1745">
        <v>57</v>
      </c>
      <c r="F1745">
        <v>70</v>
      </c>
      <c r="G1745">
        <v>6.17</v>
      </c>
      <c r="H1745" t="s">
        <v>18</v>
      </c>
      <c r="I1745" t="s">
        <v>12</v>
      </c>
      <c r="K1745" t="str">
        <v>budget</v>
      </c>
      <c r="L1745">
        <v>63.5</v>
      </c>
    </row>
    <row r="1746" spans="2:12" x14ac:dyDescent="0.3">
      <c r="B1746" t="s">
        <v>1659</v>
      </c>
      <c r="C1746">
        <v>94</v>
      </c>
      <c r="D1746" t="s">
        <v>41</v>
      </c>
      <c r="E1746">
        <v>63</v>
      </c>
      <c r="F1746">
        <v>85</v>
      </c>
      <c r="G1746">
        <v>5.44</v>
      </c>
      <c r="H1746" t="s">
        <v>18</v>
      </c>
      <c r="I1746" t="s">
        <v>15</v>
      </c>
      <c r="K1746" t="str">
        <v>budget</v>
      </c>
      <c r="L1746">
        <v>74</v>
      </c>
    </row>
    <row r="1747" spans="2:12" x14ac:dyDescent="0.3">
      <c r="B1747" t="s">
        <v>1660</v>
      </c>
      <c r="C1747">
        <v>95</v>
      </c>
      <c r="D1747" t="s">
        <v>41</v>
      </c>
      <c r="E1747">
        <v>63</v>
      </c>
      <c r="F1747">
        <v>91</v>
      </c>
      <c r="G1747">
        <v>5.29</v>
      </c>
      <c r="H1747" t="s">
        <v>18</v>
      </c>
      <c r="I1747" t="s">
        <v>22</v>
      </c>
      <c r="K1747" t="str">
        <v>budget</v>
      </c>
      <c r="L1747">
        <v>77</v>
      </c>
    </row>
    <row r="1748" spans="2:12" x14ac:dyDescent="0.3">
      <c r="B1748" t="s">
        <v>1661</v>
      </c>
      <c r="C1748">
        <v>94</v>
      </c>
      <c r="D1748" t="s">
        <v>45</v>
      </c>
      <c r="E1748">
        <v>60</v>
      </c>
      <c r="F1748">
        <v>78</v>
      </c>
      <c r="G1748">
        <v>5.28</v>
      </c>
      <c r="H1748" t="s">
        <v>18</v>
      </c>
      <c r="I1748" t="s">
        <v>12</v>
      </c>
      <c r="K1748" t="str">
        <v>budget</v>
      </c>
      <c r="L1748">
        <v>69</v>
      </c>
    </row>
    <row r="1749" spans="2:12" x14ac:dyDescent="0.3">
      <c r="B1749" t="s">
        <v>1662</v>
      </c>
      <c r="C1749">
        <v>96</v>
      </c>
      <c r="D1749" t="s">
        <v>82</v>
      </c>
      <c r="E1749">
        <v>49</v>
      </c>
      <c r="F1749">
        <v>72</v>
      </c>
      <c r="G1749">
        <v>22.02</v>
      </c>
      <c r="H1749" t="s">
        <v>18</v>
      </c>
      <c r="I1749" t="s">
        <v>5</v>
      </c>
      <c r="K1749" t="str">
        <v>budget</v>
      </c>
      <c r="L1749">
        <v>60.5</v>
      </c>
    </row>
    <row r="1750" spans="2:12" x14ac:dyDescent="0.3">
      <c r="B1750" t="s">
        <v>1663</v>
      </c>
      <c r="C1750">
        <v>94</v>
      </c>
      <c r="D1750" t="s">
        <v>82</v>
      </c>
      <c r="E1750">
        <v>52</v>
      </c>
      <c r="F1750">
        <v>60</v>
      </c>
      <c r="G1750">
        <v>4.41</v>
      </c>
      <c r="H1750" t="s">
        <v>18</v>
      </c>
      <c r="I1750" t="s">
        <v>150</v>
      </c>
      <c r="K1750" t="str">
        <v>budget</v>
      </c>
      <c r="L1750">
        <v>56</v>
      </c>
    </row>
    <row r="1751" spans="2:12" x14ac:dyDescent="0.3">
      <c r="B1751" t="s">
        <v>1664</v>
      </c>
      <c r="C1751">
        <v>94</v>
      </c>
      <c r="D1751" t="s">
        <v>45</v>
      </c>
      <c r="E1751">
        <v>52</v>
      </c>
      <c r="F1751">
        <v>72</v>
      </c>
      <c r="G1751">
        <v>7.63</v>
      </c>
      <c r="H1751" t="s">
        <v>18</v>
      </c>
      <c r="I1751" t="s">
        <v>9</v>
      </c>
      <c r="K1751" t="str">
        <v>budget</v>
      </c>
      <c r="L1751">
        <v>62</v>
      </c>
    </row>
    <row r="1752" spans="2:12" x14ac:dyDescent="0.3">
      <c r="B1752" t="s">
        <v>1665</v>
      </c>
      <c r="C1752">
        <v>94</v>
      </c>
      <c r="D1752" t="s">
        <v>45</v>
      </c>
      <c r="E1752">
        <v>58</v>
      </c>
      <c r="F1752">
        <v>76</v>
      </c>
      <c r="G1752">
        <v>4.9800000000000004</v>
      </c>
      <c r="H1752" t="s">
        <v>18</v>
      </c>
      <c r="I1752" t="s">
        <v>9</v>
      </c>
      <c r="K1752" t="str">
        <v>budget</v>
      </c>
      <c r="L1752">
        <v>67</v>
      </c>
    </row>
    <row r="1753" spans="2:12" x14ac:dyDescent="0.3">
      <c r="B1753" t="s">
        <v>1666</v>
      </c>
      <c r="C1753">
        <v>96</v>
      </c>
      <c r="D1753" t="s">
        <v>82</v>
      </c>
      <c r="E1753">
        <v>48</v>
      </c>
      <c r="F1753">
        <v>59</v>
      </c>
      <c r="G1753">
        <v>5.73</v>
      </c>
      <c r="H1753" t="s">
        <v>18</v>
      </c>
      <c r="I1753" t="s">
        <v>5</v>
      </c>
      <c r="K1753" t="str">
        <v>budget</v>
      </c>
      <c r="L1753">
        <v>53.5</v>
      </c>
    </row>
    <row r="1754" spans="2:12" x14ac:dyDescent="0.3">
      <c r="B1754" t="s">
        <v>474</v>
      </c>
      <c r="C1754">
        <v>94</v>
      </c>
      <c r="D1754" t="s">
        <v>45</v>
      </c>
      <c r="E1754">
        <v>56</v>
      </c>
      <c r="F1754">
        <v>74</v>
      </c>
      <c r="G1754">
        <v>4.7300000000000004</v>
      </c>
      <c r="H1754" t="s">
        <v>18</v>
      </c>
      <c r="I1754" t="s">
        <v>12</v>
      </c>
      <c r="K1754" t="str">
        <v>budget</v>
      </c>
      <c r="L1754">
        <v>65</v>
      </c>
    </row>
    <row r="1755" spans="2:12" x14ac:dyDescent="0.3">
      <c r="B1755" t="s">
        <v>1667</v>
      </c>
      <c r="C1755">
        <v>95</v>
      </c>
      <c r="D1755" t="s">
        <v>45</v>
      </c>
      <c r="E1755">
        <v>57</v>
      </c>
      <c r="F1755">
        <v>78</v>
      </c>
      <c r="G1755">
        <v>4.6399999999999997</v>
      </c>
      <c r="H1755" t="s">
        <v>18</v>
      </c>
      <c r="I1755" t="s">
        <v>15</v>
      </c>
      <c r="K1755" t="str">
        <v>budget</v>
      </c>
      <c r="L1755">
        <v>67.5</v>
      </c>
    </row>
    <row r="1756" spans="2:12" x14ac:dyDescent="0.3">
      <c r="B1756" t="s">
        <v>1668</v>
      </c>
      <c r="C1756">
        <v>94</v>
      </c>
      <c r="D1756" t="s">
        <v>41</v>
      </c>
      <c r="E1756">
        <v>62</v>
      </c>
      <c r="F1756">
        <v>87</v>
      </c>
      <c r="G1756">
        <v>8</v>
      </c>
      <c r="H1756" t="s">
        <v>30</v>
      </c>
      <c r="I1756" t="s">
        <v>21</v>
      </c>
      <c r="K1756" t="str">
        <v>budget</v>
      </c>
      <c r="L1756">
        <v>74.5</v>
      </c>
    </row>
    <row r="1757" spans="2:12" x14ac:dyDescent="0.3">
      <c r="B1757" t="s">
        <v>1669</v>
      </c>
      <c r="C1757">
        <v>95</v>
      </c>
      <c r="D1757" t="s">
        <v>41</v>
      </c>
      <c r="E1757">
        <v>66</v>
      </c>
      <c r="F1757">
        <v>87</v>
      </c>
      <c r="G1757">
        <v>5.88</v>
      </c>
      <c r="H1757" t="s">
        <v>18</v>
      </c>
      <c r="I1757" t="s">
        <v>9</v>
      </c>
      <c r="K1757" t="str">
        <v>budget</v>
      </c>
      <c r="L1757">
        <v>76.5</v>
      </c>
    </row>
    <row r="1758" spans="2:12" x14ac:dyDescent="0.3">
      <c r="B1758" t="s">
        <v>1670</v>
      </c>
      <c r="C1758">
        <v>95</v>
      </c>
      <c r="D1758" t="s">
        <v>541</v>
      </c>
      <c r="E1758">
        <v>43</v>
      </c>
      <c r="F1758">
        <v>52</v>
      </c>
      <c r="G1758">
        <v>0.22</v>
      </c>
      <c r="H1758" t="s">
        <v>2</v>
      </c>
      <c r="I1758" t="s">
        <v>17</v>
      </c>
      <c r="K1758" t="str">
        <v>budget</v>
      </c>
      <c r="L1758">
        <v>47.5</v>
      </c>
    </row>
    <row r="1759" spans="2:12" x14ac:dyDescent="0.3">
      <c r="B1759" t="s">
        <v>1671</v>
      </c>
      <c r="C1759">
        <v>94</v>
      </c>
      <c r="D1759" t="s">
        <v>541</v>
      </c>
      <c r="E1759">
        <v>44</v>
      </c>
      <c r="F1759">
        <v>50</v>
      </c>
      <c r="G1759">
        <v>0.44</v>
      </c>
      <c r="H1759" t="s">
        <v>2</v>
      </c>
      <c r="I1759" t="s">
        <v>4</v>
      </c>
      <c r="K1759" t="str">
        <v>budget</v>
      </c>
      <c r="L1759">
        <v>47</v>
      </c>
    </row>
    <row r="1760" spans="2:12" x14ac:dyDescent="0.3">
      <c r="B1760" t="s">
        <v>1672</v>
      </c>
      <c r="C1760">
        <v>94</v>
      </c>
      <c r="D1760" t="s">
        <v>45</v>
      </c>
      <c r="E1760">
        <v>55</v>
      </c>
      <c r="F1760">
        <v>78</v>
      </c>
      <c r="G1760">
        <v>5.57</v>
      </c>
      <c r="H1760" t="s">
        <v>18</v>
      </c>
      <c r="I1760" t="s">
        <v>9</v>
      </c>
      <c r="K1760" t="str">
        <v>budget</v>
      </c>
      <c r="L1760">
        <v>66.5</v>
      </c>
    </row>
    <row r="1761" spans="2:12" x14ac:dyDescent="0.3">
      <c r="B1761" t="s">
        <v>1673</v>
      </c>
      <c r="C1761">
        <v>95</v>
      </c>
      <c r="D1761" t="s">
        <v>45</v>
      </c>
      <c r="E1761">
        <v>55</v>
      </c>
      <c r="F1761">
        <v>76</v>
      </c>
      <c r="G1761">
        <v>4.2300000000000004</v>
      </c>
      <c r="H1761" t="s">
        <v>18</v>
      </c>
      <c r="I1761" t="s">
        <v>12</v>
      </c>
      <c r="K1761" t="str">
        <v>budget</v>
      </c>
      <c r="L1761">
        <v>65.5</v>
      </c>
    </row>
    <row r="1762" spans="2:12" x14ac:dyDescent="0.3">
      <c r="B1762" t="s">
        <v>1674</v>
      </c>
      <c r="C1762">
        <v>96</v>
      </c>
      <c r="D1762" t="s">
        <v>41</v>
      </c>
      <c r="E1762">
        <v>67</v>
      </c>
      <c r="F1762">
        <v>88</v>
      </c>
      <c r="G1762">
        <v>22.49</v>
      </c>
      <c r="H1762" t="s">
        <v>18</v>
      </c>
      <c r="I1762" t="s">
        <v>5</v>
      </c>
      <c r="K1762" t="str">
        <v>budget</v>
      </c>
      <c r="L1762">
        <v>77.5</v>
      </c>
    </row>
    <row r="1763" spans="2:12" x14ac:dyDescent="0.3">
      <c r="B1763" t="s">
        <v>1675</v>
      </c>
      <c r="C1763">
        <v>94</v>
      </c>
      <c r="D1763" t="s">
        <v>45</v>
      </c>
      <c r="E1763">
        <v>58</v>
      </c>
      <c r="F1763">
        <v>71</v>
      </c>
      <c r="G1763">
        <v>16.41</v>
      </c>
      <c r="H1763" t="s">
        <v>18</v>
      </c>
      <c r="I1763" t="s">
        <v>9</v>
      </c>
      <c r="K1763" t="str">
        <v>budget</v>
      </c>
      <c r="L1763">
        <v>64.5</v>
      </c>
    </row>
    <row r="1764" spans="2:12" x14ac:dyDescent="0.3">
      <c r="B1764" t="s">
        <v>1676</v>
      </c>
      <c r="C1764">
        <v>94</v>
      </c>
      <c r="D1764" t="s">
        <v>45</v>
      </c>
      <c r="E1764">
        <v>60</v>
      </c>
      <c r="F1764">
        <v>75</v>
      </c>
      <c r="G1764">
        <v>4.4800000000000004</v>
      </c>
      <c r="H1764" t="s">
        <v>18</v>
      </c>
      <c r="I1764" t="s">
        <v>12</v>
      </c>
      <c r="K1764" t="str">
        <v>budget</v>
      </c>
      <c r="L1764">
        <v>67.5</v>
      </c>
    </row>
    <row r="1765" spans="2:12" x14ac:dyDescent="0.3">
      <c r="B1765" t="s">
        <v>1677</v>
      </c>
      <c r="C1765">
        <v>95</v>
      </c>
      <c r="D1765" t="s">
        <v>45</v>
      </c>
      <c r="E1765">
        <v>54</v>
      </c>
      <c r="F1765">
        <v>70</v>
      </c>
      <c r="G1765">
        <v>5.14</v>
      </c>
      <c r="H1765" t="s">
        <v>18</v>
      </c>
      <c r="I1765" t="s">
        <v>12</v>
      </c>
      <c r="K1765" t="str">
        <v>budget</v>
      </c>
      <c r="L1765">
        <v>62</v>
      </c>
    </row>
    <row r="1766" spans="2:12" x14ac:dyDescent="0.3">
      <c r="B1766" t="s">
        <v>1678</v>
      </c>
      <c r="C1766">
        <v>95</v>
      </c>
      <c r="D1766" t="s">
        <v>45</v>
      </c>
      <c r="E1766">
        <v>59</v>
      </c>
      <c r="F1766">
        <v>75</v>
      </c>
      <c r="G1766">
        <v>3.97</v>
      </c>
      <c r="H1766" t="s">
        <v>18</v>
      </c>
      <c r="I1766" t="s">
        <v>12</v>
      </c>
      <c r="K1766" t="str">
        <v>budget</v>
      </c>
      <c r="L1766">
        <v>67</v>
      </c>
    </row>
    <row r="1767" spans="2:12" x14ac:dyDescent="0.3">
      <c r="B1767" t="s">
        <v>1679</v>
      </c>
      <c r="C1767">
        <v>94</v>
      </c>
      <c r="D1767" t="s">
        <v>45</v>
      </c>
      <c r="E1767">
        <v>57</v>
      </c>
      <c r="F1767">
        <v>76</v>
      </c>
      <c r="G1767">
        <v>6.61</v>
      </c>
      <c r="H1767" t="s">
        <v>18</v>
      </c>
      <c r="I1767" t="s">
        <v>9</v>
      </c>
      <c r="K1767" t="str">
        <v>budget</v>
      </c>
      <c r="L1767">
        <v>66.5</v>
      </c>
    </row>
    <row r="1768" spans="2:12" x14ac:dyDescent="0.3">
      <c r="B1768" t="s">
        <v>1680</v>
      </c>
      <c r="C1768">
        <v>96</v>
      </c>
      <c r="D1768" t="s">
        <v>45</v>
      </c>
      <c r="E1768">
        <v>58</v>
      </c>
      <c r="F1768">
        <v>72</v>
      </c>
      <c r="G1768">
        <v>17.64</v>
      </c>
      <c r="H1768" t="s">
        <v>18</v>
      </c>
      <c r="I1768" t="s">
        <v>5</v>
      </c>
      <c r="K1768" t="str">
        <v>budget</v>
      </c>
      <c r="L1768">
        <v>65</v>
      </c>
    </row>
    <row r="1769" spans="2:12" x14ac:dyDescent="0.3">
      <c r="B1769" t="s">
        <v>1681</v>
      </c>
      <c r="C1769">
        <v>94</v>
      </c>
      <c r="D1769" t="s">
        <v>82</v>
      </c>
      <c r="E1769">
        <v>48</v>
      </c>
      <c r="F1769">
        <v>60</v>
      </c>
      <c r="G1769">
        <v>4.3899999999999997</v>
      </c>
      <c r="H1769" t="s">
        <v>18</v>
      </c>
      <c r="I1769" t="s">
        <v>150</v>
      </c>
      <c r="K1769" t="str">
        <v>budget</v>
      </c>
      <c r="L1769">
        <v>54</v>
      </c>
    </row>
    <row r="1770" spans="2:12" x14ac:dyDescent="0.3">
      <c r="B1770" t="s">
        <v>1682</v>
      </c>
      <c r="C1770">
        <v>97</v>
      </c>
      <c r="D1770" t="s">
        <v>82</v>
      </c>
      <c r="E1770">
        <v>52</v>
      </c>
      <c r="F1770">
        <v>66</v>
      </c>
      <c r="G1770">
        <v>26.43</v>
      </c>
      <c r="H1770" t="s">
        <v>18</v>
      </c>
      <c r="I1770" t="s">
        <v>5</v>
      </c>
      <c r="K1770" t="str">
        <v>middle</v>
      </c>
      <c r="L1770">
        <v>59</v>
      </c>
    </row>
    <row r="1771" spans="2:12" x14ac:dyDescent="0.3">
      <c r="B1771" t="s">
        <v>1683</v>
      </c>
      <c r="C1771">
        <v>94</v>
      </c>
      <c r="D1771" t="s">
        <v>82</v>
      </c>
      <c r="E1771">
        <v>47</v>
      </c>
      <c r="F1771">
        <v>60</v>
      </c>
      <c r="G1771">
        <v>3.81</v>
      </c>
      <c r="H1771" t="s">
        <v>18</v>
      </c>
      <c r="I1771" t="s">
        <v>3</v>
      </c>
      <c r="K1771" t="str">
        <v>budget</v>
      </c>
      <c r="L1771">
        <v>53.5</v>
      </c>
    </row>
    <row r="1772" spans="2:12" x14ac:dyDescent="0.3">
      <c r="B1772" t="s">
        <v>1684</v>
      </c>
      <c r="C1772">
        <v>94</v>
      </c>
      <c r="D1772" t="s">
        <v>45</v>
      </c>
      <c r="E1772">
        <v>55</v>
      </c>
      <c r="F1772">
        <v>69</v>
      </c>
      <c r="G1772">
        <v>4.12</v>
      </c>
      <c r="H1772" t="s">
        <v>18</v>
      </c>
      <c r="I1772" t="s">
        <v>150</v>
      </c>
      <c r="K1772" t="str">
        <v>budget</v>
      </c>
      <c r="L1772">
        <v>62</v>
      </c>
    </row>
    <row r="1773" spans="2:12" x14ac:dyDescent="0.3">
      <c r="B1773" t="s">
        <v>1685</v>
      </c>
      <c r="C1773">
        <v>96</v>
      </c>
      <c r="D1773" t="s">
        <v>45</v>
      </c>
      <c r="E1773">
        <v>54</v>
      </c>
      <c r="F1773">
        <v>76</v>
      </c>
      <c r="G1773">
        <v>7.33</v>
      </c>
      <c r="H1773" t="s">
        <v>18</v>
      </c>
      <c r="I1773" t="s">
        <v>12</v>
      </c>
      <c r="K1773" t="str">
        <v>budget</v>
      </c>
      <c r="L1773">
        <v>65</v>
      </c>
    </row>
    <row r="1774" spans="2:12" x14ac:dyDescent="0.3">
      <c r="B1774" t="s">
        <v>1686</v>
      </c>
      <c r="C1774">
        <v>94</v>
      </c>
      <c r="D1774" t="s">
        <v>45</v>
      </c>
      <c r="E1774">
        <v>54</v>
      </c>
      <c r="F1774">
        <v>74</v>
      </c>
      <c r="G1774">
        <v>6.17</v>
      </c>
      <c r="H1774" t="s">
        <v>18</v>
      </c>
      <c r="I1774" t="s">
        <v>24</v>
      </c>
      <c r="K1774" t="str">
        <v>budget</v>
      </c>
      <c r="L1774">
        <v>64</v>
      </c>
    </row>
    <row r="1775" spans="2:12" x14ac:dyDescent="0.3">
      <c r="B1775" t="s">
        <v>1687</v>
      </c>
      <c r="C1775">
        <v>94</v>
      </c>
      <c r="D1775" t="s">
        <v>41</v>
      </c>
      <c r="E1775">
        <v>65</v>
      </c>
      <c r="F1775">
        <v>87</v>
      </c>
      <c r="G1775">
        <v>4.41</v>
      </c>
      <c r="H1775" t="s">
        <v>18</v>
      </c>
      <c r="I1775" t="s">
        <v>9</v>
      </c>
      <c r="K1775" t="str">
        <v>budget</v>
      </c>
      <c r="L1775">
        <v>76</v>
      </c>
    </row>
    <row r="1776" spans="2:12" x14ac:dyDescent="0.3">
      <c r="B1776" t="s">
        <v>1688</v>
      </c>
      <c r="C1776">
        <v>94</v>
      </c>
      <c r="D1776" t="s">
        <v>45</v>
      </c>
      <c r="E1776">
        <v>54</v>
      </c>
      <c r="F1776">
        <v>74</v>
      </c>
      <c r="G1776">
        <v>8.3800000000000008</v>
      </c>
      <c r="H1776" t="s">
        <v>18</v>
      </c>
      <c r="I1776" t="s">
        <v>8</v>
      </c>
      <c r="K1776" t="str">
        <v>budget</v>
      </c>
      <c r="L1776">
        <v>64</v>
      </c>
    </row>
    <row r="1777" spans="2:12" x14ac:dyDescent="0.3">
      <c r="B1777" t="s">
        <v>1689</v>
      </c>
      <c r="C1777">
        <v>94</v>
      </c>
      <c r="D1777" t="s">
        <v>41</v>
      </c>
      <c r="E1777">
        <v>78</v>
      </c>
      <c r="F1777">
        <v>99</v>
      </c>
      <c r="G1777">
        <v>5.58</v>
      </c>
      <c r="H1777" t="s">
        <v>18</v>
      </c>
      <c r="I1777" t="s">
        <v>21</v>
      </c>
      <c r="K1777" t="str">
        <v>budget</v>
      </c>
      <c r="L1777">
        <v>88.5</v>
      </c>
    </row>
    <row r="1778" spans="2:12" x14ac:dyDescent="0.3">
      <c r="B1778" t="s">
        <v>935</v>
      </c>
      <c r="C1778">
        <v>95</v>
      </c>
      <c r="D1778" t="s">
        <v>45</v>
      </c>
      <c r="E1778">
        <v>57</v>
      </c>
      <c r="F1778">
        <v>78</v>
      </c>
      <c r="G1778">
        <v>5.59</v>
      </c>
      <c r="H1778" t="s">
        <v>18</v>
      </c>
      <c r="I1778" t="s">
        <v>9</v>
      </c>
      <c r="K1778" t="str">
        <v>budget</v>
      </c>
      <c r="L1778">
        <v>67.5</v>
      </c>
    </row>
    <row r="1779" spans="2:12" x14ac:dyDescent="0.3">
      <c r="B1779" t="s">
        <v>1690</v>
      </c>
      <c r="C1779">
        <v>94</v>
      </c>
      <c r="D1779" t="s">
        <v>45</v>
      </c>
      <c r="E1779">
        <v>61</v>
      </c>
      <c r="F1779">
        <v>79</v>
      </c>
      <c r="G1779">
        <v>3.75</v>
      </c>
      <c r="H1779" t="s">
        <v>2</v>
      </c>
      <c r="I1779" t="s">
        <v>9</v>
      </c>
      <c r="K1779" t="str">
        <v>budget</v>
      </c>
      <c r="L1779">
        <v>70</v>
      </c>
    </row>
    <row r="1780" spans="2:12" x14ac:dyDescent="0.3">
      <c r="B1780" t="s">
        <v>1691</v>
      </c>
      <c r="C1780">
        <v>94</v>
      </c>
      <c r="D1780" t="s">
        <v>41</v>
      </c>
      <c r="E1780">
        <v>62</v>
      </c>
      <c r="F1780">
        <v>88</v>
      </c>
      <c r="G1780">
        <v>5.29</v>
      </c>
      <c r="H1780" t="s">
        <v>18</v>
      </c>
      <c r="I1780" t="s">
        <v>9</v>
      </c>
      <c r="K1780" t="str">
        <v>budget</v>
      </c>
      <c r="L1780">
        <v>75</v>
      </c>
    </row>
    <row r="1781" spans="2:12" x14ac:dyDescent="0.3">
      <c r="B1781" t="s">
        <v>1467</v>
      </c>
      <c r="C1781">
        <v>94</v>
      </c>
      <c r="D1781" t="s">
        <v>45</v>
      </c>
      <c r="E1781">
        <v>55</v>
      </c>
      <c r="F1781">
        <v>72</v>
      </c>
      <c r="G1781">
        <v>3.53</v>
      </c>
      <c r="H1781" t="s">
        <v>31</v>
      </c>
      <c r="I1781" t="s">
        <v>150</v>
      </c>
      <c r="K1781" t="str">
        <v>budget</v>
      </c>
      <c r="L1781">
        <v>63.5</v>
      </c>
    </row>
    <row r="1782" spans="2:12" x14ac:dyDescent="0.3">
      <c r="B1782" t="s">
        <v>1692</v>
      </c>
      <c r="C1782">
        <v>94</v>
      </c>
      <c r="D1782" t="s">
        <v>82</v>
      </c>
      <c r="E1782">
        <v>47</v>
      </c>
      <c r="F1782">
        <v>56</v>
      </c>
      <c r="G1782">
        <v>0.44</v>
      </c>
      <c r="H1782" t="s">
        <v>2</v>
      </c>
      <c r="I1782" t="s">
        <v>14</v>
      </c>
      <c r="K1782" t="str">
        <v>budget</v>
      </c>
      <c r="L1782">
        <v>51.5</v>
      </c>
    </row>
    <row r="1783" spans="2:12" x14ac:dyDescent="0.3">
      <c r="B1783" t="s">
        <v>1693</v>
      </c>
      <c r="C1783">
        <v>94</v>
      </c>
      <c r="D1783" t="s">
        <v>41</v>
      </c>
      <c r="E1783">
        <v>68</v>
      </c>
      <c r="F1783">
        <v>92</v>
      </c>
      <c r="G1783">
        <v>5.59</v>
      </c>
      <c r="H1783" t="s">
        <v>18</v>
      </c>
      <c r="I1783" t="s">
        <v>15</v>
      </c>
      <c r="K1783" t="str">
        <v>budget</v>
      </c>
      <c r="L1783">
        <v>80</v>
      </c>
    </row>
    <row r="1784" spans="2:12" x14ac:dyDescent="0.3">
      <c r="B1784" t="s">
        <v>1694</v>
      </c>
      <c r="C1784">
        <v>94</v>
      </c>
      <c r="D1784" t="s">
        <v>41</v>
      </c>
      <c r="E1784">
        <v>66</v>
      </c>
      <c r="F1784">
        <v>99</v>
      </c>
      <c r="G1784">
        <v>264.32</v>
      </c>
      <c r="H1784" t="s">
        <v>2</v>
      </c>
      <c r="I1784" t="s">
        <v>150</v>
      </c>
      <c r="K1784" t="str">
        <v>premium</v>
      </c>
      <c r="L1784">
        <v>82.5</v>
      </c>
    </row>
    <row r="1785" spans="2:12" x14ac:dyDescent="0.3">
      <c r="B1785" t="s">
        <v>1695</v>
      </c>
      <c r="C1785">
        <v>95</v>
      </c>
      <c r="D1785" t="s">
        <v>41</v>
      </c>
      <c r="E1785">
        <v>63</v>
      </c>
      <c r="F1785">
        <v>81</v>
      </c>
      <c r="G1785">
        <v>5.14</v>
      </c>
      <c r="H1785" t="s">
        <v>18</v>
      </c>
      <c r="I1785" t="s">
        <v>5</v>
      </c>
      <c r="K1785" t="str">
        <v>budget</v>
      </c>
      <c r="L1785">
        <v>72</v>
      </c>
    </row>
    <row r="1786" spans="2:12" x14ac:dyDescent="0.3">
      <c r="B1786" t="s">
        <v>1696</v>
      </c>
      <c r="C1786">
        <v>94</v>
      </c>
      <c r="D1786" t="s">
        <v>45</v>
      </c>
      <c r="E1786">
        <v>54</v>
      </c>
      <c r="F1786">
        <v>70</v>
      </c>
      <c r="G1786">
        <v>5.29</v>
      </c>
      <c r="H1786" t="s">
        <v>18</v>
      </c>
      <c r="I1786" t="s">
        <v>16</v>
      </c>
      <c r="K1786" t="str">
        <v>budget</v>
      </c>
      <c r="L1786">
        <v>62</v>
      </c>
    </row>
    <row r="1787" spans="2:12" x14ac:dyDescent="0.3">
      <c r="B1787" t="s">
        <v>955</v>
      </c>
      <c r="C1787">
        <v>94</v>
      </c>
      <c r="D1787" t="s">
        <v>82</v>
      </c>
      <c r="E1787">
        <v>52</v>
      </c>
      <c r="F1787">
        <v>68</v>
      </c>
      <c r="G1787">
        <v>231.11</v>
      </c>
      <c r="H1787" t="s">
        <v>2</v>
      </c>
      <c r="I1787" t="s">
        <v>150</v>
      </c>
      <c r="K1787" t="str">
        <v>premium</v>
      </c>
      <c r="L1787">
        <v>60</v>
      </c>
    </row>
    <row r="1788" spans="2:12" x14ac:dyDescent="0.3">
      <c r="B1788" t="s">
        <v>1697</v>
      </c>
      <c r="C1788">
        <v>96</v>
      </c>
      <c r="D1788" t="s">
        <v>45</v>
      </c>
      <c r="E1788">
        <v>59</v>
      </c>
      <c r="F1788">
        <v>80</v>
      </c>
      <c r="G1788">
        <v>466.67</v>
      </c>
      <c r="H1788" t="s">
        <v>11</v>
      </c>
      <c r="I1788" t="s">
        <v>150</v>
      </c>
      <c r="K1788" t="str">
        <v>premium</v>
      </c>
      <c r="L1788">
        <v>69.5</v>
      </c>
    </row>
    <row r="1789" spans="2:12" x14ac:dyDescent="0.3">
      <c r="B1789" t="s">
        <v>1698</v>
      </c>
      <c r="C1789">
        <v>94</v>
      </c>
      <c r="D1789" t="s">
        <v>45</v>
      </c>
      <c r="E1789">
        <v>60</v>
      </c>
      <c r="F1789">
        <v>74</v>
      </c>
      <c r="G1789">
        <v>187.2</v>
      </c>
      <c r="H1789" t="s">
        <v>11</v>
      </c>
      <c r="I1789" t="s">
        <v>150</v>
      </c>
      <c r="K1789" t="str">
        <v>premium</v>
      </c>
      <c r="L1789">
        <v>67</v>
      </c>
    </row>
    <row r="1790" spans="2:12" x14ac:dyDescent="0.3">
      <c r="B1790" t="s">
        <v>1699</v>
      </c>
      <c r="C1790">
        <v>95</v>
      </c>
      <c r="D1790" t="s">
        <v>45</v>
      </c>
      <c r="E1790">
        <v>60</v>
      </c>
      <c r="F1790">
        <v>79</v>
      </c>
      <c r="G1790">
        <v>5.42</v>
      </c>
      <c r="H1790" t="s">
        <v>18</v>
      </c>
      <c r="I1790" t="s">
        <v>12</v>
      </c>
      <c r="K1790" t="str">
        <v>budget</v>
      </c>
      <c r="L1790">
        <v>69.5</v>
      </c>
    </row>
    <row r="1791" spans="2:12" x14ac:dyDescent="0.3">
      <c r="B1791" t="s">
        <v>1700</v>
      </c>
      <c r="C1791">
        <v>94</v>
      </c>
      <c r="D1791" t="s">
        <v>45</v>
      </c>
      <c r="E1791">
        <v>58</v>
      </c>
      <c r="F1791">
        <v>72</v>
      </c>
      <c r="G1791">
        <v>9.1</v>
      </c>
      <c r="H1791" t="s">
        <v>18</v>
      </c>
      <c r="I1791" t="s">
        <v>9</v>
      </c>
      <c r="K1791" t="str">
        <v>budget</v>
      </c>
      <c r="L1791">
        <v>65</v>
      </c>
    </row>
    <row r="1792" spans="2:12" x14ac:dyDescent="0.3">
      <c r="B1792" t="s">
        <v>1701</v>
      </c>
      <c r="C1792">
        <v>95</v>
      </c>
      <c r="D1792" t="s">
        <v>41</v>
      </c>
      <c r="E1792">
        <v>64</v>
      </c>
      <c r="F1792">
        <v>94</v>
      </c>
      <c r="G1792">
        <v>4.26</v>
      </c>
      <c r="H1792" t="s">
        <v>18</v>
      </c>
      <c r="I1792" t="s">
        <v>9</v>
      </c>
      <c r="K1792" t="str">
        <v>budget</v>
      </c>
      <c r="L1792">
        <v>79</v>
      </c>
    </row>
    <row r="1793" spans="2:12" x14ac:dyDescent="0.3">
      <c r="B1793" t="s">
        <v>1377</v>
      </c>
      <c r="C1793">
        <v>95</v>
      </c>
      <c r="D1793" t="s">
        <v>41</v>
      </c>
      <c r="E1793">
        <v>62</v>
      </c>
      <c r="F1793">
        <v>88</v>
      </c>
      <c r="G1793">
        <v>21.38</v>
      </c>
      <c r="H1793" t="s">
        <v>18</v>
      </c>
      <c r="I1793" t="s">
        <v>150</v>
      </c>
      <c r="K1793" t="str">
        <v>budget</v>
      </c>
      <c r="L1793">
        <v>75</v>
      </c>
    </row>
    <row r="1794" spans="2:12" x14ac:dyDescent="0.3">
      <c r="B1794" t="s">
        <v>1702</v>
      </c>
      <c r="C1794">
        <v>94</v>
      </c>
      <c r="D1794" t="s">
        <v>82</v>
      </c>
      <c r="E1794">
        <v>47</v>
      </c>
      <c r="F1794">
        <v>65</v>
      </c>
      <c r="G1794">
        <v>5.29</v>
      </c>
      <c r="H1794" t="s">
        <v>18</v>
      </c>
      <c r="I1794" t="s">
        <v>16</v>
      </c>
      <c r="K1794" t="str">
        <v>budget</v>
      </c>
      <c r="L1794">
        <v>56</v>
      </c>
    </row>
    <row r="1795" spans="2:12" x14ac:dyDescent="0.3">
      <c r="B1795" t="s">
        <v>1696</v>
      </c>
      <c r="C1795">
        <v>94</v>
      </c>
      <c r="D1795" t="s">
        <v>45</v>
      </c>
      <c r="E1795">
        <v>56</v>
      </c>
      <c r="F1795">
        <v>70</v>
      </c>
      <c r="G1795">
        <v>5.07</v>
      </c>
      <c r="H1795" t="s">
        <v>18</v>
      </c>
      <c r="I1795" t="s">
        <v>16</v>
      </c>
      <c r="K1795" t="str">
        <v>budget</v>
      </c>
      <c r="L1795">
        <v>63</v>
      </c>
    </row>
    <row r="1796" spans="2:12" x14ac:dyDescent="0.3">
      <c r="B1796" t="s">
        <v>1703</v>
      </c>
      <c r="C1796">
        <v>94</v>
      </c>
      <c r="D1796" t="s">
        <v>82</v>
      </c>
      <c r="E1796">
        <v>49</v>
      </c>
      <c r="F1796">
        <v>62</v>
      </c>
      <c r="G1796">
        <v>2.65</v>
      </c>
      <c r="H1796" t="s">
        <v>2</v>
      </c>
      <c r="I1796" t="s">
        <v>9</v>
      </c>
      <c r="K1796" t="str">
        <v>budget</v>
      </c>
      <c r="L1796">
        <v>55.5</v>
      </c>
    </row>
    <row r="1797" spans="2:12" x14ac:dyDescent="0.3">
      <c r="B1797" t="s">
        <v>1704</v>
      </c>
      <c r="C1797">
        <v>94</v>
      </c>
      <c r="D1797" t="s">
        <v>41</v>
      </c>
      <c r="E1797">
        <v>65</v>
      </c>
      <c r="F1797">
        <v>86</v>
      </c>
      <c r="G1797">
        <v>8.08</v>
      </c>
      <c r="H1797" t="s">
        <v>18</v>
      </c>
      <c r="I1797" t="s">
        <v>14</v>
      </c>
      <c r="K1797" t="str">
        <v>budget</v>
      </c>
      <c r="L1797">
        <v>75.5</v>
      </c>
    </row>
    <row r="1798" spans="2:12" x14ac:dyDescent="0.3">
      <c r="B1798" t="s">
        <v>1705</v>
      </c>
      <c r="C1798">
        <v>96</v>
      </c>
      <c r="D1798" t="s">
        <v>45</v>
      </c>
      <c r="E1798">
        <v>57</v>
      </c>
      <c r="F1798">
        <v>83</v>
      </c>
      <c r="G1798">
        <v>16.23</v>
      </c>
      <c r="H1798" t="s">
        <v>18</v>
      </c>
      <c r="I1798" t="s">
        <v>5</v>
      </c>
      <c r="K1798" t="str">
        <v>budget</v>
      </c>
      <c r="L1798">
        <v>70</v>
      </c>
    </row>
    <row r="1799" spans="2:12" x14ac:dyDescent="0.3">
      <c r="B1799" t="s">
        <v>1706</v>
      </c>
      <c r="C1799">
        <v>94</v>
      </c>
      <c r="D1799" t="s">
        <v>41</v>
      </c>
      <c r="E1799">
        <v>65</v>
      </c>
      <c r="F1799">
        <v>85</v>
      </c>
      <c r="G1799">
        <v>5.29</v>
      </c>
      <c r="H1799" t="s">
        <v>18</v>
      </c>
      <c r="I1799" t="s">
        <v>9</v>
      </c>
      <c r="K1799" t="str">
        <v>budget</v>
      </c>
      <c r="L1799">
        <v>75</v>
      </c>
    </row>
    <row r="1800" spans="2:12" x14ac:dyDescent="0.3">
      <c r="B1800" t="s">
        <v>1682</v>
      </c>
      <c r="C1800">
        <v>96</v>
      </c>
      <c r="D1800" t="s">
        <v>45</v>
      </c>
      <c r="E1800">
        <v>57</v>
      </c>
      <c r="F1800">
        <v>81</v>
      </c>
      <c r="G1800">
        <v>21.72</v>
      </c>
      <c r="H1800" t="s">
        <v>18</v>
      </c>
      <c r="I1800" t="s">
        <v>5</v>
      </c>
      <c r="K1800" t="str">
        <v>budget</v>
      </c>
      <c r="L1800">
        <v>69</v>
      </c>
    </row>
    <row r="1801" spans="2:12" x14ac:dyDescent="0.3">
      <c r="B1801" t="s">
        <v>1707</v>
      </c>
      <c r="C1801">
        <v>94</v>
      </c>
      <c r="D1801" t="s">
        <v>45</v>
      </c>
      <c r="E1801">
        <v>58</v>
      </c>
      <c r="F1801">
        <v>81</v>
      </c>
      <c r="G1801">
        <v>5.29</v>
      </c>
      <c r="H1801" t="s">
        <v>18</v>
      </c>
      <c r="I1801" t="s">
        <v>12</v>
      </c>
      <c r="K1801" t="str">
        <v>budget</v>
      </c>
      <c r="L1801">
        <v>69.5</v>
      </c>
    </row>
    <row r="1802" spans="2:12" x14ac:dyDescent="0.3">
      <c r="B1802" t="s">
        <v>1708</v>
      </c>
      <c r="C1802">
        <v>95</v>
      </c>
      <c r="D1802" t="s">
        <v>45</v>
      </c>
      <c r="E1802">
        <v>56</v>
      </c>
      <c r="F1802">
        <v>77</v>
      </c>
      <c r="G1802">
        <v>5.14</v>
      </c>
      <c r="H1802" t="s">
        <v>18</v>
      </c>
      <c r="I1802" t="s">
        <v>12</v>
      </c>
      <c r="K1802" t="str">
        <v>budget</v>
      </c>
      <c r="L1802">
        <v>66.5</v>
      </c>
    </row>
    <row r="1803" spans="2:12" x14ac:dyDescent="0.3">
      <c r="B1803" t="s">
        <v>1709</v>
      </c>
      <c r="C1803">
        <v>94</v>
      </c>
      <c r="D1803" t="s">
        <v>45</v>
      </c>
      <c r="E1803">
        <v>56</v>
      </c>
      <c r="F1803">
        <v>72</v>
      </c>
      <c r="G1803">
        <v>6</v>
      </c>
      <c r="H1803" t="s">
        <v>30</v>
      </c>
      <c r="I1803" t="s">
        <v>150</v>
      </c>
      <c r="K1803" t="str">
        <v>budget</v>
      </c>
      <c r="L1803">
        <v>64</v>
      </c>
    </row>
    <row r="1804" spans="2:12" x14ac:dyDescent="0.3">
      <c r="B1804" t="s">
        <v>1710</v>
      </c>
      <c r="C1804">
        <v>94</v>
      </c>
      <c r="D1804" t="s">
        <v>82</v>
      </c>
      <c r="E1804">
        <v>50</v>
      </c>
      <c r="F1804">
        <v>62</v>
      </c>
      <c r="G1804">
        <v>110.23</v>
      </c>
      <c r="H1804" t="s">
        <v>2</v>
      </c>
      <c r="I1804" t="s">
        <v>150</v>
      </c>
      <c r="K1804" t="str">
        <v>premium</v>
      </c>
      <c r="L1804">
        <v>56</v>
      </c>
    </row>
    <row r="1805" spans="2:12" x14ac:dyDescent="0.3">
      <c r="B1805" t="s">
        <v>1711</v>
      </c>
      <c r="C1805">
        <v>95</v>
      </c>
      <c r="D1805" t="s">
        <v>45</v>
      </c>
      <c r="E1805">
        <v>55</v>
      </c>
      <c r="F1805">
        <v>75</v>
      </c>
      <c r="G1805">
        <v>4.92</v>
      </c>
      <c r="H1805" t="s">
        <v>18</v>
      </c>
      <c r="I1805" t="s">
        <v>9</v>
      </c>
      <c r="K1805" t="str">
        <v>budget</v>
      </c>
      <c r="L1805">
        <v>65</v>
      </c>
    </row>
    <row r="1806" spans="2:12" x14ac:dyDescent="0.3">
      <c r="B1806" t="s">
        <v>1712</v>
      </c>
      <c r="C1806">
        <v>94</v>
      </c>
      <c r="D1806" t="s">
        <v>41</v>
      </c>
      <c r="E1806">
        <v>60</v>
      </c>
      <c r="F1806">
        <v>83</v>
      </c>
      <c r="G1806">
        <v>5.22</v>
      </c>
      <c r="H1806" t="s">
        <v>18</v>
      </c>
      <c r="I1806" t="s">
        <v>9</v>
      </c>
      <c r="K1806" t="str">
        <v>budget</v>
      </c>
      <c r="L1806">
        <v>71.5</v>
      </c>
    </row>
    <row r="1807" spans="2:12" x14ac:dyDescent="0.3">
      <c r="B1807" t="s">
        <v>1713</v>
      </c>
      <c r="C1807">
        <v>94</v>
      </c>
      <c r="D1807" t="s">
        <v>41</v>
      </c>
      <c r="E1807">
        <v>65</v>
      </c>
      <c r="F1807">
        <v>88</v>
      </c>
      <c r="G1807">
        <v>3.97</v>
      </c>
      <c r="H1807" t="s">
        <v>2</v>
      </c>
      <c r="I1807" t="s">
        <v>9</v>
      </c>
      <c r="K1807" t="str">
        <v>budget</v>
      </c>
      <c r="L1807">
        <v>76.5</v>
      </c>
    </row>
    <row r="1808" spans="2:12" x14ac:dyDescent="0.3">
      <c r="B1808" t="s">
        <v>1714</v>
      </c>
      <c r="C1808">
        <v>94</v>
      </c>
      <c r="D1808" t="s">
        <v>82</v>
      </c>
      <c r="E1808">
        <v>53</v>
      </c>
      <c r="F1808">
        <v>68</v>
      </c>
      <c r="G1808">
        <v>5.29</v>
      </c>
      <c r="H1808" t="s">
        <v>18</v>
      </c>
      <c r="I1808" t="s">
        <v>12</v>
      </c>
      <c r="K1808" t="str">
        <v>budget</v>
      </c>
      <c r="L1808">
        <v>60.5</v>
      </c>
    </row>
    <row r="1809" spans="2:12" x14ac:dyDescent="0.3">
      <c r="B1809" t="s">
        <v>1715</v>
      </c>
      <c r="C1809">
        <v>94</v>
      </c>
      <c r="D1809" t="s">
        <v>82</v>
      </c>
      <c r="E1809">
        <v>49</v>
      </c>
      <c r="F1809">
        <v>65</v>
      </c>
      <c r="G1809">
        <v>5.73</v>
      </c>
      <c r="H1809" t="s">
        <v>18</v>
      </c>
      <c r="I1809" t="s">
        <v>12</v>
      </c>
      <c r="K1809" t="str">
        <v>budget</v>
      </c>
      <c r="L1809">
        <v>57</v>
      </c>
    </row>
    <row r="1810" spans="2:12" x14ac:dyDescent="0.3">
      <c r="B1810" t="s">
        <v>1716</v>
      </c>
      <c r="C1810">
        <v>94</v>
      </c>
      <c r="D1810" t="s">
        <v>45</v>
      </c>
      <c r="E1810">
        <v>58</v>
      </c>
      <c r="F1810">
        <v>83</v>
      </c>
      <c r="G1810">
        <v>5.29</v>
      </c>
      <c r="H1810" t="s">
        <v>18</v>
      </c>
      <c r="I1810" t="s">
        <v>9</v>
      </c>
      <c r="K1810" t="str">
        <v>budget</v>
      </c>
      <c r="L1810">
        <v>70.5</v>
      </c>
    </row>
    <row r="1811" spans="2:12" x14ac:dyDescent="0.3">
      <c r="B1811" t="s">
        <v>1717</v>
      </c>
      <c r="C1811">
        <v>95</v>
      </c>
      <c r="D1811" t="s">
        <v>45</v>
      </c>
      <c r="E1811">
        <v>56</v>
      </c>
      <c r="F1811">
        <v>79</v>
      </c>
      <c r="G1811">
        <v>220.46</v>
      </c>
      <c r="H1811" t="s">
        <v>2</v>
      </c>
      <c r="I1811" t="s">
        <v>12</v>
      </c>
      <c r="K1811" t="str">
        <v>premium</v>
      </c>
      <c r="L1811">
        <v>67.5</v>
      </c>
    </row>
    <row r="1812" spans="2:12" x14ac:dyDescent="0.3">
      <c r="B1812" t="s">
        <v>1718</v>
      </c>
      <c r="C1812">
        <v>95</v>
      </c>
      <c r="D1812" t="s">
        <v>82</v>
      </c>
      <c r="E1812">
        <v>52</v>
      </c>
      <c r="F1812">
        <v>65</v>
      </c>
      <c r="G1812">
        <v>4.3899999999999997</v>
      </c>
      <c r="H1812" t="s">
        <v>18</v>
      </c>
      <c r="I1812" t="s">
        <v>9</v>
      </c>
      <c r="K1812" t="str">
        <v>budget</v>
      </c>
      <c r="L1812">
        <v>58.5</v>
      </c>
    </row>
    <row r="1813" spans="2:12" x14ac:dyDescent="0.3">
      <c r="B1813" t="s">
        <v>1719</v>
      </c>
      <c r="C1813">
        <v>94</v>
      </c>
      <c r="D1813" t="s">
        <v>82</v>
      </c>
      <c r="E1813">
        <v>48</v>
      </c>
      <c r="F1813">
        <v>54</v>
      </c>
      <c r="G1813">
        <v>127.87</v>
      </c>
      <c r="H1813" t="s">
        <v>2</v>
      </c>
      <c r="I1813" t="s">
        <v>150</v>
      </c>
      <c r="K1813" t="str">
        <v>premium</v>
      </c>
      <c r="L1813">
        <v>51</v>
      </c>
    </row>
    <row r="1814" spans="2:12" x14ac:dyDescent="0.3">
      <c r="B1814" t="s">
        <v>1720</v>
      </c>
      <c r="C1814">
        <v>96</v>
      </c>
      <c r="D1814" t="s">
        <v>41</v>
      </c>
      <c r="E1814">
        <v>71</v>
      </c>
      <c r="F1814">
        <v>89</v>
      </c>
      <c r="G1814">
        <v>19.84</v>
      </c>
      <c r="H1814" t="s">
        <v>18</v>
      </c>
      <c r="I1814" t="s">
        <v>150</v>
      </c>
      <c r="K1814" t="str">
        <v>budget</v>
      </c>
      <c r="L1814">
        <v>80</v>
      </c>
    </row>
    <row r="1815" spans="2:12" x14ac:dyDescent="0.3">
      <c r="B1815" t="s">
        <v>1721</v>
      </c>
      <c r="C1815">
        <v>94</v>
      </c>
      <c r="D1815" t="s">
        <v>82</v>
      </c>
      <c r="E1815">
        <v>53</v>
      </c>
      <c r="F1815">
        <v>66</v>
      </c>
      <c r="G1815">
        <v>5</v>
      </c>
      <c r="H1815" t="s">
        <v>18</v>
      </c>
      <c r="I1815" t="s">
        <v>9</v>
      </c>
      <c r="K1815" t="str">
        <v>budget</v>
      </c>
      <c r="L1815">
        <v>59.5</v>
      </c>
    </row>
    <row r="1816" spans="2:12" x14ac:dyDescent="0.3">
      <c r="B1816" t="s">
        <v>1722</v>
      </c>
      <c r="C1816">
        <v>95</v>
      </c>
      <c r="D1816" t="s">
        <v>41</v>
      </c>
      <c r="E1816">
        <v>64</v>
      </c>
      <c r="F1816">
        <v>85</v>
      </c>
      <c r="G1816">
        <v>7.35</v>
      </c>
      <c r="H1816" t="s">
        <v>18</v>
      </c>
      <c r="I1816" t="s">
        <v>9</v>
      </c>
      <c r="K1816" t="str">
        <v>budget</v>
      </c>
      <c r="L1816">
        <v>74.5</v>
      </c>
    </row>
    <row r="1817" spans="2:12" x14ac:dyDescent="0.3">
      <c r="B1817" t="s">
        <v>1565</v>
      </c>
      <c r="C1817">
        <v>94</v>
      </c>
      <c r="D1817" t="s">
        <v>82</v>
      </c>
      <c r="E1817">
        <v>53</v>
      </c>
      <c r="F1817">
        <v>68</v>
      </c>
      <c r="G1817">
        <v>15.85</v>
      </c>
      <c r="H1817" t="s">
        <v>18</v>
      </c>
      <c r="I1817" t="s">
        <v>150</v>
      </c>
      <c r="K1817" t="str">
        <v>budget</v>
      </c>
      <c r="L1817">
        <v>60.5</v>
      </c>
    </row>
    <row r="1818" spans="2:12" x14ac:dyDescent="0.3">
      <c r="B1818" t="s">
        <v>1723</v>
      </c>
      <c r="C1818">
        <v>95</v>
      </c>
      <c r="D1818" t="s">
        <v>41</v>
      </c>
      <c r="E1818">
        <v>66</v>
      </c>
      <c r="F1818">
        <v>84</v>
      </c>
      <c r="G1818">
        <v>121.4</v>
      </c>
      <c r="H1818" t="s">
        <v>18</v>
      </c>
      <c r="I1818" t="s">
        <v>9</v>
      </c>
      <c r="K1818" t="str">
        <v>premium</v>
      </c>
      <c r="L1818">
        <v>75</v>
      </c>
    </row>
    <row r="1819" spans="2:12" x14ac:dyDescent="0.3">
      <c r="B1819" t="s">
        <v>1724</v>
      </c>
      <c r="C1819">
        <v>95</v>
      </c>
      <c r="D1819" t="s">
        <v>82</v>
      </c>
      <c r="E1819">
        <v>49</v>
      </c>
      <c r="F1819">
        <v>66</v>
      </c>
      <c r="G1819">
        <v>4.41</v>
      </c>
      <c r="H1819" t="s">
        <v>2</v>
      </c>
      <c r="I1819" t="s">
        <v>12</v>
      </c>
      <c r="K1819" t="str">
        <v>budget</v>
      </c>
      <c r="L1819">
        <v>57.5</v>
      </c>
    </row>
    <row r="1820" spans="2:12" x14ac:dyDescent="0.3">
      <c r="B1820" t="s">
        <v>1725</v>
      </c>
      <c r="C1820">
        <v>95</v>
      </c>
      <c r="D1820" t="s">
        <v>41</v>
      </c>
      <c r="E1820">
        <v>62</v>
      </c>
      <c r="F1820">
        <v>88</v>
      </c>
      <c r="G1820">
        <v>17.64</v>
      </c>
      <c r="H1820" t="s">
        <v>18</v>
      </c>
      <c r="I1820" t="s">
        <v>150</v>
      </c>
      <c r="K1820" t="str">
        <v>budget</v>
      </c>
      <c r="L1820">
        <v>75</v>
      </c>
    </row>
    <row r="1821" spans="2:12" x14ac:dyDescent="0.3">
      <c r="B1821" t="s">
        <v>1258</v>
      </c>
      <c r="C1821">
        <v>95</v>
      </c>
      <c r="D1821" t="s">
        <v>45</v>
      </c>
      <c r="E1821">
        <v>59</v>
      </c>
      <c r="F1821">
        <v>78</v>
      </c>
      <c r="G1821">
        <v>5.07</v>
      </c>
      <c r="H1821" t="s">
        <v>18</v>
      </c>
      <c r="I1821" t="s">
        <v>150</v>
      </c>
      <c r="K1821" t="str">
        <v>budget</v>
      </c>
      <c r="L1821">
        <v>68.5</v>
      </c>
    </row>
    <row r="1822" spans="2:12" x14ac:dyDescent="0.3">
      <c r="B1822" t="s">
        <v>1726</v>
      </c>
      <c r="C1822">
        <v>95</v>
      </c>
      <c r="D1822" t="s">
        <v>45</v>
      </c>
      <c r="E1822">
        <v>55</v>
      </c>
      <c r="F1822">
        <v>73</v>
      </c>
      <c r="G1822">
        <v>5.29</v>
      </c>
      <c r="H1822" t="s">
        <v>18</v>
      </c>
      <c r="I1822" t="s">
        <v>9</v>
      </c>
      <c r="K1822" t="str">
        <v>budget</v>
      </c>
      <c r="L1822">
        <v>64</v>
      </c>
    </row>
    <row r="1823" spans="2:12" x14ac:dyDescent="0.3">
      <c r="B1823" t="s">
        <v>1727</v>
      </c>
      <c r="C1823">
        <v>95</v>
      </c>
      <c r="D1823" t="s">
        <v>41</v>
      </c>
      <c r="E1823">
        <v>67</v>
      </c>
      <c r="F1823">
        <v>88</v>
      </c>
      <c r="G1823">
        <v>16</v>
      </c>
      <c r="H1823" t="s">
        <v>18</v>
      </c>
      <c r="I1823" t="s">
        <v>5</v>
      </c>
      <c r="K1823" t="str">
        <v>budget</v>
      </c>
      <c r="L1823">
        <v>77.5</v>
      </c>
    </row>
    <row r="1824" spans="2:12" x14ac:dyDescent="0.3">
      <c r="B1824" t="s">
        <v>1728</v>
      </c>
      <c r="C1824">
        <v>94</v>
      </c>
      <c r="D1824" t="s">
        <v>82</v>
      </c>
      <c r="E1824">
        <v>50</v>
      </c>
      <c r="F1824">
        <v>65</v>
      </c>
      <c r="G1824">
        <v>27.34</v>
      </c>
      <c r="H1824" t="s">
        <v>18</v>
      </c>
      <c r="I1824" t="s">
        <v>5</v>
      </c>
      <c r="K1824" t="str">
        <v>middle</v>
      </c>
      <c r="L1824">
        <v>57.5</v>
      </c>
    </row>
    <row r="1825" spans="2:12" x14ac:dyDescent="0.3">
      <c r="B1825" t="s">
        <v>1729</v>
      </c>
      <c r="C1825">
        <v>94</v>
      </c>
      <c r="D1825" t="s">
        <v>82</v>
      </c>
      <c r="E1825">
        <v>46</v>
      </c>
      <c r="F1825">
        <v>64</v>
      </c>
      <c r="G1825">
        <v>3.67</v>
      </c>
      <c r="H1825" t="s">
        <v>18</v>
      </c>
      <c r="I1825" t="s">
        <v>150</v>
      </c>
      <c r="K1825" t="str">
        <v>budget</v>
      </c>
      <c r="L1825">
        <v>55</v>
      </c>
    </row>
    <row r="1826" spans="2:12" x14ac:dyDescent="0.3">
      <c r="B1826" t="s">
        <v>1730</v>
      </c>
      <c r="C1826">
        <v>94</v>
      </c>
      <c r="D1826" t="s">
        <v>45</v>
      </c>
      <c r="E1826">
        <v>57</v>
      </c>
      <c r="F1826">
        <v>73</v>
      </c>
      <c r="G1826">
        <v>5.29</v>
      </c>
      <c r="H1826" t="s">
        <v>18</v>
      </c>
      <c r="I1826" t="s">
        <v>22</v>
      </c>
      <c r="K1826" t="str">
        <v>budget</v>
      </c>
      <c r="L1826">
        <v>65</v>
      </c>
    </row>
    <row r="1827" spans="2:12" x14ac:dyDescent="0.3">
      <c r="B1827" t="s">
        <v>1731</v>
      </c>
      <c r="C1827">
        <v>94</v>
      </c>
      <c r="D1827" t="s">
        <v>82</v>
      </c>
      <c r="E1827">
        <v>49</v>
      </c>
      <c r="F1827">
        <v>64</v>
      </c>
      <c r="G1827">
        <v>10.67</v>
      </c>
      <c r="H1827" t="s">
        <v>18</v>
      </c>
      <c r="I1827" t="s">
        <v>12</v>
      </c>
      <c r="K1827" t="str">
        <v>budget</v>
      </c>
      <c r="L1827">
        <v>56.5</v>
      </c>
    </row>
    <row r="1828" spans="2:12" x14ac:dyDescent="0.3">
      <c r="B1828" t="s">
        <v>1732</v>
      </c>
      <c r="C1828">
        <v>95</v>
      </c>
      <c r="D1828" t="s">
        <v>82</v>
      </c>
      <c r="E1828">
        <v>51</v>
      </c>
      <c r="F1828">
        <v>67</v>
      </c>
      <c r="G1828">
        <v>8.82</v>
      </c>
      <c r="H1828" t="s">
        <v>18</v>
      </c>
      <c r="I1828" t="s">
        <v>9</v>
      </c>
      <c r="K1828" t="str">
        <v>budget</v>
      </c>
      <c r="L1828">
        <v>59</v>
      </c>
    </row>
    <row r="1829" spans="2:12" x14ac:dyDescent="0.3">
      <c r="B1829" t="s">
        <v>1733</v>
      </c>
      <c r="C1829">
        <v>95</v>
      </c>
      <c r="D1829" t="s">
        <v>41</v>
      </c>
      <c r="E1829">
        <v>74</v>
      </c>
      <c r="F1829">
        <v>101</v>
      </c>
      <c r="G1829">
        <v>21.3</v>
      </c>
      <c r="H1829" t="s">
        <v>18</v>
      </c>
      <c r="I1829" t="s">
        <v>5</v>
      </c>
      <c r="K1829" t="str">
        <v>budget</v>
      </c>
      <c r="L1829">
        <v>87.5</v>
      </c>
    </row>
    <row r="1830" spans="2:12" x14ac:dyDescent="0.3">
      <c r="B1830" t="s">
        <v>1734</v>
      </c>
      <c r="C1830">
        <v>94</v>
      </c>
      <c r="D1830" t="s">
        <v>82</v>
      </c>
      <c r="E1830">
        <v>54</v>
      </c>
      <c r="F1830">
        <v>66</v>
      </c>
      <c r="G1830">
        <v>3.82</v>
      </c>
      <c r="H1830" t="s">
        <v>18</v>
      </c>
      <c r="I1830" t="s">
        <v>12</v>
      </c>
      <c r="K1830" t="str">
        <v>budget</v>
      </c>
      <c r="L1830">
        <v>60</v>
      </c>
    </row>
    <row r="1831" spans="2:12" x14ac:dyDescent="0.3">
      <c r="B1831" t="s">
        <v>1735</v>
      </c>
      <c r="C1831">
        <v>94</v>
      </c>
      <c r="D1831" t="s">
        <v>41</v>
      </c>
      <c r="E1831">
        <v>64</v>
      </c>
      <c r="F1831">
        <v>89</v>
      </c>
      <c r="G1831">
        <v>9.1</v>
      </c>
      <c r="H1831" t="s">
        <v>18</v>
      </c>
      <c r="I1831" t="s">
        <v>9</v>
      </c>
      <c r="K1831" t="str">
        <v>budget</v>
      </c>
      <c r="L1831">
        <v>76.5</v>
      </c>
    </row>
    <row r="1832" spans="2:12" x14ac:dyDescent="0.3">
      <c r="B1832" t="s">
        <v>1736</v>
      </c>
      <c r="C1832">
        <v>94</v>
      </c>
      <c r="D1832" t="s">
        <v>82</v>
      </c>
      <c r="E1832">
        <v>52</v>
      </c>
      <c r="F1832">
        <v>69</v>
      </c>
      <c r="G1832">
        <v>4.9800000000000004</v>
      </c>
      <c r="H1832" t="s">
        <v>18</v>
      </c>
      <c r="I1832" t="s">
        <v>9</v>
      </c>
      <c r="K1832" t="str">
        <v>budget</v>
      </c>
      <c r="L1832">
        <v>60.5</v>
      </c>
    </row>
    <row r="1833" spans="2:12" x14ac:dyDescent="0.3">
      <c r="B1833" t="s">
        <v>1537</v>
      </c>
      <c r="C1833">
        <v>95</v>
      </c>
      <c r="D1833" t="s">
        <v>45</v>
      </c>
      <c r="E1833">
        <v>54</v>
      </c>
      <c r="F1833">
        <v>78</v>
      </c>
      <c r="G1833">
        <v>5.44</v>
      </c>
      <c r="H1833" t="s">
        <v>18</v>
      </c>
      <c r="I1833" t="s">
        <v>16</v>
      </c>
      <c r="K1833" t="str">
        <v>budget</v>
      </c>
      <c r="L1833">
        <v>66</v>
      </c>
    </row>
    <row r="1834" spans="2:12" x14ac:dyDescent="0.3">
      <c r="B1834" t="s">
        <v>1737</v>
      </c>
      <c r="C1834">
        <v>94</v>
      </c>
      <c r="D1834" t="s">
        <v>45</v>
      </c>
      <c r="E1834">
        <v>56</v>
      </c>
      <c r="F1834">
        <v>76</v>
      </c>
      <c r="G1834">
        <v>4.9800000000000004</v>
      </c>
      <c r="H1834" t="s">
        <v>18</v>
      </c>
      <c r="I1834" t="s">
        <v>9</v>
      </c>
      <c r="K1834" t="str">
        <v>budget</v>
      </c>
      <c r="L1834">
        <v>66</v>
      </c>
    </row>
    <row r="1835" spans="2:12" x14ac:dyDescent="0.3">
      <c r="B1835" t="s">
        <v>1738</v>
      </c>
      <c r="C1835">
        <v>95</v>
      </c>
      <c r="D1835" t="s">
        <v>82</v>
      </c>
      <c r="E1835">
        <v>47</v>
      </c>
      <c r="F1835">
        <v>62</v>
      </c>
      <c r="G1835">
        <v>352.74</v>
      </c>
      <c r="H1835" t="s">
        <v>2</v>
      </c>
      <c r="I1835" t="s">
        <v>12</v>
      </c>
      <c r="K1835" t="str">
        <v>premium</v>
      </c>
      <c r="L1835">
        <v>54.5</v>
      </c>
    </row>
    <row r="1836" spans="2:12" x14ac:dyDescent="0.3">
      <c r="B1836" t="s">
        <v>1739</v>
      </c>
      <c r="C1836">
        <v>94</v>
      </c>
      <c r="D1836" t="s">
        <v>82</v>
      </c>
      <c r="E1836">
        <v>52</v>
      </c>
      <c r="F1836">
        <v>68</v>
      </c>
      <c r="G1836">
        <v>220.46</v>
      </c>
      <c r="H1836" t="s">
        <v>2</v>
      </c>
      <c r="I1836" t="s">
        <v>9</v>
      </c>
      <c r="K1836" t="str">
        <v>premium</v>
      </c>
      <c r="L1836">
        <v>60</v>
      </c>
    </row>
    <row r="1837" spans="2:12" x14ac:dyDescent="0.3">
      <c r="B1837" t="s">
        <v>1740</v>
      </c>
      <c r="C1837">
        <v>95</v>
      </c>
      <c r="D1837" t="s">
        <v>82</v>
      </c>
      <c r="E1837">
        <v>42</v>
      </c>
      <c r="F1837">
        <v>63</v>
      </c>
      <c r="G1837">
        <v>9.98</v>
      </c>
      <c r="H1837" t="s">
        <v>18</v>
      </c>
      <c r="I1837" t="s">
        <v>5</v>
      </c>
      <c r="K1837" t="str">
        <v>budget</v>
      </c>
      <c r="L1837">
        <v>52.5</v>
      </c>
    </row>
    <row r="1838" spans="2:12" x14ac:dyDescent="0.3">
      <c r="B1838" t="s">
        <v>1741</v>
      </c>
      <c r="C1838">
        <v>95</v>
      </c>
      <c r="D1838" t="s">
        <v>45</v>
      </c>
      <c r="E1838">
        <v>61</v>
      </c>
      <c r="F1838">
        <v>77</v>
      </c>
      <c r="G1838">
        <v>15.41</v>
      </c>
      <c r="H1838" t="s">
        <v>18</v>
      </c>
      <c r="I1838" t="s">
        <v>150</v>
      </c>
      <c r="K1838" t="str">
        <v>budget</v>
      </c>
      <c r="L1838">
        <v>69</v>
      </c>
    </row>
    <row r="1839" spans="2:12" x14ac:dyDescent="0.3">
      <c r="B1839" t="s">
        <v>1730</v>
      </c>
      <c r="C1839">
        <v>94</v>
      </c>
      <c r="D1839" t="s">
        <v>45</v>
      </c>
      <c r="E1839">
        <v>56</v>
      </c>
      <c r="F1839">
        <v>73</v>
      </c>
      <c r="G1839">
        <v>5.29</v>
      </c>
      <c r="H1839" t="s">
        <v>18</v>
      </c>
      <c r="I1839" t="s">
        <v>22</v>
      </c>
      <c r="K1839" t="str">
        <v>budget</v>
      </c>
      <c r="L1839">
        <v>64.5</v>
      </c>
    </row>
    <row r="1840" spans="2:12" x14ac:dyDescent="0.3">
      <c r="B1840" t="s">
        <v>1742</v>
      </c>
      <c r="C1840">
        <v>94</v>
      </c>
      <c r="D1840" t="s">
        <v>41</v>
      </c>
      <c r="E1840">
        <v>61</v>
      </c>
      <c r="F1840">
        <v>81</v>
      </c>
      <c r="G1840">
        <v>20.72</v>
      </c>
      <c r="H1840" t="s">
        <v>18</v>
      </c>
      <c r="I1840" t="s">
        <v>5</v>
      </c>
      <c r="K1840" t="str">
        <v>budget</v>
      </c>
      <c r="L1840">
        <v>71</v>
      </c>
    </row>
    <row r="1841" spans="2:12" x14ac:dyDescent="0.3">
      <c r="B1841" t="s">
        <v>580</v>
      </c>
      <c r="C1841">
        <v>94</v>
      </c>
      <c r="D1841" t="s">
        <v>41</v>
      </c>
      <c r="E1841">
        <v>72</v>
      </c>
      <c r="F1841">
        <v>87</v>
      </c>
      <c r="G1841">
        <v>9.6999999999999993</v>
      </c>
      <c r="H1841" t="s">
        <v>18</v>
      </c>
      <c r="I1841" t="s">
        <v>7</v>
      </c>
      <c r="K1841" t="str">
        <v>budget</v>
      </c>
      <c r="L1841">
        <v>79.5</v>
      </c>
    </row>
    <row r="1842" spans="2:12" x14ac:dyDescent="0.3">
      <c r="B1842" t="s">
        <v>1743</v>
      </c>
      <c r="C1842">
        <v>94</v>
      </c>
      <c r="D1842" t="s">
        <v>45</v>
      </c>
      <c r="E1842">
        <v>53</v>
      </c>
      <c r="F1842">
        <v>70</v>
      </c>
      <c r="G1842">
        <v>5.86</v>
      </c>
      <c r="H1842" t="s">
        <v>18</v>
      </c>
      <c r="I1842" t="s">
        <v>12</v>
      </c>
      <c r="K1842" t="str">
        <v>budget</v>
      </c>
      <c r="L1842">
        <v>61.5</v>
      </c>
    </row>
    <row r="1843" spans="2:12" x14ac:dyDescent="0.3">
      <c r="B1843" t="s">
        <v>1744</v>
      </c>
      <c r="C1843">
        <v>95</v>
      </c>
      <c r="D1843" t="s">
        <v>45</v>
      </c>
      <c r="E1843">
        <v>62</v>
      </c>
      <c r="F1843">
        <v>75</v>
      </c>
      <c r="G1843">
        <v>217.47</v>
      </c>
      <c r="H1843" t="s">
        <v>18</v>
      </c>
      <c r="I1843" t="s">
        <v>9</v>
      </c>
      <c r="K1843" t="str">
        <v>premium</v>
      </c>
      <c r="L1843">
        <v>68.5</v>
      </c>
    </row>
    <row r="1844" spans="2:12" x14ac:dyDescent="0.3">
      <c r="B1844" t="s">
        <v>1745</v>
      </c>
      <c r="C1844">
        <v>95</v>
      </c>
      <c r="D1844" t="s">
        <v>45</v>
      </c>
      <c r="E1844">
        <v>53</v>
      </c>
      <c r="F1844">
        <v>76</v>
      </c>
      <c r="G1844">
        <v>97.39</v>
      </c>
      <c r="H1844" t="s">
        <v>18</v>
      </c>
      <c r="I1844" t="s">
        <v>14</v>
      </c>
      <c r="K1844" t="str">
        <v>middle</v>
      </c>
      <c r="L1844">
        <v>64.5</v>
      </c>
    </row>
    <row r="1845" spans="2:12" x14ac:dyDescent="0.3">
      <c r="B1845" t="s">
        <v>1746</v>
      </c>
      <c r="C1845">
        <v>94</v>
      </c>
      <c r="D1845" t="s">
        <v>45</v>
      </c>
      <c r="E1845">
        <v>61</v>
      </c>
      <c r="F1845">
        <v>79</v>
      </c>
      <c r="G1845">
        <v>5.28</v>
      </c>
      <c r="H1845" t="s">
        <v>18</v>
      </c>
      <c r="I1845" t="s">
        <v>12</v>
      </c>
      <c r="K1845" t="str">
        <v>budget</v>
      </c>
      <c r="L1845">
        <v>70</v>
      </c>
    </row>
    <row r="1846" spans="2:12" x14ac:dyDescent="0.3">
      <c r="B1846" t="s">
        <v>1747</v>
      </c>
      <c r="C1846">
        <v>94</v>
      </c>
      <c r="D1846" t="s">
        <v>45</v>
      </c>
      <c r="E1846">
        <v>59</v>
      </c>
      <c r="F1846">
        <v>75</v>
      </c>
      <c r="G1846">
        <v>4.92</v>
      </c>
      <c r="H1846" t="s">
        <v>18</v>
      </c>
      <c r="I1846" t="s">
        <v>9</v>
      </c>
      <c r="K1846" t="str">
        <v>budget</v>
      </c>
      <c r="L1846">
        <v>67</v>
      </c>
    </row>
    <row r="1847" spans="2:12" x14ac:dyDescent="0.3">
      <c r="B1847" t="s">
        <v>1054</v>
      </c>
      <c r="C1847">
        <v>94</v>
      </c>
      <c r="D1847" t="s">
        <v>82</v>
      </c>
      <c r="E1847">
        <v>52</v>
      </c>
      <c r="F1847">
        <v>62</v>
      </c>
      <c r="G1847">
        <v>5.29</v>
      </c>
      <c r="H1847" t="s">
        <v>18</v>
      </c>
      <c r="I1847" t="s">
        <v>12</v>
      </c>
      <c r="K1847" t="str">
        <v>budget</v>
      </c>
      <c r="L1847">
        <v>57</v>
      </c>
    </row>
    <row r="1848" spans="2:12" x14ac:dyDescent="0.3">
      <c r="B1848" t="s">
        <v>1748</v>
      </c>
      <c r="C1848">
        <v>94</v>
      </c>
      <c r="D1848" t="s">
        <v>41</v>
      </c>
      <c r="E1848">
        <v>62</v>
      </c>
      <c r="F1848">
        <v>84</v>
      </c>
      <c r="G1848">
        <v>5.24</v>
      </c>
      <c r="H1848" t="s">
        <v>18</v>
      </c>
      <c r="I1848" t="s">
        <v>9</v>
      </c>
      <c r="K1848" t="str">
        <v>budget</v>
      </c>
      <c r="L1848">
        <v>73</v>
      </c>
    </row>
    <row r="1849" spans="2:12" x14ac:dyDescent="0.3">
      <c r="B1849" t="s">
        <v>1749</v>
      </c>
      <c r="C1849">
        <v>94</v>
      </c>
      <c r="D1849" t="s">
        <v>45</v>
      </c>
      <c r="E1849">
        <v>53</v>
      </c>
      <c r="F1849">
        <v>71</v>
      </c>
      <c r="G1849">
        <v>43.82</v>
      </c>
      <c r="H1849" t="s">
        <v>18</v>
      </c>
      <c r="I1849" t="s">
        <v>12</v>
      </c>
      <c r="K1849" t="str">
        <v>middle</v>
      </c>
      <c r="L1849">
        <v>62</v>
      </c>
    </row>
    <row r="1850" spans="2:12" x14ac:dyDescent="0.3">
      <c r="B1850" t="s">
        <v>1750</v>
      </c>
      <c r="C1850">
        <v>94</v>
      </c>
      <c r="D1850" t="s">
        <v>82</v>
      </c>
      <c r="E1850">
        <v>52</v>
      </c>
      <c r="F1850">
        <v>68</v>
      </c>
      <c r="G1850">
        <v>4.12</v>
      </c>
      <c r="H1850" t="s">
        <v>18</v>
      </c>
      <c r="I1850" t="s">
        <v>9</v>
      </c>
      <c r="K1850" t="str">
        <v>budget</v>
      </c>
      <c r="L1850">
        <v>60</v>
      </c>
    </row>
    <row r="1851" spans="2:12" x14ac:dyDescent="0.3">
      <c r="B1851" t="s">
        <v>1751</v>
      </c>
      <c r="C1851">
        <v>94</v>
      </c>
      <c r="D1851" t="s">
        <v>45</v>
      </c>
      <c r="E1851">
        <v>56</v>
      </c>
      <c r="F1851">
        <v>66</v>
      </c>
      <c r="G1851">
        <v>5.14</v>
      </c>
      <c r="H1851" t="s">
        <v>18</v>
      </c>
      <c r="I1851" t="s">
        <v>9</v>
      </c>
      <c r="K1851" t="str">
        <v>budget</v>
      </c>
      <c r="L1851">
        <v>61</v>
      </c>
    </row>
    <row r="1852" spans="2:12" x14ac:dyDescent="0.3">
      <c r="B1852" t="s">
        <v>1752</v>
      </c>
      <c r="C1852">
        <v>94</v>
      </c>
      <c r="D1852" t="s">
        <v>45</v>
      </c>
      <c r="E1852">
        <v>56</v>
      </c>
      <c r="F1852">
        <v>72</v>
      </c>
      <c r="G1852">
        <v>4.37</v>
      </c>
      <c r="H1852" t="s">
        <v>18</v>
      </c>
      <c r="I1852" t="s">
        <v>150</v>
      </c>
      <c r="K1852" t="str">
        <v>budget</v>
      </c>
      <c r="L1852">
        <v>64</v>
      </c>
    </row>
    <row r="1853" spans="2:12" x14ac:dyDescent="0.3">
      <c r="B1853" t="s">
        <v>1753</v>
      </c>
      <c r="C1853">
        <v>95</v>
      </c>
      <c r="D1853" t="s">
        <v>82</v>
      </c>
      <c r="E1853">
        <v>50</v>
      </c>
      <c r="F1853">
        <v>55</v>
      </c>
      <c r="G1853">
        <v>6.17</v>
      </c>
      <c r="H1853" t="s">
        <v>18</v>
      </c>
      <c r="I1853" t="s">
        <v>12</v>
      </c>
      <c r="K1853" t="str">
        <v>budget</v>
      </c>
      <c r="L1853">
        <v>52.5</v>
      </c>
    </row>
    <row r="1854" spans="2:12" x14ac:dyDescent="0.3">
      <c r="B1854" t="s">
        <v>1754</v>
      </c>
      <c r="C1854">
        <v>94</v>
      </c>
      <c r="D1854" t="s">
        <v>45</v>
      </c>
      <c r="E1854">
        <v>55</v>
      </c>
      <c r="F1854">
        <v>78</v>
      </c>
      <c r="G1854">
        <v>188</v>
      </c>
      <c r="H1854" t="s">
        <v>11</v>
      </c>
      <c r="I1854" t="s">
        <v>150</v>
      </c>
      <c r="K1854" t="str">
        <v>premium</v>
      </c>
      <c r="L1854">
        <v>66.5</v>
      </c>
    </row>
    <row r="1855" spans="2:12" x14ac:dyDescent="0.3">
      <c r="B1855" t="s">
        <v>1755</v>
      </c>
      <c r="C1855">
        <v>94</v>
      </c>
      <c r="D1855" t="s">
        <v>45</v>
      </c>
      <c r="E1855">
        <v>59</v>
      </c>
      <c r="F1855">
        <v>74</v>
      </c>
      <c r="G1855">
        <v>10</v>
      </c>
      <c r="H1855" t="s">
        <v>30</v>
      </c>
      <c r="I1855" t="s">
        <v>9</v>
      </c>
      <c r="K1855" t="str">
        <v>budget</v>
      </c>
      <c r="L1855">
        <v>66.5</v>
      </c>
    </row>
    <row r="1856" spans="2:12" x14ac:dyDescent="0.3">
      <c r="B1856" t="s">
        <v>1331</v>
      </c>
      <c r="C1856">
        <v>94</v>
      </c>
      <c r="D1856" t="s">
        <v>82</v>
      </c>
      <c r="E1856">
        <v>54</v>
      </c>
      <c r="F1856">
        <v>66</v>
      </c>
      <c r="G1856">
        <v>5.14</v>
      </c>
      <c r="H1856" t="s">
        <v>18</v>
      </c>
      <c r="I1856" t="s">
        <v>16</v>
      </c>
      <c r="K1856" t="str">
        <v>budget</v>
      </c>
      <c r="L1856">
        <v>60</v>
      </c>
    </row>
    <row r="1857" spans="2:12" x14ac:dyDescent="0.3">
      <c r="B1857" t="s">
        <v>1756</v>
      </c>
      <c r="C1857">
        <v>97</v>
      </c>
      <c r="D1857" t="s">
        <v>45</v>
      </c>
      <c r="E1857">
        <v>58</v>
      </c>
      <c r="F1857">
        <v>80</v>
      </c>
      <c r="G1857">
        <v>22.02</v>
      </c>
      <c r="H1857" t="s">
        <v>18</v>
      </c>
      <c r="I1857" t="s">
        <v>5</v>
      </c>
      <c r="K1857" t="str">
        <v>budget</v>
      </c>
      <c r="L1857">
        <v>69</v>
      </c>
    </row>
    <row r="1858" spans="2:12" x14ac:dyDescent="0.3">
      <c r="B1858" t="s">
        <v>1757</v>
      </c>
      <c r="C1858">
        <v>94</v>
      </c>
      <c r="D1858" t="s">
        <v>45</v>
      </c>
      <c r="E1858">
        <v>58</v>
      </c>
      <c r="F1858">
        <v>80</v>
      </c>
      <c r="G1858">
        <v>5.29</v>
      </c>
      <c r="H1858" t="s">
        <v>18</v>
      </c>
      <c r="I1858" t="s">
        <v>5</v>
      </c>
      <c r="K1858" t="str">
        <v>budget</v>
      </c>
      <c r="L1858">
        <v>69</v>
      </c>
    </row>
    <row r="1859" spans="2:12" x14ac:dyDescent="0.3">
      <c r="B1859" t="s">
        <v>1758</v>
      </c>
      <c r="C1859">
        <v>94</v>
      </c>
      <c r="D1859" t="s">
        <v>41</v>
      </c>
      <c r="E1859">
        <v>64</v>
      </c>
      <c r="F1859">
        <v>80</v>
      </c>
      <c r="G1859">
        <v>4.8499999999999996</v>
      </c>
      <c r="H1859" t="s">
        <v>18</v>
      </c>
      <c r="I1859" t="s">
        <v>22</v>
      </c>
      <c r="K1859" t="str">
        <v>budget</v>
      </c>
      <c r="L1859">
        <v>72</v>
      </c>
    </row>
    <row r="1860" spans="2:12" x14ac:dyDescent="0.3">
      <c r="B1860" t="s">
        <v>1759</v>
      </c>
      <c r="C1860">
        <v>94</v>
      </c>
      <c r="D1860" t="s">
        <v>41</v>
      </c>
      <c r="E1860">
        <v>72</v>
      </c>
      <c r="F1860">
        <v>87</v>
      </c>
      <c r="G1860">
        <v>7.94</v>
      </c>
      <c r="H1860" t="s">
        <v>18</v>
      </c>
      <c r="I1860" t="s">
        <v>5</v>
      </c>
      <c r="K1860" t="str">
        <v>budget</v>
      </c>
      <c r="L1860">
        <v>79.5</v>
      </c>
    </row>
    <row r="1861" spans="2:12" x14ac:dyDescent="0.3">
      <c r="B1861" t="s">
        <v>1760</v>
      </c>
      <c r="C1861">
        <v>94</v>
      </c>
      <c r="D1861" t="s">
        <v>45</v>
      </c>
      <c r="E1861">
        <v>57</v>
      </c>
      <c r="F1861">
        <v>74</v>
      </c>
      <c r="G1861">
        <v>5.26</v>
      </c>
      <c r="H1861" t="s">
        <v>18</v>
      </c>
      <c r="I1861" t="s">
        <v>15</v>
      </c>
      <c r="K1861" t="str">
        <v>budget</v>
      </c>
      <c r="L1861">
        <v>65.5</v>
      </c>
    </row>
    <row r="1862" spans="2:12" x14ac:dyDescent="0.3">
      <c r="B1862" t="s">
        <v>1761</v>
      </c>
      <c r="C1862">
        <v>94</v>
      </c>
      <c r="D1862" t="s">
        <v>45</v>
      </c>
      <c r="E1862">
        <v>56</v>
      </c>
      <c r="F1862">
        <v>76</v>
      </c>
      <c r="G1862">
        <v>211.64</v>
      </c>
      <c r="H1862" t="s">
        <v>2</v>
      </c>
      <c r="I1862" t="s">
        <v>5</v>
      </c>
      <c r="K1862" t="str">
        <v>premium</v>
      </c>
      <c r="L1862">
        <v>66</v>
      </c>
    </row>
    <row r="1863" spans="2:12" x14ac:dyDescent="0.3">
      <c r="B1863" t="s">
        <v>1762</v>
      </c>
      <c r="C1863">
        <v>94</v>
      </c>
      <c r="D1863" t="s">
        <v>45</v>
      </c>
      <c r="E1863">
        <v>57</v>
      </c>
      <c r="F1863">
        <v>79</v>
      </c>
      <c r="G1863">
        <v>89</v>
      </c>
      <c r="H1863" t="s">
        <v>11</v>
      </c>
      <c r="I1863" t="s">
        <v>15</v>
      </c>
      <c r="K1863" t="str">
        <v>middle</v>
      </c>
      <c r="L1863">
        <v>68</v>
      </c>
    </row>
    <row r="1864" spans="2:12" x14ac:dyDescent="0.3">
      <c r="B1864" t="s">
        <v>1763</v>
      </c>
      <c r="C1864">
        <v>94</v>
      </c>
      <c r="D1864" t="s">
        <v>45</v>
      </c>
      <c r="E1864">
        <v>59</v>
      </c>
      <c r="F1864">
        <v>77</v>
      </c>
      <c r="G1864">
        <v>25</v>
      </c>
      <c r="H1864" t="s">
        <v>30</v>
      </c>
      <c r="I1864" t="s">
        <v>5</v>
      </c>
      <c r="K1864" t="str">
        <v>budget</v>
      </c>
      <c r="L1864">
        <v>68</v>
      </c>
    </row>
    <row r="1865" spans="2:12" x14ac:dyDescent="0.3">
      <c r="B1865" t="s">
        <v>1764</v>
      </c>
      <c r="C1865">
        <v>94</v>
      </c>
      <c r="D1865" t="s">
        <v>541</v>
      </c>
      <c r="E1865">
        <v>44</v>
      </c>
      <c r="F1865">
        <v>50</v>
      </c>
      <c r="G1865">
        <v>4.6900000000000004</v>
      </c>
      <c r="H1865" t="s">
        <v>18</v>
      </c>
      <c r="I1865" t="s">
        <v>21</v>
      </c>
      <c r="K1865" t="str">
        <v>budget</v>
      </c>
      <c r="L1865">
        <v>47</v>
      </c>
    </row>
    <row r="1866" spans="2:12" x14ac:dyDescent="0.3">
      <c r="B1866" t="s">
        <v>1765</v>
      </c>
      <c r="C1866">
        <v>94</v>
      </c>
      <c r="D1866" t="s">
        <v>45</v>
      </c>
      <c r="E1866">
        <v>58</v>
      </c>
      <c r="F1866">
        <v>73</v>
      </c>
      <c r="G1866">
        <v>5.86</v>
      </c>
      <c r="H1866" t="s">
        <v>18</v>
      </c>
      <c r="I1866" t="s">
        <v>12</v>
      </c>
      <c r="K1866" t="str">
        <v>budget</v>
      </c>
      <c r="L1866">
        <v>65.5</v>
      </c>
    </row>
    <row r="1867" spans="2:12" x14ac:dyDescent="0.3">
      <c r="B1867" t="s">
        <v>1766</v>
      </c>
      <c r="C1867">
        <v>95</v>
      </c>
      <c r="D1867" t="s">
        <v>45</v>
      </c>
      <c r="E1867">
        <v>57</v>
      </c>
      <c r="F1867">
        <v>82</v>
      </c>
      <c r="G1867">
        <v>5</v>
      </c>
      <c r="H1867" t="s">
        <v>18</v>
      </c>
      <c r="I1867" t="s">
        <v>9</v>
      </c>
      <c r="K1867" t="str">
        <v>budget</v>
      </c>
      <c r="L1867">
        <v>69.5</v>
      </c>
    </row>
    <row r="1868" spans="2:12" x14ac:dyDescent="0.3">
      <c r="B1868" t="s">
        <v>1767</v>
      </c>
      <c r="C1868">
        <v>94</v>
      </c>
      <c r="D1868" t="s">
        <v>41</v>
      </c>
      <c r="E1868">
        <v>62</v>
      </c>
      <c r="F1868">
        <v>87</v>
      </c>
      <c r="G1868">
        <v>95</v>
      </c>
      <c r="H1868" t="s">
        <v>30</v>
      </c>
      <c r="I1868" t="s">
        <v>9</v>
      </c>
      <c r="K1868" t="str">
        <v>middle</v>
      </c>
      <c r="L1868">
        <v>74.5</v>
      </c>
    </row>
    <row r="1869" spans="2:12" x14ac:dyDescent="0.3">
      <c r="B1869" t="s">
        <v>1768</v>
      </c>
      <c r="C1869">
        <v>94</v>
      </c>
      <c r="D1869" t="s">
        <v>45</v>
      </c>
      <c r="E1869">
        <v>56</v>
      </c>
      <c r="F1869">
        <v>74</v>
      </c>
      <c r="G1869">
        <v>5.44</v>
      </c>
      <c r="H1869" t="s">
        <v>18</v>
      </c>
      <c r="I1869" t="s">
        <v>12</v>
      </c>
      <c r="K1869" t="str">
        <v>budget</v>
      </c>
      <c r="L1869">
        <v>65</v>
      </c>
    </row>
    <row r="1870" spans="2:12" x14ac:dyDescent="0.3">
      <c r="B1870" t="s">
        <v>1769</v>
      </c>
      <c r="C1870">
        <v>95</v>
      </c>
      <c r="D1870" t="s">
        <v>45</v>
      </c>
      <c r="E1870">
        <v>57</v>
      </c>
      <c r="F1870">
        <v>74</v>
      </c>
      <c r="G1870">
        <v>7.64</v>
      </c>
      <c r="H1870" t="s">
        <v>18</v>
      </c>
      <c r="I1870" t="s">
        <v>5</v>
      </c>
      <c r="K1870" t="str">
        <v>budget</v>
      </c>
      <c r="L1870">
        <v>65.5</v>
      </c>
    </row>
    <row r="1871" spans="2:12" x14ac:dyDescent="0.3">
      <c r="B1871" t="s">
        <v>1770</v>
      </c>
      <c r="C1871">
        <v>94</v>
      </c>
      <c r="D1871" t="s">
        <v>82</v>
      </c>
      <c r="E1871">
        <v>49</v>
      </c>
      <c r="F1871">
        <v>71</v>
      </c>
      <c r="G1871">
        <v>4.26</v>
      </c>
      <c r="H1871" t="s">
        <v>18</v>
      </c>
      <c r="I1871" t="s">
        <v>12</v>
      </c>
      <c r="K1871" t="str">
        <v>budget</v>
      </c>
      <c r="L1871">
        <v>60</v>
      </c>
    </row>
    <row r="1872" spans="2:12" x14ac:dyDescent="0.3">
      <c r="B1872" t="s">
        <v>1696</v>
      </c>
      <c r="C1872">
        <v>96</v>
      </c>
      <c r="D1872" t="s">
        <v>82</v>
      </c>
      <c r="E1872">
        <v>53</v>
      </c>
      <c r="F1872">
        <v>68</v>
      </c>
      <c r="G1872">
        <v>5.29</v>
      </c>
      <c r="H1872" t="s">
        <v>18</v>
      </c>
      <c r="I1872" t="s">
        <v>16</v>
      </c>
      <c r="K1872" t="str">
        <v>budget</v>
      </c>
      <c r="L1872">
        <v>60.5</v>
      </c>
    </row>
    <row r="1873" spans="2:12" x14ac:dyDescent="0.3">
      <c r="B1873" t="s">
        <v>1771</v>
      </c>
      <c r="C1873">
        <v>94</v>
      </c>
      <c r="D1873" t="s">
        <v>45</v>
      </c>
      <c r="E1873">
        <v>54</v>
      </c>
      <c r="F1873">
        <v>76</v>
      </c>
      <c r="G1873">
        <v>5.58</v>
      </c>
      <c r="H1873" t="s">
        <v>18</v>
      </c>
      <c r="I1873" t="s">
        <v>9</v>
      </c>
      <c r="K1873" t="str">
        <v>budget</v>
      </c>
      <c r="L1873">
        <v>65</v>
      </c>
    </row>
    <row r="1874" spans="2:12" x14ac:dyDescent="0.3">
      <c r="B1874" t="s">
        <v>1772</v>
      </c>
      <c r="C1874">
        <v>95</v>
      </c>
      <c r="D1874" t="s">
        <v>45</v>
      </c>
      <c r="E1874">
        <v>57</v>
      </c>
      <c r="F1874">
        <v>77</v>
      </c>
      <c r="G1874">
        <v>5.22</v>
      </c>
      <c r="H1874" t="s">
        <v>18</v>
      </c>
      <c r="I1874" t="s">
        <v>12</v>
      </c>
      <c r="K1874" t="str">
        <v>budget</v>
      </c>
      <c r="L1874">
        <v>67</v>
      </c>
    </row>
    <row r="1875" spans="2:12" x14ac:dyDescent="0.3">
      <c r="B1875" t="s">
        <v>1773</v>
      </c>
      <c r="C1875">
        <v>94</v>
      </c>
      <c r="D1875" t="s">
        <v>45</v>
      </c>
      <c r="E1875">
        <v>59</v>
      </c>
      <c r="F1875">
        <v>76</v>
      </c>
      <c r="G1875">
        <v>4.26</v>
      </c>
      <c r="H1875" t="s">
        <v>18</v>
      </c>
      <c r="I1875" t="s">
        <v>9</v>
      </c>
      <c r="K1875" t="str">
        <v>budget</v>
      </c>
      <c r="L1875">
        <v>67.5</v>
      </c>
    </row>
    <row r="1876" spans="2:12" x14ac:dyDescent="0.3">
      <c r="B1876" t="s">
        <v>1774</v>
      </c>
      <c r="C1876">
        <v>94</v>
      </c>
      <c r="D1876" t="s">
        <v>82</v>
      </c>
      <c r="E1876">
        <v>54</v>
      </c>
      <c r="F1876">
        <v>66</v>
      </c>
      <c r="G1876">
        <v>3.81</v>
      </c>
      <c r="H1876" t="s">
        <v>18</v>
      </c>
      <c r="I1876" t="s">
        <v>3</v>
      </c>
      <c r="K1876" t="str">
        <v>budget</v>
      </c>
      <c r="L1876">
        <v>60</v>
      </c>
    </row>
    <row r="1877" spans="2:12" x14ac:dyDescent="0.3">
      <c r="B1877" t="s">
        <v>1775</v>
      </c>
      <c r="C1877">
        <v>94</v>
      </c>
      <c r="D1877" t="s">
        <v>41</v>
      </c>
      <c r="E1877">
        <v>64</v>
      </c>
      <c r="F1877">
        <v>82</v>
      </c>
      <c r="G1877">
        <v>4.8499999999999996</v>
      </c>
      <c r="H1877" t="s">
        <v>18</v>
      </c>
      <c r="I1877" t="s">
        <v>19</v>
      </c>
      <c r="K1877" t="str">
        <v>budget</v>
      </c>
      <c r="L1877">
        <v>73</v>
      </c>
    </row>
    <row r="1878" spans="2:12" x14ac:dyDescent="0.3">
      <c r="B1878" t="s">
        <v>935</v>
      </c>
      <c r="C1878">
        <v>94</v>
      </c>
      <c r="D1878" t="s">
        <v>82</v>
      </c>
      <c r="E1878">
        <v>52</v>
      </c>
      <c r="F1878">
        <v>61</v>
      </c>
      <c r="G1878">
        <v>5</v>
      </c>
      <c r="H1878" t="s">
        <v>18</v>
      </c>
      <c r="I1878" t="s">
        <v>9</v>
      </c>
      <c r="K1878" t="str">
        <v>budget</v>
      </c>
      <c r="L1878">
        <v>56.5</v>
      </c>
    </row>
    <row r="1879" spans="2:12" x14ac:dyDescent="0.3">
      <c r="B1879" t="s">
        <v>1776</v>
      </c>
      <c r="C1879">
        <v>94</v>
      </c>
      <c r="D1879" t="s">
        <v>45</v>
      </c>
      <c r="E1879">
        <v>57</v>
      </c>
      <c r="F1879">
        <v>73</v>
      </c>
      <c r="G1879">
        <v>4.8499999999999996</v>
      </c>
      <c r="H1879" t="s">
        <v>18</v>
      </c>
      <c r="I1879" t="s">
        <v>9</v>
      </c>
      <c r="K1879" t="str">
        <v>budget</v>
      </c>
      <c r="L1879">
        <v>65</v>
      </c>
    </row>
    <row r="1880" spans="2:12" x14ac:dyDescent="0.3">
      <c r="B1880" t="s">
        <v>1777</v>
      </c>
      <c r="C1880">
        <v>95</v>
      </c>
      <c r="D1880" t="s">
        <v>45</v>
      </c>
      <c r="E1880">
        <v>57</v>
      </c>
      <c r="F1880">
        <v>73</v>
      </c>
      <c r="G1880">
        <v>4.8499999999999996</v>
      </c>
      <c r="H1880" t="s">
        <v>18</v>
      </c>
      <c r="I1880" t="s">
        <v>9</v>
      </c>
      <c r="K1880" t="str">
        <v>budget</v>
      </c>
      <c r="L1880">
        <v>65</v>
      </c>
    </row>
    <row r="1881" spans="2:12" x14ac:dyDescent="0.3">
      <c r="B1881" t="s">
        <v>1778</v>
      </c>
      <c r="C1881">
        <v>94</v>
      </c>
      <c r="D1881" t="s">
        <v>45</v>
      </c>
      <c r="E1881">
        <v>57</v>
      </c>
      <c r="F1881">
        <v>77</v>
      </c>
      <c r="G1881">
        <v>5.73</v>
      </c>
      <c r="H1881" t="s">
        <v>18</v>
      </c>
      <c r="I1881" t="s">
        <v>9</v>
      </c>
      <c r="K1881" t="str">
        <v>budget</v>
      </c>
      <c r="L1881">
        <v>67</v>
      </c>
    </row>
    <row r="1882" spans="2:12" x14ac:dyDescent="0.3">
      <c r="B1882" t="s">
        <v>1779</v>
      </c>
      <c r="C1882">
        <v>94</v>
      </c>
      <c r="D1882" t="s">
        <v>45</v>
      </c>
      <c r="E1882">
        <v>58</v>
      </c>
      <c r="F1882">
        <v>80</v>
      </c>
      <c r="G1882">
        <v>450</v>
      </c>
      <c r="H1882" t="s">
        <v>2</v>
      </c>
      <c r="I1882" t="s">
        <v>9</v>
      </c>
      <c r="K1882" t="str">
        <v>premium</v>
      </c>
      <c r="L1882">
        <v>69</v>
      </c>
    </row>
    <row r="1883" spans="2:12" x14ac:dyDescent="0.3">
      <c r="B1883" t="s">
        <v>1780</v>
      </c>
      <c r="C1883">
        <v>94</v>
      </c>
      <c r="D1883" t="s">
        <v>41</v>
      </c>
      <c r="E1883">
        <v>65</v>
      </c>
      <c r="F1883">
        <v>90</v>
      </c>
      <c r="G1883">
        <v>5.07</v>
      </c>
      <c r="H1883" t="s">
        <v>2</v>
      </c>
      <c r="I1883" t="s">
        <v>9</v>
      </c>
      <c r="K1883" t="str">
        <v>budget</v>
      </c>
      <c r="L1883">
        <v>77.5</v>
      </c>
    </row>
    <row r="1884" spans="2:12" x14ac:dyDescent="0.3">
      <c r="B1884" t="s">
        <v>1781</v>
      </c>
      <c r="C1884">
        <v>95</v>
      </c>
      <c r="D1884" t="s">
        <v>45</v>
      </c>
      <c r="E1884">
        <v>55</v>
      </c>
      <c r="F1884">
        <v>72</v>
      </c>
      <c r="G1884">
        <v>450</v>
      </c>
      <c r="H1884" t="s">
        <v>2</v>
      </c>
      <c r="I1884" t="s">
        <v>12</v>
      </c>
      <c r="K1884" t="str">
        <v>premium</v>
      </c>
      <c r="L1884">
        <v>63.5</v>
      </c>
    </row>
    <row r="1885" spans="2:12" x14ac:dyDescent="0.3">
      <c r="B1885" t="s">
        <v>1782</v>
      </c>
      <c r="C1885">
        <v>95</v>
      </c>
      <c r="D1885" t="s">
        <v>45</v>
      </c>
      <c r="E1885">
        <v>59</v>
      </c>
      <c r="F1885">
        <v>77</v>
      </c>
      <c r="G1885">
        <v>5.29</v>
      </c>
      <c r="H1885" t="s">
        <v>18</v>
      </c>
      <c r="I1885" t="s">
        <v>9</v>
      </c>
      <c r="K1885" t="str">
        <v>budget</v>
      </c>
      <c r="L1885">
        <v>68</v>
      </c>
    </row>
    <row r="1886" spans="2:12" x14ac:dyDescent="0.3">
      <c r="B1886" t="s">
        <v>643</v>
      </c>
      <c r="C1886">
        <v>95</v>
      </c>
      <c r="D1886" t="s">
        <v>82</v>
      </c>
      <c r="E1886">
        <v>52</v>
      </c>
      <c r="F1886">
        <v>63</v>
      </c>
      <c r="G1886">
        <v>13.33</v>
      </c>
      <c r="H1886" t="s">
        <v>18</v>
      </c>
      <c r="I1886" t="s">
        <v>14</v>
      </c>
      <c r="K1886" t="str">
        <v>budget</v>
      </c>
      <c r="L1886">
        <v>57.5</v>
      </c>
    </row>
    <row r="1887" spans="2:12" x14ac:dyDescent="0.3">
      <c r="B1887" t="s">
        <v>690</v>
      </c>
      <c r="C1887">
        <v>94</v>
      </c>
      <c r="D1887" t="s">
        <v>45</v>
      </c>
      <c r="E1887">
        <v>60</v>
      </c>
      <c r="F1887">
        <v>79</v>
      </c>
      <c r="G1887">
        <v>4.51</v>
      </c>
      <c r="H1887" t="s">
        <v>18</v>
      </c>
      <c r="I1887" t="s">
        <v>14</v>
      </c>
      <c r="K1887" t="str">
        <v>budget</v>
      </c>
      <c r="L1887">
        <v>69.5</v>
      </c>
    </row>
    <row r="1888" spans="2:12" x14ac:dyDescent="0.3">
      <c r="B1888" t="s">
        <v>1783</v>
      </c>
      <c r="C1888">
        <v>94</v>
      </c>
      <c r="D1888" t="s">
        <v>45</v>
      </c>
      <c r="E1888">
        <v>58</v>
      </c>
      <c r="F1888">
        <v>73</v>
      </c>
      <c r="G1888">
        <v>5.73</v>
      </c>
      <c r="H1888" t="s">
        <v>18</v>
      </c>
      <c r="I1888" t="s">
        <v>14</v>
      </c>
      <c r="K1888" t="str">
        <v>budget</v>
      </c>
      <c r="L1888">
        <v>65.5</v>
      </c>
    </row>
    <row r="1889" spans="2:12" x14ac:dyDescent="0.3">
      <c r="B1889" t="s">
        <v>1784</v>
      </c>
      <c r="C1889">
        <v>94</v>
      </c>
      <c r="D1889" t="s">
        <v>82</v>
      </c>
      <c r="E1889">
        <v>50</v>
      </c>
      <c r="F1889">
        <v>60</v>
      </c>
      <c r="G1889">
        <v>4.63</v>
      </c>
      <c r="H1889" t="s">
        <v>18</v>
      </c>
      <c r="I1889" t="s">
        <v>150</v>
      </c>
      <c r="K1889" t="str">
        <v>budget</v>
      </c>
      <c r="L1889">
        <v>55</v>
      </c>
    </row>
    <row r="1890" spans="2:12" x14ac:dyDescent="0.3">
      <c r="B1890" t="s">
        <v>1785</v>
      </c>
      <c r="C1890">
        <v>94</v>
      </c>
      <c r="D1890" t="s">
        <v>45</v>
      </c>
      <c r="E1890">
        <v>60</v>
      </c>
      <c r="F1890">
        <v>81</v>
      </c>
      <c r="G1890">
        <v>3.97</v>
      </c>
      <c r="H1890" t="s">
        <v>18</v>
      </c>
      <c r="I1890" t="s">
        <v>9</v>
      </c>
      <c r="K1890" t="str">
        <v>budget</v>
      </c>
      <c r="L1890">
        <v>70.5</v>
      </c>
    </row>
    <row r="1891" spans="2:12" x14ac:dyDescent="0.3">
      <c r="B1891" t="s">
        <v>1786</v>
      </c>
      <c r="C1891">
        <v>94</v>
      </c>
      <c r="D1891" t="s">
        <v>41</v>
      </c>
      <c r="E1891">
        <v>63</v>
      </c>
      <c r="F1891">
        <v>85</v>
      </c>
      <c r="G1891">
        <v>4.04</v>
      </c>
      <c r="H1891" t="s">
        <v>18</v>
      </c>
      <c r="I1891" t="s">
        <v>9</v>
      </c>
      <c r="K1891" t="str">
        <v>budget</v>
      </c>
      <c r="L1891">
        <v>74</v>
      </c>
    </row>
    <row r="1892" spans="2:12" x14ac:dyDescent="0.3">
      <c r="B1892" t="s">
        <v>1787</v>
      </c>
      <c r="C1892">
        <v>94</v>
      </c>
      <c r="D1892" t="s">
        <v>45</v>
      </c>
      <c r="E1892">
        <v>53</v>
      </c>
      <c r="F1892">
        <v>71</v>
      </c>
      <c r="G1892">
        <v>4.26</v>
      </c>
      <c r="H1892" t="s">
        <v>18</v>
      </c>
      <c r="I1892" t="s">
        <v>17</v>
      </c>
      <c r="K1892" t="str">
        <v>budget</v>
      </c>
      <c r="L1892">
        <v>62</v>
      </c>
    </row>
    <row r="1893" spans="2:12" x14ac:dyDescent="0.3">
      <c r="B1893" t="s">
        <v>1788</v>
      </c>
      <c r="C1893">
        <v>96</v>
      </c>
      <c r="D1893" t="s">
        <v>41</v>
      </c>
      <c r="E1893">
        <v>63</v>
      </c>
      <c r="F1893">
        <v>81</v>
      </c>
      <c r="G1893">
        <v>5.66</v>
      </c>
      <c r="H1893" t="s">
        <v>18</v>
      </c>
      <c r="I1893" t="s">
        <v>9</v>
      </c>
      <c r="K1893" t="str">
        <v>budget</v>
      </c>
      <c r="L1893">
        <v>72</v>
      </c>
    </row>
    <row r="1894" spans="2:12" x14ac:dyDescent="0.3">
      <c r="B1894" t="s">
        <v>1789</v>
      </c>
      <c r="C1894">
        <v>95</v>
      </c>
      <c r="D1894" t="s">
        <v>41</v>
      </c>
      <c r="E1894">
        <v>66</v>
      </c>
      <c r="F1894">
        <v>88</v>
      </c>
      <c r="G1894">
        <v>4.41</v>
      </c>
      <c r="H1894" t="s">
        <v>18</v>
      </c>
      <c r="I1894" t="s">
        <v>9</v>
      </c>
      <c r="K1894" t="str">
        <v>budget</v>
      </c>
      <c r="L1894">
        <v>77</v>
      </c>
    </row>
    <row r="1895" spans="2:12" x14ac:dyDescent="0.3">
      <c r="B1895" t="s">
        <v>1790</v>
      </c>
      <c r="C1895">
        <v>96</v>
      </c>
      <c r="D1895" t="s">
        <v>82</v>
      </c>
      <c r="E1895">
        <v>54</v>
      </c>
      <c r="F1895">
        <v>67</v>
      </c>
      <c r="G1895">
        <v>4.9800000000000004</v>
      </c>
      <c r="H1895" t="s">
        <v>18</v>
      </c>
      <c r="I1895" t="s">
        <v>12</v>
      </c>
      <c r="K1895" t="str">
        <v>budget</v>
      </c>
      <c r="L1895">
        <v>60.5</v>
      </c>
    </row>
    <row r="1896" spans="2:12" x14ac:dyDescent="0.3">
      <c r="B1896" t="s">
        <v>1791</v>
      </c>
      <c r="C1896">
        <v>95</v>
      </c>
      <c r="D1896" t="s">
        <v>41</v>
      </c>
      <c r="E1896">
        <v>64</v>
      </c>
      <c r="F1896">
        <v>84</v>
      </c>
      <c r="G1896">
        <v>4.26</v>
      </c>
      <c r="H1896" t="s">
        <v>18</v>
      </c>
      <c r="I1896" t="s">
        <v>12</v>
      </c>
      <c r="K1896" t="str">
        <v>budget</v>
      </c>
      <c r="L1896">
        <v>74</v>
      </c>
    </row>
    <row r="1897" spans="2:12" x14ac:dyDescent="0.3">
      <c r="B1897" t="s">
        <v>1792</v>
      </c>
      <c r="C1897">
        <v>94</v>
      </c>
      <c r="D1897" t="s">
        <v>45</v>
      </c>
      <c r="E1897">
        <v>55</v>
      </c>
      <c r="F1897">
        <v>68</v>
      </c>
      <c r="G1897">
        <v>5.59</v>
      </c>
      <c r="H1897" t="s">
        <v>18</v>
      </c>
      <c r="I1897" t="s">
        <v>21</v>
      </c>
      <c r="K1897" t="str">
        <v>budget</v>
      </c>
      <c r="L1897">
        <v>61.5</v>
      </c>
    </row>
    <row r="1898" spans="2:12" x14ac:dyDescent="0.3">
      <c r="B1898" t="s">
        <v>1790</v>
      </c>
      <c r="C1898">
        <v>95</v>
      </c>
      <c r="D1898" t="s">
        <v>82</v>
      </c>
      <c r="E1898">
        <v>51</v>
      </c>
      <c r="F1898">
        <v>59</v>
      </c>
      <c r="G1898">
        <v>4.7</v>
      </c>
      <c r="H1898" t="s">
        <v>18</v>
      </c>
      <c r="I1898" t="s">
        <v>12</v>
      </c>
      <c r="K1898" t="str">
        <v>budget</v>
      </c>
      <c r="L1898">
        <v>55</v>
      </c>
    </row>
    <row r="1899" spans="2:12" x14ac:dyDescent="0.3">
      <c r="B1899" t="s">
        <v>1793</v>
      </c>
      <c r="C1899">
        <v>94</v>
      </c>
      <c r="D1899" t="s">
        <v>45</v>
      </c>
      <c r="E1899">
        <v>56</v>
      </c>
      <c r="F1899">
        <v>71</v>
      </c>
      <c r="G1899">
        <v>5</v>
      </c>
      <c r="H1899" t="s">
        <v>18</v>
      </c>
      <c r="I1899" t="s">
        <v>9</v>
      </c>
      <c r="K1899" t="str">
        <v>budget</v>
      </c>
      <c r="L1899">
        <v>63.5</v>
      </c>
    </row>
    <row r="1900" spans="2:12" x14ac:dyDescent="0.3">
      <c r="B1900" t="s">
        <v>1794</v>
      </c>
      <c r="C1900">
        <v>95</v>
      </c>
      <c r="D1900" t="s">
        <v>41</v>
      </c>
      <c r="E1900">
        <v>66</v>
      </c>
      <c r="F1900">
        <v>85</v>
      </c>
      <c r="G1900">
        <v>15</v>
      </c>
      <c r="H1900" t="s">
        <v>30</v>
      </c>
      <c r="I1900" t="s">
        <v>9</v>
      </c>
      <c r="K1900" t="str">
        <v>budget</v>
      </c>
      <c r="L1900">
        <v>75.5</v>
      </c>
    </row>
    <row r="1901" spans="2:12" x14ac:dyDescent="0.3">
      <c r="B1901" t="s">
        <v>1795</v>
      </c>
      <c r="C1901">
        <v>94</v>
      </c>
      <c r="D1901" t="s">
        <v>41</v>
      </c>
      <c r="E1901">
        <v>64</v>
      </c>
      <c r="F1901">
        <v>80</v>
      </c>
      <c r="G1901">
        <v>143.30000000000001</v>
      </c>
      <c r="H1901" t="s">
        <v>2</v>
      </c>
      <c r="I1901" t="s">
        <v>9</v>
      </c>
      <c r="K1901" t="str">
        <v>premium</v>
      </c>
      <c r="L1901">
        <v>72</v>
      </c>
    </row>
    <row r="1902" spans="2:12" x14ac:dyDescent="0.3">
      <c r="B1902" t="s">
        <v>1796</v>
      </c>
      <c r="C1902">
        <v>96</v>
      </c>
      <c r="D1902" t="s">
        <v>82</v>
      </c>
      <c r="E1902">
        <v>50</v>
      </c>
      <c r="F1902">
        <v>65</v>
      </c>
      <c r="G1902">
        <v>220.46</v>
      </c>
      <c r="H1902" t="s">
        <v>2</v>
      </c>
      <c r="I1902" t="s">
        <v>9</v>
      </c>
      <c r="K1902" t="str">
        <v>premium</v>
      </c>
      <c r="L1902">
        <v>57.5</v>
      </c>
    </row>
    <row r="1903" spans="2:12" x14ac:dyDescent="0.3">
      <c r="B1903" t="s">
        <v>1797</v>
      </c>
      <c r="C1903">
        <v>96</v>
      </c>
      <c r="D1903" t="s">
        <v>45</v>
      </c>
      <c r="E1903">
        <v>57</v>
      </c>
      <c r="F1903">
        <v>78</v>
      </c>
      <c r="G1903">
        <v>26.46</v>
      </c>
      <c r="H1903" t="s">
        <v>18</v>
      </c>
      <c r="I1903" t="s">
        <v>5</v>
      </c>
      <c r="K1903" t="str">
        <v>middle</v>
      </c>
      <c r="L1903">
        <v>67.5</v>
      </c>
    </row>
    <row r="1904" spans="2:12" x14ac:dyDescent="0.3">
      <c r="B1904" t="s">
        <v>1798</v>
      </c>
      <c r="C1904">
        <v>95</v>
      </c>
      <c r="D1904" t="s">
        <v>82</v>
      </c>
      <c r="E1904">
        <v>52</v>
      </c>
      <c r="F1904">
        <v>62</v>
      </c>
      <c r="G1904">
        <v>4.26</v>
      </c>
      <c r="H1904" t="s">
        <v>18</v>
      </c>
      <c r="I1904" t="s">
        <v>12</v>
      </c>
      <c r="K1904" t="str">
        <v>budget</v>
      </c>
      <c r="L1904">
        <v>57</v>
      </c>
    </row>
    <row r="1905" spans="2:12" x14ac:dyDescent="0.3">
      <c r="B1905" t="s">
        <v>1799</v>
      </c>
      <c r="C1905">
        <v>96</v>
      </c>
      <c r="D1905" t="s">
        <v>41</v>
      </c>
      <c r="E1905">
        <v>66</v>
      </c>
      <c r="F1905">
        <v>88</v>
      </c>
      <c r="G1905">
        <v>21.3</v>
      </c>
      <c r="H1905" t="s">
        <v>18</v>
      </c>
      <c r="I1905" t="s">
        <v>5</v>
      </c>
      <c r="K1905" t="str">
        <v>budget</v>
      </c>
      <c r="L1905">
        <v>77</v>
      </c>
    </row>
    <row r="1906" spans="2:12" x14ac:dyDescent="0.3">
      <c r="B1906" t="s">
        <v>1800</v>
      </c>
      <c r="C1906">
        <v>94</v>
      </c>
      <c r="D1906" t="s">
        <v>45</v>
      </c>
      <c r="E1906">
        <v>59</v>
      </c>
      <c r="F1906">
        <v>74</v>
      </c>
      <c r="G1906">
        <v>4.63</v>
      </c>
      <c r="H1906" t="s">
        <v>18</v>
      </c>
      <c r="I1906" t="s">
        <v>9</v>
      </c>
      <c r="K1906" t="str">
        <v>budget</v>
      </c>
      <c r="L1906">
        <v>66.5</v>
      </c>
    </row>
    <row r="1907" spans="2:12" x14ac:dyDescent="0.3">
      <c r="B1907" t="s">
        <v>1258</v>
      </c>
      <c r="C1907">
        <v>95</v>
      </c>
      <c r="D1907" t="s">
        <v>45</v>
      </c>
      <c r="E1907">
        <v>56</v>
      </c>
      <c r="F1907">
        <v>78</v>
      </c>
      <c r="G1907">
        <v>3.75</v>
      </c>
      <c r="H1907" t="s">
        <v>18</v>
      </c>
      <c r="I1907" t="s">
        <v>150</v>
      </c>
      <c r="K1907" t="str">
        <v>budget</v>
      </c>
      <c r="L1907">
        <v>67</v>
      </c>
    </row>
    <row r="1908" spans="2:12" x14ac:dyDescent="0.3">
      <c r="B1908" t="s">
        <v>1801</v>
      </c>
      <c r="C1908">
        <v>94</v>
      </c>
      <c r="D1908" t="s">
        <v>45</v>
      </c>
      <c r="E1908">
        <v>60</v>
      </c>
      <c r="F1908">
        <v>75</v>
      </c>
      <c r="G1908">
        <v>22.02</v>
      </c>
      <c r="H1908" t="s">
        <v>18</v>
      </c>
      <c r="I1908" t="s">
        <v>5</v>
      </c>
      <c r="K1908" t="str">
        <v>budget</v>
      </c>
      <c r="L1908">
        <v>67.5</v>
      </c>
    </row>
    <row r="1909" spans="2:12" x14ac:dyDescent="0.3">
      <c r="B1909" t="s">
        <v>492</v>
      </c>
      <c r="C1909">
        <v>94</v>
      </c>
      <c r="D1909" t="s">
        <v>45</v>
      </c>
      <c r="E1909">
        <v>56</v>
      </c>
      <c r="F1909">
        <v>72</v>
      </c>
      <c r="G1909">
        <v>5</v>
      </c>
      <c r="H1909" t="s">
        <v>18</v>
      </c>
      <c r="I1909" t="s">
        <v>12</v>
      </c>
      <c r="K1909" t="str">
        <v>budget</v>
      </c>
      <c r="L1909">
        <v>64</v>
      </c>
    </row>
    <row r="1910" spans="2:12" x14ac:dyDescent="0.3">
      <c r="B1910" t="s">
        <v>1802</v>
      </c>
      <c r="C1910">
        <v>94</v>
      </c>
      <c r="D1910" t="s">
        <v>82</v>
      </c>
      <c r="E1910">
        <v>50</v>
      </c>
      <c r="F1910">
        <v>62</v>
      </c>
      <c r="G1910">
        <v>220.46</v>
      </c>
      <c r="H1910" t="s">
        <v>2</v>
      </c>
      <c r="I1910" t="s">
        <v>9</v>
      </c>
      <c r="K1910" t="str">
        <v>premium</v>
      </c>
      <c r="L1910">
        <v>56</v>
      </c>
    </row>
    <row r="1911" spans="2:12" x14ac:dyDescent="0.3">
      <c r="B1911" t="s">
        <v>1803</v>
      </c>
      <c r="C1911">
        <v>94</v>
      </c>
      <c r="D1911" t="s">
        <v>45</v>
      </c>
      <c r="E1911">
        <v>59</v>
      </c>
      <c r="F1911">
        <v>73</v>
      </c>
      <c r="G1911">
        <v>4.1100000000000003</v>
      </c>
      <c r="H1911" t="s">
        <v>18</v>
      </c>
      <c r="I1911" t="s">
        <v>9</v>
      </c>
      <c r="K1911" t="str">
        <v>budget</v>
      </c>
      <c r="L1911">
        <v>66</v>
      </c>
    </row>
    <row r="1912" spans="2:12" x14ac:dyDescent="0.3">
      <c r="B1912" t="s">
        <v>1804</v>
      </c>
      <c r="C1912">
        <v>94</v>
      </c>
      <c r="D1912" t="s">
        <v>82</v>
      </c>
      <c r="E1912">
        <v>49</v>
      </c>
      <c r="F1912">
        <v>59</v>
      </c>
      <c r="G1912">
        <v>3.08</v>
      </c>
      <c r="H1912" t="s">
        <v>18</v>
      </c>
      <c r="I1912" t="s">
        <v>150</v>
      </c>
      <c r="K1912" t="str">
        <v>budget</v>
      </c>
      <c r="L1912">
        <v>54</v>
      </c>
    </row>
    <row r="1913" spans="2:12" x14ac:dyDescent="0.3">
      <c r="B1913" t="s">
        <v>1805</v>
      </c>
      <c r="C1913">
        <v>94</v>
      </c>
      <c r="D1913" t="s">
        <v>45</v>
      </c>
      <c r="E1913">
        <v>56</v>
      </c>
      <c r="F1913">
        <v>68</v>
      </c>
      <c r="G1913">
        <v>4.7</v>
      </c>
      <c r="H1913" t="s">
        <v>18</v>
      </c>
      <c r="I1913" t="s">
        <v>12</v>
      </c>
      <c r="K1913" t="str">
        <v>budget</v>
      </c>
      <c r="L1913">
        <v>62</v>
      </c>
    </row>
    <row r="1914" spans="2:12" x14ac:dyDescent="0.3">
      <c r="B1914" t="s">
        <v>1806</v>
      </c>
      <c r="C1914">
        <v>95</v>
      </c>
      <c r="D1914" t="s">
        <v>82</v>
      </c>
      <c r="E1914">
        <v>49</v>
      </c>
      <c r="F1914">
        <v>66</v>
      </c>
      <c r="G1914">
        <v>19.11</v>
      </c>
      <c r="H1914" t="s">
        <v>18</v>
      </c>
      <c r="I1914" t="s">
        <v>9</v>
      </c>
      <c r="K1914" t="str">
        <v>budget</v>
      </c>
      <c r="L1914">
        <v>57.5</v>
      </c>
    </row>
    <row r="1915" spans="2:12" x14ac:dyDescent="0.3">
      <c r="B1915" t="s">
        <v>1807</v>
      </c>
      <c r="C1915">
        <v>94</v>
      </c>
      <c r="D1915" t="s">
        <v>45</v>
      </c>
      <c r="E1915">
        <v>53</v>
      </c>
      <c r="F1915">
        <v>79</v>
      </c>
      <c r="G1915">
        <v>3.56</v>
      </c>
      <c r="H1915" t="s">
        <v>18</v>
      </c>
      <c r="I1915" t="s">
        <v>9</v>
      </c>
      <c r="K1915" t="str">
        <v>budget</v>
      </c>
      <c r="L1915">
        <v>66</v>
      </c>
    </row>
    <row r="1916" spans="2:12" x14ac:dyDescent="0.3">
      <c r="B1916" t="s">
        <v>1808</v>
      </c>
      <c r="C1916">
        <v>94</v>
      </c>
      <c r="D1916" t="s">
        <v>45</v>
      </c>
      <c r="E1916">
        <v>58</v>
      </c>
      <c r="F1916">
        <v>75</v>
      </c>
      <c r="G1916">
        <v>4.79</v>
      </c>
      <c r="H1916" t="s">
        <v>18</v>
      </c>
      <c r="I1916" t="s">
        <v>9</v>
      </c>
      <c r="K1916" t="str">
        <v>budget</v>
      </c>
      <c r="L1916">
        <v>66.5</v>
      </c>
    </row>
    <row r="1917" spans="2:12" x14ac:dyDescent="0.3">
      <c r="B1917" t="s">
        <v>1809</v>
      </c>
      <c r="C1917">
        <v>94</v>
      </c>
      <c r="D1917" t="s">
        <v>45</v>
      </c>
      <c r="E1917">
        <v>57</v>
      </c>
      <c r="F1917">
        <v>71</v>
      </c>
      <c r="G1917">
        <v>5.29</v>
      </c>
      <c r="H1917" t="s">
        <v>18</v>
      </c>
      <c r="I1917" t="s">
        <v>12</v>
      </c>
      <c r="K1917" t="str">
        <v>budget</v>
      </c>
      <c r="L1917">
        <v>64</v>
      </c>
    </row>
    <row r="1918" spans="2:12" x14ac:dyDescent="0.3">
      <c r="B1918" t="s">
        <v>1810</v>
      </c>
      <c r="C1918">
        <v>94</v>
      </c>
      <c r="D1918" t="s">
        <v>45</v>
      </c>
      <c r="E1918">
        <v>58</v>
      </c>
      <c r="F1918">
        <v>75</v>
      </c>
      <c r="G1918">
        <v>26.43</v>
      </c>
      <c r="H1918" t="s">
        <v>18</v>
      </c>
      <c r="I1918" t="s">
        <v>5</v>
      </c>
      <c r="K1918" t="str">
        <v>middle</v>
      </c>
      <c r="L1918">
        <v>66.5</v>
      </c>
    </row>
    <row r="1919" spans="2:12" x14ac:dyDescent="0.3">
      <c r="B1919" t="s">
        <v>1811</v>
      </c>
      <c r="C1919">
        <v>94</v>
      </c>
      <c r="D1919" t="s">
        <v>45</v>
      </c>
      <c r="E1919">
        <v>53</v>
      </c>
      <c r="F1919">
        <v>72</v>
      </c>
      <c r="G1919">
        <v>35</v>
      </c>
      <c r="H1919" t="s">
        <v>30</v>
      </c>
      <c r="I1919" t="s">
        <v>5</v>
      </c>
      <c r="K1919" t="str">
        <v>middle</v>
      </c>
      <c r="L1919">
        <v>62.5</v>
      </c>
    </row>
    <row r="1920" spans="2:12" x14ac:dyDescent="0.3">
      <c r="B1920" t="s">
        <v>1812</v>
      </c>
      <c r="C1920">
        <v>94</v>
      </c>
      <c r="D1920" t="s">
        <v>45</v>
      </c>
      <c r="E1920">
        <v>55</v>
      </c>
      <c r="F1920">
        <v>75</v>
      </c>
      <c r="G1920">
        <v>15.85</v>
      </c>
      <c r="H1920" t="s">
        <v>18</v>
      </c>
      <c r="I1920" t="s">
        <v>18</v>
      </c>
      <c r="K1920" t="str">
        <v>budget</v>
      </c>
      <c r="L1920">
        <v>65</v>
      </c>
    </row>
    <row r="1921" spans="2:12" x14ac:dyDescent="0.3">
      <c r="B1921" t="s">
        <v>1813</v>
      </c>
      <c r="C1921">
        <v>94</v>
      </c>
      <c r="D1921" t="s">
        <v>82</v>
      </c>
      <c r="E1921">
        <v>53</v>
      </c>
      <c r="F1921">
        <v>68</v>
      </c>
      <c r="G1921">
        <v>4.8499999999999996</v>
      </c>
      <c r="H1921" t="s">
        <v>18</v>
      </c>
      <c r="I1921" t="s">
        <v>16</v>
      </c>
      <c r="K1921" t="str">
        <v>budget</v>
      </c>
      <c r="L1921">
        <v>60.5</v>
      </c>
    </row>
    <row r="1922" spans="2:12" x14ac:dyDescent="0.3">
      <c r="B1922" t="s">
        <v>1814</v>
      </c>
      <c r="C1922">
        <v>95</v>
      </c>
      <c r="D1922" t="s">
        <v>82</v>
      </c>
      <c r="E1922">
        <v>52</v>
      </c>
      <c r="F1922">
        <v>68</v>
      </c>
      <c r="G1922">
        <v>19.11</v>
      </c>
      <c r="H1922" t="s">
        <v>18</v>
      </c>
      <c r="I1922" t="s">
        <v>5</v>
      </c>
      <c r="K1922" t="str">
        <v>budget</v>
      </c>
      <c r="L1922">
        <v>60</v>
      </c>
    </row>
    <row r="1923" spans="2:12" x14ac:dyDescent="0.3">
      <c r="B1923" t="s">
        <v>1815</v>
      </c>
      <c r="C1923">
        <v>94</v>
      </c>
      <c r="D1923" t="s">
        <v>41</v>
      </c>
      <c r="E1923">
        <v>63</v>
      </c>
      <c r="F1923">
        <v>82</v>
      </c>
      <c r="G1923">
        <v>5.1100000000000003</v>
      </c>
      <c r="H1923" t="s">
        <v>18</v>
      </c>
      <c r="I1923" t="s">
        <v>21</v>
      </c>
      <c r="K1923" t="str">
        <v>budget</v>
      </c>
      <c r="L1923">
        <v>72.5</v>
      </c>
    </row>
    <row r="1924" spans="2:12" x14ac:dyDescent="0.3">
      <c r="B1924" t="s">
        <v>1816</v>
      </c>
      <c r="C1924">
        <v>94</v>
      </c>
      <c r="D1924" t="s">
        <v>45</v>
      </c>
      <c r="E1924">
        <v>55</v>
      </c>
      <c r="F1924">
        <v>68</v>
      </c>
      <c r="G1924">
        <v>5</v>
      </c>
      <c r="H1924" t="s">
        <v>18</v>
      </c>
      <c r="I1924" t="s">
        <v>10</v>
      </c>
      <c r="K1924" t="str">
        <v>budget</v>
      </c>
      <c r="L1924">
        <v>61.5</v>
      </c>
    </row>
    <row r="1925" spans="2:12" x14ac:dyDescent="0.3">
      <c r="B1925" t="s">
        <v>1817</v>
      </c>
      <c r="C1925">
        <v>94</v>
      </c>
      <c r="D1925" t="s">
        <v>82</v>
      </c>
      <c r="E1925">
        <v>55</v>
      </c>
      <c r="F1925">
        <v>66</v>
      </c>
      <c r="G1925">
        <v>1234.57</v>
      </c>
      <c r="H1925" t="s">
        <v>2</v>
      </c>
      <c r="I1925" t="s">
        <v>5</v>
      </c>
      <c r="K1925" t="str">
        <v>premium</v>
      </c>
      <c r="L1925">
        <v>60.5</v>
      </c>
    </row>
    <row r="1926" spans="2:12" x14ac:dyDescent="0.3">
      <c r="B1926" t="s">
        <v>1818</v>
      </c>
      <c r="C1926">
        <v>94</v>
      </c>
      <c r="D1926" t="s">
        <v>41</v>
      </c>
      <c r="E1926">
        <v>65</v>
      </c>
      <c r="F1926">
        <v>84</v>
      </c>
      <c r="G1926">
        <v>837.74</v>
      </c>
      <c r="H1926" t="s">
        <v>2</v>
      </c>
      <c r="I1926" t="s">
        <v>150</v>
      </c>
      <c r="K1926" t="str">
        <v>premium</v>
      </c>
      <c r="L1926">
        <v>74.5</v>
      </c>
    </row>
    <row r="1927" spans="2:12" x14ac:dyDescent="0.3">
      <c r="B1927" t="s">
        <v>1819</v>
      </c>
      <c r="C1927">
        <v>94</v>
      </c>
      <c r="D1927" t="s">
        <v>45</v>
      </c>
      <c r="E1927">
        <v>58</v>
      </c>
      <c r="F1927">
        <v>71</v>
      </c>
      <c r="G1927">
        <v>35</v>
      </c>
      <c r="H1927" t="s">
        <v>30</v>
      </c>
      <c r="I1927" t="s">
        <v>5</v>
      </c>
      <c r="K1927" t="str">
        <v>middle</v>
      </c>
      <c r="L1927">
        <v>64.5</v>
      </c>
    </row>
    <row r="1928" spans="2:12" x14ac:dyDescent="0.3">
      <c r="B1928" t="s">
        <v>1820</v>
      </c>
      <c r="C1928">
        <v>94</v>
      </c>
      <c r="D1928" t="s">
        <v>82</v>
      </c>
      <c r="E1928">
        <v>52</v>
      </c>
      <c r="F1928">
        <v>66</v>
      </c>
      <c r="G1928">
        <v>3.97</v>
      </c>
      <c r="H1928" t="s">
        <v>18</v>
      </c>
      <c r="I1928" t="s">
        <v>9</v>
      </c>
      <c r="K1928" t="str">
        <v>budget</v>
      </c>
      <c r="L1928">
        <v>59</v>
      </c>
    </row>
    <row r="1929" spans="2:12" x14ac:dyDescent="0.3">
      <c r="B1929" t="s">
        <v>1821</v>
      </c>
      <c r="C1929">
        <v>95</v>
      </c>
      <c r="D1929" t="s">
        <v>82</v>
      </c>
      <c r="E1929">
        <v>52</v>
      </c>
      <c r="F1929">
        <v>66</v>
      </c>
      <c r="G1929">
        <v>4.26</v>
      </c>
      <c r="H1929" t="s">
        <v>18</v>
      </c>
      <c r="I1929" t="s">
        <v>12</v>
      </c>
      <c r="K1929" t="str">
        <v>budget</v>
      </c>
      <c r="L1929">
        <v>59</v>
      </c>
    </row>
    <row r="1930" spans="2:12" x14ac:dyDescent="0.3">
      <c r="B1930" t="s">
        <v>1550</v>
      </c>
      <c r="C1930">
        <v>94</v>
      </c>
      <c r="D1930" t="s">
        <v>41</v>
      </c>
      <c r="E1930">
        <v>59</v>
      </c>
      <c r="F1930">
        <v>84</v>
      </c>
      <c r="G1930">
        <v>4.41</v>
      </c>
      <c r="H1930" t="s">
        <v>18</v>
      </c>
      <c r="I1930" t="s">
        <v>9</v>
      </c>
      <c r="K1930" t="str">
        <v>budget</v>
      </c>
      <c r="L1930">
        <v>71.5</v>
      </c>
    </row>
    <row r="1931" spans="2:12" x14ac:dyDescent="0.3">
      <c r="B1931" t="s">
        <v>1822</v>
      </c>
      <c r="C1931">
        <v>94</v>
      </c>
      <c r="D1931" t="s">
        <v>45</v>
      </c>
      <c r="E1931">
        <v>56</v>
      </c>
      <c r="F1931">
        <v>82</v>
      </c>
      <c r="G1931">
        <v>23.36</v>
      </c>
      <c r="H1931" t="s">
        <v>18</v>
      </c>
      <c r="I1931" t="s">
        <v>5</v>
      </c>
      <c r="K1931" t="str">
        <v>budget</v>
      </c>
      <c r="L1931">
        <v>69</v>
      </c>
    </row>
    <row r="1932" spans="2:12" x14ac:dyDescent="0.3">
      <c r="B1932" t="s">
        <v>580</v>
      </c>
      <c r="C1932">
        <v>95</v>
      </c>
      <c r="D1932" t="s">
        <v>82</v>
      </c>
      <c r="E1932">
        <v>50</v>
      </c>
      <c r="F1932">
        <v>65</v>
      </c>
      <c r="G1932">
        <v>8.82</v>
      </c>
      <c r="H1932" t="s">
        <v>18</v>
      </c>
      <c r="I1932" t="s">
        <v>7</v>
      </c>
      <c r="K1932" t="str">
        <v>budget</v>
      </c>
      <c r="L1932">
        <v>57.5</v>
      </c>
    </row>
    <row r="1933" spans="2:12" x14ac:dyDescent="0.3">
      <c r="B1933" t="s">
        <v>1823</v>
      </c>
      <c r="C1933">
        <v>94</v>
      </c>
      <c r="D1933" t="s">
        <v>82</v>
      </c>
      <c r="E1933">
        <v>51</v>
      </c>
      <c r="F1933">
        <v>55</v>
      </c>
      <c r="G1933">
        <v>4.5599999999999996</v>
      </c>
      <c r="H1933" t="s">
        <v>18</v>
      </c>
      <c r="I1933" t="s">
        <v>12</v>
      </c>
      <c r="K1933" t="str">
        <v>budget</v>
      </c>
      <c r="L1933">
        <v>53</v>
      </c>
    </row>
    <row r="1934" spans="2:12" x14ac:dyDescent="0.3">
      <c r="B1934" t="s">
        <v>1824</v>
      </c>
      <c r="C1934">
        <v>94</v>
      </c>
      <c r="D1934" t="s">
        <v>82</v>
      </c>
      <c r="E1934">
        <v>52</v>
      </c>
      <c r="F1934">
        <v>60</v>
      </c>
      <c r="G1934">
        <v>11.76</v>
      </c>
      <c r="H1934" t="s">
        <v>18</v>
      </c>
      <c r="I1934" t="s">
        <v>18</v>
      </c>
      <c r="K1934" t="str">
        <v>budget</v>
      </c>
      <c r="L1934">
        <v>56</v>
      </c>
    </row>
    <row r="1935" spans="2:12" x14ac:dyDescent="0.3">
      <c r="B1935" t="s">
        <v>1825</v>
      </c>
      <c r="C1935">
        <v>94</v>
      </c>
      <c r="D1935" t="s">
        <v>45</v>
      </c>
      <c r="E1935">
        <v>57</v>
      </c>
      <c r="F1935">
        <v>75</v>
      </c>
      <c r="G1935">
        <v>9.69</v>
      </c>
      <c r="H1935" t="s">
        <v>18</v>
      </c>
      <c r="I1935" t="s">
        <v>18</v>
      </c>
      <c r="K1935" t="str">
        <v>budget</v>
      </c>
      <c r="L1935">
        <v>66</v>
      </c>
    </row>
    <row r="1936" spans="2:12" x14ac:dyDescent="0.3">
      <c r="B1936" t="s">
        <v>1826</v>
      </c>
      <c r="C1936">
        <v>94</v>
      </c>
      <c r="D1936" t="s">
        <v>45</v>
      </c>
      <c r="E1936">
        <v>58</v>
      </c>
      <c r="F1936">
        <v>74</v>
      </c>
      <c r="G1936">
        <v>4.5599999999999996</v>
      </c>
      <c r="H1936" t="s">
        <v>18</v>
      </c>
      <c r="I1936" t="s">
        <v>9</v>
      </c>
      <c r="K1936" t="str">
        <v>budget</v>
      </c>
      <c r="L1936">
        <v>66</v>
      </c>
    </row>
    <row r="1937" spans="2:12" x14ac:dyDescent="0.3">
      <c r="B1937" t="s">
        <v>1827</v>
      </c>
      <c r="C1937">
        <v>96</v>
      </c>
      <c r="D1937" t="s">
        <v>45</v>
      </c>
      <c r="E1937">
        <v>60</v>
      </c>
      <c r="F1937">
        <v>81</v>
      </c>
      <c r="G1937">
        <v>26.34</v>
      </c>
      <c r="H1937" t="s">
        <v>18</v>
      </c>
      <c r="I1937" t="s">
        <v>14</v>
      </c>
      <c r="K1937" t="str">
        <v>middle</v>
      </c>
      <c r="L1937">
        <v>70.5</v>
      </c>
    </row>
    <row r="1938" spans="2:12" x14ac:dyDescent="0.3">
      <c r="B1938" t="s">
        <v>1828</v>
      </c>
      <c r="C1938">
        <v>94</v>
      </c>
      <c r="D1938" t="s">
        <v>45</v>
      </c>
      <c r="E1938">
        <v>55</v>
      </c>
      <c r="F1938">
        <v>68</v>
      </c>
      <c r="G1938">
        <v>4.41</v>
      </c>
      <c r="H1938" t="s">
        <v>18</v>
      </c>
      <c r="I1938" t="s">
        <v>12</v>
      </c>
      <c r="K1938" t="str">
        <v>budget</v>
      </c>
      <c r="L1938">
        <v>61.5</v>
      </c>
    </row>
    <row r="1939" spans="2:12" x14ac:dyDescent="0.3">
      <c r="B1939" t="s">
        <v>1829</v>
      </c>
      <c r="C1939">
        <v>94</v>
      </c>
      <c r="D1939" t="s">
        <v>41</v>
      </c>
      <c r="E1939">
        <v>64</v>
      </c>
      <c r="F1939">
        <v>81</v>
      </c>
      <c r="G1939">
        <v>5.23</v>
      </c>
      <c r="H1939" t="s">
        <v>31</v>
      </c>
      <c r="I1939" t="s">
        <v>9</v>
      </c>
      <c r="K1939" t="str">
        <v>budget</v>
      </c>
      <c r="L1939">
        <v>72.5</v>
      </c>
    </row>
    <row r="1940" spans="2:12" x14ac:dyDescent="0.3">
      <c r="B1940" t="s">
        <v>1830</v>
      </c>
      <c r="C1940">
        <v>94</v>
      </c>
      <c r="D1940" t="s">
        <v>82</v>
      </c>
      <c r="E1940">
        <v>49</v>
      </c>
      <c r="F1940">
        <v>62</v>
      </c>
      <c r="G1940">
        <v>352.74</v>
      </c>
      <c r="H1940" t="s">
        <v>2</v>
      </c>
      <c r="I1940" t="s">
        <v>12</v>
      </c>
      <c r="K1940" t="str">
        <v>premium</v>
      </c>
      <c r="L1940">
        <v>55.5</v>
      </c>
    </row>
    <row r="1941" spans="2:12" x14ac:dyDescent="0.3">
      <c r="B1941" t="s">
        <v>1831</v>
      </c>
      <c r="C1941">
        <v>95</v>
      </c>
      <c r="D1941" t="s">
        <v>82</v>
      </c>
      <c r="E1941">
        <v>53</v>
      </c>
      <c r="F1941">
        <v>65</v>
      </c>
      <c r="G1941">
        <v>4.7</v>
      </c>
      <c r="H1941" t="s">
        <v>18</v>
      </c>
      <c r="I1941" t="s">
        <v>12</v>
      </c>
      <c r="K1941" t="str">
        <v>budget</v>
      </c>
      <c r="L1941">
        <v>59</v>
      </c>
    </row>
    <row r="1942" spans="2:12" x14ac:dyDescent="0.3">
      <c r="B1942" t="s">
        <v>1832</v>
      </c>
      <c r="C1942">
        <v>94</v>
      </c>
      <c r="D1942" t="s">
        <v>45</v>
      </c>
      <c r="E1942">
        <v>57</v>
      </c>
      <c r="F1942">
        <v>72</v>
      </c>
      <c r="G1942">
        <v>4.41</v>
      </c>
      <c r="H1942" t="s">
        <v>18</v>
      </c>
      <c r="I1942" t="s">
        <v>9</v>
      </c>
      <c r="K1942" t="str">
        <v>budget</v>
      </c>
      <c r="L1942">
        <v>64.5</v>
      </c>
    </row>
    <row r="1943" spans="2:12" x14ac:dyDescent="0.3">
      <c r="B1943" t="s">
        <v>1833</v>
      </c>
      <c r="C1943">
        <v>94</v>
      </c>
      <c r="D1943" t="s">
        <v>82</v>
      </c>
      <c r="E1943">
        <v>51</v>
      </c>
      <c r="F1943">
        <v>62</v>
      </c>
      <c r="G1943">
        <v>4.3</v>
      </c>
      <c r="H1943" t="s">
        <v>18</v>
      </c>
      <c r="I1943" t="s">
        <v>9</v>
      </c>
      <c r="K1943" t="str">
        <v>budget</v>
      </c>
      <c r="L1943">
        <v>56.5</v>
      </c>
    </row>
    <row r="1944" spans="2:12" x14ac:dyDescent="0.3">
      <c r="B1944" t="s">
        <v>1834</v>
      </c>
      <c r="C1944">
        <v>94</v>
      </c>
      <c r="D1944" t="s">
        <v>45</v>
      </c>
      <c r="E1944">
        <v>54</v>
      </c>
      <c r="F1944">
        <v>77</v>
      </c>
      <c r="G1944">
        <v>4.8499999999999996</v>
      </c>
      <c r="H1944" t="s">
        <v>18</v>
      </c>
      <c r="I1944" t="s">
        <v>16</v>
      </c>
      <c r="K1944" t="str">
        <v>budget</v>
      </c>
      <c r="L1944">
        <v>65.5</v>
      </c>
    </row>
    <row r="1945" spans="2:12" x14ac:dyDescent="0.3">
      <c r="B1945" t="s">
        <v>1412</v>
      </c>
      <c r="C1945">
        <v>94</v>
      </c>
      <c r="D1945" t="s">
        <v>45</v>
      </c>
      <c r="E1945">
        <v>54</v>
      </c>
      <c r="F1945">
        <v>73</v>
      </c>
      <c r="G1945">
        <v>4.1100000000000003</v>
      </c>
      <c r="H1945" t="s">
        <v>18</v>
      </c>
      <c r="I1945" t="s">
        <v>16</v>
      </c>
      <c r="K1945" t="str">
        <v>budget</v>
      </c>
      <c r="L1945">
        <v>63.5</v>
      </c>
    </row>
    <row r="1946" spans="2:12" x14ac:dyDescent="0.3">
      <c r="B1946" t="s">
        <v>1835</v>
      </c>
      <c r="C1946">
        <v>94</v>
      </c>
      <c r="D1946" t="s">
        <v>45</v>
      </c>
      <c r="E1946">
        <v>56</v>
      </c>
      <c r="F1946">
        <v>76</v>
      </c>
      <c r="G1946">
        <v>5</v>
      </c>
      <c r="H1946" t="s">
        <v>18</v>
      </c>
      <c r="I1946" t="s">
        <v>150</v>
      </c>
      <c r="K1946" t="str">
        <v>budget</v>
      </c>
      <c r="L1946">
        <v>66</v>
      </c>
    </row>
    <row r="1947" spans="2:12" x14ac:dyDescent="0.3">
      <c r="B1947" t="s">
        <v>1836</v>
      </c>
      <c r="C1947">
        <v>94</v>
      </c>
      <c r="D1947" t="s">
        <v>45</v>
      </c>
      <c r="E1947">
        <v>58</v>
      </c>
      <c r="F1947">
        <v>75</v>
      </c>
      <c r="G1947">
        <v>4.8499999999999996</v>
      </c>
      <c r="H1947" t="s">
        <v>18</v>
      </c>
      <c r="I1947" t="s">
        <v>9</v>
      </c>
      <c r="K1947" t="str">
        <v>budget</v>
      </c>
      <c r="L1947">
        <v>66.5</v>
      </c>
    </row>
    <row r="1948" spans="2:12" x14ac:dyDescent="0.3">
      <c r="B1948" t="s">
        <v>1837</v>
      </c>
      <c r="C1948">
        <v>94</v>
      </c>
      <c r="D1948" t="s">
        <v>45</v>
      </c>
      <c r="E1948">
        <v>51</v>
      </c>
      <c r="F1948">
        <v>75</v>
      </c>
      <c r="G1948">
        <v>20.16</v>
      </c>
      <c r="H1948" t="s">
        <v>18</v>
      </c>
      <c r="I1948" t="s">
        <v>18</v>
      </c>
      <c r="K1948" t="str">
        <v>budget</v>
      </c>
      <c r="L1948">
        <v>63</v>
      </c>
    </row>
    <row r="1949" spans="2:12" x14ac:dyDescent="0.3">
      <c r="B1949" t="s">
        <v>1537</v>
      </c>
      <c r="C1949">
        <v>95</v>
      </c>
      <c r="D1949" t="s">
        <v>82</v>
      </c>
      <c r="E1949">
        <v>52</v>
      </c>
      <c r="F1949">
        <v>68</v>
      </c>
      <c r="G1949">
        <v>4.41</v>
      </c>
      <c r="H1949" t="s">
        <v>18</v>
      </c>
      <c r="I1949" t="s">
        <v>16</v>
      </c>
      <c r="K1949" t="str">
        <v>budget</v>
      </c>
      <c r="L1949">
        <v>60</v>
      </c>
    </row>
    <row r="1950" spans="2:12" x14ac:dyDescent="0.3">
      <c r="B1950" t="s">
        <v>1838</v>
      </c>
      <c r="C1950">
        <v>94</v>
      </c>
      <c r="D1950" t="s">
        <v>82</v>
      </c>
      <c r="E1950">
        <v>49</v>
      </c>
      <c r="F1950">
        <v>65</v>
      </c>
      <c r="G1950">
        <v>286.60000000000002</v>
      </c>
      <c r="H1950" t="s">
        <v>2</v>
      </c>
      <c r="I1950" t="s">
        <v>9</v>
      </c>
      <c r="K1950" t="str">
        <v>premium</v>
      </c>
      <c r="L1950">
        <v>57</v>
      </c>
    </row>
    <row r="1951" spans="2:12" x14ac:dyDescent="0.3">
      <c r="B1951" t="s">
        <v>1839</v>
      </c>
      <c r="C1951">
        <v>94</v>
      </c>
      <c r="D1951" t="s">
        <v>45</v>
      </c>
      <c r="E1951">
        <v>59</v>
      </c>
      <c r="F1951">
        <v>72</v>
      </c>
      <c r="G1951">
        <v>198.41</v>
      </c>
      <c r="H1951" t="s">
        <v>2</v>
      </c>
      <c r="I1951" t="s">
        <v>9</v>
      </c>
      <c r="K1951" t="str">
        <v>premium</v>
      </c>
      <c r="L1951">
        <v>65.5</v>
      </c>
    </row>
    <row r="1952" spans="2:12" x14ac:dyDescent="0.3">
      <c r="B1952" t="s">
        <v>1840</v>
      </c>
      <c r="C1952">
        <v>94</v>
      </c>
      <c r="D1952" t="s">
        <v>541</v>
      </c>
      <c r="E1952">
        <v>46</v>
      </c>
      <c r="F1952">
        <v>53</v>
      </c>
      <c r="G1952">
        <v>286.60000000000002</v>
      </c>
      <c r="H1952" t="s">
        <v>2</v>
      </c>
      <c r="I1952" t="s">
        <v>12</v>
      </c>
      <c r="K1952" t="str">
        <v>premium</v>
      </c>
      <c r="L1952">
        <v>49.5</v>
      </c>
    </row>
    <row r="1953" spans="2:12" x14ac:dyDescent="0.3">
      <c r="B1953" t="s">
        <v>1841</v>
      </c>
      <c r="C1953">
        <v>94</v>
      </c>
      <c r="D1953" t="s">
        <v>41</v>
      </c>
      <c r="E1953">
        <v>61</v>
      </c>
      <c r="F1953">
        <v>93</v>
      </c>
      <c r="G1953">
        <v>288</v>
      </c>
      <c r="H1953" t="s">
        <v>11</v>
      </c>
      <c r="I1953" t="s">
        <v>5</v>
      </c>
      <c r="K1953" t="str">
        <v>premium</v>
      </c>
      <c r="L1953">
        <v>77</v>
      </c>
    </row>
    <row r="1954" spans="2:12" x14ac:dyDescent="0.3">
      <c r="B1954" t="s">
        <v>1842</v>
      </c>
      <c r="C1954">
        <v>94</v>
      </c>
      <c r="D1954" t="s">
        <v>45</v>
      </c>
      <c r="E1954">
        <v>59</v>
      </c>
      <c r="F1954">
        <v>76</v>
      </c>
      <c r="G1954">
        <v>3.97</v>
      </c>
      <c r="H1954" t="s">
        <v>18</v>
      </c>
      <c r="I1954" t="s">
        <v>16</v>
      </c>
      <c r="K1954" t="str">
        <v>budget</v>
      </c>
      <c r="L1954">
        <v>67.5</v>
      </c>
    </row>
    <row r="1955" spans="2:12" x14ac:dyDescent="0.3">
      <c r="B1955" t="s">
        <v>1843</v>
      </c>
      <c r="C1955">
        <v>94</v>
      </c>
      <c r="D1955" t="s">
        <v>45</v>
      </c>
      <c r="E1955">
        <v>56</v>
      </c>
      <c r="F1955">
        <v>83</v>
      </c>
      <c r="G1955">
        <v>588</v>
      </c>
      <c r="H1955" t="s">
        <v>11</v>
      </c>
      <c r="I1955" t="s">
        <v>5</v>
      </c>
      <c r="K1955" t="str">
        <v>premium</v>
      </c>
      <c r="L1955">
        <v>69.5</v>
      </c>
    </row>
    <row r="1956" spans="2:12" x14ac:dyDescent="0.3">
      <c r="B1956" t="s">
        <v>1844</v>
      </c>
      <c r="C1956">
        <v>95</v>
      </c>
      <c r="D1956" t="s">
        <v>45</v>
      </c>
      <c r="E1956">
        <v>56</v>
      </c>
      <c r="F1956">
        <v>81</v>
      </c>
      <c r="G1956">
        <v>500</v>
      </c>
      <c r="H1956" t="s">
        <v>2</v>
      </c>
      <c r="I1956" t="s">
        <v>9</v>
      </c>
      <c r="K1956" t="str">
        <v>premium</v>
      </c>
      <c r="L1956">
        <v>68.5</v>
      </c>
    </row>
    <row r="1957" spans="2:12" x14ac:dyDescent="0.3">
      <c r="B1957" t="s">
        <v>1845</v>
      </c>
      <c r="C1957">
        <v>96</v>
      </c>
      <c r="D1957" t="s">
        <v>41</v>
      </c>
      <c r="E1957">
        <v>64</v>
      </c>
      <c r="F1957">
        <v>83</v>
      </c>
      <c r="G1957">
        <v>4.5599999999999996</v>
      </c>
      <c r="H1957" t="s">
        <v>18</v>
      </c>
      <c r="I1957" t="s">
        <v>9</v>
      </c>
      <c r="K1957" t="str">
        <v>budget</v>
      </c>
      <c r="L1957">
        <v>73.5</v>
      </c>
    </row>
    <row r="1958" spans="2:12" x14ac:dyDescent="0.3">
      <c r="B1958" t="s">
        <v>1846</v>
      </c>
      <c r="C1958">
        <v>94</v>
      </c>
      <c r="D1958" t="s">
        <v>82</v>
      </c>
      <c r="E1958">
        <v>53</v>
      </c>
      <c r="F1958">
        <v>66</v>
      </c>
      <c r="G1958">
        <v>5.5</v>
      </c>
      <c r="H1958" t="s">
        <v>18</v>
      </c>
      <c r="I1958" t="s">
        <v>150</v>
      </c>
      <c r="K1958" t="str">
        <v>budget</v>
      </c>
      <c r="L1958">
        <v>59.5</v>
      </c>
    </row>
    <row r="1959" spans="2:12" x14ac:dyDescent="0.3">
      <c r="B1959" t="s">
        <v>1847</v>
      </c>
      <c r="C1959">
        <v>96</v>
      </c>
      <c r="D1959" t="s">
        <v>45</v>
      </c>
      <c r="E1959">
        <v>52</v>
      </c>
      <c r="F1959">
        <v>73</v>
      </c>
      <c r="G1959">
        <v>5.29</v>
      </c>
      <c r="H1959" t="s">
        <v>18</v>
      </c>
      <c r="I1959" t="s">
        <v>9</v>
      </c>
      <c r="K1959" t="str">
        <v>budget</v>
      </c>
      <c r="L1959">
        <v>62.5</v>
      </c>
    </row>
    <row r="1960" spans="2:12" x14ac:dyDescent="0.3">
      <c r="B1960" t="s">
        <v>1848</v>
      </c>
      <c r="C1960">
        <v>94</v>
      </c>
      <c r="D1960" t="s">
        <v>45</v>
      </c>
      <c r="E1960">
        <v>55</v>
      </c>
      <c r="F1960">
        <v>79</v>
      </c>
      <c r="G1960">
        <v>4.9800000000000004</v>
      </c>
      <c r="H1960" t="s">
        <v>18</v>
      </c>
      <c r="I1960" t="s">
        <v>21</v>
      </c>
      <c r="K1960" t="str">
        <v>budget</v>
      </c>
      <c r="L1960">
        <v>67</v>
      </c>
    </row>
    <row r="1961" spans="2:12" x14ac:dyDescent="0.3">
      <c r="B1961" t="s">
        <v>1849</v>
      </c>
      <c r="C1961">
        <v>95</v>
      </c>
      <c r="D1961" t="s">
        <v>45</v>
      </c>
      <c r="E1961">
        <v>56</v>
      </c>
      <c r="F1961">
        <v>73</v>
      </c>
      <c r="G1961">
        <v>4.12</v>
      </c>
      <c r="H1961" t="s">
        <v>18</v>
      </c>
      <c r="I1961" t="s">
        <v>17</v>
      </c>
      <c r="K1961" t="str">
        <v>budget</v>
      </c>
      <c r="L1961">
        <v>64.5</v>
      </c>
    </row>
    <row r="1962" spans="2:12" x14ac:dyDescent="0.3">
      <c r="B1962" t="s">
        <v>1850</v>
      </c>
      <c r="C1962">
        <v>95</v>
      </c>
      <c r="D1962" t="s">
        <v>82</v>
      </c>
      <c r="E1962">
        <v>45</v>
      </c>
      <c r="F1962">
        <v>67</v>
      </c>
      <c r="G1962">
        <v>3.82</v>
      </c>
      <c r="H1962" t="s">
        <v>18</v>
      </c>
      <c r="I1962" t="s">
        <v>12</v>
      </c>
      <c r="K1962" t="str">
        <v>budget</v>
      </c>
      <c r="L1962">
        <v>56</v>
      </c>
    </row>
    <row r="1963" spans="2:12" x14ac:dyDescent="0.3">
      <c r="B1963" t="s">
        <v>1851</v>
      </c>
      <c r="C1963">
        <v>94</v>
      </c>
      <c r="D1963" t="s">
        <v>45</v>
      </c>
      <c r="E1963">
        <v>56</v>
      </c>
      <c r="F1963">
        <v>78</v>
      </c>
      <c r="G1963">
        <v>4.41</v>
      </c>
      <c r="H1963" t="s">
        <v>18</v>
      </c>
      <c r="I1963" t="s">
        <v>9</v>
      </c>
      <c r="K1963" t="str">
        <v>budget</v>
      </c>
      <c r="L1963">
        <v>67</v>
      </c>
    </row>
    <row r="1964" spans="2:12" x14ac:dyDescent="0.3">
      <c r="B1964" t="s">
        <v>1852</v>
      </c>
      <c r="C1964">
        <v>94</v>
      </c>
      <c r="D1964" t="s">
        <v>45</v>
      </c>
      <c r="E1964">
        <v>57</v>
      </c>
      <c r="F1964">
        <v>72</v>
      </c>
      <c r="G1964">
        <v>6.17</v>
      </c>
      <c r="H1964" t="s">
        <v>18</v>
      </c>
      <c r="I1964" t="s">
        <v>9</v>
      </c>
      <c r="K1964" t="str">
        <v>budget</v>
      </c>
      <c r="L1964">
        <v>64.5</v>
      </c>
    </row>
    <row r="1965" spans="2:12" x14ac:dyDescent="0.3">
      <c r="B1965" t="s">
        <v>1853</v>
      </c>
      <c r="C1965">
        <v>95</v>
      </c>
      <c r="D1965" t="s">
        <v>82</v>
      </c>
      <c r="E1965">
        <v>49</v>
      </c>
      <c r="F1965">
        <v>69</v>
      </c>
      <c r="G1965">
        <v>4.7</v>
      </c>
      <c r="H1965" t="s">
        <v>18</v>
      </c>
      <c r="I1965" t="s">
        <v>12</v>
      </c>
      <c r="K1965" t="str">
        <v>budget</v>
      </c>
      <c r="L1965">
        <v>59</v>
      </c>
    </row>
    <row r="1966" spans="2:12" x14ac:dyDescent="0.3">
      <c r="B1966" t="s">
        <v>1854</v>
      </c>
      <c r="C1966">
        <v>94</v>
      </c>
      <c r="D1966" t="s">
        <v>541</v>
      </c>
      <c r="E1966">
        <v>46</v>
      </c>
      <c r="F1966">
        <v>55</v>
      </c>
      <c r="G1966">
        <v>4.1100000000000003</v>
      </c>
      <c r="H1966" t="s">
        <v>18</v>
      </c>
      <c r="I1966" t="s">
        <v>24</v>
      </c>
      <c r="K1966" t="str">
        <v>budget</v>
      </c>
      <c r="L1966">
        <v>50.5</v>
      </c>
    </row>
    <row r="1967" spans="2:12" x14ac:dyDescent="0.3">
      <c r="B1967" t="s">
        <v>1855</v>
      </c>
      <c r="C1967">
        <v>96</v>
      </c>
      <c r="D1967" t="s">
        <v>41</v>
      </c>
      <c r="E1967">
        <v>66</v>
      </c>
      <c r="F1967">
        <v>86</v>
      </c>
      <c r="G1967">
        <v>104.84</v>
      </c>
      <c r="H1967" t="s">
        <v>18</v>
      </c>
      <c r="I1967" t="s">
        <v>5</v>
      </c>
      <c r="K1967" t="str">
        <v>premium</v>
      </c>
      <c r="L1967">
        <v>76</v>
      </c>
    </row>
    <row r="1968" spans="2:12" x14ac:dyDescent="0.3">
      <c r="B1968" t="s">
        <v>1856</v>
      </c>
      <c r="C1968">
        <v>94</v>
      </c>
      <c r="D1968" t="s">
        <v>45</v>
      </c>
      <c r="E1968">
        <v>59</v>
      </c>
      <c r="F1968">
        <v>69</v>
      </c>
      <c r="G1968">
        <v>4.76</v>
      </c>
      <c r="H1968" t="s">
        <v>18</v>
      </c>
      <c r="I1968" t="s">
        <v>16</v>
      </c>
      <c r="K1968" t="str">
        <v>budget</v>
      </c>
      <c r="L1968">
        <v>64</v>
      </c>
    </row>
    <row r="1969" spans="2:12" x14ac:dyDescent="0.3">
      <c r="B1969" t="s">
        <v>1631</v>
      </c>
      <c r="C1969">
        <v>94</v>
      </c>
      <c r="D1969" t="s">
        <v>45</v>
      </c>
      <c r="E1969">
        <v>56</v>
      </c>
      <c r="F1969">
        <v>73</v>
      </c>
      <c r="G1969">
        <v>4.41</v>
      </c>
      <c r="H1969" t="s">
        <v>18</v>
      </c>
      <c r="I1969" t="s">
        <v>9</v>
      </c>
      <c r="K1969" t="str">
        <v>budget</v>
      </c>
      <c r="L1969">
        <v>64.5</v>
      </c>
    </row>
    <row r="1970" spans="2:12" x14ac:dyDescent="0.3">
      <c r="B1970" t="s">
        <v>1857</v>
      </c>
      <c r="C1970">
        <v>94</v>
      </c>
      <c r="D1970" t="s">
        <v>82</v>
      </c>
      <c r="E1970">
        <v>53</v>
      </c>
      <c r="F1970">
        <v>63</v>
      </c>
      <c r="G1970">
        <v>5.29</v>
      </c>
      <c r="H1970" t="s">
        <v>18</v>
      </c>
      <c r="I1970" t="s">
        <v>12</v>
      </c>
      <c r="K1970" t="str">
        <v>budget</v>
      </c>
      <c r="L1970">
        <v>58</v>
      </c>
    </row>
    <row r="1971" spans="2:12" x14ac:dyDescent="0.3">
      <c r="B1971" t="s">
        <v>1858</v>
      </c>
      <c r="C1971">
        <v>94</v>
      </c>
      <c r="D1971" t="s">
        <v>45</v>
      </c>
      <c r="E1971">
        <v>58</v>
      </c>
      <c r="F1971">
        <v>76</v>
      </c>
      <c r="G1971">
        <v>220.46</v>
      </c>
      <c r="H1971" t="s">
        <v>2</v>
      </c>
      <c r="I1971" t="s">
        <v>150</v>
      </c>
      <c r="K1971" t="str">
        <v>premium</v>
      </c>
      <c r="L1971">
        <v>67</v>
      </c>
    </row>
    <row r="1972" spans="2:12" x14ac:dyDescent="0.3">
      <c r="B1972" t="s">
        <v>1771</v>
      </c>
      <c r="C1972">
        <v>94</v>
      </c>
      <c r="D1972" t="s">
        <v>41</v>
      </c>
      <c r="E1972">
        <v>61</v>
      </c>
      <c r="F1972">
        <v>81</v>
      </c>
      <c r="G1972">
        <v>176.37</v>
      </c>
      <c r="H1972" t="s">
        <v>2</v>
      </c>
      <c r="I1972" t="s">
        <v>9</v>
      </c>
      <c r="K1972" t="str">
        <v>premium</v>
      </c>
      <c r="L1972">
        <v>71</v>
      </c>
    </row>
    <row r="1973" spans="2:12" x14ac:dyDescent="0.3">
      <c r="B1973" t="s">
        <v>1859</v>
      </c>
      <c r="C1973">
        <v>94</v>
      </c>
      <c r="D1973" t="s">
        <v>45</v>
      </c>
      <c r="E1973">
        <v>55</v>
      </c>
      <c r="F1973">
        <v>75</v>
      </c>
      <c r="G1973">
        <v>40</v>
      </c>
      <c r="H1973" t="s">
        <v>11</v>
      </c>
      <c r="I1973" t="s">
        <v>150</v>
      </c>
      <c r="K1973" t="str">
        <v>middle</v>
      </c>
      <c r="L1973">
        <v>65</v>
      </c>
    </row>
    <row r="1974" spans="2:12" x14ac:dyDescent="0.3">
      <c r="B1974" t="s">
        <v>1860</v>
      </c>
      <c r="C1974">
        <v>95</v>
      </c>
      <c r="D1974" t="s">
        <v>45</v>
      </c>
      <c r="E1974">
        <v>58</v>
      </c>
      <c r="F1974">
        <v>79</v>
      </c>
      <c r="G1974">
        <v>5.88</v>
      </c>
      <c r="H1974" t="s">
        <v>18</v>
      </c>
      <c r="I1974" t="s">
        <v>10</v>
      </c>
      <c r="K1974" t="str">
        <v>budget</v>
      </c>
      <c r="L1974">
        <v>68.5</v>
      </c>
    </row>
    <row r="1975" spans="2:12" x14ac:dyDescent="0.3">
      <c r="B1975" t="s">
        <v>1861</v>
      </c>
      <c r="C1975">
        <v>94</v>
      </c>
      <c r="D1975" t="s">
        <v>45</v>
      </c>
      <c r="E1975">
        <v>54</v>
      </c>
      <c r="F1975">
        <v>73</v>
      </c>
      <c r="G1975">
        <v>3.86</v>
      </c>
      <c r="H1975" t="s">
        <v>18</v>
      </c>
      <c r="I1975" t="s">
        <v>9</v>
      </c>
      <c r="K1975" t="str">
        <v>budget</v>
      </c>
      <c r="L1975">
        <v>63.5</v>
      </c>
    </row>
    <row r="1976" spans="2:12" x14ac:dyDescent="0.3">
      <c r="B1976" t="s">
        <v>1862</v>
      </c>
      <c r="C1976">
        <v>95</v>
      </c>
      <c r="D1976" t="s">
        <v>45</v>
      </c>
      <c r="E1976">
        <v>52</v>
      </c>
      <c r="F1976">
        <v>70</v>
      </c>
      <c r="G1976">
        <v>4.41</v>
      </c>
      <c r="H1976" t="s">
        <v>18</v>
      </c>
      <c r="I1976" t="s">
        <v>9</v>
      </c>
      <c r="K1976" t="str">
        <v>budget</v>
      </c>
      <c r="L1976">
        <v>61</v>
      </c>
    </row>
    <row r="1977" spans="2:12" x14ac:dyDescent="0.3">
      <c r="B1977" t="s">
        <v>1863</v>
      </c>
      <c r="C1977">
        <v>94</v>
      </c>
      <c r="D1977" t="s">
        <v>45</v>
      </c>
      <c r="E1977">
        <v>53</v>
      </c>
      <c r="F1977">
        <v>69</v>
      </c>
      <c r="G1977">
        <v>4.3899999999999997</v>
      </c>
      <c r="H1977" t="s">
        <v>18</v>
      </c>
      <c r="I1977" t="s">
        <v>9</v>
      </c>
      <c r="K1977" t="str">
        <v>budget</v>
      </c>
      <c r="L1977">
        <v>61</v>
      </c>
    </row>
    <row r="1978" spans="2:12" x14ac:dyDescent="0.3">
      <c r="B1978" t="s">
        <v>1864</v>
      </c>
      <c r="C1978">
        <v>94</v>
      </c>
      <c r="D1978" t="s">
        <v>45</v>
      </c>
      <c r="E1978">
        <v>54</v>
      </c>
      <c r="F1978">
        <v>71</v>
      </c>
      <c r="G1978">
        <v>29.72</v>
      </c>
      <c r="H1978" t="s">
        <v>18</v>
      </c>
      <c r="I1978" t="s">
        <v>5</v>
      </c>
      <c r="K1978" t="str">
        <v>middle</v>
      </c>
      <c r="L1978">
        <v>62.5</v>
      </c>
    </row>
    <row r="1979" spans="2:12" x14ac:dyDescent="0.3">
      <c r="B1979" t="s">
        <v>1733</v>
      </c>
      <c r="C1979">
        <v>97</v>
      </c>
      <c r="D1979" t="s">
        <v>82</v>
      </c>
      <c r="E1979">
        <v>52</v>
      </c>
      <c r="F1979">
        <v>67</v>
      </c>
      <c r="G1979">
        <v>16.739999999999998</v>
      </c>
      <c r="H1979" t="s">
        <v>18</v>
      </c>
      <c r="I1979" t="s">
        <v>5</v>
      </c>
      <c r="K1979" t="str">
        <v>budget</v>
      </c>
      <c r="L1979">
        <v>59.5</v>
      </c>
    </row>
    <row r="1980" spans="2:12" x14ac:dyDescent="0.3">
      <c r="B1980" t="s">
        <v>1865</v>
      </c>
      <c r="C1980">
        <v>96</v>
      </c>
      <c r="D1980" t="s">
        <v>41</v>
      </c>
      <c r="E1980">
        <v>62</v>
      </c>
      <c r="F1980">
        <v>86</v>
      </c>
      <c r="G1980">
        <v>26.45</v>
      </c>
      <c r="H1980" t="s">
        <v>18</v>
      </c>
      <c r="I1980" t="s">
        <v>5</v>
      </c>
      <c r="K1980" t="str">
        <v>middle</v>
      </c>
      <c r="L1980">
        <v>74</v>
      </c>
    </row>
    <row r="1981" spans="2:12" x14ac:dyDescent="0.3">
      <c r="B1981" t="s">
        <v>1866</v>
      </c>
      <c r="C1981">
        <v>95</v>
      </c>
      <c r="D1981" t="s">
        <v>82</v>
      </c>
      <c r="E1981">
        <v>52</v>
      </c>
      <c r="F1981">
        <v>61</v>
      </c>
      <c r="G1981">
        <v>4.8499999999999996</v>
      </c>
      <c r="H1981" t="s">
        <v>18</v>
      </c>
      <c r="I1981" t="s">
        <v>12</v>
      </c>
      <c r="K1981" t="str">
        <v>budget</v>
      </c>
      <c r="L1981">
        <v>56.5</v>
      </c>
    </row>
    <row r="1982" spans="2:12" x14ac:dyDescent="0.3">
      <c r="B1982" t="s">
        <v>1867</v>
      </c>
      <c r="C1982">
        <v>95</v>
      </c>
      <c r="D1982" t="s">
        <v>45</v>
      </c>
      <c r="E1982">
        <v>57</v>
      </c>
      <c r="F1982">
        <v>74</v>
      </c>
      <c r="G1982">
        <v>14.09</v>
      </c>
      <c r="H1982" t="s">
        <v>18</v>
      </c>
      <c r="I1982" t="s">
        <v>5</v>
      </c>
      <c r="K1982" t="str">
        <v>budget</v>
      </c>
      <c r="L1982">
        <v>65.5</v>
      </c>
    </row>
    <row r="1983" spans="2:12" x14ac:dyDescent="0.3">
      <c r="B1983" t="s">
        <v>1868</v>
      </c>
      <c r="C1983">
        <v>95</v>
      </c>
      <c r="D1983" t="s">
        <v>41</v>
      </c>
      <c r="E1983">
        <v>58</v>
      </c>
      <c r="F1983">
        <v>84</v>
      </c>
      <c r="G1983">
        <v>4.41</v>
      </c>
      <c r="H1983" t="s">
        <v>2</v>
      </c>
      <c r="I1983" t="s">
        <v>9</v>
      </c>
      <c r="K1983" t="str">
        <v>budget</v>
      </c>
      <c r="L1983">
        <v>71</v>
      </c>
    </row>
    <row r="1984" spans="2:12" x14ac:dyDescent="0.3">
      <c r="B1984" t="s">
        <v>1869</v>
      </c>
      <c r="C1984">
        <v>94</v>
      </c>
      <c r="D1984" t="s">
        <v>45</v>
      </c>
      <c r="E1984">
        <v>58</v>
      </c>
      <c r="F1984">
        <v>82</v>
      </c>
      <c r="G1984">
        <v>4.34</v>
      </c>
      <c r="H1984" t="s">
        <v>18</v>
      </c>
      <c r="I1984" t="s">
        <v>17</v>
      </c>
      <c r="K1984" t="str">
        <v>budget</v>
      </c>
      <c r="L1984">
        <v>70</v>
      </c>
    </row>
    <row r="1985" spans="2:12" x14ac:dyDescent="0.3">
      <c r="B1985" t="s">
        <v>1870</v>
      </c>
      <c r="C1985">
        <v>94</v>
      </c>
      <c r="D1985" t="s">
        <v>41</v>
      </c>
      <c r="E1985">
        <v>63</v>
      </c>
      <c r="F1985">
        <v>79</v>
      </c>
      <c r="G1985">
        <v>9.98</v>
      </c>
      <c r="H1985" t="s">
        <v>18</v>
      </c>
      <c r="I1985" t="s">
        <v>9</v>
      </c>
      <c r="K1985" t="str">
        <v>budget</v>
      </c>
      <c r="L1985">
        <v>71</v>
      </c>
    </row>
    <row r="1986" spans="2:12" x14ac:dyDescent="0.3">
      <c r="B1986" t="s">
        <v>1871</v>
      </c>
      <c r="C1986">
        <v>94</v>
      </c>
      <c r="D1986" t="s">
        <v>45</v>
      </c>
      <c r="E1986">
        <v>59</v>
      </c>
      <c r="F1986">
        <v>78</v>
      </c>
      <c r="G1986">
        <v>8.8000000000000007</v>
      </c>
      <c r="H1986" t="s">
        <v>18</v>
      </c>
      <c r="I1986" t="s">
        <v>7</v>
      </c>
      <c r="K1986" t="str">
        <v>budget</v>
      </c>
      <c r="L1986">
        <v>68.5</v>
      </c>
    </row>
    <row r="1987" spans="2:12" x14ac:dyDescent="0.3">
      <c r="B1987" t="s">
        <v>717</v>
      </c>
      <c r="C1987">
        <v>94</v>
      </c>
      <c r="D1987" t="s">
        <v>82</v>
      </c>
      <c r="E1987">
        <v>46</v>
      </c>
      <c r="F1987">
        <v>68</v>
      </c>
      <c r="G1987">
        <v>8.81</v>
      </c>
      <c r="H1987" t="s">
        <v>18</v>
      </c>
      <c r="I1987" t="s">
        <v>14</v>
      </c>
      <c r="K1987" t="str">
        <v>budget</v>
      </c>
      <c r="L1987">
        <v>57</v>
      </c>
    </row>
    <row r="1988" spans="2:12" x14ac:dyDescent="0.3">
      <c r="B1988" t="s">
        <v>1872</v>
      </c>
      <c r="C1988">
        <v>96</v>
      </c>
      <c r="D1988" t="s">
        <v>45</v>
      </c>
      <c r="E1988">
        <v>58</v>
      </c>
      <c r="F1988">
        <v>81</v>
      </c>
      <c r="G1988">
        <v>15.43</v>
      </c>
      <c r="H1988" t="s">
        <v>18</v>
      </c>
      <c r="I1988" t="s">
        <v>14</v>
      </c>
      <c r="K1988" t="str">
        <v>budget</v>
      </c>
      <c r="L1988">
        <v>69.5</v>
      </c>
    </row>
    <row r="1989" spans="2:12" x14ac:dyDescent="0.3">
      <c r="B1989" t="s">
        <v>1873</v>
      </c>
      <c r="C1989">
        <v>94</v>
      </c>
      <c r="D1989" t="s">
        <v>82</v>
      </c>
      <c r="E1989">
        <v>53</v>
      </c>
      <c r="F1989">
        <v>64</v>
      </c>
      <c r="G1989">
        <v>209.44</v>
      </c>
      <c r="H1989" t="s">
        <v>2</v>
      </c>
      <c r="I1989" t="s">
        <v>9</v>
      </c>
      <c r="K1989" t="str">
        <v>premium</v>
      </c>
      <c r="L1989">
        <v>58.5</v>
      </c>
    </row>
    <row r="1990" spans="2:12" x14ac:dyDescent="0.3">
      <c r="B1990" t="s">
        <v>1874</v>
      </c>
      <c r="C1990">
        <v>94</v>
      </c>
      <c r="D1990" t="s">
        <v>82</v>
      </c>
      <c r="E1990">
        <v>47</v>
      </c>
      <c r="F1990">
        <v>59</v>
      </c>
      <c r="G1990">
        <v>0.22</v>
      </c>
      <c r="H1990" t="s">
        <v>2</v>
      </c>
      <c r="I1990" t="s">
        <v>150</v>
      </c>
      <c r="K1990" t="str">
        <v>budget</v>
      </c>
      <c r="L1990">
        <v>53</v>
      </c>
    </row>
    <row r="1991" spans="2:12" x14ac:dyDescent="0.3">
      <c r="B1991" t="s">
        <v>1875</v>
      </c>
      <c r="C1991">
        <v>95</v>
      </c>
      <c r="D1991" t="s">
        <v>45</v>
      </c>
      <c r="E1991">
        <v>56</v>
      </c>
      <c r="F1991">
        <v>71</v>
      </c>
      <c r="G1991">
        <v>10.02</v>
      </c>
      <c r="H1991" t="s">
        <v>18</v>
      </c>
      <c r="I1991" t="s">
        <v>5</v>
      </c>
      <c r="K1991" t="str">
        <v>budget</v>
      </c>
      <c r="L1991">
        <v>63.5</v>
      </c>
    </row>
    <row r="1992" spans="2:12" x14ac:dyDescent="0.3">
      <c r="B1992" t="s">
        <v>1876</v>
      </c>
      <c r="C1992">
        <v>94</v>
      </c>
      <c r="D1992" t="s">
        <v>82</v>
      </c>
      <c r="E1992">
        <v>53</v>
      </c>
      <c r="F1992">
        <v>67</v>
      </c>
      <c r="G1992">
        <v>4.99</v>
      </c>
      <c r="H1992" t="s">
        <v>18</v>
      </c>
      <c r="I1992" t="s">
        <v>12</v>
      </c>
      <c r="K1992" t="str">
        <v>budget</v>
      </c>
      <c r="L1992">
        <v>60</v>
      </c>
    </row>
    <row r="1993" spans="2:12" x14ac:dyDescent="0.3">
      <c r="B1993" t="s">
        <v>1877</v>
      </c>
      <c r="C1993">
        <v>96</v>
      </c>
      <c r="D1993" t="s">
        <v>45</v>
      </c>
      <c r="E1993">
        <v>61</v>
      </c>
      <c r="F1993">
        <v>76</v>
      </c>
      <c r="G1993">
        <v>7.35</v>
      </c>
      <c r="H1993" t="s">
        <v>18</v>
      </c>
      <c r="I1993" t="s">
        <v>12</v>
      </c>
      <c r="K1993" t="str">
        <v>budget</v>
      </c>
      <c r="L1993">
        <v>68.5</v>
      </c>
    </row>
    <row r="1994" spans="2:12" x14ac:dyDescent="0.3">
      <c r="B1994" t="s">
        <v>1878</v>
      </c>
      <c r="C1994">
        <v>94</v>
      </c>
      <c r="D1994" t="s">
        <v>82</v>
      </c>
      <c r="E1994">
        <v>49</v>
      </c>
      <c r="F1994">
        <v>62</v>
      </c>
      <c r="G1994">
        <v>5.57</v>
      </c>
      <c r="H1994" t="s">
        <v>18</v>
      </c>
      <c r="I1994" t="s">
        <v>12</v>
      </c>
      <c r="K1994" t="str">
        <v>budget</v>
      </c>
      <c r="L1994">
        <v>55.5</v>
      </c>
    </row>
    <row r="1995" spans="2:12" x14ac:dyDescent="0.3">
      <c r="B1995" t="s">
        <v>1879</v>
      </c>
      <c r="C1995">
        <v>95</v>
      </c>
      <c r="D1995" t="s">
        <v>45</v>
      </c>
      <c r="E1995">
        <v>56</v>
      </c>
      <c r="F1995">
        <v>76</v>
      </c>
      <c r="G1995">
        <v>450</v>
      </c>
      <c r="H1995" t="s">
        <v>2</v>
      </c>
      <c r="I1995" t="s">
        <v>12</v>
      </c>
      <c r="K1995" t="str">
        <v>premium</v>
      </c>
      <c r="L1995">
        <v>66</v>
      </c>
    </row>
    <row r="1996" spans="2:12" x14ac:dyDescent="0.3">
      <c r="B1996" t="s">
        <v>1880</v>
      </c>
      <c r="C1996">
        <v>95</v>
      </c>
      <c r="D1996" t="s">
        <v>45</v>
      </c>
      <c r="E1996">
        <v>60</v>
      </c>
      <c r="F1996">
        <v>78</v>
      </c>
      <c r="G1996">
        <v>19.84</v>
      </c>
      <c r="H1996" t="s">
        <v>18</v>
      </c>
      <c r="I1996" t="s">
        <v>5</v>
      </c>
      <c r="K1996" t="str">
        <v>budget</v>
      </c>
      <c r="L1996">
        <v>69</v>
      </c>
    </row>
    <row r="1997" spans="2:12" x14ac:dyDescent="0.3">
      <c r="B1997" t="s">
        <v>1881</v>
      </c>
      <c r="C1997">
        <v>94</v>
      </c>
      <c r="D1997" t="s">
        <v>45</v>
      </c>
      <c r="E1997">
        <v>58</v>
      </c>
      <c r="F1997">
        <v>74</v>
      </c>
      <c r="G1997">
        <v>11.02</v>
      </c>
      <c r="H1997" t="s">
        <v>18</v>
      </c>
      <c r="I1997" t="s">
        <v>9</v>
      </c>
      <c r="K1997" t="str">
        <v>budget</v>
      </c>
      <c r="L1997">
        <v>66</v>
      </c>
    </row>
    <row r="1998" spans="2:12" x14ac:dyDescent="0.3">
      <c r="B1998" t="s">
        <v>1882</v>
      </c>
      <c r="C1998">
        <v>94</v>
      </c>
      <c r="D1998" t="s">
        <v>45</v>
      </c>
      <c r="E1998">
        <v>56</v>
      </c>
      <c r="F1998">
        <v>75</v>
      </c>
      <c r="G1998">
        <v>4.41</v>
      </c>
      <c r="H1998" t="s">
        <v>18</v>
      </c>
      <c r="I1998" t="s">
        <v>150</v>
      </c>
      <c r="K1998" t="str">
        <v>budget</v>
      </c>
      <c r="L1998">
        <v>65.5</v>
      </c>
    </row>
    <row r="1999" spans="2:12" x14ac:dyDescent="0.3">
      <c r="B1999" t="s">
        <v>1883</v>
      </c>
      <c r="C1999">
        <v>97</v>
      </c>
      <c r="D1999" t="s">
        <v>82</v>
      </c>
      <c r="E1999">
        <v>52</v>
      </c>
      <c r="F1999">
        <v>66</v>
      </c>
      <c r="G1999">
        <v>8.81</v>
      </c>
      <c r="H1999" t="s">
        <v>18</v>
      </c>
      <c r="I1999" t="s">
        <v>5</v>
      </c>
      <c r="K1999" t="str">
        <v>budget</v>
      </c>
      <c r="L1999">
        <v>59</v>
      </c>
    </row>
    <row r="2000" spans="2:12" x14ac:dyDescent="0.3">
      <c r="B2000" t="s">
        <v>1865</v>
      </c>
      <c r="C2000">
        <v>94</v>
      </c>
      <c r="D2000" t="s">
        <v>45</v>
      </c>
      <c r="E2000">
        <v>61</v>
      </c>
      <c r="F2000">
        <v>77</v>
      </c>
      <c r="G2000">
        <v>26.45</v>
      </c>
      <c r="H2000" t="s">
        <v>18</v>
      </c>
      <c r="I2000" t="s">
        <v>5</v>
      </c>
      <c r="K2000" t="str">
        <v>middle</v>
      </c>
      <c r="L2000">
        <v>69</v>
      </c>
    </row>
    <row r="2001" spans="2:12" x14ac:dyDescent="0.3">
      <c r="B2001" t="s">
        <v>1884</v>
      </c>
      <c r="C2001">
        <v>94</v>
      </c>
      <c r="D2001" t="s">
        <v>82</v>
      </c>
      <c r="E2001">
        <v>53</v>
      </c>
      <c r="F2001">
        <v>66</v>
      </c>
      <c r="G2001">
        <v>4.9800000000000004</v>
      </c>
      <c r="H2001" t="s">
        <v>18</v>
      </c>
      <c r="I2001" t="s">
        <v>9</v>
      </c>
      <c r="K2001" t="str">
        <v>budget</v>
      </c>
      <c r="L2001">
        <v>59.5</v>
      </c>
    </row>
    <row r="2002" spans="2:12" x14ac:dyDescent="0.3">
      <c r="B2002" t="s">
        <v>1885</v>
      </c>
      <c r="C2002">
        <v>96</v>
      </c>
      <c r="D2002" t="s">
        <v>45</v>
      </c>
      <c r="E2002">
        <v>52</v>
      </c>
      <c r="F2002">
        <v>73</v>
      </c>
      <c r="G2002">
        <v>17.61</v>
      </c>
      <c r="H2002" t="s">
        <v>18</v>
      </c>
      <c r="I2002" t="s">
        <v>5</v>
      </c>
      <c r="K2002" t="str">
        <v>budget</v>
      </c>
      <c r="L2002">
        <v>62.5</v>
      </c>
    </row>
    <row r="2003" spans="2:12" x14ac:dyDescent="0.3">
      <c r="B2003" t="s">
        <v>1865</v>
      </c>
      <c r="C2003">
        <v>94</v>
      </c>
      <c r="D2003" t="s">
        <v>45</v>
      </c>
      <c r="E2003">
        <v>55</v>
      </c>
      <c r="F2003">
        <v>78</v>
      </c>
      <c r="G2003">
        <v>26.43</v>
      </c>
      <c r="H2003" t="s">
        <v>18</v>
      </c>
      <c r="I2003" t="s">
        <v>5</v>
      </c>
      <c r="K2003" t="str">
        <v>middle</v>
      </c>
      <c r="L2003">
        <v>66.5</v>
      </c>
    </row>
    <row r="2004" spans="2:12" x14ac:dyDescent="0.3">
      <c r="B2004" t="s">
        <v>1886</v>
      </c>
      <c r="C2004">
        <v>94</v>
      </c>
      <c r="D2004" t="s">
        <v>41</v>
      </c>
      <c r="E2004">
        <v>66</v>
      </c>
      <c r="F2004">
        <v>88</v>
      </c>
      <c r="G2004">
        <v>4.41</v>
      </c>
      <c r="H2004" t="s">
        <v>18</v>
      </c>
      <c r="I2004" t="s">
        <v>9</v>
      </c>
      <c r="K2004" t="str">
        <v>budget</v>
      </c>
      <c r="L2004">
        <v>77</v>
      </c>
    </row>
    <row r="2005" spans="2:12" x14ac:dyDescent="0.3">
      <c r="B2005" t="s">
        <v>1448</v>
      </c>
      <c r="C2005">
        <v>94</v>
      </c>
      <c r="D2005" t="s">
        <v>45</v>
      </c>
      <c r="E2005">
        <v>57</v>
      </c>
      <c r="F2005">
        <v>82</v>
      </c>
      <c r="G2005">
        <v>4.41</v>
      </c>
      <c r="H2005" t="s">
        <v>18</v>
      </c>
      <c r="I2005" t="s">
        <v>16</v>
      </c>
      <c r="K2005" t="str">
        <v>budget</v>
      </c>
      <c r="L2005">
        <v>69.5</v>
      </c>
    </row>
    <row r="2006" spans="2:12" x14ac:dyDescent="0.3">
      <c r="B2006" t="s">
        <v>1887</v>
      </c>
      <c r="C2006">
        <v>95</v>
      </c>
      <c r="D2006" t="s">
        <v>541</v>
      </c>
      <c r="E2006">
        <v>42</v>
      </c>
      <c r="F2006">
        <v>55</v>
      </c>
      <c r="G2006">
        <v>10.58</v>
      </c>
      <c r="H2006" t="s">
        <v>18</v>
      </c>
      <c r="I2006" t="s">
        <v>18</v>
      </c>
      <c r="K2006" t="str">
        <v>budget</v>
      </c>
      <c r="L2006">
        <v>48.5</v>
      </c>
    </row>
    <row r="2007" spans="2:12" x14ac:dyDescent="0.3">
      <c r="B2007" t="s">
        <v>1888</v>
      </c>
      <c r="C2007">
        <v>94</v>
      </c>
      <c r="D2007" t="s">
        <v>82</v>
      </c>
      <c r="E2007">
        <v>53</v>
      </c>
      <c r="F2007">
        <v>63</v>
      </c>
      <c r="G2007">
        <v>705.47</v>
      </c>
      <c r="H2007" t="s">
        <v>2</v>
      </c>
      <c r="I2007" t="s">
        <v>18</v>
      </c>
      <c r="K2007" t="str">
        <v>premium</v>
      </c>
      <c r="L2007">
        <v>58</v>
      </c>
    </row>
    <row r="2008" spans="2:12" x14ac:dyDescent="0.3">
      <c r="B2008" t="s">
        <v>1889</v>
      </c>
      <c r="C2008">
        <v>94</v>
      </c>
      <c r="D2008" t="s">
        <v>82</v>
      </c>
      <c r="E2008">
        <v>51</v>
      </c>
      <c r="F2008">
        <v>61</v>
      </c>
      <c r="G2008">
        <v>5.73</v>
      </c>
      <c r="H2008" t="s">
        <v>18</v>
      </c>
      <c r="I2008" t="s">
        <v>5</v>
      </c>
      <c r="K2008" t="str">
        <v>budget</v>
      </c>
      <c r="L2008">
        <v>56</v>
      </c>
    </row>
    <row r="2009" spans="2:12" x14ac:dyDescent="0.3">
      <c r="B2009" t="s">
        <v>1877</v>
      </c>
      <c r="C2009">
        <v>95</v>
      </c>
      <c r="D2009" t="s">
        <v>45</v>
      </c>
      <c r="E2009">
        <v>58</v>
      </c>
      <c r="F2009">
        <v>76</v>
      </c>
      <c r="G2009">
        <v>8.52</v>
      </c>
      <c r="H2009" t="s">
        <v>18</v>
      </c>
      <c r="I2009" t="s">
        <v>12</v>
      </c>
      <c r="K2009" t="str">
        <v>budget</v>
      </c>
      <c r="L2009">
        <v>67</v>
      </c>
    </row>
    <row r="2010" spans="2:12" x14ac:dyDescent="0.3">
      <c r="B2010" t="s">
        <v>1890</v>
      </c>
      <c r="C2010">
        <v>94</v>
      </c>
      <c r="D2010" t="s">
        <v>45</v>
      </c>
      <c r="E2010">
        <v>58</v>
      </c>
      <c r="F2010">
        <v>73</v>
      </c>
      <c r="G2010">
        <v>3.96</v>
      </c>
      <c r="H2010" t="s">
        <v>18</v>
      </c>
      <c r="I2010" t="s">
        <v>14</v>
      </c>
      <c r="K2010" t="str">
        <v>budget</v>
      </c>
      <c r="L2010">
        <v>65.5</v>
      </c>
    </row>
    <row r="2011" spans="2:12" x14ac:dyDescent="0.3">
      <c r="B2011" t="s">
        <v>1891</v>
      </c>
      <c r="C2011">
        <v>94</v>
      </c>
      <c r="D2011" t="s">
        <v>45</v>
      </c>
      <c r="E2011">
        <v>60</v>
      </c>
      <c r="F2011">
        <v>72</v>
      </c>
      <c r="G2011">
        <v>5.39</v>
      </c>
      <c r="H2011" t="s">
        <v>18</v>
      </c>
      <c r="I2011" t="s">
        <v>14</v>
      </c>
      <c r="K2011" t="str">
        <v>budget</v>
      </c>
      <c r="L2011">
        <v>66</v>
      </c>
    </row>
    <row r="2012" spans="2:12" x14ac:dyDescent="0.3">
      <c r="B2012" t="s">
        <v>1892</v>
      </c>
      <c r="C2012">
        <v>97</v>
      </c>
      <c r="D2012" t="s">
        <v>45</v>
      </c>
      <c r="E2012">
        <v>61</v>
      </c>
      <c r="F2012">
        <v>75</v>
      </c>
      <c r="G2012">
        <v>4.8499999999999996</v>
      </c>
      <c r="H2012" t="s">
        <v>18</v>
      </c>
      <c r="I2012" t="s">
        <v>7</v>
      </c>
      <c r="K2012" t="str">
        <v>budget</v>
      </c>
      <c r="L2012">
        <v>68</v>
      </c>
    </row>
    <row r="2013" spans="2:12" x14ac:dyDescent="0.3">
      <c r="B2013" t="s">
        <v>1893</v>
      </c>
      <c r="C2013">
        <v>94</v>
      </c>
      <c r="D2013" t="s">
        <v>541</v>
      </c>
      <c r="E2013">
        <v>45</v>
      </c>
      <c r="F2013">
        <v>52</v>
      </c>
      <c r="G2013">
        <v>7.05</v>
      </c>
      <c r="H2013" t="s">
        <v>18</v>
      </c>
      <c r="I2013" t="s">
        <v>12</v>
      </c>
      <c r="K2013" t="str">
        <v>budget</v>
      </c>
      <c r="L2013">
        <v>48.5</v>
      </c>
    </row>
    <row r="2014" spans="2:12" x14ac:dyDescent="0.3">
      <c r="B2014" t="s">
        <v>1894</v>
      </c>
      <c r="C2014">
        <v>94</v>
      </c>
      <c r="D2014" t="s">
        <v>82</v>
      </c>
      <c r="E2014">
        <v>54</v>
      </c>
      <c r="F2014">
        <v>63</v>
      </c>
      <c r="G2014">
        <v>4.1900000000000004</v>
      </c>
      <c r="H2014" t="s">
        <v>18</v>
      </c>
      <c r="I2014" t="s">
        <v>14</v>
      </c>
      <c r="K2014" t="str">
        <v>budget</v>
      </c>
      <c r="L2014">
        <v>58.5</v>
      </c>
    </row>
    <row r="2015" spans="2:12" x14ac:dyDescent="0.3">
      <c r="B2015" t="s">
        <v>1895</v>
      </c>
      <c r="C2015">
        <v>94</v>
      </c>
      <c r="D2015" t="s">
        <v>82</v>
      </c>
      <c r="E2015">
        <v>48</v>
      </c>
      <c r="F2015">
        <v>59</v>
      </c>
      <c r="G2015">
        <v>5.22</v>
      </c>
      <c r="H2015" t="s">
        <v>18</v>
      </c>
      <c r="I2015" t="s">
        <v>14</v>
      </c>
      <c r="K2015" t="str">
        <v>budget</v>
      </c>
      <c r="L2015">
        <v>53.5</v>
      </c>
    </row>
    <row r="2016" spans="2:12" x14ac:dyDescent="0.3">
      <c r="B2016" t="s">
        <v>1896</v>
      </c>
      <c r="C2016">
        <v>96</v>
      </c>
      <c r="D2016" t="s">
        <v>82</v>
      </c>
      <c r="E2016">
        <v>47</v>
      </c>
      <c r="F2016">
        <v>59</v>
      </c>
      <c r="G2016">
        <v>308.64999999999998</v>
      </c>
      <c r="H2016" t="s">
        <v>2</v>
      </c>
      <c r="I2016" t="s">
        <v>12</v>
      </c>
      <c r="K2016" t="str">
        <v>premium</v>
      </c>
      <c r="L2016">
        <v>53</v>
      </c>
    </row>
    <row r="2017" spans="2:12" x14ac:dyDescent="0.3">
      <c r="B2017" t="s">
        <v>1897</v>
      </c>
      <c r="C2017">
        <v>94</v>
      </c>
      <c r="D2017" t="s">
        <v>45</v>
      </c>
      <c r="E2017">
        <v>56</v>
      </c>
      <c r="F2017">
        <v>80</v>
      </c>
      <c r="G2017">
        <v>3.31</v>
      </c>
      <c r="H2017" t="s">
        <v>18</v>
      </c>
      <c r="I2017" t="s">
        <v>21</v>
      </c>
      <c r="K2017" t="str">
        <v>budget</v>
      </c>
      <c r="L2017">
        <v>68</v>
      </c>
    </row>
    <row r="2018" spans="2:12" x14ac:dyDescent="0.3">
      <c r="B2018" t="s">
        <v>1898</v>
      </c>
      <c r="C2018">
        <v>94</v>
      </c>
      <c r="D2018" t="s">
        <v>45</v>
      </c>
      <c r="E2018">
        <v>54</v>
      </c>
      <c r="F2018">
        <v>72</v>
      </c>
      <c r="G2018">
        <v>5.88</v>
      </c>
      <c r="H2018" t="s">
        <v>18</v>
      </c>
      <c r="I2018" t="s">
        <v>12</v>
      </c>
      <c r="K2018" t="str">
        <v>budget</v>
      </c>
      <c r="L2018">
        <v>63</v>
      </c>
    </row>
    <row r="2019" spans="2:12" x14ac:dyDescent="0.3">
      <c r="B2019" t="s">
        <v>1899</v>
      </c>
      <c r="C2019">
        <v>94</v>
      </c>
      <c r="D2019" t="s">
        <v>41</v>
      </c>
      <c r="E2019">
        <v>59</v>
      </c>
      <c r="F2019">
        <v>89</v>
      </c>
      <c r="G2019">
        <v>52.08</v>
      </c>
      <c r="H2019" t="s">
        <v>18</v>
      </c>
      <c r="I2019" t="s">
        <v>9</v>
      </c>
      <c r="K2019" t="str">
        <v>middle</v>
      </c>
      <c r="L2019">
        <v>74</v>
      </c>
    </row>
    <row r="2020" spans="2:12" x14ac:dyDescent="0.3">
      <c r="B2020" t="s">
        <v>1900</v>
      </c>
      <c r="C2020">
        <v>94</v>
      </c>
      <c r="D2020" t="s">
        <v>82</v>
      </c>
      <c r="E2020">
        <v>55</v>
      </c>
      <c r="F2020">
        <v>64</v>
      </c>
      <c r="G2020">
        <v>9.92</v>
      </c>
      <c r="H2020" t="s">
        <v>18</v>
      </c>
      <c r="I2020" t="s">
        <v>18</v>
      </c>
      <c r="K2020" t="str">
        <v>budget</v>
      </c>
      <c r="L2020">
        <v>59.5</v>
      </c>
    </row>
    <row r="2021" spans="2:12" x14ac:dyDescent="0.3">
      <c r="B2021" t="s">
        <v>663</v>
      </c>
      <c r="C2021">
        <v>95</v>
      </c>
      <c r="D2021" t="s">
        <v>82</v>
      </c>
      <c r="E2021">
        <v>54</v>
      </c>
      <c r="F2021">
        <v>64</v>
      </c>
      <c r="G2021">
        <v>7.71</v>
      </c>
      <c r="H2021" t="s">
        <v>18</v>
      </c>
      <c r="I2021" t="s">
        <v>7</v>
      </c>
      <c r="K2021" t="str">
        <v>budget</v>
      </c>
      <c r="L2021">
        <v>59</v>
      </c>
    </row>
    <row r="2022" spans="2:12" x14ac:dyDescent="0.3">
      <c r="B2022" t="s">
        <v>1901</v>
      </c>
      <c r="C2022">
        <v>94</v>
      </c>
      <c r="D2022" t="s">
        <v>45</v>
      </c>
      <c r="E2022">
        <v>53</v>
      </c>
      <c r="F2022">
        <v>70</v>
      </c>
      <c r="G2022">
        <v>4.5599999999999996</v>
      </c>
      <c r="H2022" t="s">
        <v>18</v>
      </c>
      <c r="I2022" t="s">
        <v>7</v>
      </c>
      <c r="K2022" t="str">
        <v>budget</v>
      </c>
      <c r="L2022">
        <v>61.5</v>
      </c>
    </row>
    <row r="2023" spans="2:12" x14ac:dyDescent="0.3">
      <c r="B2023" t="s">
        <v>1902</v>
      </c>
      <c r="C2023">
        <v>94</v>
      </c>
      <c r="D2023" t="s">
        <v>45</v>
      </c>
      <c r="E2023">
        <v>55</v>
      </c>
      <c r="F2023">
        <v>74</v>
      </c>
      <c r="G2023">
        <v>4.7</v>
      </c>
      <c r="H2023" t="s">
        <v>18</v>
      </c>
      <c r="I2023" t="s">
        <v>150</v>
      </c>
      <c r="K2023" t="str">
        <v>budget</v>
      </c>
      <c r="L2023">
        <v>64.5</v>
      </c>
    </row>
    <row r="2024" spans="2:12" x14ac:dyDescent="0.3">
      <c r="B2024" t="s">
        <v>1218</v>
      </c>
      <c r="C2024">
        <v>95</v>
      </c>
      <c r="D2024" t="s">
        <v>82</v>
      </c>
      <c r="E2024">
        <v>47</v>
      </c>
      <c r="F2024">
        <v>62</v>
      </c>
      <c r="G2024">
        <v>2.79</v>
      </c>
      <c r="H2024" t="s">
        <v>18</v>
      </c>
      <c r="I2024" t="s">
        <v>150</v>
      </c>
      <c r="K2024" t="str">
        <v>budget</v>
      </c>
      <c r="L2024">
        <v>54.5</v>
      </c>
    </row>
    <row r="2025" spans="2:12" x14ac:dyDescent="0.3">
      <c r="B2025" t="s">
        <v>1903</v>
      </c>
      <c r="C2025">
        <v>96</v>
      </c>
      <c r="D2025" t="s">
        <v>82</v>
      </c>
      <c r="E2025">
        <v>52</v>
      </c>
      <c r="F2025">
        <v>63</v>
      </c>
      <c r="G2025">
        <v>11.02</v>
      </c>
      <c r="H2025" t="s">
        <v>2</v>
      </c>
      <c r="I2025" t="s">
        <v>7</v>
      </c>
      <c r="K2025" t="str">
        <v>budget</v>
      </c>
      <c r="L2025">
        <v>57.5</v>
      </c>
    </row>
    <row r="2026" spans="2:12" x14ac:dyDescent="0.3">
      <c r="B2026" t="s">
        <v>1904</v>
      </c>
      <c r="C2026">
        <v>95</v>
      </c>
      <c r="D2026" t="s">
        <v>82</v>
      </c>
      <c r="E2026">
        <v>49</v>
      </c>
      <c r="F2026">
        <v>71</v>
      </c>
      <c r="G2026">
        <v>1146.3800000000001</v>
      </c>
      <c r="H2026" t="s">
        <v>2</v>
      </c>
      <c r="I2026" t="s">
        <v>5</v>
      </c>
      <c r="K2026" t="str">
        <v>premium</v>
      </c>
      <c r="L2026">
        <v>60</v>
      </c>
    </row>
    <row r="2027" spans="2:12" x14ac:dyDescent="0.3">
      <c r="B2027" t="s">
        <v>1905</v>
      </c>
      <c r="C2027">
        <v>96</v>
      </c>
      <c r="D2027" t="s">
        <v>82</v>
      </c>
      <c r="E2027">
        <v>54</v>
      </c>
      <c r="F2027">
        <v>67</v>
      </c>
      <c r="G2027">
        <v>3.3</v>
      </c>
      <c r="H2027" t="s">
        <v>18</v>
      </c>
      <c r="I2027" t="s">
        <v>150</v>
      </c>
      <c r="K2027" t="str">
        <v>budget</v>
      </c>
      <c r="L2027">
        <v>60.5</v>
      </c>
    </row>
    <row r="2028" spans="2:12" x14ac:dyDescent="0.3">
      <c r="B2028" t="s">
        <v>1906</v>
      </c>
      <c r="C2028">
        <v>97</v>
      </c>
      <c r="D2028" t="s">
        <v>82</v>
      </c>
      <c r="E2028">
        <v>45</v>
      </c>
      <c r="F2028">
        <v>60</v>
      </c>
      <c r="G2028">
        <v>4.8499999999999996</v>
      </c>
      <c r="H2028" t="s">
        <v>18</v>
      </c>
      <c r="I2028" t="s">
        <v>12</v>
      </c>
      <c r="K2028" t="str">
        <v>budget</v>
      </c>
      <c r="L2028">
        <v>52.5</v>
      </c>
    </row>
    <row r="2029" spans="2:12" x14ac:dyDescent="0.3">
      <c r="B2029" t="s">
        <v>1907</v>
      </c>
      <c r="C2029">
        <v>95</v>
      </c>
      <c r="D2029" t="s">
        <v>82</v>
      </c>
      <c r="E2029">
        <v>50</v>
      </c>
      <c r="F2029">
        <v>56</v>
      </c>
      <c r="G2029">
        <v>4.41</v>
      </c>
      <c r="H2029" t="s">
        <v>18</v>
      </c>
      <c r="I2029" t="s">
        <v>14</v>
      </c>
      <c r="K2029" t="str">
        <v>budget</v>
      </c>
      <c r="L2029">
        <v>53</v>
      </c>
    </row>
    <row r="2030" spans="2:12" x14ac:dyDescent="0.3">
      <c r="B2030" t="s">
        <v>1908</v>
      </c>
      <c r="C2030">
        <v>94</v>
      </c>
      <c r="D2030" t="s">
        <v>82</v>
      </c>
      <c r="E2030">
        <v>48</v>
      </c>
      <c r="F2030">
        <v>70</v>
      </c>
      <c r="G2030">
        <v>4.53</v>
      </c>
      <c r="H2030" t="s">
        <v>18</v>
      </c>
      <c r="I2030" t="s">
        <v>9</v>
      </c>
      <c r="K2030" t="str">
        <v>budget</v>
      </c>
      <c r="L2030">
        <v>59</v>
      </c>
    </row>
    <row r="2031" spans="2:12" x14ac:dyDescent="0.3">
      <c r="B2031" t="s">
        <v>1909</v>
      </c>
      <c r="C2031">
        <v>94</v>
      </c>
      <c r="D2031" t="s">
        <v>45</v>
      </c>
      <c r="E2031">
        <v>53</v>
      </c>
      <c r="F2031">
        <v>73</v>
      </c>
      <c r="G2031">
        <v>4.12</v>
      </c>
      <c r="H2031" t="s">
        <v>18</v>
      </c>
      <c r="I2031" t="s">
        <v>21</v>
      </c>
      <c r="K2031" t="str">
        <v>budget</v>
      </c>
      <c r="L2031">
        <v>63</v>
      </c>
    </row>
    <row r="2032" spans="2:12" x14ac:dyDescent="0.3">
      <c r="B2032" t="s">
        <v>1910</v>
      </c>
      <c r="C2032">
        <v>95</v>
      </c>
      <c r="D2032" t="s">
        <v>45</v>
      </c>
      <c r="E2032">
        <v>54</v>
      </c>
      <c r="F2032">
        <v>80</v>
      </c>
      <c r="G2032">
        <v>4.12</v>
      </c>
      <c r="H2032" t="s">
        <v>18</v>
      </c>
      <c r="I2032" t="s">
        <v>5</v>
      </c>
      <c r="K2032" t="str">
        <v>budget</v>
      </c>
      <c r="L2032">
        <v>67</v>
      </c>
    </row>
    <row r="2033" spans="2:12" x14ac:dyDescent="0.3">
      <c r="B2033" t="s">
        <v>1911</v>
      </c>
      <c r="C2033">
        <v>94</v>
      </c>
      <c r="D2033" t="s">
        <v>45</v>
      </c>
      <c r="E2033">
        <v>52</v>
      </c>
      <c r="F2033">
        <v>76</v>
      </c>
      <c r="G2033">
        <v>4.12</v>
      </c>
      <c r="H2033" t="s">
        <v>18</v>
      </c>
      <c r="I2033" t="s">
        <v>5</v>
      </c>
      <c r="K2033" t="str">
        <v>budget</v>
      </c>
      <c r="L2033">
        <v>64</v>
      </c>
    </row>
    <row r="2034" spans="2:12" x14ac:dyDescent="0.3">
      <c r="B2034" t="s">
        <v>1912</v>
      </c>
      <c r="C2034">
        <v>94</v>
      </c>
      <c r="D2034" t="s">
        <v>45</v>
      </c>
      <c r="E2034">
        <v>57</v>
      </c>
      <c r="F2034">
        <v>81</v>
      </c>
      <c r="G2034">
        <v>3.67</v>
      </c>
      <c r="H2034" t="s">
        <v>18</v>
      </c>
      <c r="I2034" t="s">
        <v>9</v>
      </c>
      <c r="K2034" t="str">
        <v>budget</v>
      </c>
      <c r="L2034">
        <v>69</v>
      </c>
    </row>
    <row r="2035" spans="2:12" x14ac:dyDescent="0.3">
      <c r="B2035" t="s">
        <v>1913</v>
      </c>
      <c r="C2035">
        <v>95</v>
      </c>
      <c r="D2035" t="s">
        <v>82</v>
      </c>
      <c r="E2035">
        <v>52</v>
      </c>
      <c r="F2035">
        <v>67</v>
      </c>
      <c r="G2035">
        <v>5.88</v>
      </c>
      <c r="H2035" t="s">
        <v>18</v>
      </c>
      <c r="I2035" t="s">
        <v>12</v>
      </c>
      <c r="K2035" t="str">
        <v>budget</v>
      </c>
      <c r="L2035">
        <v>59.5</v>
      </c>
    </row>
    <row r="2036" spans="2:12" x14ac:dyDescent="0.3">
      <c r="B2036" t="s">
        <v>1914</v>
      </c>
      <c r="C2036">
        <v>95</v>
      </c>
      <c r="D2036" t="s">
        <v>82</v>
      </c>
      <c r="E2036">
        <v>50</v>
      </c>
      <c r="F2036">
        <v>68</v>
      </c>
      <c r="G2036">
        <v>8.8000000000000007</v>
      </c>
      <c r="H2036" t="s">
        <v>18</v>
      </c>
      <c r="I2036" t="s">
        <v>12</v>
      </c>
      <c r="K2036" t="str">
        <v>budget</v>
      </c>
      <c r="L2036">
        <v>59</v>
      </c>
    </row>
    <row r="2037" spans="2:12" x14ac:dyDescent="0.3">
      <c r="B2037" t="s">
        <v>1915</v>
      </c>
      <c r="C2037">
        <v>94</v>
      </c>
      <c r="D2037" t="s">
        <v>45</v>
      </c>
      <c r="E2037">
        <v>51</v>
      </c>
      <c r="F2037">
        <v>75</v>
      </c>
      <c r="G2037">
        <v>6.75</v>
      </c>
      <c r="H2037" t="s">
        <v>18</v>
      </c>
      <c r="I2037" t="s">
        <v>12</v>
      </c>
      <c r="K2037" t="str">
        <v>budget</v>
      </c>
      <c r="L2037">
        <v>63</v>
      </c>
    </row>
    <row r="2038" spans="2:12" x14ac:dyDescent="0.3">
      <c r="B2038" t="s">
        <v>1916</v>
      </c>
      <c r="C2038">
        <v>94</v>
      </c>
      <c r="D2038" t="s">
        <v>82</v>
      </c>
      <c r="E2038">
        <v>47</v>
      </c>
      <c r="F2038">
        <v>56</v>
      </c>
      <c r="G2038">
        <v>3.75</v>
      </c>
      <c r="H2038" t="s">
        <v>18</v>
      </c>
      <c r="I2038" t="s">
        <v>12</v>
      </c>
      <c r="K2038" t="str">
        <v>budget</v>
      </c>
      <c r="L2038">
        <v>51.5</v>
      </c>
    </row>
    <row r="2039" spans="2:12" x14ac:dyDescent="0.3">
      <c r="B2039" t="s">
        <v>1917</v>
      </c>
      <c r="C2039">
        <v>95</v>
      </c>
      <c r="D2039" t="s">
        <v>45</v>
      </c>
      <c r="E2039">
        <v>54</v>
      </c>
      <c r="F2039">
        <v>81</v>
      </c>
      <c r="G2039">
        <v>6.76</v>
      </c>
      <c r="H2039" t="s">
        <v>18</v>
      </c>
      <c r="I2039" t="s">
        <v>12</v>
      </c>
      <c r="K2039" t="str">
        <v>budget</v>
      </c>
      <c r="L2039">
        <v>67.5</v>
      </c>
    </row>
    <row r="2040" spans="2:12" x14ac:dyDescent="0.3">
      <c r="B2040" t="s">
        <v>1918</v>
      </c>
      <c r="C2040">
        <v>94</v>
      </c>
      <c r="D2040" t="s">
        <v>541</v>
      </c>
      <c r="E2040">
        <v>37</v>
      </c>
      <c r="F2040">
        <v>49</v>
      </c>
      <c r="G2040">
        <v>4.0999999999999996</v>
      </c>
      <c r="H2040" t="s">
        <v>18</v>
      </c>
      <c r="I2040" t="s">
        <v>12</v>
      </c>
      <c r="K2040" t="str">
        <v>budget</v>
      </c>
      <c r="L2040">
        <v>43</v>
      </c>
    </row>
    <row r="2041" spans="2:12" x14ac:dyDescent="0.3">
      <c r="B2041" t="s">
        <v>1919</v>
      </c>
      <c r="C2041">
        <v>94</v>
      </c>
      <c r="D2041" t="s">
        <v>82</v>
      </c>
      <c r="E2041">
        <v>49</v>
      </c>
      <c r="F2041">
        <v>56</v>
      </c>
      <c r="G2041">
        <v>4.63</v>
      </c>
      <c r="H2041" t="s">
        <v>18</v>
      </c>
      <c r="I2041" t="s">
        <v>16</v>
      </c>
      <c r="K2041" t="str">
        <v>budget</v>
      </c>
      <c r="L2041">
        <v>52.5</v>
      </c>
    </row>
    <row r="2042" spans="2:12" x14ac:dyDescent="0.3">
      <c r="B2042" t="s">
        <v>1920</v>
      </c>
      <c r="C2042">
        <v>95</v>
      </c>
      <c r="D2042" t="s">
        <v>541</v>
      </c>
      <c r="E2042">
        <v>39</v>
      </c>
      <c r="F2042">
        <v>54</v>
      </c>
      <c r="G2042">
        <v>3.81</v>
      </c>
      <c r="H2042" t="s">
        <v>18</v>
      </c>
      <c r="I2042" t="s">
        <v>150</v>
      </c>
      <c r="K2042" t="str">
        <v>budget</v>
      </c>
      <c r="L2042">
        <v>46.5</v>
      </c>
    </row>
    <row r="2043" spans="2:12" x14ac:dyDescent="0.3">
      <c r="B2043" t="s">
        <v>1921</v>
      </c>
      <c r="C2043">
        <v>94</v>
      </c>
      <c r="D2043" t="s">
        <v>82</v>
      </c>
      <c r="E2043">
        <v>50</v>
      </c>
      <c r="F2043">
        <v>61</v>
      </c>
      <c r="G2043">
        <v>3.53</v>
      </c>
      <c r="H2043" t="s">
        <v>18</v>
      </c>
      <c r="I2043" t="s">
        <v>22</v>
      </c>
      <c r="K2043" t="str">
        <v>budget</v>
      </c>
      <c r="L2043">
        <v>55.5</v>
      </c>
    </row>
    <row r="2044" spans="2:12" x14ac:dyDescent="0.3">
      <c r="B2044" t="s">
        <v>1922</v>
      </c>
      <c r="C2044">
        <v>95</v>
      </c>
      <c r="D2044" t="s">
        <v>45</v>
      </c>
      <c r="E2044">
        <v>53</v>
      </c>
      <c r="F2044">
        <v>69</v>
      </c>
      <c r="G2044">
        <v>4.38</v>
      </c>
      <c r="H2044" t="s">
        <v>18</v>
      </c>
      <c r="I2044" t="s">
        <v>15</v>
      </c>
      <c r="K2044" t="str">
        <v>budget</v>
      </c>
      <c r="L2044">
        <v>61</v>
      </c>
    </row>
    <row r="2045" spans="2:12" x14ac:dyDescent="0.3">
      <c r="B2045" t="s">
        <v>1923</v>
      </c>
      <c r="C2045">
        <v>94</v>
      </c>
      <c r="D2045" t="s">
        <v>82</v>
      </c>
      <c r="E2045">
        <v>53</v>
      </c>
      <c r="F2045">
        <v>68</v>
      </c>
      <c r="G2045">
        <v>11.01</v>
      </c>
      <c r="H2045" t="s">
        <v>18</v>
      </c>
      <c r="I2045" t="s">
        <v>5</v>
      </c>
      <c r="K2045" t="str">
        <v>budget</v>
      </c>
      <c r="L2045">
        <v>60.5</v>
      </c>
    </row>
    <row r="2046" spans="2:12" x14ac:dyDescent="0.3">
      <c r="B2046" t="s">
        <v>1924</v>
      </c>
      <c r="C2046">
        <v>95</v>
      </c>
      <c r="D2046" t="s">
        <v>45</v>
      </c>
      <c r="E2046">
        <v>58</v>
      </c>
      <c r="F2046">
        <v>79</v>
      </c>
      <c r="G2046">
        <v>136.36000000000001</v>
      </c>
      <c r="H2046" t="s">
        <v>18</v>
      </c>
      <c r="I2046" t="s">
        <v>7</v>
      </c>
      <c r="K2046" t="str">
        <v>premium</v>
      </c>
      <c r="L2046">
        <v>68.5</v>
      </c>
    </row>
    <row r="2047" spans="2:12" x14ac:dyDescent="0.3">
      <c r="B2047" t="s">
        <v>1925</v>
      </c>
      <c r="C2047">
        <v>95</v>
      </c>
      <c r="D2047" t="s">
        <v>45</v>
      </c>
      <c r="E2047">
        <v>57</v>
      </c>
      <c r="F2047">
        <v>73</v>
      </c>
      <c r="G2047">
        <v>6.17</v>
      </c>
      <c r="H2047" t="s">
        <v>18</v>
      </c>
      <c r="I2047" t="s">
        <v>12</v>
      </c>
      <c r="K2047" t="str">
        <v>budget</v>
      </c>
      <c r="L2047">
        <v>65</v>
      </c>
    </row>
    <row r="2048" spans="2:12" x14ac:dyDescent="0.3">
      <c r="B2048" t="s">
        <v>1926</v>
      </c>
      <c r="C2048">
        <v>94</v>
      </c>
      <c r="D2048" t="s">
        <v>82</v>
      </c>
      <c r="E2048">
        <v>51</v>
      </c>
      <c r="F2048">
        <v>69</v>
      </c>
      <c r="G2048">
        <v>170.45</v>
      </c>
      <c r="H2048" t="s">
        <v>18</v>
      </c>
      <c r="I2048" t="s">
        <v>12</v>
      </c>
      <c r="K2048" t="str">
        <v>premium</v>
      </c>
      <c r="L2048">
        <v>60</v>
      </c>
    </row>
    <row r="2049" spans="2:12" x14ac:dyDescent="0.3">
      <c r="B2049" t="s">
        <v>1927</v>
      </c>
      <c r="C2049">
        <v>95</v>
      </c>
      <c r="D2049" t="s">
        <v>45</v>
      </c>
      <c r="E2049">
        <v>57</v>
      </c>
      <c r="F2049">
        <v>68</v>
      </c>
      <c r="G2049">
        <v>8.3800000000000008</v>
      </c>
      <c r="H2049" t="s">
        <v>18</v>
      </c>
      <c r="I2049" t="s">
        <v>14</v>
      </c>
      <c r="K2049" t="str">
        <v>budget</v>
      </c>
      <c r="L2049">
        <v>62.5</v>
      </c>
    </row>
    <row r="2050" spans="2:12" x14ac:dyDescent="0.3">
      <c r="B2050" t="s">
        <v>1928</v>
      </c>
      <c r="C2050">
        <v>94</v>
      </c>
      <c r="D2050" t="s">
        <v>541</v>
      </c>
      <c r="E2050">
        <v>46</v>
      </c>
      <c r="F2050">
        <v>53</v>
      </c>
      <c r="G2050">
        <v>2.86</v>
      </c>
      <c r="H2050" t="s">
        <v>31</v>
      </c>
      <c r="I2050" t="s">
        <v>22</v>
      </c>
      <c r="K2050" t="str">
        <v>budget</v>
      </c>
      <c r="L2050">
        <v>49.5</v>
      </c>
    </row>
    <row r="2051" spans="2:12" x14ac:dyDescent="0.3">
      <c r="B2051" t="s">
        <v>1929</v>
      </c>
      <c r="C2051">
        <v>94</v>
      </c>
      <c r="D2051" t="s">
        <v>82</v>
      </c>
      <c r="E2051">
        <v>50</v>
      </c>
      <c r="F2051">
        <v>59</v>
      </c>
      <c r="G2051">
        <v>4.7</v>
      </c>
      <c r="H2051" t="s">
        <v>18</v>
      </c>
      <c r="I2051" t="s">
        <v>9</v>
      </c>
      <c r="K2051" t="str">
        <v>budget</v>
      </c>
      <c r="L2051">
        <v>54.5</v>
      </c>
    </row>
    <row r="2052" spans="2:12" x14ac:dyDescent="0.3">
      <c r="B2052" t="s">
        <v>1930</v>
      </c>
      <c r="C2052">
        <v>94</v>
      </c>
      <c r="D2052" t="s">
        <v>541</v>
      </c>
      <c r="E2052">
        <v>43</v>
      </c>
      <c r="F2052">
        <v>55</v>
      </c>
      <c r="G2052">
        <v>4.1900000000000004</v>
      </c>
      <c r="H2052" t="s">
        <v>18</v>
      </c>
      <c r="I2052" t="s">
        <v>25</v>
      </c>
      <c r="K2052" t="str">
        <v>budget</v>
      </c>
      <c r="L2052">
        <v>49</v>
      </c>
    </row>
    <row r="2053" spans="2:12" x14ac:dyDescent="0.3">
      <c r="B2053" t="s">
        <v>1931</v>
      </c>
      <c r="C2053">
        <v>94</v>
      </c>
      <c r="D2053" t="s">
        <v>82</v>
      </c>
      <c r="E2053">
        <v>52</v>
      </c>
      <c r="F2053">
        <v>68</v>
      </c>
      <c r="G2053">
        <v>5.44</v>
      </c>
      <c r="H2053" t="s">
        <v>18</v>
      </c>
      <c r="I2053" t="s">
        <v>12</v>
      </c>
      <c r="K2053" t="str">
        <v>budget</v>
      </c>
      <c r="L2053">
        <v>60</v>
      </c>
    </row>
    <row r="2054" spans="2:12" x14ac:dyDescent="0.3">
      <c r="B2054" t="s">
        <v>1932</v>
      </c>
      <c r="C2054">
        <v>95</v>
      </c>
      <c r="D2054" t="s">
        <v>82</v>
      </c>
      <c r="E2054">
        <v>53</v>
      </c>
      <c r="F2054">
        <v>59</v>
      </c>
      <c r="G2054">
        <v>4.9800000000000004</v>
      </c>
      <c r="H2054" t="s">
        <v>18</v>
      </c>
      <c r="I2054" t="s">
        <v>7</v>
      </c>
      <c r="K2054" t="str">
        <v>budget</v>
      </c>
      <c r="L2054">
        <v>56</v>
      </c>
    </row>
    <row r="2055" spans="2:12" x14ac:dyDescent="0.3">
      <c r="B2055" t="s">
        <v>1933</v>
      </c>
      <c r="C2055">
        <v>95</v>
      </c>
      <c r="D2055" t="s">
        <v>45</v>
      </c>
      <c r="E2055">
        <v>57</v>
      </c>
      <c r="F2055">
        <v>65</v>
      </c>
      <c r="G2055">
        <v>147.72999999999999</v>
      </c>
      <c r="H2055" t="s">
        <v>18</v>
      </c>
      <c r="I2055" t="s">
        <v>14</v>
      </c>
      <c r="K2055" t="str">
        <v>premium</v>
      </c>
      <c r="L2055">
        <v>61</v>
      </c>
    </row>
    <row r="2056" spans="2:12" x14ac:dyDescent="0.3">
      <c r="B2056" t="s">
        <v>1934</v>
      </c>
      <c r="C2056">
        <v>95</v>
      </c>
      <c r="D2056" t="s">
        <v>82</v>
      </c>
      <c r="E2056">
        <v>54</v>
      </c>
      <c r="F2056">
        <v>64</v>
      </c>
      <c r="G2056">
        <v>5.95</v>
      </c>
      <c r="H2056" t="s">
        <v>18</v>
      </c>
      <c r="I2056" t="s">
        <v>12</v>
      </c>
      <c r="K2056" t="str">
        <v>budget</v>
      </c>
      <c r="L2056">
        <v>59</v>
      </c>
    </row>
    <row r="2057" spans="2:12" x14ac:dyDescent="0.3">
      <c r="B2057" t="s">
        <v>1935</v>
      </c>
      <c r="C2057">
        <v>94</v>
      </c>
      <c r="D2057" t="s">
        <v>45</v>
      </c>
      <c r="E2057">
        <v>55</v>
      </c>
      <c r="F2057">
        <v>71</v>
      </c>
      <c r="G2057">
        <v>8.81</v>
      </c>
      <c r="H2057" t="s">
        <v>18</v>
      </c>
      <c r="I2057" t="s">
        <v>18</v>
      </c>
      <c r="K2057" t="str">
        <v>budget</v>
      </c>
      <c r="L2057">
        <v>63</v>
      </c>
    </row>
    <row r="2058" spans="2:12" x14ac:dyDescent="0.3">
      <c r="B2058" t="s">
        <v>1936</v>
      </c>
      <c r="C2058">
        <v>94</v>
      </c>
      <c r="D2058" t="s">
        <v>82</v>
      </c>
      <c r="E2058">
        <v>55</v>
      </c>
      <c r="F2058">
        <v>61</v>
      </c>
      <c r="G2058">
        <v>4.63</v>
      </c>
      <c r="H2058" t="s">
        <v>18</v>
      </c>
      <c r="I2058" t="s">
        <v>21</v>
      </c>
      <c r="K2058" t="str">
        <v>budget</v>
      </c>
      <c r="L2058">
        <v>58</v>
      </c>
    </row>
    <row r="2059" spans="2:12" x14ac:dyDescent="0.3">
      <c r="B2059" t="s">
        <v>1937</v>
      </c>
      <c r="C2059">
        <v>94</v>
      </c>
      <c r="D2059" t="s">
        <v>45</v>
      </c>
      <c r="E2059">
        <v>54</v>
      </c>
      <c r="F2059">
        <v>78</v>
      </c>
      <c r="G2059">
        <v>264.55</v>
      </c>
      <c r="H2059" t="s">
        <v>2</v>
      </c>
      <c r="I2059" t="s">
        <v>150</v>
      </c>
      <c r="K2059" t="str">
        <v>premium</v>
      </c>
      <c r="L2059">
        <v>66</v>
      </c>
    </row>
    <row r="2060" spans="2:12" x14ac:dyDescent="0.3">
      <c r="B2060" t="s">
        <v>1938</v>
      </c>
      <c r="C2060">
        <v>95</v>
      </c>
      <c r="D2060" t="s">
        <v>82</v>
      </c>
      <c r="E2060">
        <v>45</v>
      </c>
      <c r="F2060">
        <v>59</v>
      </c>
      <c r="G2060">
        <v>5.59</v>
      </c>
      <c r="H2060" t="s">
        <v>18</v>
      </c>
      <c r="I2060" t="s">
        <v>12</v>
      </c>
      <c r="K2060" t="str">
        <v>budget</v>
      </c>
      <c r="L2060">
        <v>52</v>
      </c>
    </row>
    <row r="2061" spans="2:12" x14ac:dyDescent="0.3">
      <c r="B2061" t="s">
        <v>1939</v>
      </c>
      <c r="C2061">
        <v>95</v>
      </c>
      <c r="D2061" t="s">
        <v>541</v>
      </c>
      <c r="E2061">
        <v>43</v>
      </c>
      <c r="F2061">
        <v>54</v>
      </c>
      <c r="G2061">
        <v>4.0999999999999996</v>
      </c>
      <c r="H2061" t="s">
        <v>18</v>
      </c>
      <c r="I2061" t="s">
        <v>12</v>
      </c>
      <c r="K2061" t="str">
        <v>budget</v>
      </c>
      <c r="L2061">
        <v>48.5</v>
      </c>
    </row>
    <row r="2062" spans="2:12" x14ac:dyDescent="0.3">
      <c r="B2062" t="s">
        <v>1940</v>
      </c>
      <c r="C2062">
        <v>95</v>
      </c>
      <c r="D2062" t="s">
        <v>82</v>
      </c>
      <c r="E2062">
        <v>50</v>
      </c>
      <c r="F2062">
        <v>66</v>
      </c>
      <c r="G2062">
        <v>6.17</v>
      </c>
      <c r="H2062" t="s">
        <v>18</v>
      </c>
      <c r="I2062" t="s">
        <v>12</v>
      </c>
      <c r="K2062" t="str">
        <v>budget</v>
      </c>
      <c r="L2062">
        <v>58</v>
      </c>
    </row>
    <row r="2063" spans="2:12" x14ac:dyDescent="0.3">
      <c r="B2063" t="s">
        <v>1941</v>
      </c>
      <c r="C2063">
        <v>95</v>
      </c>
      <c r="D2063" t="s">
        <v>82</v>
      </c>
      <c r="E2063">
        <v>50</v>
      </c>
      <c r="F2063">
        <v>66</v>
      </c>
      <c r="G2063">
        <v>4.6900000000000004</v>
      </c>
      <c r="H2063" t="s">
        <v>18</v>
      </c>
      <c r="I2063" t="s">
        <v>9</v>
      </c>
      <c r="K2063" t="str">
        <v>budget</v>
      </c>
      <c r="L2063">
        <v>58</v>
      </c>
    </row>
    <row r="2064" spans="2:12" x14ac:dyDescent="0.3">
      <c r="B2064" t="s">
        <v>1942</v>
      </c>
      <c r="C2064">
        <v>94</v>
      </c>
      <c r="D2064" t="s">
        <v>45</v>
      </c>
      <c r="E2064">
        <v>57</v>
      </c>
      <c r="F2064">
        <v>73</v>
      </c>
      <c r="G2064">
        <v>119.32</v>
      </c>
      <c r="H2064" t="s">
        <v>18</v>
      </c>
      <c r="I2064" t="s">
        <v>13</v>
      </c>
      <c r="K2064" t="str">
        <v>premium</v>
      </c>
      <c r="L2064">
        <v>65</v>
      </c>
    </row>
    <row r="2065" spans="2:12" x14ac:dyDescent="0.3">
      <c r="B2065" t="s">
        <v>1943</v>
      </c>
      <c r="C2065">
        <v>94</v>
      </c>
      <c r="D2065" t="s">
        <v>45</v>
      </c>
      <c r="E2065">
        <v>53</v>
      </c>
      <c r="F2065">
        <v>71</v>
      </c>
      <c r="G2065">
        <v>13.28</v>
      </c>
      <c r="H2065" t="s">
        <v>18</v>
      </c>
      <c r="I2065" t="s">
        <v>18</v>
      </c>
      <c r="K2065" t="str">
        <v>budget</v>
      </c>
      <c r="L2065">
        <v>62</v>
      </c>
    </row>
    <row r="2066" spans="2:12" x14ac:dyDescent="0.3">
      <c r="B2066" t="s">
        <v>1944</v>
      </c>
      <c r="C2066">
        <v>94</v>
      </c>
      <c r="D2066" t="s">
        <v>82</v>
      </c>
      <c r="E2066">
        <v>48</v>
      </c>
      <c r="F2066">
        <v>56</v>
      </c>
      <c r="G2066">
        <v>11.16</v>
      </c>
      <c r="H2066" t="s">
        <v>18</v>
      </c>
      <c r="I2066" t="s">
        <v>9</v>
      </c>
      <c r="K2066" t="str">
        <v>budget</v>
      </c>
      <c r="L2066">
        <v>52</v>
      </c>
    </row>
    <row r="2067" spans="2:12" x14ac:dyDescent="0.3">
      <c r="B2067" t="s">
        <v>1945</v>
      </c>
      <c r="C2067">
        <v>95</v>
      </c>
      <c r="D2067" t="s">
        <v>82</v>
      </c>
      <c r="E2067">
        <v>47</v>
      </c>
      <c r="F2067">
        <v>62</v>
      </c>
      <c r="G2067">
        <v>15.5</v>
      </c>
      <c r="H2067" t="s">
        <v>18</v>
      </c>
      <c r="I2067" t="s">
        <v>5</v>
      </c>
      <c r="K2067" t="str">
        <v>budget</v>
      </c>
      <c r="L2067">
        <v>54.5</v>
      </c>
    </row>
    <row r="2068" spans="2:12" x14ac:dyDescent="0.3">
      <c r="B2068" t="s">
        <v>1946</v>
      </c>
      <c r="C2068">
        <v>94</v>
      </c>
      <c r="D2068" t="s">
        <v>45</v>
      </c>
      <c r="E2068">
        <v>58</v>
      </c>
      <c r="F2068">
        <v>78</v>
      </c>
      <c r="G2068">
        <v>4.3899999999999997</v>
      </c>
      <c r="H2068" t="s">
        <v>18</v>
      </c>
      <c r="I2068" t="s">
        <v>21</v>
      </c>
      <c r="K2068" t="str">
        <v>budget</v>
      </c>
      <c r="L2068">
        <v>68</v>
      </c>
    </row>
    <row r="2069" spans="2:12" x14ac:dyDescent="0.3">
      <c r="B2069" t="s">
        <v>1947</v>
      </c>
      <c r="C2069">
        <v>94</v>
      </c>
      <c r="D2069" t="s">
        <v>45</v>
      </c>
      <c r="E2069">
        <v>54</v>
      </c>
      <c r="F2069">
        <v>73</v>
      </c>
      <c r="G2069">
        <v>7.94</v>
      </c>
      <c r="H2069" t="s">
        <v>18</v>
      </c>
      <c r="I2069" t="s">
        <v>13</v>
      </c>
      <c r="K2069" t="str">
        <v>budget</v>
      </c>
      <c r="L2069">
        <v>63.5</v>
      </c>
    </row>
    <row r="2070" spans="2:12" x14ac:dyDescent="0.3">
      <c r="B2070" t="s">
        <v>1948</v>
      </c>
      <c r="C2070">
        <v>94</v>
      </c>
      <c r="D2070" t="s">
        <v>541</v>
      </c>
      <c r="E2070">
        <v>40</v>
      </c>
      <c r="F2070">
        <v>49</v>
      </c>
      <c r="G2070">
        <v>2</v>
      </c>
      <c r="H2070" t="s">
        <v>31</v>
      </c>
      <c r="I2070" t="s">
        <v>150</v>
      </c>
      <c r="K2070" t="str">
        <v>budget</v>
      </c>
      <c r="L2070">
        <v>44.5</v>
      </c>
    </row>
    <row r="2071" spans="2:12" x14ac:dyDescent="0.3">
      <c r="B2071" t="s">
        <v>1949</v>
      </c>
      <c r="C2071">
        <v>95</v>
      </c>
      <c r="D2071" t="s">
        <v>82</v>
      </c>
      <c r="E2071">
        <v>46</v>
      </c>
      <c r="F2071">
        <v>67</v>
      </c>
      <c r="G2071">
        <v>11.9</v>
      </c>
      <c r="H2071" t="s">
        <v>18</v>
      </c>
      <c r="I2071" t="s">
        <v>18</v>
      </c>
      <c r="K2071" t="str">
        <v>budget</v>
      </c>
      <c r="L2071">
        <v>56.5</v>
      </c>
    </row>
    <row r="2072" spans="2:12" x14ac:dyDescent="0.3">
      <c r="B2072" t="s">
        <v>1950</v>
      </c>
      <c r="C2072">
        <v>96</v>
      </c>
      <c r="D2072" t="s">
        <v>82</v>
      </c>
      <c r="E2072">
        <v>46</v>
      </c>
      <c r="F2072">
        <v>60</v>
      </c>
      <c r="G2072">
        <v>264.55</v>
      </c>
      <c r="H2072" t="s">
        <v>2</v>
      </c>
      <c r="I2072" t="s">
        <v>150</v>
      </c>
      <c r="K2072" t="str">
        <v>premium</v>
      </c>
      <c r="L2072">
        <v>53</v>
      </c>
    </row>
    <row r="2073" spans="2:12" x14ac:dyDescent="0.3">
      <c r="B2073" t="s">
        <v>1951</v>
      </c>
      <c r="C2073">
        <v>97</v>
      </c>
      <c r="D2073" t="s">
        <v>82</v>
      </c>
      <c r="E2073">
        <v>48</v>
      </c>
      <c r="F2073">
        <v>58</v>
      </c>
      <c r="G2073">
        <v>4.41</v>
      </c>
      <c r="H2073" t="s">
        <v>18</v>
      </c>
      <c r="I2073" t="s">
        <v>7</v>
      </c>
      <c r="K2073" t="str">
        <v>budget</v>
      </c>
      <c r="L2073">
        <v>53</v>
      </c>
    </row>
    <row r="2074" spans="2:12" x14ac:dyDescent="0.3">
      <c r="B2074" t="s">
        <v>1952</v>
      </c>
      <c r="C2074">
        <v>94</v>
      </c>
      <c r="D2074" t="s">
        <v>45</v>
      </c>
      <c r="E2074">
        <v>55</v>
      </c>
      <c r="F2074">
        <v>83</v>
      </c>
      <c r="G2074">
        <v>264.55</v>
      </c>
      <c r="H2074" t="s">
        <v>2</v>
      </c>
      <c r="I2074" t="s">
        <v>12</v>
      </c>
      <c r="K2074" t="str">
        <v>premium</v>
      </c>
      <c r="L2074">
        <v>69</v>
      </c>
    </row>
    <row r="2075" spans="2:12" x14ac:dyDescent="0.3">
      <c r="B2075" t="s">
        <v>1953</v>
      </c>
      <c r="C2075">
        <v>94</v>
      </c>
      <c r="D2075" t="s">
        <v>45</v>
      </c>
      <c r="E2075">
        <v>49</v>
      </c>
      <c r="F2075">
        <v>73</v>
      </c>
      <c r="G2075">
        <v>4.3899999999999997</v>
      </c>
      <c r="H2075" t="s">
        <v>18</v>
      </c>
      <c r="I2075" t="s">
        <v>12</v>
      </c>
      <c r="K2075" t="str">
        <v>budget</v>
      </c>
      <c r="L2075">
        <v>61</v>
      </c>
    </row>
    <row r="2076" spans="2:12" x14ac:dyDescent="0.3">
      <c r="B2076" t="s">
        <v>1954</v>
      </c>
      <c r="C2076">
        <v>94</v>
      </c>
      <c r="D2076" t="s">
        <v>45</v>
      </c>
      <c r="E2076">
        <v>56</v>
      </c>
      <c r="F2076">
        <v>69</v>
      </c>
      <c r="G2076">
        <v>3.51</v>
      </c>
      <c r="H2076" t="s">
        <v>18</v>
      </c>
      <c r="I2076" t="s">
        <v>21</v>
      </c>
      <c r="K2076" t="str">
        <v>budget</v>
      </c>
      <c r="L2076">
        <v>62.5</v>
      </c>
    </row>
    <row r="2077" spans="2:12" x14ac:dyDescent="0.3">
      <c r="B2077" t="s">
        <v>1955</v>
      </c>
      <c r="C2077">
        <v>94</v>
      </c>
      <c r="D2077" t="s">
        <v>82</v>
      </c>
      <c r="E2077">
        <v>52</v>
      </c>
      <c r="F2077">
        <v>68</v>
      </c>
      <c r="G2077">
        <v>15.5</v>
      </c>
      <c r="H2077" t="s">
        <v>18</v>
      </c>
      <c r="I2077" t="s">
        <v>5</v>
      </c>
      <c r="K2077" t="str">
        <v>budget</v>
      </c>
      <c r="L2077">
        <v>60</v>
      </c>
    </row>
    <row r="2078" spans="2:12" x14ac:dyDescent="0.3">
      <c r="B2078" t="s">
        <v>1956</v>
      </c>
      <c r="C2078">
        <v>94</v>
      </c>
      <c r="D2078" t="s">
        <v>82</v>
      </c>
      <c r="E2078">
        <v>49</v>
      </c>
      <c r="F2078">
        <v>62</v>
      </c>
      <c r="G2078">
        <v>12.35</v>
      </c>
      <c r="H2078" t="s">
        <v>18</v>
      </c>
      <c r="I2078" t="s">
        <v>5</v>
      </c>
      <c r="K2078" t="str">
        <v>budget</v>
      </c>
      <c r="L2078">
        <v>55.5</v>
      </c>
    </row>
    <row r="2079" spans="2:12" x14ac:dyDescent="0.3">
      <c r="B2079" t="s">
        <v>1957</v>
      </c>
      <c r="C2079">
        <v>95</v>
      </c>
      <c r="D2079" t="s">
        <v>82</v>
      </c>
      <c r="E2079">
        <v>48</v>
      </c>
      <c r="F2079">
        <v>57</v>
      </c>
      <c r="G2079">
        <v>3.31</v>
      </c>
      <c r="H2079" t="s">
        <v>31</v>
      </c>
      <c r="I2079" t="s">
        <v>150</v>
      </c>
      <c r="K2079" t="str">
        <v>budget</v>
      </c>
      <c r="L2079">
        <v>52.5</v>
      </c>
    </row>
    <row r="2080" spans="2:12" x14ac:dyDescent="0.3">
      <c r="B2080" t="s">
        <v>1870</v>
      </c>
      <c r="C2080">
        <v>96</v>
      </c>
      <c r="D2080" t="s">
        <v>82</v>
      </c>
      <c r="E2080">
        <v>50</v>
      </c>
      <c r="F2080">
        <v>65</v>
      </c>
      <c r="G2080">
        <v>11.16</v>
      </c>
      <c r="H2080" t="s">
        <v>18</v>
      </c>
      <c r="I2080" t="s">
        <v>9</v>
      </c>
      <c r="K2080" t="str">
        <v>budget</v>
      </c>
      <c r="L2080">
        <v>57.5</v>
      </c>
    </row>
    <row r="2081" spans="2:12" x14ac:dyDescent="0.3">
      <c r="B2081" t="s">
        <v>1958</v>
      </c>
      <c r="C2081">
        <v>94</v>
      </c>
      <c r="D2081" t="s">
        <v>45</v>
      </c>
      <c r="E2081">
        <v>58</v>
      </c>
      <c r="F2081">
        <v>83</v>
      </c>
      <c r="G2081">
        <v>3.51</v>
      </c>
      <c r="H2081" t="s">
        <v>18</v>
      </c>
      <c r="I2081" t="s">
        <v>16</v>
      </c>
      <c r="K2081" t="str">
        <v>budget</v>
      </c>
      <c r="L2081">
        <v>70.5</v>
      </c>
    </row>
    <row r="2082" spans="2:12" x14ac:dyDescent="0.3">
      <c r="B2082" t="s">
        <v>1959</v>
      </c>
      <c r="C2082">
        <v>95</v>
      </c>
      <c r="D2082" t="s">
        <v>45</v>
      </c>
      <c r="E2082">
        <v>57</v>
      </c>
      <c r="F2082">
        <v>76</v>
      </c>
      <c r="G2082">
        <v>3.81</v>
      </c>
      <c r="H2082" t="s">
        <v>18</v>
      </c>
      <c r="I2082" t="s">
        <v>9</v>
      </c>
      <c r="K2082" t="str">
        <v>budget</v>
      </c>
      <c r="L2082">
        <v>66.5</v>
      </c>
    </row>
    <row r="2083" spans="2:12" x14ac:dyDescent="0.3">
      <c r="B2083" t="s">
        <v>1960</v>
      </c>
      <c r="C2083">
        <v>94</v>
      </c>
      <c r="D2083" t="s">
        <v>82</v>
      </c>
      <c r="E2083">
        <v>48</v>
      </c>
      <c r="F2083">
        <v>57</v>
      </c>
      <c r="G2083">
        <v>3.53</v>
      </c>
      <c r="H2083" t="s">
        <v>31</v>
      </c>
      <c r="I2083" t="s">
        <v>21</v>
      </c>
      <c r="K2083" t="str">
        <v>budget</v>
      </c>
      <c r="L2083">
        <v>52.5</v>
      </c>
    </row>
    <row r="2084" spans="2:12" x14ac:dyDescent="0.3">
      <c r="B2084" t="s">
        <v>1961</v>
      </c>
      <c r="C2084">
        <v>94</v>
      </c>
      <c r="D2084" t="s">
        <v>82</v>
      </c>
      <c r="E2084">
        <v>47</v>
      </c>
      <c r="F2084">
        <v>62</v>
      </c>
      <c r="G2084">
        <v>3.88</v>
      </c>
      <c r="H2084" t="s">
        <v>31</v>
      </c>
      <c r="I2084" t="s">
        <v>20</v>
      </c>
      <c r="K2084" t="str">
        <v>budget</v>
      </c>
      <c r="L2084">
        <v>54.5</v>
      </c>
    </row>
    <row r="2085" spans="2:12" x14ac:dyDescent="0.3">
      <c r="B2085" t="s">
        <v>1962</v>
      </c>
      <c r="C2085">
        <v>95</v>
      </c>
      <c r="D2085" t="s">
        <v>45</v>
      </c>
      <c r="E2085">
        <v>63</v>
      </c>
      <c r="F2085">
        <v>72</v>
      </c>
      <c r="G2085">
        <v>4.9800000000000004</v>
      </c>
      <c r="H2085" t="s">
        <v>18</v>
      </c>
      <c r="I2085" t="s">
        <v>14</v>
      </c>
      <c r="K2085" t="str">
        <v>budget</v>
      </c>
      <c r="L2085">
        <v>67.5</v>
      </c>
    </row>
    <row r="2086" spans="2:12" x14ac:dyDescent="0.3">
      <c r="B2086" t="s">
        <v>1963</v>
      </c>
      <c r="C2086">
        <v>94</v>
      </c>
      <c r="D2086" t="s">
        <v>45</v>
      </c>
      <c r="E2086">
        <v>53</v>
      </c>
      <c r="F2086">
        <v>72</v>
      </c>
      <c r="G2086">
        <v>105.11</v>
      </c>
      <c r="H2086" t="s">
        <v>18</v>
      </c>
      <c r="I2086" t="s">
        <v>9</v>
      </c>
      <c r="K2086" t="str">
        <v>premium</v>
      </c>
      <c r="L2086">
        <v>62.5</v>
      </c>
    </row>
    <row r="2087" spans="2:12" x14ac:dyDescent="0.3">
      <c r="B2087" t="s">
        <v>1964</v>
      </c>
      <c r="C2087">
        <v>95</v>
      </c>
      <c r="D2087" t="s">
        <v>45</v>
      </c>
      <c r="E2087">
        <v>54</v>
      </c>
      <c r="F2087">
        <v>76</v>
      </c>
      <c r="G2087">
        <v>113.64</v>
      </c>
      <c r="H2087" t="s">
        <v>18</v>
      </c>
      <c r="I2087" t="s">
        <v>9</v>
      </c>
      <c r="K2087" t="str">
        <v>premium</v>
      </c>
      <c r="L2087">
        <v>65</v>
      </c>
    </row>
    <row r="2088" spans="2:12" x14ac:dyDescent="0.3">
      <c r="B2088" t="s">
        <v>1919</v>
      </c>
      <c r="C2088">
        <v>94</v>
      </c>
      <c r="D2088" t="s">
        <v>82</v>
      </c>
      <c r="E2088">
        <v>46</v>
      </c>
      <c r="F2088">
        <v>60</v>
      </c>
      <c r="G2088">
        <v>3.2</v>
      </c>
      <c r="H2088" t="s">
        <v>18</v>
      </c>
      <c r="I2088" t="s">
        <v>16</v>
      </c>
      <c r="K2088" t="str">
        <v>budget</v>
      </c>
      <c r="L2088">
        <v>53</v>
      </c>
    </row>
    <row r="2089" spans="2:12" x14ac:dyDescent="0.3">
      <c r="B2089" t="s">
        <v>1550</v>
      </c>
      <c r="C2089">
        <v>94</v>
      </c>
      <c r="D2089" t="s">
        <v>45</v>
      </c>
      <c r="E2089">
        <v>59</v>
      </c>
      <c r="F2089">
        <v>82</v>
      </c>
      <c r="G2089">
        <v>3.82</v>
      </c>
      <c r="H2089" t="s">
        <v>18</v>
      </c>
      <c r="I2089" t="s">
        <v>9</v>
      </c>
      <c r="K2089" t="str">
        <v>budget</v>
      </c>
      <c r="L2089">
        <v>70.5</v>
      </c>
    </row>
    <row r="2090" spans="2:12" x14ac:dyDescent="0.3">
      <c r="B2090" t="s">
        <v>1965</v>
      </c>
      <c r="C2090">
        <v>94</v>
      </c>
      <c r="D2090" t="s">
        <v>82</v>
      </c>
      <c r="E2090">
        <v>49</v>
      </c>
      <c r="F2090">
        <v>71</v>
      </c>
      <c r="G2090">
        <v>385.01</v>
      </c>
      <c r="H2090" t="s">
        <v>18</v>
      </c>
      <c r="I2090" t="s">
        <v>16</v>
      </c>
      <c r="K2090" t="str">
        <v>premium</v>
      </c>
      <c r="L2090">
        <v>60</v>
      </c>
    </row>
    <row r="2091" spans="2:12" x14ac:dyDescent="0.3">
      <c r="B2091" t="s">
        <v>1966</v>
      </c>
      <c r="C2091">
        <v>94</v>
      </c>
      <c r="D2091" t="s">
        <v>541</v>
      </c>
      <c r="E2091">
        <v>39</v>
      </c>
      <c r="F2091">
        <v>53</v>
      </c>
      <c r="G2091">
        <v>1245.71</v>
      </c>
      <c r="H2091" t="s">
        <v>18</v>
      </c>
      <c r="I2091" t="s">
        <v>16</v>
      </c>
      <c r="K2091" t="str">
        <v>premium</v>
      </c>
      <c r="L2091">
        <v>46</v>
      </c>
    </row>
    <row r="2092" spans="2:12" x14ac:dyDescent="0.3">
      <c r="B2092" t="s">
        <v>1967</v>
      </c>
      <c r="C2092">
        <v>94</v>
      </c>
      <c r="D2092" t="s">
        <v>41</v>
      </c>
      <c r="E2092">
        <v>62</v>
      </c>
      <c r="F2092">
        <v>89</v>
      </c>
      <c r="G2092">
        <v>10.7</v>
      </c>
      <c r="H2092" t="s">
        <v>18</v>
      </c>
      <c r="I2092" t="s">
        <v>150</v>
      </c>
      <c r="K2092" t="str">
        <v>budget</v>
      </c>
      <c r="L2092">
        <v>75.5</v>
      </c>
    </row>
    <row r="2093" spans="2:12" x14ac:dyDescent="0.3">
      <c r="B2093" t="s">
        <v>1968</v>
      </c>
      <c r="C2093">
        <v>97</v>
      </c>
      <c r="D2093" t="s">
        <v>45</v>
      </c>
      <c r="E2093">
        <v>49</v>
      </c>
      <c r="F2093">
        <v>78</v>
      </c>
      <c r="G2093">
        <v>6.37</v>
      </c>
      <c r="H2093" t="s">
        <v>2</v>
      </c>
      <c r="I2093" t="s">
        <v>9</v>
      </c>
      <c r="K2093" t="str">
        <v>budget</v>
      </c>
      <c r="L2093">
        <v>63.5</v>
      </c>
    </row>
    <row r="2094" spans="2:12" x14ac:dyDescent="0.3">
      <c r="B2094" t="s">
        <v>1969</v>
      </c>
      <c r="C2094">
        <v>96</v>
      </c>
      <c r="D2094" t="s">
        <v>82</v>
      </c>
      <c r="E2094">
        <v>49</v>
      </c>
      <c r="F2094">
        <v>64</v>
      </c>
      <c r="G2094">
        <v>79.66</v>
      </c>
      <c r="H2094" t="s">
        <v>2</v>
      </c>
      <c r="I2094" t="s">
        <v>12</v>
      </c>
      <c r="K2094" t="str">
        <v>middle</v>
      </c>
      <c r="L2094">
        <v>56.5</v>
      </c>
    </row>
    <row r="2095" spans="2:12" x14ac:dyDescent="0.3">
      <c r="B2095" t="s">
        <v>1970</v>
      </c>
      <c r="C2095">
        <v>95</v>
      </c>
      <c r="D2095" t="s">
        <v>45</v>
      </c>
      <c r="E2095">
        <v>55</v>
      </c>
      <c r="F2095">
        <v>77</v>
      </c>
      <c r="G2095">
        <v>5.33</v>
      </c>
      <c r="H2095" t="s">
        <v>18</v>
      </c>
      <c r="I2095" t="s">
        <v>15</v>
      </c>
      <c r="K2095" t="str">
        <v>budget</v>
      </c>
      <c r="L2095">
        <v>66</v>
      </c>
    </row>
    <row r="2096" spans="2:12" x14ac:dyDescent="0.3">
      <c r="B2096" t="s">
        <v>1971</v>
      </c>
      <c r="C2096">
        <v>94</v>
      </c>
      <c r="D2096" t="s">
        <v>82</v>
      </c>
      <c r="E2096">
        <v>51</v>
      </c>
      <c r="F2096">
        <v>70</v>
      </c>
      <c r="G2096">
        <v>93.62</v>
      </c>
      <c r="H2096" t="s">
        <v>18</v>
      </c>
      <c r="I2096" t="s">
        <v>9</v>
      </c>
      <c r="K2096" t="str">
        <v>middle</v>
      </c>
      <c r="L2096">
        <v>60.5</v>
      </c>
    </row>
    <row r="2097" spans="2:12" x14ac:dyDescent="0.3">
      <c r="B2097" t="s">
        <v>442</v>
      </c>
      <c r="C2097">
        <v>94</v>
      </c>
      <c r="D2097" t="s">
        <v>45</v>
      </c>
      <c r="E2097">
        <v>52</v>
      </c>
      <c r="F2097">
        <v>82</v>
      </c>
      <c r="G2097">
        <v>45.88</v>
      </c>
      <c r="H2097" t="s">
        <v>18</v>
      </c>
      <c r="I2097" t="s">
        <v>12</v>
      </c>
      <c r="K2097" t="str">
        <v>middle</v>
      </c>
      <c r="L2097">
        <v>67</v>
      </c>
    </row>
    <row r="2098" spans="2:12" x14ac:dyDescent="0.3">
      <c r="B2098" t="s">
        <v>1972</v>
      </c>
      <c r="C2098">
        <v>95</v>
      </c>
      <c r="D2098" t="s">
        <v>45</v>
      </c>
      <c r="E2098">
        <v>55</v>
      </c>
      <c r="F2098">
        <v>82</v>
      </c>
      <c r="G2098">
        <v>11.29</v>
      </c>
      <c r="H2098" t="s">
        <v>18</v>
      </c>
      <c r="I2098" t="s">
        <v>5</v>
      </c>
      <c r="K2098" t="str">
        <v>budget</v>
      </c>
      <c r="L2098">
        <v>68.5</v>
      </c>
    </row>
    <row r="2099" spans="2:12" x14ac:dyDescent="0.3">
      <c r="B2099" t="s">
        <v>1506</v>
      </c>
      <c r="C2099">
        <v>94</v>
      </c>
      <c r="D2099" t="s">
        <v>45</v>
      </c>
      <c r="E2099">
        <v>58</v>
      </c>
      <c r="F2099">
        <v>73</v>
      </c>
      <c r="G2099">
        <v>5.18</v>
      </c>
      <c r="H2099" t="s">
        <v>18</v>
      </c>
      <c r="I2099" t="s">
        <v>16</v>
      </c>
      <c r="K2099" t="str">
        <v>budget</v>
      </c>
      <c r="L2099">
        <v>65.5</v>
      </c>
    </row>
    <row r="2100" spans="2:12" x14ac:dyDescent="0.3">
      <c r="B2100" t="s">
        <v>1973</v>
      </c>
      <c r="C2100">
        <v>95</v>
      </c>
      <c r="D2100" t="s">
        <v>45</v>
      </c>
      <c r="E2100">
        <v>53</v>
      </c>
      <c r="F2100">
        <v>75</v>
      </c>
      <c r="G2100">
        <v>233.63</v>
      </c>
      <c r="H2100" t="s">
        <v>18</v>
      </c>
      <c r="I2100" t="s">
        <v>12</v>
      </c>
      <c r="K2100" t="str">
        <v>premium</v>
      </c>
      <c r="L2100">
        <v>64</v>
      </c>
    </row>
    <row r="2101" spans="2:12" x14ac:dyDescent="0.3">
      <c r="B2101" t="s">
        <v>1974</v>
      </c>
      <c r="C2101">
        <v>95</v>
      </c>
      <c r="D2101" t="s">
        <v>45</v>
      </c>
      <c r="E2101">
        <v>55</v>
      </c>
      <c r="F2101">
        <v>79</v>
      </c>
      <c r="G2101">
        <v>123.6</v>
      </c>
      <c r="H2101" t="s">
        <v>18</v>
      </c>
      <c r="I2101" t="s">
        <v>5</v>
      </c>
      <c r="K2101" t="str">
        <v>premium</v>
      </c>
      <c r="L2101">
        <v>67</v>
      </c>
    </row>
    <row r="2102" spans="2:12" x14ac:dyDescent="0.3">
      <c r="B2102" t="s">
        <v>1975</v>
      </c>
      <c r="C2102">
        <v>94</v>
      </c>
      <c r="D2102" t="s">
        <v>82</v>
      </c>
      <c r="E2102">
        <v>45</v>
      </c>
      <c r="F2102">
        <v>61</v>
      </c>
      <c r="G2102">
        <v>98.18</v>
      </c>
      <c r="H2102" t="s">
        <v>18</v>
      </c>
      <c r="I2102" t="s">
        <v>9</v>
      </c>
      <c r="K2102" t="str">
        <v>middle</v>
      </c>
      <c r="L2102">
        <v>53</v>
      </c>
    </row>
    <row r="2103" spans="2:12" x14ac:dyDescent="0.3">
      <c r="B2103" t="s">
        <v>1976</v>
      </c>
      <c r="C2103">
        <v>96</v>
      </c>
      <c r="D2103" t="s">
        <v>41</v>
      </c>
      <c r="E2103">
        <v>59</v>
      </c>
      <c r="F2103">
        <v>99</v>
      </c>
      <c r="G2103">
        <v>123.62</v>
      </c>
      <c r="H2103" t="s">
        <v>18</v>
      </c>
      <c r="I2103" t="s">
        <v>5</v>
      </c>
      <c r="K2103" t="str">
        <v>premium</v>
      </c>
      <c r="L2103">
        <v>79</v>
      </c>
    </row>
    <row r="2104" spans="2:12" x14ac:dyDescent="0.3">
      <c r="B2104" t="s">
        <v>1977</v>
      </c>
      <c r="C2104">
        <v>94</v>
      </c>
      <c r="D2104" t="s">
        <v>82</v>
      </c>
      <c r="E2104">
        <v>44</v>
      </c>
      <c r="F2104">
        <v>73</v>
      </c>
      <c r="G2104">
        <v>219.28</v>
      </c>
      <c r="H2104" t="s">
        <v>18</v>
      </c>
      <c r="I2104" t="s">
        <v>5</v>
      </c>
      <c r="K2104" t="str">
        <v>premium</v>
      </c>
      <c r="L2104">
        <v>58.5</v>
      </c>
    </row>
    <row r="2105" spans="2:12" x14ac:dyDescent="0.3">
      <c r="B2105" t="s">
        <v>1978</v>
      </c>
      <c r="C2105">
        <v>95</v>
      </c>
      <c r="D2105" t="s">
        <v>82</v>
      </c>
      <c r="E2105">
        <v>49</v>
      </c>
      <c r="F2105">
        <v>69</v>
      </c>
      <c r="G2105">
        <v>32.869999999999997</v>
      </c>
      <c r="H2105" t="s">
        <v>18</v>
      </c>
      <c r="I2105" t="s">
        <v>18</v>
      </c>
      <c r="K2105" t="str">
        <v>middle</v>
      </c>
      <c r="L2105">
        <v>59</v>
      </c>
    </row>
    <row r="2106" spans="2:12" x14ac:dyDescent="0.3">
      <c r="B2106" t="s">
        <v>1979</v>
      </c>
      <c r="C2106">
        <v>96</v>
      </c>
      <c r="D2106" t="s">
        <v>41</v>
      </c>
      <c r="E2106">
        <v>57</v>
      </c>
      <c r="F2106">
        <v>90</v>
      </c>
      <c r="G2106">
        <v>76.13</v>
      </c>
      <c r="H2106" t="s">
        <v>18</v>
      </c>
      <c r="I2106" t="s">
        <v>12</v>
      </c>
      <c r="K2106" t="str">
        <v>middle</v>
      </c>
      <c r="L2106">
        <v>73.5</v>
      </c>
    </row>
    <row r="2107" spans="2:12" x14ac:dyDescent="0.3">
      <c r="B2107" t="s">
        <v>1980</v>
      </c>
      <c r="C2107">
        <v>95</v>
      </c>
      <c r="D2107" t="s">
        <v>45</v>
      </c>
      <c r="E2107">
        <v>53</v>
      </c>
      <c r="F2107">
        <v>77</v>
      </c>
      <c r="G2107">
        <v>5.53</v>
      </c>
      <c r="H2107" t="s">
        <v>18</v>
      </c>
      <c r="I2107" t="s">
        <v>24</v>
      </c>
      <c r="K2107" t="str">
        <v>budget</v>
      </c>
      <c r="L2107">
        <v>65</v>
      </c>
    </row>
    <row r="2108" spans="2:12" x14ac:dyDescent="0.3">
      <c r="B2108" t="s">
        <v>1981</v>
      </c>
      <c r="C2108">
        <v>94</v>
      </c>
      <c r="D2108" t="s">
        <v>541</v>
      </c>
      <c r="E2108">
        <v>37</v>
      </c>
      <c r="F2108">
        <v>47</v>
      </c>
      <c r="G2108">
        <v>68.180000000000007</v>
      </c>
      <c r="H2108" t="s">
        <v>18</v>
      </c>
      <c r="I2108" t="s">
        <v>150</v>
      </c>
      <c r="K2108" t="str">
        <v>middle</v>
      </c>
      <c r="L2108">
        <v>42</v>
      </c>
    </row>
    <row r="2109" spans="2:12" x14ac:dyDescent="0.3">
      <c r="B2109" t="s">
        <v>1982</v>
      </c>
      <c r="C2109">
        <v>95</v>
      </c>
      <c r="D2109" t="s">
        <v>41</v>
      </c>
      <c r="E2109">
        <v>65</v>
      </c>
      <c r="F2109">
        <v>91</v>
      </c>
      <c r="G2109">
        <v>22.96</v>
      </c>
      <c r="H2109" t="s">
        <v>18</v>
      </c>
      <c r="I2109" t="s">
        <v>9</v>
      </c>
      <c r="K2109" t="str">
        <v>budget</v>
      </c>
      <c r="L2109">
        <v>78</v>
      </c>
    </row>
    <row r="2110" spans="2:12" x14ac:dyDescent="0.3">
      <c r="B2110" t="s">
        <v>1967</v>
      </c>
      <c r="C2110">
        <v>95</v>
      </c>
      <c r="D2110" t="s">
        <v>82</v>
      </c>
      <c r="E2110">
        <v>51</v>
      </c>
      <c r="F2110">
        <v>66</v>
      </c>
      <c r="G2110">
        <v>6.42</v>
      </c>
      <c r="H2110" t="s">
        <v>18</v>
      </c>
      <c r="I2110" t="s">
        <v>150</v>
      </c>
      <c r="K2110" t="str">
        <v>budget</v>
      </c>
      <c r="L2110">
        <v>58.5</v>
      </c>
    </row>
    <row r="2111" spans="2:12" x14ac:dyDescent="0.3">
      <c r="B2111" t="s">
        <v>1983</v>
      </c>
      <c r="C2111">
        <v>95</v>
      </c>
      <c r="D2111" t="s">
        <v>82</v>
      </c>
      <c r="E2111">
        <v>47</v>
      </c>
      <c r="F2111">
        <v>58</v>
      </c>
      <c r="G2111">
        <v>104.06</v>
      </c>
      <c r="H2111" t="s">
        <v>18</v>
      </c>
      <c r="I2111" t="s">
        <v>12</v>
      </c>
      <c r="K2111" t="str">
        <v>premium</v>
      </c>
      <c r="L2111">
        <v>52.5</v>
      </c>
    </row>
    <row r="2112" spans="2:12" x14ac:dyDescent="0.3">
      <c r="B2112" t="s">
        <v>1984</v>
      </c>
      <c r="C2112">
        <v>97</v>
      </c>
      <c r="D2112" t="s">
        <v>41</v>
      </c>
      <c r="E2112">
        <v>62</v>
      </c>
      <c r="F2112">
        <v>83</v>
      </c>
      <c r="G2112">
        <v>2008.52</v>
      </c>
      <c r="H2112" t="s">
        <v>18</v>
      </c>
      <c r="I2112" t="s">
        <v>18</v>
      </c>
      <c r="K2112" t="str">
        <v>premium</v>
      </c>
      <c r="L2112">
        <v>72.5</v>
      </c>
    </row>
    <row r="2113" spans="2:12" x14ac:dyDescent="0.3">
      <c r="B2113" t="s">
        <v>1985</v>
      </c>
      <c r="C2113">
        <v>96</v>
      </c>
      <c r="D2113" t="s">
        <v>45</v>
      </c>
      <c r="E2113">
        <v>56</v>
      </c>
      <c r="F2113">
        <v>75</v>
      </c>
      <c r="G2113">
        <v>12.45</v>
      </c>
      <c r="H2113" t="s">
        <v>18</v>
      </c>
      <c r="I2113" t="s">
        <v>12</v>
      </c>
      <c r="K2113" t="str">
        <v>budget</v>
      </c>
      <c r="L2113">
        <v>65.5</v>
      </c>
    </row>
    <row r="2114" spans="2:12" x14ac:dyDescent="0.3">
      <c r="B2114" t="s">
        <v>1986</v>
      </c>
      <c r="C2114">
        <v>95</v>
      </c>
      <c r="D2114" t="s">
        <v>82</v>
      </c>
      <c r="E2114">
        <v>52</v>
      </c>
      <c r="F2114">
        <v>69</v>
      </c>
      <c r="G2114">
        <v>5.75</v>
      </c>
      <c r="H2114" t="s">
        <v>18</v>
      </c>
      <c r="I2114" t="s">
        <v>12</v>
      </c>
      <c r="K2114" t="str">
        <v>budget</v>
      </c>
      <c r="L2114">
        <v>60.5</v>
      </c>
    </row>
    <row r="2115" spans="2:12" x14ac:dyDescent="0.3">
      <c r="B2115" t="s">
        <v>1877</v>
      </c>
      <c r="C2115">
        <v>96</v>
      </c>
      <c r="D2115" t="s">
        <v>82</v>
      </c>
      <c r="E2115">
        <v>49</v>
      </c>
      <c r="F2115">
        <v>69</v>
      </c>
      <c r="G2115">
        <v>32.869999999999997</v>
      </c>
      <c r="H2115" t="s">
        <v>18</v>
      </c>
      <c r="I2115" t="s">
        <v>12</v>
      </c>
      <c r="K2115" t="str">
        <v>middle</v>
      </c>
      <c r="L2115">
        <v>59</v>
      </c>
    </row>
    <row r="2116" spans="2:12" x14ac:dyDescent="0.3">
      <c r="B2116" t="s">
        <v>1332</v>
      </c>
      <c r="C2116">
        <v>94</v>
      </c>
      <c r="D2116" t="s">
        <v>45</v>
      </c>
      <c r="E2116">
        <v>55</v>
      </c>
      <c r="F2116">
        <v>75</v>
      </c>
      <c r="G2116">
        <v>22.05</v>
      </c>
      <c r="H2116" t="s">
        <v>18</v>
      </c>
      <c r="I2116" t="s">
        <v>16</v>
      </c>
      <c r="K2116" t="str">
        <v>budget</v>
      </c>
      <c r="L2116">
        <v>65</v>
      </c>
    </row>
    <row r="2117" spans="2:12" x14ac:dyDescent="0.3">
      <c r="B2117" t="s">
        <v>1987</v>
      </c>
      <c r="C2117">
        <v>95</v>
      </c>
      <c r="D2117" t="s">
        <v>45</v>
      </c>
      <c r="E2117">
        <v>57</v>
      </c>
      <c r="F2117">
        <v>81</v>
      </c>
      <c r="G2117">
        <v>10.37</v>
      </c>
      <c r="H2117" t="s">
        <v>18</v>
      </c>
      <c r="I2117" t="s">
        <v>5</v>
      </c>
      <c r="K2117" t="str">
        <v>budget</v>
      </c>
      <c r="L2117">
        <v>69</v>
      </c>
    </row>
    <row r="2118" spans="2:12" x14ac:dyDescent="0.3">
      <c r="B2118" t="s">
        <v>1506</v>
      </c>
      <c r="C2118">
        <v>94</v>
      </c>
      <c r="D2118" t="s">
        <v>45</v>
      </c>
      <c r="E2118">
        <v>50</v>
      </c>
      <c r="F2118">
        <v>74</v>
      </c>
      <c r="G2118">
        <v>63.49</v>
      </c>
      <c r="H2118" t="s">
        <v>18</v>
      </c>
      <c r="I2118" t="s">
        <v>16</v>
      </c>
      <c r="K2118" t="str">
        <v>middle</v>
      </c>
      <c r="L2118">
        <v>62</v>
      </c>
    </row>
    <row r="2119" spans="2:12" x14ac:dyDescent="0.3">
      <c r="B2119" t="s">
        <v>1988</v>
      </c>
      <c r="C2119">
        <v>95</v>
      </c>
      <c r="D2119" t="s">
        <v>41</v>
      </c>
      <c r="E2119">
        <v>71</v>
      </c>
      <c r="F2119">
        <v>98</v>
      </c>
      <c r="G2119">
        <v>24.18</v>
      </c>
      <c r="H2119" t="s">
        <v>18</v>
      </c>
      <c r="I2119" t="s">
        <v>9</v>
      </c>
      <c r="K2119" t="str">
        <v>budget</v>
      </c>
      <c r="L2119">
        <v>84.5</v>
      </c>
    </row>
    <row r="2120" spans="2:12" x14ac:dyDescent="0.3">
      <c r="B2120" t="s">
        <v>1458</v>
      </c>
      <c r="C2120">
        <v>95</v>
      </c>
      <c r="D2120" t="s">
        <v>41</v>
      </c>
      <c r="E2120">
        <v>71</v>
      </c>
      <c r="F2120">
        <v>99</v>
      </c>
      <c r="G2120">
        <v>11.95</v>
      </c>
      <c r="H2120" t="s">
        <v>18</v>
      </c>
      <c r="I2120" t="s">
        <v>21</v>
      </c>
      <c r="K2120" t="str">
        <v>budget</v>
      </c>
      <c r="L2120">
        <v>85</v>
      </c>
    </row>
    <row r="2121" spans="2:12" x14ac:dyDescent="0.3">
      <c r="B2121" t="s">
        <v>1989</v>
      </c>
      <c r="C2121">
        <v>94</v>
      </c>
      <c r="D2121" t="s">
        <v>82</v>
      </c>
      <c r="E2121">
        <v>50</v>
      </c>
      <c r="F2121">
        <v>56</v>
      </c>
      <c r="G2121">
        <v>5.07</v>
      </c>
      <c r="H2121" t="s">
        <v>18</v>
      </c>
      <c r="I2121" t="s">
        <v>21</v>
      </c>
      <c r="K2121" t="str">
        <v>budget</v>
      </c>
      <c r="L2121">
        <v>53</v>
      </c>
    </row>
    <row r="2122" spans="2:12" x14ac:dyDescent="0.3">
      <c r="B2122" t="s">
        <v>1990</v>
      </c>
      <c r="C2122">
        <v>94</v>
      </c>
      <c r="D2122" t="s">
        <v>41</v>
      </c>
      <c r="E2122">
        <v>57</v>
      </c>
      <c r="F2122">
        <v>86</v>
      </c>
      <c r="G2122">
        <v>200.59</v>
      </c>
      <c r="H2122" t="s">
        <v>18</v>
      </c>
      <c r="I2122" t="s">
        <v>5</v>
      </c>
      <c r="K2122" t="str">
        <v>premium</v>
      </c>
      <c r="L2122">
        <v>71.5</v>
      </c>
    </row>
    <row r="2123" spans="2:12" x14ac:dyDescent="0.3">
      <c r="B2123" t="s">
        <v>1991</v>
      </c>
      <c r="C2123">
        <v>95</v>
      </c>
      <c r="D2123" t="s">
        <v>45</v>
      </c>
      <c r="E2123">
        <v>54</v>
      </c>
      <c r="F2123">
        <v>71</v>
      </c>
      <c r="G2123">
        <v>51.92</v>
      </c>
      <c r="H2123" t="s">
        <v>18</v>
      </c>
      <c r="I2123" t="s">
        <v>5</v>
      </c>
      <c r="K2123" t="str">
        <v>middle</v>
      </c>
      <c r="L2123">
        <v>62.5</v>
      </c>
    </row>
    <row r="2124" spans="2:12" x14ac:dyDescent="0.3">
      <c r="B2124" t="s">
        <v>1992</v>
      </c>
      <c r="C2124">
        <v>94</v>
      </c>
      <c r="D2124" t="s">
        <v>45</v>
      </c>
      <c r="E2124">
        <v>54</v>
      </c>
      <c r="F2124">
        <v>79</v>
      </c>
      <c r="G2124">
        <v>118.06</v>
      </c>
      <c r="H2124" t="s">
        <v>18</v>
      </c>
      <c r="I2124" t="s">
        <v>5</v>
      </c>
      <c r="K2124" t="str">
        <v>premium</v>
      </c>
      <c r="L2124">
        <v>66.5</v>
      </c>
    </row>
    <row r="2125" spans="2:12" x14ac:dyDescent="0.3">
      <c r="B2125" t="s">
        <v>1993</v>
      </c>
      <c r="C2125">
        <v>94</v>
      </c>
      <c r="D2125" t="s">
        <v>41</v>
      </c>
      <c r="E2125">
        <v>57</v>
      </c>
      <c r="F2125">
        <v>85</v>
      </c>
      <c r="G2125">
        <v>41.72</v>
      </c>
      <c r="H2125" t="s">
        <v>18</v>
      </c>
      <c r="I2125" t="s">
        <v>9</v>
      </c>
      <c r="K2125" t="str">
        <v>middle</v>
      </c>
      <c r="L2125">
        <v>71</v>
      </c>
    </row>
    <row r="2126" spans="2:12" x14ac:dyDescent="0.3">
      <c r="B2126" t="s">
        <v>1994</v>
      </c>
      <c r="C2126">
        <v>94</v>
      </c>
      <c r="D2126" t="s">
        <v>82</v>
      </c>
      <c r="E2126">
        <v>48</v>
      </c>
      <c r="F2126">
        <v>63</v>
      </c>
      <c r="G2126">
        <v>122.58</v>
      </c>
      <c r="H2126" t="s">
        <v>18</v>
      </c>
      <c r="I2126" t="s">
        <v>12</v>
      </c>
      <c r="K2126" t="str">
        <v>premium</v>
      </c>
      <c r="L2126">
        <v>55.5</v>
      </c>
    </row>
    <row r="2127" spans="2:12" x14ac:dyDescent="0.3">
      <c r="B2127" t="s">
        <v>1995</v>
      </c>
      <c r="C2127">
        <v>94</v>
      </c>
      <c r="D2127" t="s">
        <v>41</v>
      </c>
      <c r="E2127">
        <v>75</v>
      </c>
      <c r="F2127">
        <v>97</v>
      </c>
      <c r="G2127">
        <v>9.4700000000000006</v>
      </c>
      <c r="H2127" t="s">
        <v>18</v>
      </c>
      <c r="I2127" t="s">
        <v>21</v>
      </c>
      <c r="K2127" t="str">
        <v>budget</v>
      </c>
      <c r="L2127">
        <v>86</v>
      </c>
    </row>
    <row r="2128" spans="2:12" x14ac:dyDescent="0.3">
      <c r="B2128" t="s">
        <v>1996</v>
      </c>
      <c r="C2128">
        <v>95</v>
      </c>
      <c r="D2128" t="s">
        <v>82</v>
      </c>
      <c r="E2128">
        <v>44</v>
      </c>
      <c r="F2128">
        <v>63</v>
      </c>
      <c r="G2128">
        <v>168.52</v>
      </c>
      <c r="H2128" t="s">
        <v>18</v>
      </c>
      <c r="I2128" t="s">
        <v>20</v>
      </c>
      <c r="K2128" t="str">
        <v>premium</v>
      </c>
      <c r="L2128">
        <v>53.5</v>
      </c>
    </row>
    <row r="2129" spans="2:12" x14ac:dyDescent="0.3">
      <c r="B2129" t="s">
        <v>1997</v>
      </c>
      <c r="C2129">
        <v>94</v>
      </c>
      <c r="D2129" t="s">
        <v>45</v>
      </c>
      <c r="E2129">
        <v>52</v>
      </c>
      <c r="F2129">
        <v>73</v>
      </c>
      <c r="G2129">
        <v>54.07</v>
      </c>
      <c r="H2129" t="s">
        <v>18</v>
      </c>
      <c r="I2129" t="s">
        <v>9</v>
      </c>
      <c r="K2129" t="str">
        <v>middle</v>
      </c>
      <c r="L2129">
        <v>62.5</v>
      </c>
    </row>
    <row r="2130" spans="2:12" x14ac:dyDescent="0.3">
      <c r="B2130" t="s">
        <v>1998</v>
      </c>
      <c r="C2130">
        <v>94</v>
      </c>
      <c r="D2130" t="s">
        <v>541</v>
      </c>
      <c r="E2130">
        <v>42</v>
      </c>
      <c r="F2130">
        <v>46</v>
      </c>
      <c r="G2130">
        <v>213.26</v>
      </c>
      <c r="H2130" t="s">
        <v>18</v>
      </c>
      <c r="I2130" t="s">
        <v>12</v>
      </c>
      <c r="K2130" t="str">
        <v>premium</v>
      </c>
      <c r="L2130">
        <v>44</v>
      </c>
    </row>
    <row r="2131" spans="2:12" x14ac:dyDescent="0.3">
      <c r="B2131" t="s">
        <v>1999</v>
      </c>
      <c r="C2131">
        <v>96</v>
      </c>
      <c r="D2131" t="s">
        <v>541</v>
      </c>
      <c r="E2131">
        <v>46</v>
      </c>
      <c r="F2131">
        <v>54</v>
      </c>
      <c r="G2131">
        <v>134.6</v>
      </c>
      <c r="H2131" t="s">
        <v>18</v>
      </c>
      <c r="I2131" t="s">
        <v>12</v>
      </c>
      <c r="K2131" t="str">
        <v>premium</v>
      </c>
      <c r="L2131">
        <v>50</v>
      </c>
    </row>
    <row r="2132" spans="2:12" x14ac:dyDescent="0.3">
      <c r="B2132" t="s">
        <v>2000</v>
      </c>
      <c r="C2132">
        <v>94</v>
      </c>
      <c r="D2132" t="s">
        <v>82</v>
      </c>
      <c r="E2132">
        <v>55</v>
      </c>
      <c r="F2132">
        <v>65</v>
      </c>
      <c r="G2132">
        <v>416.54</v>
      </c>
      <c r="H2132" t="s">
        <v>18</v>
      </c>
      <c r="I2132" t="s">
        <v>3</v>
      </c>
      <c r="K2132" t="str">
        <v>premium</v>
      </c>
      <c r="L2132">
        <v>60</v>
      </c>
    </row>
    <row r="2133" spans="2:12" x14ac:dyDescent="0.3">
      <c r="B2133" t="s">
        <v>1910</v>
      </c>
      <c r="C2133">
        <v>95</v>
      </c>
      <c r="D2133" t="s">
        <v>41</v>
      </c>
      <c r="E2133">
        <v>64</v>
      </c>
      <c r="F2133">
        <v>82</v>
      </c>
      <c r="G2133">
        <v>72.290000000000006</v>
      </c>
      <c r="H2133" t="s">
        <v>18</v>
      </c>
      <c r="I2133" t="s">
        <v>5</v>
      </c>
      <c r="K2133" t="str">
        <v>middle</v>
      </c>
      <c r="L2133">
        <v>73</v>
      </c>
    </row>
    <row r="2134" spans="2:12" x14ac:dyDescent="0.3">
      <c r="B2134" t="s">
        <v>2001</v>
      </c>
      <c r="C2134">
        <v>94</v>
      </c>
      <c r="D2134" t="s">
        <v>82</v>
      </c>
      <c r="E2134">
        <v>49</v>
      </c>
      <c r="F2134">
        <v>65</v>
      </c>
      <c r="G2134">
        <v>106.56</v>
      </c>
      <c r="H2134" t="s">
        <v>18</v>
      </c>
      <c r="I2134" t="s">
        <v>9</v>
      </c>
      <c r="K2134" t="str">
        <v>premium</v>
      </c>
      <c r="L2134">
        <v>57</v>
      </c>
    </row>
    <row r="2135" spans="2:12" x14ac:dyDescent="0.3">
      <c r="B2135" t="s">
        <v>2002</v>
      </c>
      <c r="C2135">
        <v>94</v>
      </c>
      <c r="D2135" t="s">
        <v>45</v>
      </c>
      <c r="E2135">
        <v>58</v>
      </c>
      <c r="F2135">
        <v>72</v>
      </c>
      <c r="G2135">
        <v>6.51</v>
      </c>
      <c r="H2135" t="s">
        <v>18</v>
      </c>
      <c r="I2135" t="s">
        <v>7</v>
      </c>
      <c r="K2135" t="str">
        <v>budget</v>
      </c>
      <c r="L2135">
        <v>65</v>
      </c>
    </row>
    <row r="2136" spans="2:12" x14ac:dyDescent="0.3">
      <c r="B2136" t="s">
        <v>1877</v>
      </c>
      <c r="C2136">
        <v>97</v>
      </c>
      <c r="D2136" t="s">
        <v>82</v>
      </c>
      <c r="E2136">
        <v>53</v>
      </c>
      <c r="F2136">
        <v>65</v>
      </c>
      <c r="G2136">
        <v>13.31</v>
      </c>
      <c r="H2136" t="s">
        <v>18</v>
      </c>
      <c r="I2136" t="s">
        <v>12</v>
      </c>
      <c r="K2136" t="str">
        <v>budget</v>
      </c>
      <c r="L2136">
        <v>59</v>
      </c>
    </row>
    <row r="2137" spans="2:12" x14ac:dyDescent="0.3">
      <c r="B2137" t="s">
        <v>1506</v>
      </c>
      <c r="C2137">
        <v>96</v>
      </c>
      <c r="D2137" t="s">
        <v>45</v>
      </c>
      <c r="E2137">
        <v>58</v>
      </c>
      <c r="F2137">
        <v>78</v>
      </c>
      <c r="G2137">
        <v>260.88</v>
      </c>
      <c r="H2137" t="s">
        <v>18</v>
      </c>
      <c r="I2137" t="s">
        <v>16</v>
      </c>
      <c r="K2137" t="str">
        <v>premium</v>
      </c>
      <c r="L2137">
        <v>68</v>
      </c>
    </row>
    <row r="2138" spans="2:12" x14ac:dyDescent="0.3">
      <c r="B2138" t="s">
        <v>2003</v>
      </c>
      <c r="C2138">
        <v>95</v>
      </c>
      <c r="D2138" t="s">
        <v>82</v>
      </c>
      <c r="E2138">
        <v>51</v>
      </c>
      <c r="F2138">
        <v>62</v>
      </c>
      <c r="G2138">
        <v>4.3499999999999996</v>
      </c>
      <c r="H2138" t="s">
        <v>18</v>
      </c>
      <c r="I2138" t="s">
        <v>14</v>
      </c>
      <c r="K2138" t="str">
        <v>budget</v>
      </c>
      <c r="L2138">
        <v>56.5</v>
      </c>
    </row>
    <row r="2139" spans="2:12" x14ac:dyDescent="0.3">
      <c r="B2139" t="s">
        <v>2004</v>
      </c>
      <c r="C2139">
        <v>95</v>
      </c>
      <c r="D2139" t="s">
        <v>82</v>
      </c>
      <c r="E2139">
        <v>52</v>
      </c>
      <c r="F2139">
        <v>59</v>
      </c>
      <c r="G2139">
        <v>4.7</v>
      </c>
      <c r="H2139" t="s">
        <v>18</v>
      </c>
      <c r="I2139" t="s">
        <v>14</v>
      </c>
      <c r="K2139" t="str">
        <v>budget</v>
      </c>
      <c r="L2139">
        <v>55.5</v>
      </c>
    </row>
    <row r="2140" spans="2:12" x14ac:dyDescent="0.3">
      <c r="B2140" t="s">
        <v>2005</v>
      </c>
      <c r="C2140">
        <v>94</v>
      </c>
      <c r="D2140" t="s">
        <v>45</v>
      </c>
      <c r="E2140">
        <v>56</v>
      </c>
      <c r="F2140">
        <v>66</v>
      </c>
      <c r="G2140">
        <v>462.48</v>
      </c>
      <c r="H2140" t="s">
        <v>18</v>
      </c>
      <c r="I2140" t="s">
        <v>14</v>
      </c>
      <c r="K2140" t="str">
        <v>premium</v>
      </c>
      <c r="L2140">
        <v>61</v>
      </c>
    </row>
    <row r="2141" spans="2:12" x14ac:dyDescent="0.3">
      <c r="B2141" t="s">
        <v>2006</v>
      </c>
      <c r="C2141">
        <v>94</v>
      </c>
      <c r="D2141" t="s">
        <v>45</v>
      </c>
      <c r="E2141">
        <v>52</v>
      </c>
      <c r="F2141">
        <v>75</v>
      </c>
      <c r="G2141">
        <v>140.51</v>
      </c>
      <c r="H2141" t="s">
        <v>18</v>
      </c>
      <c r="I2141" t="s">
        <v>5</v>
      </c>
      <c r="K2141" t="str">
        <v>premium</v>
      </c>
      <c r="L2141">
        <v>63.5</v>
      </c>
    </row>
    <row r="2142" spans="2:12" x14ac:dyDescent="0.3">
      <c r="B2142" t="s">
        <v>2007</v>
      </c>
      <c r="C2142">
        <v>94</v>
      </c>
      <c r="D2142" t="s">
        <v>45</v>
      </c>
      <c r="E2142">
        <v>59</v>
      </c>
      <c r="F2142">
        <v>79</v>
      </c>
      <c r="G2142">
        <v>100.77</v>
      </c>
      <c r="H2142" t="s">
        <v>18</v>
      </c>
      <c r="I2142" t="s">
        <v>15</v>
      </c>
      <c r="K2142" t="str">
        <v>premium</v>
      </c>
      <c r="L2142">
        <v>69</v>
      </c>
    </row>
    <row r="2143" spans="2:12" x14ac:dyDescent="0.3">
      <c r="B2143" t="s">
        <v>2008</v>
      </c>
      <c r="C2143">
        <v>95</v>
      </c>
      <c r="D2143" t="s">
        <v>82</v>
      </c>
      <c r="E2143">
        <v>53</v>
      </c>
      <c r="F2143">
        <v>65</v>
      </c>
      <c r="G2143">
        <v>4.8899999999999997</v>
      </c>
      <c r="H2143" t="s">
        <v>18</v>
      </c>
      <c r="I2143" t="s">
        <v>12</v>
      </c>
      <c r="K2143" t="str">
        <v>budget</v>
      </c>
      <c r="L2143">
        <v>59</v>
      </c>
    </row>
    <row r="2144" spans="2:12" x14ac:dyDescent="0.3">
      <c r="B2144" t="s">
        <v>2009</v>
      </c>
      <c r="C2144">
        <v>94</v>
      </c>
      <c r="D2144" t="s">
        <v>45</v>
      </c>
      <c r="E2144">
        <v>54</v>
      </c>
      <c r="F2144">
        <v>76</v>
      </c>
      <c r="G2144">
        <v>113.76</v>
      </c>
      <c r="H2144" t="s">
        <v>18</v>
      </c>
      <c r="I2144" t="s">
        <v>5</v>
      </c>
      <c r="K2144" t="str">
        <v>premium</v>
      </c>
      <c r="L2144">
        <v>65</v>
      </c>
    </row>
    <row r="2145" spans="2:12" x14ac:dyDescent="0.3">
      <c r="B2145" t="s">
        <v>2010</v>
      </c>
      <c r="C2145">
        <v>94</v>
      </c>
      <c r="D2145" t="s">
        <v>82</v>
      </c>
      <c r="E2145">
        <v>50</v>
      </c>
      <c r="F2145">
        <v>59</v>
      </c>
      <c r="G2145">
        <v>4.1399999999999997</v>
      </c>
      <c r="H2145" t="s">
        <v>18</v>
      </c>
      <c r="I2145" t="s">
        <v>12</v>
      </c>
      <c r="K2145" t="str">
        <v>budget</v>
      </c>
      <c r="L2145">
        <v>54.5</v>
      </c>
    </row>
    <row r="2146" spans="2:12" x14ac:dyDescent="0.3">
      <c r="B2146" t="s">
        <v>1919</v>
      </c>
      <c r="C2146">
        <v>95</v>
      </c>
      <c r="D2146" t="s">
        <v>82</v>
      </c>
      <c r="E2146">
        <v>48</v>
      </c>
      <c r="F2146">
        <v>63</v>
      </c>
      <c r="G2146">
        <v>326.82</v>
      </c>
      <c r="H2146" t="s">
        <v>18</v>
      </c>
      <c r="I2146" t="s">
        <v>16</v>
      </c>
      <c r="K2146" t="str">
        <v>premium</v>
      </c>
      <c r="L2146">
        <v>55.5</v>
      </c>
    </row>
    <row r="2147" spans="2:12" x14ac:dyDescent="0.3">
      <c r="B2147" t="s">
        <v>2011</v>
      </c>
      <c r="C2147">
        <v>96</v>
      </c>
      <c r="D2147" t="s">
        <v>541</v>
      </c>
      <c r="E2147">
        <v>44</v>
      </c>
      <c r="F2147">
        <v>56</v>
      </c>
      <c r="G2147">
        <v>619.29999999999995</v>
      </c>
      <c r="H2147" t="s">
        <v>18</v>
      </c>
      <c r="I2147" t="s">
        <v>12</v>
      </c>
      <c r="K2147" t="str">
        <v>premium</v>
      </c>
      <c r="L2147">
        <v>50</v>
      </c>
    </row>
    <row r="2148" spans="2:12" x14ac:dyDescent="0.3">
      <c r="B2148" t="s">
        <v>2012</v>
      </c>
      <c r="C2148">
        <v>97</v>
      </c>
      <c r="D2148" t="s">
        <v>82</v>
      </c>
      <c r="E2148">
        <v>44</v>
      </c>
      <c r="F2148">
        <v>58</v>
      </c>
      <c r="G2148">
        <v>405.76</v>
      </c>
      <c r="H2148" t="s">
        <v>18</v>
      </c>
      <c r="I2148" t="s">
        <v>5</v>
      </c>
      <c r="K2148" t="str">
        <v>premium</v>
      </c>
      <c r="L2148">
        <v>51</v>
      </c>
    </row>
    <row r="2149" spans="2:12" x14ac:dyDescent="0.3">
      <c r="B2149" t="s">
        <v>2013</v>
      </c>
      <c r="C2149">
        <v>94</v>
      </c>
      <c r="D2149" t="s">
        <v>82</v>
      </c>
      <c r="E2149">
        <v>51</v>
      </c>
      <c r="F2149">
        <v>66</v>
      </c>
      <c r="G2149">
        <v>30.44</v>
      </c>
      <c r="H2149" t="s">
        <v>18</v>
      </c>
      <c r="I2149" t="s">
        <v>5</v>
      </c>
      <c r="K2149" t="str">
        <v>middle</v>
      </c>
      <c r="L2149">
        <v>58.5</v>
      </c>
    </row>
    <row r="2150" spans="2:12" x14ac:dyDescent="0.3">
      <c r="B2150" t="s">
        <v>2014</v>
      </c>
      <c r="C2150">
        <v>96</v>
      </c>
      <c r="D2150" t="s">
        <v>45</v>
      </c>
      <c r="E2150">
        <v>53</v>
      </c>
      <c r="F2150">
        <v>69</v>
      </c>
      <c r="G2150">
        <v>9.1</v>
      </c>
      <c r="H2150" t="s">
        <v>18</v>
      </c>
      <c r="I2150" t="s">
        <v>17</v>
      </c>
      <c r="K2150" t="str">
        <v>budget</v>
      </c>
      <c r="L2150">
        <v>61</v>
      </c>
    </row>
    <row r="2151" spans="2:12" x14ac:dyDescent="0.3">
      <c r="B2151" t="s">
        <v>2015</v>
      </c>
      <c r="C2151">
        <v>96</v>
      </c>
      <c r="D2151" t="s">
        <v>45</v>
      </c>
      <c r="E2151">
        <v>52</v>
      </c>
      <c r="F2151">
        <v>71</v>
      </c>
      <c r="G2151">
        <v>30.12</v>
      </c>
      <c r="H2151" t="s">
        <v>18</v>
      </c>
      <c r="I2151" t="s">
        <v>12</v>
      </c>
      <c r="K2151" t="str">
        <v>middle</v>
      </c>
      <c r="L2151">
        <v>61.5</v>
      </c>
    </row>
    <row r="2152" spans="2:12" x14ac:dyDescent="0.3">
      <c r="B2152" t="s">
        <v>868</v>
      </c>
      <c r="C2152">
        <v>96</v>
      </c>
      <c r="D2152" t="s">
        <v>82</v>
      </c>
      <c r="E2152">
        <v>51</v>
      </c>
      <c r="F2152">
        <v>69</v>
      </c>
      <c r="G2152">
        <v>18.190000000000001</v>
      </c>
      <c r="H2152" t="s">
        <v>18</v>
      </c>
      <c r="I2152" t="s">
        <v>5</v>
      </c>
      <c r="K2152" t="str">
        <v>budget</v>
      </c>
      <c r="L2152">
        <v>60</v>
      </c>
    </row>
    <row r="2153" spans="2:12" x14ac:dyDescent="0.3">
      <c r="B2153" t="s">
        <v>1990</v>
      </c>
      <c r="C2153">
        <v>97</v>
      </c>
      <c r="D2153" t="s">
        <v>82</v>
      </c>
      <c r="E2153">
        <v>51</v>
      </c>
      <c r="F2153">
        <v>65</v>
      </c>
      <c r="G2153">
        <v>80.14</v>
      </c>
      <c r="H2153" t="s">
        <v>18</v>
      </c>
      <c r="I2153" t="s">
        <v>5</v>
      </c>
      <c r="K2153" t="str">
        <v>middle</v>
      </c>
      <c r="L2153">
        <v>58</v>
      </c>
    </row>
    <row r="2154" spans="2:12" x14ac:dyDescent="0.3">
      <c r="B2154" t="s">
        <v>2016</v>
      </c>
      <c r="C2154">
        <v>97</v>
      </c>
      <c r="D2154" t="s">
        <v>82</v>
      </c>
      <c r="E2154">
        <v>45</v>
      </c>
      <c r="F2154">
        <v>70</v>
      </c>
      <c r="G2154">
        <v>323.33999999999997</v>
      </c>
      <c r="H2154" t="s">
        <v>18</v>
      </c>
      <c r="I2154" t="s">
        <v>12</v>
      </c>
      <c r="K2154" t="str">
        <v>premium</v>
      </c>
      <c r="L2154">
        <v>57.5</v>
      </c>
    </row>
    <row r="2155" spans="2:12" x14ac:dyDescent="0.3">
      <c r="B2155" t="s">
        <v>2017</v>
      </c>
      <c r="C2155">
        <v>95</v>
      </c>
      <c r="D2155" t="s">
        <v>41</v>
      </c>
      <c r="E2155">
        <v>63</v>
      </c>
      <c r="F2155">
        <v>86</v>
      </c>
      <c r="G2155">
        <v>52.2</v>
      </c>
      <c r="H2155" t="s">
        <v>18</v>
      </c>
      <c r="I2155" t="s">
        <v>9</v>
      </c>
      <c r="K2155" t="str">
        <v>middle</v>
      </c>
      <c r="L2155">
        <v>74.5</v>
      </c>
    </row>
    <row r="2156" spans="2:12" x14ac:dyDescent="0.3">
      <c r="B2156" t="s">
        <v>2018</v>
      </c>
      <c r="C2156">
        <v>95</v>
      </c>
      <c r="D2156" t="s">
        <v>82</v>
      </c>
      <c r="E2156">
        <v>44</v>
      </c>
      <c r="F2156">
        <v>58</v>
      </c>
      <c r="G2156">
        <v>477.67</v>
      </c>
      <c r="H2156" t="s">
        <v>18</v>
      </c>
      <c r="I2156" t="s">
        <v>12</v>
      </c>
      <c r="K2156" t="str">
        <v>premium</v>
      </c>
      <c r="L2156">
        <v>51</v>
      </c>
    </row>
    <row r="2157" spans="2:12" x14ac:dyDescent="0.3">
      <c r="B2157" t="s">
        <v>2019</v>
      </c>
      <c r="C2157">
        <v>97</v>
      </c>
      <c r="D2157" t="s">
        <v>45</v>
      </c>
      <c r="E2157">
        <v>57</v>
      </c>
      <c r="F2157">
        <v>78</v>
      </c>
      <c r="G2157">
        <v>57.46</v>
      </c>
      <c r="H2157" t="s">
        <v>18</v>
      </c>
      <c r="I2157" t="s">
        <v>9</v>
      </c>
      <c r="K2157" t="str">
        <v>middle</v>
      </c>
      <c r="L2157">
        <v>67.5</v>
      </c>
    </row>
    <row r="2158" spans="2:12" x14ac:dyDescent="0.3">
      <c r="B2158" t="s">
        <v>2020</v>
      </c>
      <c r="C2158">
        <v>94</v>
      </c>
      <c r="D2158" t="s">
        <v>82</v>
      </c>
      <c r="E2158">
        <v>55</v>
      </c>
      <c r="F2158">
        <v>66</v>
      </c>
      <c r="G2158">
        <v>414.95</v>
      </c>
      <c r="H2158" t="s">
        <v>18</v>
      </c>
      <c r="I2158" t="s">
        <v>14</v>
      </c>
      <c r="K2158" t="str">
        <v>premium</v>
      </c>
      <c r="L2158">
        <v>60.5</v>
      </c>
    </row>
    <row r="2159" spans="2:12" x14ac:dyDescent="0.3">
      <c r="B2159" t="s">
        <v>2021</v>
      </c>
      <c r="C2159">
        <v>95</v>
      </c>
      <c r="D2159" t="s">
        <v>82</v>
      </c>
      <c r="E2159">
        <v>50</v>
      </c>
      <c r="F2159">
        <v>62</v>
      </c>
      <c r="G2159">
        <v>111.72</v>
      </c>
      <c r="H2159" t="s">
        <v>18</v>
      </c>
      <c r="I2159" t="s">
        <v>21</v>
      </c>
      <c r="K2159" t="str">
        <v>premium</v>
      </c>
      <c r="L2159">
        <v>56</v>
      </c>
    </row>
    <row r="2160" spans="2:12" x14ac:dyDescent="0.3">
      <c r="B2160" t="s">
        <v>2022</v>
      </c>
      <c r="C2160">
        <v>94</v>
      </c>
      <c r="D2160" t="s">
        <v>545</v>
      </c>
      <c r="E2160">
        <v>30</v>
      </c>
      <c r="F2160">
        <v>44</v>
      </c>
      <c r="G2160">
        <v>286.60000000000002</v>
      </c>
      <c r="H2160" t="s">
        <v>18</v>
      </c>
      <c r="I2160" t="s">
        <v>150</v>
      </c>
      <c r="K2160" t="str">
        <v>premium</v>
      </c>
      <c r="L2160">
        <v>37</v>
      </c>
    </row>
    <row r="2161" spans="2:12" x14ac:dyDescent="0.3">
      <c r="B2161" t="s">
        <v>2023</v>
      </c>
      <c r="C2161">
        <v>94</v>
      </c>
      <c r="D2161" t="s">
        <v>541</v>
      </c>
      <c r="E2161">
        <v>39</v>
      </c>
      <c r="F2161">
        <v>57</v>
      </c>
      <c r="G2161">
        <v>159.26</v>
      </c>
      <c r="H2161" t="s">
        <v>18</v>
      </c>
      <c r="I2161" t="s">
        <v>150</v>
      </c>
      <c r="K2161" t="str">
        <v>premium</v>
      </c>
      <c r="L2161">
        <v>48</v>
      </c>
    </row>
    <row r="2162" spans="2:12" x14ac:dyDescent="0.3">
      <c r="B2162" t="s">
        <v>2024</v>
      </c>
      <c r="C2162">
        <v>94</v>
      </c>
      <c r="D2162" t="s">
        <v>82</v>
      </c>
      <c r="E2162">
        <v>46</v>
      </c>
      <c r="F2162">
        <v>58</v>
      </c>
      <c r="G2162">
        <v>194.62</v>
      </c>
      <c r="H2162" t="s">
        <v>18</v>
      </c>
      <c r="I2162" t="s">
        <v>14</v>
      </c>
      <c r="K2162" t="str">
        <v>premium</v>
      </c>
      <c r="L2162">
        <v>52</v>
      </c>
    </row>
    <row r="2163" spans="2:12" x14ac:dyDescent="0.3">
      <c r="B2163" t="s">
        <v>2025</v>
      </c>
      <c r="C2163">
        <v>94</v>
      </c>
      <c r="D2163" t="s">
        <v>541</v>
      </c>
      <c r="E2163">
        <v>46</v>
      </c>
      <c r="F2163">
        <v>53</v>
      </c>
      <c r="G2163">
        <v>98.84</v>
      </c>
      <c r="H2163" t="s">
        <v>18</v>
      </c>
      <c r="I2163" t="s">
        <v>14</v>
      </c>
      <c r="K2163" t="str">
        <v>middle</v>
      </c>
      <c r="L2163">
        <v>49.5</v>
      </c>
    </row>
    <row r="2164" spans="2:12" x14ac:dyDescent="0.3">
      <c r="B2164" t="s">
        <v>2026</v>
      </c>
      <c r="C2164">
        <v>94</v>
      </c>
      <c r="D2164" t="s">
        <v>82</v>
      </c>
      <c r="E2164">
        <v>49</v>
      </c>
      <c r="F2164">
        <v>65</v>
      </c>
      <c r="G2164">
        <v>106.56</v>
      </c>
      <c r="H2164" t="s">
        <v>18</v>
      </c>
      <c r="I2164" t="s">
        <v>14</v>
      </c>
      <c r="K2164" t="str">
        <v>premium</v>
      </c>
      <c r="L2164">
        <v>57</v>
      </c>
    </row>
    <row r="2165" spans="2:12" x14ac:dyDescent="0.3">
      <c r="B2165" t="s">
        <v>2027</v>
      </c>
      <c r="C2165">
        <v>96</v>
      </c>
      <c r="D2165" t="s">
        <v>82</v>
      </c>
      <c r="E2165">
        <v>52</v>
      </c>
      <c r="F2165">
        <v>66</v>
      </c>
      <c r="G2165">
        <v>13.17</v>
      </c>
      <c r="H2165" t="s">
        <v>18</v>
      </c>
      <c r="I2165" t="s">
        <v>14</v>
      </c>
      <c r="K2165" t="str">
        <v>budget</v>
      </c>
      <c r="L2165">
        <v>59</v>
      </c>
    </row>
    <row r="2166" spans="2:12" x14ac:dyDescent="0.3">
      <c r="B2166" t="s">
        <v>2028</v>
      </c>
      <c r="C2166">
        <v>94</v>
      </c>
      <c r="D2166" t="s">
        <v>45</v>
      </c>
      <c r="E2166">
        <v>57</v>
      </c>
      <c r="F2166">
        <v>68</v>
      </c>
      <c r="G2166">
        <v>5.63</v>
      </c>
      <c r="H2166" t="s">
        <v>18</v>
      </c>
      <c r="I2166" t="s">
        <v>14</v>
      </c>
      <c r="K2166" t="str">
        <v>budget</v>
      </c>
      <c r="L2166">
        <v>62.5</v>
      </c>
    </row>
    <row r="2167" spans="2:12" x14ac:dyDescent="0.3">
      <c r="B2167" t="s">
        <v>2029</v>
      </c>
      <c r="C2167">
        <v>96</v>
      </c>
      <c r="D2167" t="s">
        <v>45</v>
      </c>
      <c r="E2167">
        <v>55</v>
      </c>
      <c r="F2167">
        <v>72</v>
      </c>
      <c r="G2167">
        <v>252.88</v>
      </c>
      <c r="H2167" t="s">
        <v>18</v>
      </c>
      <c r="I2167" t="s">
        <v>12</v>
      </c>
      <c r="K2167" t="str">
        <v>premium</v>
      </c>
      <c r="L2167">
        <v>63.5</v>
      </c>
    </row>
    <row r="2168" spans="2:12" x14ac:dyDescent="0.3">
      <c r="B2168" t="s">
        <v>2030</v>
      </c>
      <c r="C2168">
        <v>96</v>
      </c>
      <c r="D2168" t="s">
        <v>45</v>
      </c>
      <c r="E2168">
        <v>58</v>
      </c>
      <c r="F2168">
        <v>71</v>
      </c>
      <c r="G2168">
        <v>10.38</v>
      </c>
      <c r="H2168" t="s">
        <v>18</v>
      </c>
      <c r="I2168" t="s">
        <v>21</v>
      </c>
      <c r="K2168" t="str">
        <v>budget</v>
      </c>
      <c r="L2168">
        <v>64.5</v>
      </c>
    </row>
    <row r="2169" spans="2:12" x14ac:dyDescent="0.3">
      <c r="B2169" t="s">
        <v>2031</v>
      </c>
      <c r="C2169">
        <v>95</v>
      </c>
      <c r="D2169" t="s">
        <v>82</v>
      </c>
      <c r="E2169">
        <v>49</v>
      </c>
      <c r="F2169">
        <v>60</v>
      </c>
      <c r="G2169">
        <v>3.89</v>
      </c>
      <c r="H2169" t="s">
        <v>18</v>
      </c>
      <c r="I2169" t="s">
        <v>21</v>
      </c>
      <c r="K2169" t="str">
        <v>budget</v>
      </c>
      <c r="L2169">
        <v>54.5</v>
      </c>
    </row>
    <row r="2170" spans="2:12" x14ac:dyDescent="0.3">
      <c r="B2170" t="s">
        <v>1990</v>
      </c>
      <c r="C2170">
        <v>95</v>
      </c>
      <c r="D2170" t="s">
        <v>45</v>
      </c>
      <c r="E2170">
        <v>56</v>
      </c>
      <c r="F2170">
        <v>69</v>
      </c>
      <c r="G2170">
        <v>7.64</v>
      </c>
      <c r="H2170" t="s">
        <v>18</v>
      </c>
      <c r="I2170" t="s">
        <v>5</v>
      </c>
      <c r="K2170" t="str">
        <v>budget</v>
      </c>
      <c r="L2170">
        <v>62.5</v>
      </c>
    </row>
    <row r="2171" spans="2:12" x14ac:dyDescent="0.3">
      <c r="B2171" t="s">
        <v>2032</v>
      </c>
      <c r="C2171">
        <v>95</v>
      </c>
      <c r="D2171" t="s">
        <v>45</v>
      </c>
      <c r="E2171">
        <v>55</v>
      </c>
      <c r="F2171">
        <v>71</v>
      </c>
      <c r="G2171">
        <v>11.13</v>
      </c>
      <c r="H2171" t="s">
        <v>18</v>
      </c>
      <c r="I2171" t="s">
        <v>22</v>
      </c>
      <c r="K2171" t="str">
        <v>budget</v>
      </c>
      <c r="L2171">
        <v>63</v>
      </c>
    </row>
    <row r="2172" spans="2:12" x14ac:dyDescent="0.3">
      <c r="B2172" t="s">
        <v>2033</v>
      </c>
      <c r="C2172">
        <v>96</v>
      </c>
      <c r="D2172" t="s">
        <v>82</v>
      </c>
      <c r="E2172">
        <v>52</v>
      </c>
      <c r="F2172">
        <v>65</v>
      </c>
      <c r="G2172">
        <v>7.39</v>
      </c>
      <c r="H2172" t="s">
        <v>18</v>
      </c>
      <c r="I2172" t="s">
        <v>12</v>
      </c>
      <c r="K2172" t="str">
        <v>budget</v>
      </c>
      <c r="L2172">
        <v>58.5</v>
      </c>
    </row>
    <row r="2173" spans="2:12" x14ac:dyDescent="0.3">
      <c r="B2173" t="s">
        <v>1919</v>
      </c>
      <c r="C2173">
        <v>94</v>
      </c>
      <c r="D2173" t="s">
        <v>541</v>
      </c>
      <c r="E2173">
        <v>46</v>
      </c>
      <c r="F2173">
        <v>54</v>
      </c>
      <c r="G2173">
        <v>134.6</v>
      </c>
      <c r="H2173" t="s">
        <v>18</v>
      </c>
      <c r="I2173" t="s">
        <v>16</v>
      </c>
      <c r="K2173" t="str">
        <v>premium</v>
      </c>
      <c r="L2173">
        <v>50</v>
      </c>
    </row>
    <row r="2174" spans="2:12" x14ac:dyDescent="0.3">
      <c r="B2174" t="s">
        <v>1919</v>
      </c>
      <c r="C2174">
        <v>94</v>
      </c>
      <c r="D2174" t="s">
        <v>541</v>
      </c>
      <c r="E2174">
        <v>42</v>
      </c>
      <c r="F2174">
        <v>51</v>
      </c>
      <c r="G2174">
        <v>76.73</v>
      </c>
      <c r="H2174" t="s">
        <v>18</v>
      </c>
      <c r="I2174" t="s">
        <v>16</v>
      </c>
      <c r="K2174" t="str">
        <v>middle</v>
      </c>
      <c r="L2174">
        <v>46.5</v>
      </c>
    </row>
    <row r="2175" spans="2:12" x14ac:dyDescent="0.3">
      <c r="B2175" t="s">
        <v>2034</v>
      </c>
      <c r="C2175">
        <v>94</v>
      </c>
      <c r="D2175" t="s">
        <v>541</v>
      </c>
      <c r="E2175">
        <v>43</v>
      </c>
      <c r="F2175">
        <v>49</v>
      </c>
      <c r="G2175">
        <v>4.88</v>
      </c>
      <c r="H2175" t="s">
        <v>18</v>
      </c>
      <c r="I2175" t="s">
        <v>9</v>
      </c>
      <c r="K2175" t="str">
        <v>budget</v>
      </c>
      <c r="L2175">
        <v>46</v>
      </c>
    </row>
    <row r="2176" spans="2:12" x14ac:dyDescent="0.3">
      <c r="B2176" t="s">
        <v>2035</v>
      </c>
      <c r="C2176">
        <v>94</v>
      </c>
      <c r="D2176" t="s">
        <v>82</v>
      </c>
      <c r="E2176">
        <v>56</v>
      </c>
      <c r="F2176">
        <v>63</v>
      </c>
      <c r="G2176">
        <v>7.52</v>
      </c>
      <c r="H2176" t="s">
        <v>18</v>
      </c>
      <c r="I2176" t="s">
        <v>14</v>
      </c>
      <c r="K2176" t="str">
        <v>budget</v>
      </c>
      <c r="L2176">
        <v>59.5</v>
      </c>
    </row>
    <row r="2177" spans="1:12" x14ac:dyDescent="0.3">
      <c r="B2177" t="s">
        <v>2036</v>
      </c>
      <c r="C2177">
        <v>95</v>
      </c>
      <c r="D2177" t="s">
        <v>45</v>
      </c>
      <c r="E2177">
        <v>54</v>
      </c>
      <c r="F2177">
        <v>73</v>
      </c>
      <c r="G2177">
        <v>51.33</v>
      </c>
      <c r="H2177" t="s">
        <v>18</v>
      </c>
      <c r="I2177" t="s">
        <v>9</v>
      </c>
      <c r="K2177" t="str">
        <v>middle</v>
      </c>
      <c r="L2177">
        <v>63.5</v>
      </c>
    </row>
    <row r="2178" spans="1:12" x14ac:dyDescent="0.3">
      <c r="B2178" t="s">
        <v>2037</v>
      </c>
      <c r="C2178">
        <v>94</v>
      </c>
      <c r="D2178" t="s">
        <v>82</v>
      </c>
      <c r="E2178">
        <v>51</v>
      </c>
      <c r="F2178">
        <v>68</v>
      </c>
      <c r="G2178">
        <v>122.5</v>
      </c>
      <c r="H2178" t="s">
        <v>18</v>
      </c>
      <c r="I2178" t="s">
        <v>16</v>
      </c>
      <c r="K2178" t="str">
        <v>premium</v>
      </c>
      <c r="L2178">
        <v>59.5</v>
      </c>
    </row>
    <row r="2179" spans="1:12" x14ac:dyDescent="0.3">
      <c r="B2179" t="s">
        <v>2038</v>
      </c>
      <c r="C2179">
        <v>94</v>
      </c>
      <c r="D2179" t="s">
        <v>82</v>
      </c>
      <c r="E2179">
        <v>51</v>
      </c>
      <c r="F2179">
        <v>64</v>
      </c>
      <c r="G2179">
        <v>75.599999999999994</v>
      </c>
      <c r="H2179" t="s">
        <v>18</v>
      </c>
      <c r="I2179" t="s">
        <v>7</v>
      </c>
      <c r="K2179" t="str">
        <v>middle</v>
      </c>
      <c r="L2179">
        <v>57.5</v>
      </c>
    </row>
    <row r="2180" spans="1:12" x14ac:dyDescent="0.3">
      <c r="B2180" t="s">
        <v>2039</v>
      </c>
      <c r="C2180">
        <v>94</v>
      </c>
      <c r="D2180" t="s">
        <v>545</v>
      </c>
      <c r="E2180">
        <v>35</v>
      </c>
      <c r="F2180">
        <v>43</v>
      </c>
      <c r="G2180">
        <v>205.91</v>
      </c>
      <c r="H2180" t="s">
        <v>18</v>
      </c>
      <c r="I2180" t="s">
        <v>12</v>
      </c>
      <c r="K2180" t="str">
        <v>premium</v>
      </c>
      <c r="L2180">
        <v>39</v>
      </c>
    </row>
    <row r="2181" spans="1:12" x14ac:dyDescent="0.3">
      <c r="B2181" t="s">
        <v>2040</v>
      </c>
      <c r="C2181">
        <v>94</v>
      </c>
      <c r="D2181" t="s">
        <v>45</v>
      </c>
      <c r="E2181">
        <v>55</v>
      </c>
      <c r="F2181">
        <v>72</v>
      </c>
      <c r="G2181">
        <v>47.23</v>
      </c>
      <c r="H2181" t="s">
        <v>18</v>
      </c>
      <c r="I2181" t="s">
        <v>21</v>
      </c>
      <c r="K2181" t="str">
        <v>middle</v>
      </c>
      <c r="L2181">
        <v>63.5</v>
      </c>
    </row>
    <row r="2182" spans="1:12" x14ac:dyDescent="0.3">
      <c r="B2182" t="s">
        <v>2041</v>
      </c>
      <c r="C2182">
        <v>94</v>
      </c>
      <c r="D2182" t="s">
        <v>82</v>
      </c>
      <c r="E2182">
        <v>53</v>
      </c>
      <c r="F2182">
        <v>64</v>
      </c>
      <c r="G2182">
        <v>249.35</v>
      </c>
      <c r="H2182" t="s">
        <v>18</v>
      </c>
      <c r="I2182" t="s">
        <v>21</v>
      </c>
      <c r="K2182" t="str">
        <v>premium</v>
      </c>
      <c r="L2182">
        <v>58.5</v>
      </c>
    </row>
    <row r="2183" spans="1:12" x14ac:dyDescent="0.3">
      <c r="B2183" t="s">
        <v>2042</v>
      </c>
      <c r="C2183">
        <v>94</v>
      </c>
      <c r="D2183" t="s">
        <v>541</v>
      </c>
      <c r="E2183">
        <v>46</v>
      </c>
      <c r="F2183">
        <v>54</v>
      </c>
      <c r="G2183">
        <v>134.6</v>
      </c>
      <c r="H2183" t="s">
        <v>18</v>
      </c>
      <c r="I2183" t="s">
        <v>22</v>
      </c>
      <c r="K2183" t="str">
        <v>premium</v>
      </c>
      <c r="L2183">
        <v>50</v>
      </c>
    </row>
    <row r="2184" spans="1:12" x14ac:dyDescent="0.3">
      <c r="B2184" t="s">
        <v>2043</v>
      </c>
      <c r="C2184">
        <v>95</v>
      </c>
      <c r="D2184" t="s">
        <v>82</v>
      </c>
      <c r="E2184">
        <v>49</v>
      </c>
      <c r="F2184">
        <v>66</v>
      </c>
      <c r="G2184">
        <v>10</v>
      </c>
      <c r="H2184" t="s">
        <v>18</v>
      </c>
      <c r="I2184" t="s">
        <v>12</v>
      </c>
      <c r="K2184" t="str">
        <v>budget</v>
      </c>
      <c r="L2184">
        <v>57.5</v>
      </c>
    </row>
    <row r="2185" spans="1:12" x14ac:dyDescent="0.3">
      <c r="B2185" t="s">
        <v>1717</v>
      </c>
      <c r="C2185">
        <v>94</v>
      </c>
      <c r="D2185" t="s">
        <v>82</v>
      </c>
      <c r="E2185">
        <v>43</v>
      </c>
      <c r="F2185">
        <v>76</v>
      </c>
      <c r="G2185">
        <v>180.28</v>
      </c>
      <c r="H2185" t="s">
        <v>18</v>
      </c>
      <c r="I2185" t="s">
        <v>12</v>
      </c>
      <c r="K2185" t="str">
        <v>premium</v>
      </c>
      <c r="L2185">
        <v>59.5</v>
      </c>
    </row>
    <row r="2186" spans="1:12" x14ac:dyDescent="0.3">
      <c r="B2186" t="s">
        <v>12</v>
      </c>
      <c r="C2186">
        <v>94</v>
      </c>
      <c r="D2186" t="s">
        <v>541</v>
      </c>
      <c r="E2186">
        <v>42</v>
      </c>
      <c r="F2186">
        <v>47</v>
      </c>
      <c r="G2186">
        <v>106.72</v>
      </c>
      <c r="H2186" t="s">
        <v>18</v>
      </c>
      <c r="I2186" t="s">
        <v>12</v>
      </c>
      <c r="K2186" t="str">
        <v>premium</v>
      </c>
      <c r="L2186">
        <v>44.5</v>
      </c>
    </row>
    <row r="2187" spans="1:12" x14ac:dyDescent="0.3">
      <c r="B2187" t="s">
        <v>2044</v>
      </c>
      <c r="C2187">
        <v>94</v>
      </c>
      <c r="D2187" t="s">
        <v>2045</v>
      </c>
      <c r="E2187">
        <v>0</v>
      </c>
      <c r="F2187">
        <v>66</v>
      </c>
      <c r="G2187">
        <v>184.51</v>
      </c>
      <c r="H2187" t="s">
        <v>18</v>
      </c>
      <c r="I2187" t="s">
        <v>7</v>
      </c>
      <c r="K2187" t="str">
        <v>premium</v>
      </c>
      <c r="L2187">
        <v>33</v>
      </c>
    </row>
    <row r="2188" spans="1:12" x14ac:dyDescent="0.3">
      <c r="B2188" t="s">
        <v>2046</v>
      </c>
      <c r="C2188">
        <v>94</v>
      </c>
      <c r="D2188" t="s">
        <v>45</v>
      </c>
      <c r="E2188">
        <v>75</v>
      </c>
      <c r="F2188">
        <v>63</v>
      </c>
      <c r="G2188">
        <v>224.33</v>
      </c>
      <c r="H2188" t="s">
        <v>18</v>
      </c>
      <c r="I2188" t="s">
        <v>22</v>
      </c>
      <c r="K2188" t="str">
        <v>premium</v>
      </c>
      <c r="L2188">
        <v>69</v>
      </c>
    </row>
    <row r="2189" spans="1:12" x14ac:dyDescent="0.3">
      <c r="B2189" t="s">
        <v>2047</v>
      </c>
      <c r="C2189">
        <v>94</v>
      </c>
      <c r="D2189" t="s">
        <v>545</v>
      </c>
      <c r="E2189">
        <v>38</v>
      </c>
      <c r="F2189">
        <v>43</v>
      </c>
      <c r="G2189">
        <v>198.56</v>
      </c>
      <c r="H2189" t="s">
        <v>18</v>
      </c>
      <c r="I2189" t="s">
        <v>150</v>
      </c>
      <c r="K2189" t="str">
        <v>premium</v>
      </c>
      <c r="L2189">
        <v>40.5</v>
      </c>
    </row>
    <row r="2190" spans="1:12" x14ac:dyDescent="0.3">
      <c r="B2190" t="s">
        <v>2048</v>
      </c>
      <c r="C2190">
        <v>94</v>
      </c>
      <c r="D2190" t="s">
        <v>541</v>
      </c>
      <c r="E2190">
        <v>38</v>
      </c>
      <c r="F2190">
        <v>44</v>
      </c>
      <c r="G2190">
        <v>198.57</v>
      </c>
      <c r="H2190" t="s">
        <v>18</v>
      </c>
      <c r="I2190" t="s">
        <v>150</v>
      </c>
      <c r="K2190" t="str">
        <v>premium</v>
      </c>
      <c r="L2190">
        <v>41</v>
      </c>
    </row>
    <row r="2191" spans="1:12" x14ac:dyDescent="0.3">
      <c r="A2191" t="s">
        <v>2054</v>
      </c>
      <c r="C2191">
        <f>AVERAGE(C3:C2190)</f>
        <v>94.539305301645342</v>
      </c>
      <c r="E2191">
        <f>AVERAGE(E3:E2190)</f>
        <v>57.514625228519193</v>
      </c>
      <c r="F2191">
        <f t="shared" ref="F2191:G2191" si="0">AVERAGE(F3:F2190)</f>
        <v>76.818098720292511</v>
      </c>
      <c r="G2191">
        <f t="shared" si="0"/>
        <v>98.968615173675616</v>
      </c>
    </row>
    <row r="2192" spans="1:12" x14ac:dyDescent="0.3">
      <c r="A2192" t="s">
        <v>2055</v>
      </c>
      <c r="C2192">
        <f>MIN(C3:C2190)</f>
        <v>94</v>
      </c>
      <c r="E2192">
        <f t="shared" ref="E2192:G2192" si="1">MIN(E3:E2190)</f>
        <v>0</v>
      </c>
      <c r="F2192">
        <f t="shared" si="1"/>
        <v>43</v>
      </c>
      <c r="G2192">
        <f t="shared" si="1"/>
        <v>0.22</v>
      </c>
    </row>
    <row r="2193" spans="1:7" x14ac:dyDescent="0.3">
      <c r="A2193" t="s">
        <v>2056</v>
      </c>
      <c r="C2193">
        <f>MAX(C3:C2190)</f>
        <v>98</v>
      </c>
      <c r="E2193">
        <f t="shared" ref="E2193:G2193" si="2">MAX(E3:E2190)</f>
        <v>85</v>
      </c>
      <c r="F2193">
        <f t="shared" si="2"/>
        <v>105</v>
      </c>
      <c r="G2193">
        <f t="shared" si="2"/>
        <v>6000</v>
      </c>
    </row>
    <row r="2194" spans="1:7" x14ac:dyDescent="0.3">
      <c r="A2194" t="s">
        <v>2057</v>
      </c>
      <c r="C2194">
        <f>COUNTIF(C3:C2190,"&gt;94.53")</f>
        <v>885</v>
      </c>
      <c r="E2194">
        <f>COUNTIF(E3:E2190,"&gt;57.51")</f>
        <v>1271</v>
      </c>
      <c r="F2194">
        <f>COUNTIF(F3:F2190,"&gt;77.1")</f>
        <v>1164</v>
      </c>
      <c r="G2194">
        <f>COUNTIF(G3:G2190,"&gt;98.96")</f>
        <v>597</v>
      </c>
    </row>
    <row r="2195" spans="1:7" x14ac:dyDescent="0.3">
      <c r="A2195" t="s">
        <v>2058</v>
      </c>
      <c r="C2195">
        <f>COUNTIF(C4:C2190,"&lt;94.53")</f>
        <v>1302</v>
      </c>
      <c r="E2195">
        <f>COUNTIF(E4:E2190,"&lt;57.51")</f>
        <v>917</v>
      </c>
      <c r="F2195">
        <f>COUNTIF(F4:F2190,"&lt;77.1")</f>
        <v>1024</v>
      </c>
      <c r="G2195">
        <f>COUNTIF(G4:G2190,"&lt;98.96")</f>
        <v>1590</v>
      </c>
    </row>
  </sheetData>
  <autoFilter ref="H2:I2195" xr:uid="{9F99B5BB-8C2B-4F58-9B81-42733265EE33}"/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D8B6-456C-4F92-A6B5-3B19B6FF5843}">
  <dimension ref="A1:N2189"/>
  <sheetViews>
    <sheetView tabSelected="1" topLeftCell="D48" zoomScale="101" workbookViewId="0">
      <selection activeCell="J55" sqref="J55"/>
    </sheetView>
  </sheetViews>
  <sheetFormatPr defaultRowHeight="14.4" x14ac:dyDescent="0.3"/>
  <cols>
    <col min="10" max="10" width="28.33203125" customWidth="1"/>
    <col min="11" max="11" width="13" bestFit="1" customWidth="1"/>
    <col min="12" max="12" width="24.109375" bestFit="1" customWidth="1"/>
  </cols>
  <sheetData>
    <row r="1" spans="1:14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2069</v>
      </c>
      <c r="M1" s="5" t="s">
        <v>2068</v>
      </c>
      <c r="N1" s="5" t="s">
        <v>2069</v>
      </c>
    </row>
    <row r="2" spans="1:14" x14ac:dyDescent="0.3">
      <c r="A2" t="s">
        <v>40</v>
      </c>
      <c r="B2">
        <v>94</v>
      </c>
      <c r="C2" t="s">
        <v>41</v>
      </c>
      <c r="D2">
        <v>62</v>
      </c>
      <c r="E2">
        <v>82</v>
      </c>
      <c r="F2">
        <v>13.22</v>
      </c>
      <c r="G2" t="s">
        <v>18</v>
      </c>
      <c r="H2" t="s">
        <v>14</v>
      </c>
      <c r="I2" t="str">
        <f>_xlfn.XLOOKUP(H2, $M$2:$M$50, $N$2:$N$50, "Other")</f>
        <v>America</v>
      </c>
      <c r="M2" t="str" cm="1">
        <f t="array" ref="M2:M26">_xlfn.UNIQUE(H2:H2189)</f>
        <v>Colombia</v>
      </c>
      <c r="N2" t="s">
        <v>2070</v>
      </c>
    </row>
    <row r="3" spans="1:14" x14ac:dyDescent="0.3">
      <c r="A3" t="s">
        <v>42</v>
      </c>
      <c r="B3">
        <v>94</v>
      </c>
      <c r="C3" t="s">
        <v>41</v>
      </c>
      <c r="D3">
        <v>63</v>
      </c>
      <c r="E3">
        <v>87</v>
      </c>
      <c r="F3">
        <v>10.14</v>
      </c>
      <c r="G3" t="s">
        <v>18</v>
      </c>
      <c r="H3" t="s">
        <v>14</v>
      </c>
      <c r="I3" t="str">
        <f t="shared" ref="I3:I66" si="0">_xlfn.XLOOKUP(H3, $M$2:$M$50, $N$2:$N$50, "Other")</f>
        <v>America</v>
      </c>
      <c r="M3" t="str">
        <v>Ethiopia</v>
      </c>
      <c r="N3" t="s">
        <v>2071</v>
      </c>
    </row>
    <row r="4" spans="1:14" x14ac:dyDescent="0.3">
      <c r="A4" t="s">
        <v>43</v>
      </c>
      <c r="B4">
        <v>94</v>
      </c>
      <c r="C4" t="s">
        <v>41</v>
      </c>
      <c r="D4">
        <v>64</v>
      </c>
      <c r="E4">
        <v>88</v>
      </c>
      <c r="F4">
        <v>10</v>
      </c>
      <c r="G4" t="s">
        <v>18</v>
      </c>
      <c r="H4" t="s">
        <v>9</v>
      </c>
      <c r="I4" t="str">
        <f t="shared" si="0"/>
        <v>Africa</v>
      </c>
      <c r="M4" t="str">
        <v>Taiwan</v>
      </c>
      <c r="N4" t="s">
        <v>2072</v>
      </c>
    </row>
    <row r="5" spans="1:14" x14ac:dyDescent="0.3">
      <c r="A5" t="s">
        <v>44</v>
      </c>
      <c r="B5">
        <v>96</v>
      </c>
      <c r="C5" t="s">
        <v>45</v>
      </c>
      <c r="D5">
        <v>55</v>
      </c>
      <c r="E5">
        <v>77</v>
      </c>
      <c r="F5">
        <v>110.23</v>
      </c>
      <c r="G5" t="s">
        <v>2</v>
      </c>
      <c r="H5" t="s">
        <v>9</v>
      </c>
      <c r="I5" t="str">
        <f t="shared" si="0"/>
        <v>Africa</v>
      </c>
      <c r="M5" t="str">
        <v>Peru</v>
      </c>
      <c r="N5" t="s">
        <v>2070</v>
      </c>
    </row>
    <row r="6" spans="1:14" x14ac:dyDescent="0.3">
      <c r="A6" t="s">
        <v>46</v>
      </c>
      <c r="B6">
        <v>95</v>
      </c>
      <c r="C6" t="s">
        <v>45</v>
      </c>
      <c r="D6">
        <v>62</v>
      </c>
      <c r="E6">
        <v>78</v>
      </c>
      <c r="F6">
        <v>176.37</v>
      </c>
      <c r="G6" t="s">
        <v>2</v>
      </c>
      <c r="H6" t="s">
        <v>9</v>
      </c>
      <c r="I6" t="str">
        <f t="shared" si="0"/>
        <v>Africa</v>
      </c>
      <c r="M6" t="str">
        <v>Tanzania</v>
      </c>
      <c r="N6" t="s">
        <v>2071</v>
      </c>
    </row>
    <row r="7" spans="1:14" x14ac:dyDescent="0.3">
      <c r="A7" t="s">
        <v>47</v>
      </c>
      <c r="B7">
        <v>95</v>
      </c>
      <c r="C7" t="s">
        <v>45</v>
      </c>
      <c r="D7">
        <v>60</v>
      </c>
      <c r="E7">
        <v>78</v>
      </c>
      <c r="F7">
        <v>17.2</v>
      </c>
      <c r="G7" t="s">
        <v>2</v>
      </c>
      <c r="H7" t="s">
        <v>9</v>
      </c>
      <c r="I7" t="str">
        <f t="shared" si="0"/>
        <v>Africa</v>
      </c>
      <c r="M7" t="str">
        <v>Ecuador</v>
      </c>
      <c r="N7" t="s">
        <v>2070</v>
      </c>
    </row>
    <row r="8" spans="1:14" x14ac:dyDescent="0.3">
      <c r="A8" t="s">
        <v>48</v>
      </c>
      <c r="B8">
        <v>95</v>
      </c>
      <c r="C8" t="s">
        <v>45</v>
      </c>
      <c r="D8">
        <v>60</v>
      </c>
      <c r="E8">
        <v>78</v>
      </c>
      <c r="F8">
        <v>705.47</v>
      </c>
      <c r="G8" t="s">
        <v>2</v>
      </c>
      <c r="H8" t="s">
        <v>2</v>
      </c>
      <c r="I8" t="str">
        <f t="shared" si="0"/>
        <v>Asia-Pacific</v>
      </c>
      <c r="M8" t="str">
        <v>Costa Rica</v>
      </c>
      <c r="N8" t="s">
        <v>2070</v>
      </c>
    </row>
    <row r="9" spans="1:14" x14ac:dyDescent="0.3">
      <c r="A9" t="s">
        <v>49</v>
      </c>
      <c r="B9">
        <v>94</v>
      </c>
      <c r="C9" t="s">
        <v>45</v>
      </c>
      <c r="D9">
        <v>60</v>
      </c>
      <c r="E9">
        <v>80</v>
      </c>
      <c r="F9">
        <v>154.32</v>
      </c>
      <c r="G9" t="s">
        <v>2</v>
      </c>
      <c r="H9" t="s">
        <v>14</v>
      </c>
      <c r="I9" t="str">
        <f t="shared" si="0"/>
        <v>America</v>
      </c>
      <c r="M9" t="str">
        <v>Brazil</v>
      </c>
      <c r="N9" t="s">
        <v>2070</v>
      </c>
    </row>
    <row r="10" spans="1:14" x14ac:dyDescent="0.3">
      <c r="A10" t="s">
        <v>50</v>
      </c>
      <c r="B10">
        <v>94</v>
      </c>
      <c r="C10" t="s">
        <v>45</v>
      </c>
      <c r="D10">
        <v>58</v>
      </c>
      <c r="E10">
        <v>77</v>
      </c>
      <c r="F10">
        <v>264.55</v>
      </c>
      <c r="G10" t="s">
        <v>2</v>
      </c>
      <c r="H10" t="s">
        <v>6</v>
      </c>
      <c r="I10" t="str">
        <f t="shared" si="0"/>
        <v>America</v>
      </c>
      <c r="M10" t="str">
        <v>Kenya</v>
      </c>
      <c r="N10" t="s">
        <v>2071</v>
      </c>
    </row>
    <row r="11" spans="1:14" x14ac:dyDescent="0.3">
      <c r="A11" t="s">
        <v>51</v>
      </c>
      <c r="B11">
        <v>94</v>
      </c>
      <c r="C11" t="s">
        <v>41</v>
      </c>
      <c r="D11">
        <v>60</v>
      </c>
      <c r="E11">
        <v>84</v>
      </c>
      <c r="F11">
        <v>529.1</v>
      </c>
      <c r="G11" t="s">
        <v>2</v>
      </c>
      <c r="H11" t="s">
        <v>2</v>
      </c>
      <c r="I11" t="str">
        <f t="shared" si="0"/>
        <v>Asia-Pacific</v>
      </c>
      <c r="M11" t="str">
        <v>USA</v>
      </c>
      <c r="N11" t="s">
        <v>2070</v>
      </c>
    </row>
    <row r="12" spans="1:14" x14ac:dyDescent="0.3">
      <c r="A12" t="s">
        <v>52</v>
      </c>
      <c r="B12">
        <v>94</v>
      </c>
      <c r="C12" t="s">
        <v>41</v>
      </c>
      <c r="D12">
        <v>60</v>
      </c>
      <c r="E12">
        <v>86</v>
      </c>
      <c r="F12">
        <v>145.5</v>
      </c>
      <c r="G12" t="s">
        <v>2</v>
      </c>
      <c r="H12" t="s">
        <v>9</v>
      </c>
      <c r="I12" t="str">
        <f t="shared" si="0"/>
        <v>Africa</v>
      </c>
      <c r="M12" t="str">
        <v>Rwanda</v>
      </c>
      <c r="N12" t="s">
        <v>2071</v>
      </c>
    </row>
    <row r="13" spans="1:14" x14ac:dyDescent="0.3">
      <c r="A13" t="s">
        <v>53</v>
      </c>
      <c r="B13">
        <v>95</v>
      </c>
      <c r="C13" t="s">
        <v>41</v>
      </c>
      <c r="D13">
        <v>60</v>
      </c>
      <c r="E13">
        <v>84</v>
      </c>
      <c r="F13">
        <v>11.9</v>
      </c>
      <c r="G13" t="s">
        <v>18</v>
      </c>
      <c r="H13" t="s">
        <v>14</v>
      </c>
      <c r="I13" t="str">
        <f t="shared" si="0"/>
        <v>America</v>
      </c>
      <c r="M13" t="str">
        <v>Guatemala</v>
      </c>
      <c r="N13" t="s">
        <v>2070</v>
      </c>
    </row>
    <row r="14" spans="1:14" x14ac:dyDescent="0.3">
      <c r="A14" t="s">
        <v>54</v>
      </c>
      <c r="B14">
        <v>95</v>
      </c>
      <c r="C14" t="s">
        <v>41</v>
      </c>
      <c r="D14">
        <v>62</v>
      </c>
      <c r="E14">
        <v>84</v>
      </c>
      <c r="F14">
        <v>11.46</v>
      </c>
      <c r="G14" t="s">
        <v>18</v>
      </c>
      <c r="H14" t="s">
        <v>14</v>
      </c>
      <c r="I14" t="str">
        <f t="shared" si="0"/>
        <v>America</v>
      </c>
      <c r="M14" t="str">
        <v>Panama</v>
      </c>
      <c r="N14" t="s">
        <v>2070</v>
      </c>
    </row>
    <row r="15" spans="1:14" x14ac:dyDescent="0.3">
      <c r="A15" t="s">
        <v>55</v>
      </c>
      <c r="B15">
        <v>94</v>
      </c>
      <c r="C15" t="s">
        <v>45</v>
      </c>
      <c r="D15">
        <v>59</v>
      </c>
      <c r="E15">
        <v>81</v>
      </c>
      <c r="F15">
        <v>6.47</v>
      </c>
      <c r="G15" t="s">
        <v>18</v>
      </c>
      <c r="H15" t="s">
        <v>20</v>
      </c>
      <c r="I15" t="str">
        <f t="shared" si="0"/>
        <v>Africa</v>
      </c>
      <c r="M15" t="str">
        <v>Mexico</v>
      </c>
      <c r="N15" t="s">
        <v>2070</v>
      </c>
    </row>
    <row r="16" spans="1:14" x14ac:dyDescent="0.3">
      <c r="A16" t="s">
        <v>56</v>
      </c>
      <c r="B16">
        <v>94</v>
      </c>
      <c r="C16" t="s">
        <v>41</v>
      </c>
      <c r="D16">
        <v>62</v>
      </c>
      <c r="E16">
        <v>82</v>
      </c>
      <c r="F16">
        <v>275</v>
      </c>
      <c r="G16" t="s">
        <v>2</v>
      </c>
      <c r="H16" t="s">
        <v>9</v>
      </c>
      <c r="I16" t="str">
        <f t="shared" si="0"/>
        <v>Africa</v>
      </c>
      <c r="M16" t="str">
        <v>Yemen</v>
      </c>
      <c r="N16" t="s">
        <v>2071</v>
      </c>
    </row>
    <row r="17" spans="1:14" x14ac:dyDescent="0.3">
      <c r="A17" t="s">
        <v>57</v>
      </c>
      <c r="B17">
        <v>94</v>
      </c>
      <c r="C17" t="s">
        <v>41</v>
      </c>
      <c r="D17">
        <v>63</v>
      </c>
      <c r="E17">
        <v>85</v>
      </c>
      <c r="F17">
        <v>275</v>
      </c>
      <c r="G17" t="s">
        <v>2</v>
      </c>
      <c r="H17" t="s">
        <v>9</v>
      </c>
      <c r="I17" t="str">
        <f t="shared" si="0"/>
        <v>Africa</v>
      </c>
      <c r="M17" t="str">
        <v>Indonesia</v>
      </c>
      <c r="N17" t="s">
        <v>2072</v>
      </c>
    </row>
    <row r="18" spans="1:14" x14ac:dyDescent="0.3">
      <c r="A18" t="s">
        <v>58</v>
      </c>
      <c r="B18">
        <v>96</v>
      </c>
      <c r="C18" t="s">
        <v>45</v>
      </c>
      <c r="D18">
        <v>60</v>
      </c>
      <c r="E18">
        <v>77</v>
      </c>
      <c r="F18">
        <v>14.11</v>
      </c>
      <c r="G18" t="s">
        <v>18</v>
      </c>
      <c r="H18" t="s">
        <v>4</v>
      </c>
      <c r="I18" t="str">
        <f t="shared" si="0"/>
        <v>America</v>
      </c>
      <c r="M18" t="str">
        <v>El Salvador</v>
      </c>
      <c r="N18" t="s">
        <v>2070</v>
      </c>
    </row>
    <row r="19" spans="1:14" x14ac:dyDescent="0.3">
      <c r="A19" t="s">
        <v>59</v>
      </c>
      <c r="B19">
        <v>95</v>
      </c>
      <c r="C19" t="s">
        <v>41</v>
      </c>
      <c r="D19">
        <v>60</v>
      </c>
      <c r="E19">
        <v>88</v>
      </c>
      <c r="F19">
        <v>8.82</v>
      </c>
      <c r="G19" t="s">
        <v>18</v>
      </c>
      <c r="H19" t="s">
        <v>15</v>
      </c>
      <c r="I19" t="str">
        <f t="shared" si="0"/>
        <v>America</v>
      </c>
      <c r="M19" t="str">
        <v>Unknown</v>
      </c>
      <c r="N19" t="s">
        <v>2073</v>
      </c>
    </row>
    <row r="20" spans="1:14" x14ac:dyDescent="0.3">
      <c r="A20" t="s">
        <v>60</v>
      </c>
      <c r="B20">
        <v>95</v>
      </c>
      <c r="C20" t="s">
        <v>41</v>
      </c>
      <c r="D20">
        <v>65</v>
      </c>
      <c r="E20">
        <v>87</v>
      </c>
      <c r="F20">
        <v>10.58</v>
      </c>
      <c r="G20" t="s">
        <v>18</v>
      </c>
      <c r="H20" t="s">
        <v>9</v>
      </c>
      <c r="I20" t="str">
        <f t="shared" si="0"/>
        <v>Africa</v>
      </c>
      <c r="M20" t="str">
        <v>Honduras</v>
      </c>
      <c r="N20" t="s">
        <v>2070</v>
      </c>
    </row>
    <row r="21" spans="1:14" x14ac:dyDescent="0.3">
      <c r="A21" t="s">
        <v>61</v>
      </c>
      <c r="B21">
        <v>94</v>
      </c>
      <c r="C21" t="s">
        <v>45</v>
      </c>
      <c r="D21">
        <v>59</v>
      </c>
      <c r="E21">
        <v>77</v>
      </c>
      <c r="F21">
        <v>6.17</v>
      </c>
      <c r="G21" t="s">
        <v>18</v>
      </c>
      <c r="H21" t="s">
        <v>3</v>
      </c>
      <c r="I21" t="str">
        <f t="shared" si="0"/>
        <v>America</v>
      </c>
      <c r="M21" t="str">
        <v>Burundi</v>
      </c>
      <c r="N21" t="s">
        <v>2071</v>
      </c>
    </row>
    <row r="22" spans="1:14" x14ac:dyDescent="0.3">
      <c r="A22" t="s">
        <v>62</v>
      </c>
      <c r="B22">
        <v>94</v>
      </c>
      <c r="C22" t="s">
        <v>41</v>
      </c>
      <c r="D22">
        <v>61</v>
      </c>
      <c r="E22">
        <v>82</v>
      </c>
      <c r="F22">
        <v>8.23</v>
      </c>
      <c r="G22" t="s">
        <v>18</v>
      </c>
      <c r="H22" t="s">
        <v>9</v>
      </c>
      <c r="I22" t="str">
        <f t="shared" si="0"/>
        <v>Africa</v>
      </c>
      <c r="M22" t="str">
        <v>Papua New Guinea</v>
      </c>
      <c r="N22" t="s">
        <v>2072</v>
      </c>
    </row>
    <row r="23" spans="1:14" x14ac:dyDescent="0.3">
      <c r="A23" t="s">
        <v>63</v>
      </c>
      <c r="B23">
        <v>95</v>
      </c>
      <c r="C23" t="s">
        <v>41</v>
      </c>
      <c r="D23">
        <v>63</v>
      </c>
      <c r="E23">
        <v>87</v>
      </c>
      <c r="F23">
        <v>9.41</v>
      </c>
      <c r="G23" t="s">
        <v>18</v>
      </c>
      <c r="H23" t="s">
        <v>14</v>
      </c>
      <c r="I23" t="str">
        <f t="shared" si="0"/>
        <v>America</v>
      </c>
      <c r="M23" t="str">
        <v>Nicaragua</v>
      </c>
      <c r="N23" t="s">
        <v>2070</v>
      </c>
    </row>
    <row r="24" spans="1:14" x14ac:dyDescent="0.3">
      <c r="A24" t="s">
        <v>64</v>
      </c>
      <c r="B24">
        <v>94</v>
      </c>
      <c r="C24" t="s">
        <v>41</v>
      </c>
      <c r="D24">
        <v>61</v>
      </c>
      <c r="E24">
        <v>81</v>
      </c>
      <c r="F24">
        <v>246.47</v>
      </c>
      <c r="G24" t="s">
        <v>2</v>
      </c>
      <c r="H24" t="s">
        <v>14</v>
      </c>
      <c r="I24" t="str">
        <f t="shared" si="0"/>
        <v>America</v>
      </c>
      <c r="M24" t="str">
        <v>Democratic Republic of the Congo</v>
      </c>
      <c r="N24" t="s">
        <v>2071</v>
      </c>
    </row>
    <row r="25" spans="1:14" x14ac:dyDescent="0.3">
      <c r="A25" t="s">
        <v>65</v>
      </c>
      <c r="B25">
        <v>94</v>
      </c>
      <c r="C25" t="s">
        <v>41</v>
      </c>
      <c r="D25">
        <v>65</v>
      </c>
      <c r="E25">
        <v>87</v>
      </c>
      <c r="F25">
        <v>145.06</v>
      </c>
      <c r="G25" t="s">
        <v>2</v>
      </c>
      <c r="H25" t="s">
        <v>9</v>
      </c>
      <c r="I25" t="str">
        <f t="shared" si="0"/>
        <v>Africa</v>
      </c>
      <c r="M25" t="str">
        <v>China</v>
      </c>
      <c r="N25" t="s">
        <v>2072</v>
      </c>
    </row>
    <row r="26" spans="1:14" x14ac:dyDescent="0.3">
      <c r="A26" t="s">
        <v>66</v>
      </c>
      <c r="B26">
        <v>94</v>
      </c>
      <c r="C26" t="s">
        <v>41</v>
      </c>
      <c r="D26">
        <v>66</v>
      </c>
      <c r="E26">
        <v>88</v>
      </c>
      <c r="F26">
        <v>470</v>
      </c>
      <c r="G26" t="s">
        <v>2</v>
      </c>
      <c r="H26" t="s">
        <v>14</v>
      </c>
      <c r="I26" t="str">
        <f t="shared" si="0"/>
        <v>America</v>
      </c>
      <c r="M26" t="str">
        <v>Bolivia</v>
      </c>
      <c r="N26" t="s">
        <v>2070</v>
      </c>
    </row>
    <row r="27" spans="1:14" x14ac:dyDescent="0.3">
      <c r="A27" t="s">
        <v>67</v>
      </c>
      <c r="B27">
        <v>95</v>
      </c>
      <c r="C27" t="s">
        <v>41</v>
      </c>
      <c r="D27">
        <v>66</v>
      </c>
      <c r="E27">
        <v>86</v>
      </c>
      <c r="F27">
        <v>211.64</v>
      </c>
      <c r="G27" t="s">
        <v>2</v>
      </c>
      <c r="H27" t="s">
        <v>12</v>
      </c>
      <c r="I27" t="str">
        <f t="shared" si="0"/>
        <v>Africa</v>
      </c>
    </row>
    <row r="28" spans="1:14" x14ac:dyDescent="0.3">
      <c r="A28" t="s">
        <v>68</v>
      </c>
      <c r="B28">
        <v>97</v>
      </c>
      <c r="C28" t="s">
        <v>41</v>
      </c>
      <c r="D28">
        <v>62</v>
      </c>
      <c r="E28">
        <v>84</v>
      </c>
      <c r="F28">
        <v>16.75</v>
      </c>
      <c r="G28" t="s">
        <v>18</v>
      </c>
      <c r="H28" t="s">
        <v>18</v>
      </c>
      <c r="I28" t="str">
        <f t="shared" si="0"/>
        <v>America</v>
      </c>
    </row>
    <row r="29" spans="1:14" x14ac:dyDescent="0.3">
      <c r="A29" t="s">
        <v>69</v>
      </c>
      <c r="B29">
        <v>95</v>
      </c>
      <c r="C29" t="s">
        <v>45</v>
      </c>
      <c r="D29">
        <v>60</v>
      </c>
      <c r="E29">
        <v>80</v>
      </c>
      <c r="F29">
        <v>15.52</v>
      </c>
      <c r="G29" t="s">
        <v>18</v>
      </c>
      <c r="H29" t="s">
        <v>18</v>
      </c>
      <c r="I29" t="str">
        <f t="shared" si="0"/>
        <v>America</v>
      </c>
      <c r="K29" s="1" t="s">
        <v>0</v>
      </c>
      <c r="L29" t="s">
        <v>1</v>
      </c>
    </row>
    <row r="30" spans="1:14" x14ac:dyDescent="0.3">
      <c r="A30" t="s">
        <v>70</v>
      </c>
      <c r="B30">
        <v>95</v>
      </c>
      <c r="C30" t="s">
        <v>41</v>
      </c>
      <c r="D30">
        <v>65</v>
      </c>
      <c r="E30">
        <v>87</v>
      </c>
      <c r="F30">
        <v>17.64</v>
      </c>
      <c r="G30" t="s">
        <v>18</v>
      </c>
      <c r="H30" t="s">
        <v>14</v>
      </c>
      <c r="I30" t="str">
        <f t="shared" si="0"/>
        <v>America</v>
      </c>
      <c r="K30" s="2" t="s">
        <v>2070</v>
      </c>
      <c r="L30" s="3">
        <v>110.41752360965383</v>
      </c>
    </row>
    <row r="31" spans="1:14" x14ac:dyDescent="0.3">
      <c r="A31" t="s">
        <v>71</v>
      </c>
      <c r="B31">
        <v>95</v>
      </c>
      <c r="C31" t="s">
        <v>41</v>
      </c>
      <c r="D31">
        <v>64</v>
      </c>
      <c r="E31">
        <v>86</v>
      </c>
      <c r="F31">
        <v>8.23</v>
      </c>
      <c r="G31" t="s">
        <v>18</v>
      </c>
      <c r="H31" t="s">
        <v>17</v>
      </c>
      <c r="I31" t="str">
        <f t="shared" si="0"/>
        <v>Africa</v>
      </c>
      <c r="K31" s="2" t="s">
        <v>2072</v>
      </c>
      <c r="L31" s="3">
        <v>108.9820560747664</v>
      </c>
    </row>
    <row r="32" spans="1:14" x14ac:dyDescent="0.3">
      <c r="A32" t="s">
        <v>72</v>
      </c>
      <c r="B32">
        <v>95</v>
      </c>
      <c r="C32" t="s">
        <v>41</v>
      </c>
      <c r="D32">
        <v>64</v>
      </c>
      <c r="E32">
        <v>86</v>
      </c>
      <c r="F32">
        <v>12.79</v>
      </c>
      <c r="G32" t="s">
        <v>18</v>
      </c>
      <c r="H32" t="s">
        <v>4</v>
      </c>
      <c r="I32" t="str">
        <f t="shared" si="0"/>
        <v>America</v>
      </c>
      <c r="K32" s="2" t="s">
        <v>2071</v>
      </c>
      <c r="L32" s="3">
        <v>90.537767083734266</v>
      </c>
    </row>
    <row r="33" spans="1:12" x14ac:dyDescent="0.3">
      <c r="A33" t="s">
        <v>73</v>
      </c>
      <c r="B33">
        <v>94</v>
      </c>
      <c r="C33" t="s">
        <v>45</v>
      </c>
      <c r="D33">
        <v>59</v>
      </c>
      <c r="E33">
        <v>80</v>
      </c>
      <c r="F33">
        <v>6.47</v>
      </c>
      <c r="G33" t="s">
        <v>18</v>
      </c>
      <c r="H33" t="s">
        <v>6</v>
      </c>
      <c r="I33" t="str">
        <f t="shared" si="0"/>
        <v>America</v>
      </c>
      <c r="K33" s="2" t="s">
        <v>26</v>
      </c>
      <c r="L33" s="3">
        <v>100.50391615054825</v>
      </c>
    </row>
    <row r="34" spans="1:12" x14ac:dyDescent="0.3">
      <c r="A34" t="s">
        <v>74</v>
      </c>
      <c r="B34">
        <v>95</v>
      </c>
      <c r="C34" t="s">
        <v>41</v>
      </c>
      <c r="D34">
        <v>62</v>
      </c>
      <c r="E34">
        <v>84</v>
      </c>
      <c r="F34">
        <v>5.88</v>
      </c>
      <c r="G34" t="s">
        <v>18</v>
      </c>
      <c r="H34" t="s">
        <v>9</v>
      </c>
      <c r="I34" t="str">
        <f t="shared" si="0"/>
        <v>Africa</v>
      </c>
    </row>
    <row r="35" spans="1:12" x14ac:dyDescent="0.3">
      <c r="A35" t="s">
        <v>75</v>
      </c>
      <c r="B35">
        <v>94</v>
      </c>
      <c r="C35" t="s">
        <v>45</v>
      </c>
      <c r="D35">
        <v>61</v>
      </c>
      <c r="E35">
        <v>79</v>
      </c>
      <c r="F35">
        <v>6.76</v>
      </c>
      <c r="G35" t="s">
        <v>18</v>
      </c>
      <c r="H35" t="s">
        <v>9</v>
      </c>
      <c r="I35" t="str">
        <f t="shared" si="0"/>
        <v>Africa</v>
      </c>
    </row>
    <row r="36" spans="1:12" x14ac:dyDescent="0.3">
      <c r="A36" t="s">
        <v>76</v>
      </c>
      <c r="B36">
        <v>94</v>
      </c>
      <c r="C36" t="s">
        <v>45</v>
      </c>
      <c r="D36">
        <v>52</v>
      </c>
      <c r="E36">
        <v>73</v>
      </c>
      <c r="F36">
        <v>14.81</v>
      </c>
      <c r="G36" t="s">
        <v>18</v>
      </c>
      <c r="H36" t="s">
        <v>18</v>
      </c>
      <c r="I36" t="str">
        <f t="shared" si="0"/>
        <v>America</v>
      </c>
    </row>
    <row r="37" spans="1:12" x14ac:dyDescent="0.3">
      <c r="A37" t="s">
        <v>77</v>
      </c>
      <c r="B37">
        <v>95</v>
      </c>
      <c r="C37" t="s">
        <v>45</v>
      </c>
      <c r="D37">
        <v>60</v>
      </c>
      <c r="E37">
        <v>78</v>
      </c>
      <c r="F37">
        <v>15.52</v>
      </c>
      <c r="G37" t="s">
        <v>18</v>
      </c>
      <c r="H37" t="s">
        <v>18</v>
      </c>
      <c r="I37" t="str">
        <f t="shared" si="0"/>
        <v>America</v>
      </c>
    </row>
    <row r="38" spans="1:12" x14ac:dyDescent="0.3">
      <c r="A38" t="s">
        <v>78</v>
      </c>
      <c r="B38">
        <v>94</v>
      </c>
      <c r="C38" t="s">
        <v>45</v>
      </c>
      <c r="D38">
        <v>57</v>
      </c>
      <c r="E38">
        <v>78</v>
      </c>
      <c r="F38">
        <v>15.52</v>
      </c>
      <c r="G38" t="s">
        <v>18</v>
      </c>
      <c r="H38" t="s">
        <v>18</v>
      </c>
      <c r="I38" t="str">
        <f t="shared" si="0"/>
        <v>America</v>
      </c>
    </row>
    <row r="39" spans="1:12" x14ac:dyDescent="0.3">
      <c r="A39" t="s">
        <v>79</v>
      </c>
      <c r="B39">
        <v>94</v>
      </c>
      <c r="C39" t="s">
        <v>45</v>
      </c>
      <c r="D39">
        <v>57</v>
      </c>
      <c r="E39">
        <v>79</v>
      </c>
      <c r="F39">
        <v>5.86</v>
      </c>
      <c r="G39" t="s">
        <v>18</v>
      </c>
      <c r="H39" t="s">
        <v>7</v>
      </c>
      <c r="I39" t="str">
        <f t="shared" si="0"/>
        <v>America</v>
      </c>
    </row>
    <row r="40" spans="1:12" x14ac:dyDescent="0.3">
      <c r="A40" t="s">
        <v>80</v>
      </c>
      <c r="B40">
        <v>94</v>
      </c>
      <c r="C40" t="s">
        <v>45</v>
      </c>
      <c r="D40">
        <v>52</v>
      </c>
      <c r="E40">
        <v>74</v>
      </c>
      <c r="F40">
        <v>4.99</v>
      </c>
      <c r="G40" t="s">
        <v>18</v>
      </c>
      <c r="H40" t="s">
        <v>9</v>
      </c>
      <c r="I40" t="str">
        <f t="shared" si="0"/>
        <v>Africa</v>
      </c>
    </row>
    <row r="41" spans="1:12" x14ac:dyDescent="0.3">
      <c r="A41" t="s">
        <v>81</v>
      </c>
      <c r="B41">
        <v>95</v>
      </c>
      <c r="C41" t="s">
        <v>82</v>
      </c>
      <c r="D41">
        <v>52</v>
      </c>
      <c r="E41">
        <v>64</v>
      </c>
      <c r="F41">
        <v>8.9700000000000006</v>
      </c>
      <c r="G41" t="s">
        <v>18</v>
      </c>
      <c r="H41" t="s">
        <v>14</v>
      </c>
      <c r="I41" t="str">
        <f t="shared" si="0"/>
        <v>America</v>
      </c>
    </row>
    <row r="42" spans="1:12" x14ac:dyDescent="0.3">
      <c r="A42" t="s">
        <v>83</v>
      </c>
      <c r="B42">
        <v>94</v>
      </c>
      <c r="C42" t="s">
        <v>45</v>
      </c>
      <c r="D42">
        <v>59</v>
      </c>
      <c r="E42">
        <v>81</v>
      </c>
      <c r="F42">
        <v>11.01</v>
      </c>
      <c r="G42" t="s">
        <v>18</v>
      </c>
      <c r="H42" t="s">
        <v>14</v>
      </c>
      <c r="I42" t="str">
        <f t="shared" si="0"/>
        <v>America</v>
      </c>
    </row>
    <row r="43" spans="1:12" x14ac:dyDescent="0.3">
      <c r="A43" t="s">
        <v>84</v>
      </c>
      <c r="B43">
        <v>94</v>
      </c>
      <c r="C43" t="s">
        <v>45</v>
      </c>
      <c r="D43">
        <v>58</v>
      </c>
      <c r="E43">
        <v>81</v>
      </c>
      <c r="F43">
        <v>35.26</v>
      </c>
      <c r="G43" t="s">
        <v>18</v>
      </c>
      <c r="H43" t="s">
        <v>5</v>
      </c>
      <c r="I43" t="str">
        <f t="shared" si="0"/>
        <v>America</v>
      </c>
    </row>
    <row r="44" spans="1:12" x14ac:dyDescent="0.3">
      <c r="A44" t="s">
        <v>85</v>
      </c>
      <c r="B44">
        <v>94</v>
      </c>
      <c r="C44" t="s">
        <v>45</v>
      </c>
      <c r="D44">
        <v>56</v>
      </c>
      <c r="E44">
        <v>82</v>
      </c>
      <c r="F44">
        <v>6.47</v>
      </c>
      <c r="G44" t="s">
        <v>18</v>
      </c>
      <c r="H44" t="s">
        <v>15</v>
      </c>
      <c r="I44" t="str">
        <f t="shared" si="0"/>
        <v>America</v>
      </c>
    </row>
    <row r="45" spans="1:12" x14ac:dyDescent="0.3">
      <c r="A45" t="s">
        <v>86</v>
      </c>
      <c r="B45">
        <v>94</v>
      </c>
      <c r="C45" t="s">
        <v>41</v>
      </c>
      <c r="D45">
        <v>67</v>
      </c>
      <c r="E45">
        <v>88</v>
      </c>
      <c r="F45">
        <v>220.26</v>
      </c>
      <c r="G45" t="s">
        <v>2</v>
      </c>
      <c r="H45" t="s">
        <v>9</v>
      </c>
      <c r="I45" t="str">
        <f t="shared" si="0"/>
        <v>Africa</v>
      </c>
    </row>
    <row r="46" spans="1:12" x14ac:dyDescent="0.3">
      <c r="A46" t="s">
        <v>87</v>
      </c>
      <c r="B46">
        <v>95</v>
      </c>
      <c r="C46" t="s">
        <v>41</v>
      </c>
      <c r="D46">
        <v>61</v>
      </c>
      <c r="E46">
        <v>83</v>
      </c>
      <c r="F46">
        <v>6.17</v>
      </c>
      <c r="G46" t="s">
        <v>18</v>
      </c>
      <c r="H46" t="s">
        <v>12</v>
      </c>
      <c r="I46" t="str">
        <f t="shared" si="0"/>
        <v>Africa</v>
      </c>
    </row>
    <row r="47" spans="1:12" x14ac:dyDescent="0.3">
      <c r="A47" t="s">
        <v>88</v>
      </c>
      <c r="B47">
        <v>96</v>
      </c>
      <c r="C47" t="s">
        <v>41</v>
      </c>
      <c r="D47">
        <v>64</v>
      </c>
      <c r="E47">
        <v>86</v>
      </c>
      <c r="F47">
        <v>12.79</v>
      </c>
      <c r="G47" t="s">
        <v>18</v>
      </c>
      <c r="H47" t="s">
        <v>14</v>
      </c>
      <c r="I47" t="str">
        <f t="shared" si="0"/>
        <v>America</v>
      </c>
    </row>
    <row r="48" spans="1:12" x14ac:dyDescent="0.3">
      <c r="A48" t="s">
        <v>89</v>
      </c>
      <c r="B48">
        <v>95</v>
      </c>
      <c r="C48" t="s">
        <v>41</v>
      </c>
      <c r="D48">
        <v>62</v>
      </c>
      <c r="E48">
        <v>82</v>
      </c>
      <c r="F48">
        <v>11.02</v>
      </c>
      <c r="G48" t="s">
        <v>18</v>
      </c>
      <c r="H48" t="s">
        <v>14</v>
      </c>
      <c r="I48" t="str">
        <f t="shared" si="0"/>
        <v>America</v>
      </c>
    </row>
    <row r="49" spans="1:12" x14ac:dyDescent="0.3">
      <c r="A49" t="s">
        <v>90</v>
      </c>
      <c r="B49">
        <v>95</v>
      </c>
      <c r="C49" t="s">
        <v>45</v>
      </c>
      <c r="D49">
        <v>59</v>
      </c>
      <c r="E49">
        <v>81</v>
      </c>
      <c r="F49">
        <v>7.35</v>
      </c>
      <c r="G49" t="s">
        <v>18</v>
      </c>
      <c r="H49" t="s">
        <v>12</v>
      </c>
      <c r="I49" t="str">
        <f t="shared" si="0"/>
        <v>Africa</v>
      </c>
    </row>
    <row r="50" spans="1:12" x14ac:dyDescent="0.3">
      <c r="A50" t="s">
        <v>91</v>
      </c>
      <c r="B50">
        <v>95</v>
      </c>
      <c r="C50" t="s">
        <v>41</v>
      </c>
      <c r="D50">
        <v>62</v>
      </c>
      <c r="E50">
        <v>80</v>
      </c>
      <c r="F50">
        <v>11.9</v>
      </c>
      <c r="G50" t="s">
        <v>18</v>
      </c>
      <c r="H50" t="s">
        <v>14</v>
      </c>
      <c r="I50" t="str">
        <f t="shared" si="0"/>
        <v>America</v>
      </c>
    </row>
    <row r="51" spans="1:12" x14ac:dyDescent="0.3">
      <c r="A51" t="s">
        <v>92</v>
      </c>
      <c r="B51">
        <v>94</v>
      </c>
      <c r="C51" t="s">
        <v>45</v>
      </c>
      <c r="D51">
        <v>54</v>
      </c>
      <c r="E51">
        <v>72</v>
      </c>
      <c r="F51">
        <v>5.29</v>
      </c>
      <c r="G51" t="s">
        <v>18</v>
      </c>
      <c r="H51" t="s">
        <v>10</v>
      </c>
      <c r="I51" t="str">
        <f t="shared" si="0"/>
        <v>America</v>
      </c>
    </row>
    <row r="52" spans="1:12" x14ac:dyDescent="0.3">
      <c r="A52" t="s">
        <v>93</v>
      </c>
      <c r="B52">
        <v>96</v>
      </c>
      <c r="C52" t="s">
        <v>41</v>
      </c>
      <c r="D52">
        <v>62</v>
      </c>
      <c r="E52">
        <v>84</v>
      </c>
      <c r="F52">
        <v>154.32</v>
      </c>
      <c r="G52" t="s">
        <v>2</v>
      </c>
      <c r="H52" t="s">
        <v>9</v>
      </c>
      <c r="I52" t="str">
        <f t="shared" si="0"/>
        <v>Africa</v>
      </c>
      <c r="K52" s="1" t="s">
        <v>0</v>
      </c>
      <c r="L52" t="s">
        <v>2051</v>
      </c>
    </row>
    <row r="53" spans="1:12" x14ac:dyDescent="0.3">
      <c r="A53" t="s">
        <v>94</v>
      </c>
      <c r="B53">
        <v>95</v>
      </c>
      <c r="C53" t="s">
        <v>41</v>
      </c>
      <c r="D53">
        <v>62</v>
      </c>
      <c r="E53">
        <v>84</v>
      </c>
      <c r="F53">
        <v>10.58</v>
      </c>
      <c r="G53" t="s">
        <v>18</v>
      </c>
      <c r="H53" t="s">
        <v>15</v>
      </c>
      <c r="I53" t="str">
        <f t="shared" si="0"/>
        <v>America</v>
      </c>
      <c r="K53" s="2" t="s">
        <v>2070</v>
      </c>
      <c r="L53" s="3">
        <v>58.434417628541446</v>
      </c>
    </row>
    <row r="54" spans="1:12" x14ac:dyDescent="0.3">
      <c r="A54" t="s">
        <v>95</v>
      </c>
      <c r="B54">
        <v>94</v>
      </c>
      <c r="C54" t="s">
        <v>45</v>
      </c>
      <c r="D54">
        <v>58</v>
      </c>
      <c r="E54">
        <v>77</v>
      </c>
      <c r="F54">
        <v>370.37</v>
      </c>
      <c r="G54" t="s">
        <v>2</v>
      </c>
      <c r="H54" t="s">
        <v>7</v>
      </c>
      <c r="I54" t="str">
        <f t="shared" si="0"/>
        <v>America</v>
      </c>
      <c r="K54" s="2" t="s">
        <v>2071</v>
      </c>
      <c r="L54" s="3">
        <v>57.269489894128974</v>
      </c>
    </row>
    <row r="55" spans="1:12" x14ac:dyDescent="0.3">
      <c r="A55" t="s">
        <v>96</v>
      </c>
      <c r="B55">
        <v>94</v>
      </c>
      <c r="C55" t="s">
        <v>45</v>
      </c>
      <c r="D55">
        <v>56</v>
      </c>
      <c r="E55">
        <v>76</v>
      </c>
      <c r="F55">
        <v>370.37</v>
      </c>
      <c r="G55" t="s">
        <v>2</v>
      </c>
      <c r="H55" t="s">
        <v>7</v>
      </c>
      <c r="I55" t="str">
        <f t="shared" si="0"/>
        <v>America</v>
      </c>
      <c r="K55" s="2" t="s">
        <v>2072</v>
      </c>
      <c r="L55" s="3">
        <v>54.710280373831779</v>
      </c>
    </row>
    <row r="56" spans="1:12" x14ac:dyDescent="0.3">
      <c r="A56" t="s">
        <v>97</v>
      </c>
      <c r="B56">
        <v>94</v>
      </c>
      <c r="C56" t="s">
        <v>45</v>
      </c>
      <c r="D56">
        <v>57</v>
      </c>
      <c r="E56">
        <v>77</v>
      </c>
      <c r="F56">
        <v>114.64</v>
      </c>
      <c r="G56" t="s">
        <v>2</v>
      </c>
      <c r="H56" t="s">
        <v>7</v>
      </c>
      <c r="I56" t="str">
        <f t="shared" si="0"/>
        <v>America</v>
      </c>
      <c r="K56" s="2" t="s">
        <v>26</v>
      </c>
      <c r="L56" s="3">
        <v>57.667937112910913</v>
      </c>
    </row>
    <row r="57" spans="1:12" x14ac:dyDescent="0.3">
      <c r="A57" t="s">
        <v>98</v>
      </c>
      <c r="B57">
        <v>97</v>
      </c>
      <c r="C57" t="s">
        <v>41</v>
      </c>
      <c r="D57">
        <v>62</v>
      </c>
      <c r="E57">
        <v>84</v>
      </c>
      <c r="F57">
        <v>8.82</v>
      </c>
      <c r="G57" t="s">
        <v>18</v>
      </c>
      <c r="H57" t="s">
        <v>14</v>
      </c>
      <c r="I57" t="str">
        <f t="shared" si="0"/>
        <v>America</v>
      </c>
    </row>
    <row r="58" spans="1:12" x14ac:dyDescent="0.3">
      <c r="A58" t="s">
        <v>99</v>
      </c>
      <c r="B58">
        <v>94</v>
      </c>
      <c r="C58" t="s">
        <v>41</v>
      </c>
      <c r="D58">
        <v>63</v>
      </c>
      <c r="E58">
        <v>85</v>
      </c>
      <c r="F58">
        <v>5.29</v>
      </c>
      <c r="G58" t="s">
        <v>18</v>
      </c>
      <c r="H58" t="s">
        <v>14</v>
      </c>
      <c r="I58" t="str">
        <f t="shared" si="0"/>
        <v>America</v>
      </c>
    </row>
    <row r="59" spans="1:12" x14ac:dyDescent="0.3">
      <c r="A59" t="s">
        <v>100</v>
      </c>
      <c r="B59">
        <v>96</v>
      </c>
      <c r="C59" t="s">
        <v>45</v>
      </c>
      <c r="D59">
        <v>61</v>
      </c>
      <c r="E59">
        <v>79</v>
      </c>
      <c r="F59">
        <v>16.75</v>
      </c>
      <c r="G59" t="s">
        <v>18</v>
      </c>
      <c r="H59" t="s">
        <v>4</v>
      </c>
      <c r="I59" t="str">
        <f t="shared" si="0"/>
        <v>America</v>
      </c>
    </row>
    <row r="60" spans="1:12" x14ac:dyDescent="0.3">
      <c r="A60" t="s">
        <v>101</v>
      </c>
      <c r="B60">
        <v>95</v>
      </c>
      <c r="C60" t="s">
        <v>41</v>
      </c>
      <c r="D60">
        <v>62</v>
      </c>
      <c r="E60">
        <v>86</v>
      </c>
      <c r="F60">
        <v>18.52</v>
      </c>
      <c r="G60" t="s">
        <v>18</v>
      </c>
      <c r="H60" t="s">
        <v>8</v>
      </c>
      <c r="I60" t="str">
        <f t="shared" si="0"/>
        <v>Africa</v>
      </c>
    </row>
    <row r="61" spans="1:12" x14ac:dyDescent="0.3">
      <c r="A61" t="s">
        <v>102</v>
      </c>
      <c r="B61">
        <v>95</v>
      </c>
      <c r="C61" t="s">
        <v>41</v>
      </c>
      <c r="D61">
        <v>62</v>
      </c>
      <c r="E61">
        <v>80</v>
      </c>
      <c r="F61">
        <v>528.63</v>
      </c>
      <c r="G61" t="s">
        <v>2</v>
      </c>
      <c r="H61" t="s">
        <v>12</v>
      </c>
      <c r="I61" t="str">
        <f t="shared" si="0"/>
        <v>Africa</v>
      </c>
    </row>
    <row r="62" spans="1:12" x14ac:dyDescent="0.3">
      <c r="A62" t="s">
        <v>103</v>
      </c>
      <c r="B62">
        <v>94</v>
      </c>
      <c r="C62" t="s">
        <v>45</v>
      </c>
      <c r="D62">
        <v>57</v>
      </c>
      <c r="E62">
        <v>81</v>
      </c>
      <c r="F62">
        <v>528.63</v>
      </c>
      <c r="G62" t="s">
        <v>2</v>
      </c>
      <c r="H62" t="s">
        <v>8</v>
      </c>
      <c r="I62" t="str">
        <f t="shared" si="0"/>
        <v>Africa</v>
      </c>
    </row>
    <row r="63" spans="1:12" x14ac:dyDescent="0.3">
      <c r="A63" t="s">
        <v>104</v>
      </c>
      <c r="B63">
        <v>94</v>
      </c>
      <c r="C63" t="s">
        <v>45</v>
      </c>
      <c r="D63">
        <v>59</v>
      </c>
      <c r="E63">
        <v>79</v>
      </c>
      <c r="F63">
        <v>528.63</v>
      </c>
      <c r="G63" t="s">
        <v>2</v>
      </c>
      <c r="H63" t="s">
        <v>7</v>
      </c>
      <c r="I63" t="str">
        <f t="shared" si="0"/>
        <v>America</v>
      </c>
    </row>
    <row r="64" spans="1:12" x14ac:dyDescent="0.3">
      <c r="A64" t="s">
        <v>105</v>
      </c>
      <c r="B64">
        <v>94</v>
      </c>
      <c r="C64" t="s">
        <v>41</v>
      </c>
      <c r="D64">
        <v>64</v>
      </c>
      <c r="E64">
        <v>88</v>
      </c>
      <c r="F64">
        <v>300</v>
      </c>
      <c r="G64" t="s">
        <v>2</v>
      </c>
      <c r="H64" t="s">
        <v>9</v>
      </c>
      <c r="I64" t="str">
        <f t="shared" si="0"/>
        <v>Africa</v>
      </c>
    </row>
    <row r="65" spans="1:9" x14ac:dyDescent="0.3">
      <c r="A65" t="s">
        <v>106</v>
      </c>
      <c r="B65">
        <v>96</v>
      </c>
      <c r="C65" t="s">
        <v>41</v>
      </c>
      <c r="D65">
        <v>63</v>
      </c>
      <c r="E65">
        <v>88</v>
      </c>
      <c r="F65">
        <v>9.6999999999999993</v>
      </c>
      <c r="G65" t="s">
        <v>18</v>
      </c>
      <c r="H65" t="s">
        <v>14</v>
      </c>
      <c r="I65" t="str">
        <f t="shared" si="0"/>
        <v>America</v>
      </c>
    </row>
    <row r="66" spans="1:9" x14ac:dyDescent="0.3">
      <c r="A66" t="s">
        <v>107</v>
      </c>
      <c r="B66">
        <v>95</v>
      </c>
      <c r="C66" t="s">
        <v>41</v>
      </c>
      <c r="D66">
        <v>68</v>
      </c>
      <c r="E66">
        <v>84</v>
      </c>
      <c r="F66">
        <v>44.09</v>
      </c>
      <c r="G66" t="s">
        <v>18</v>
      </c>
      <c r="H66" t="s">
        <v>18</v>
      </c>
      <c r="I66" t="str">
        <f t="shared" si="0"/>
        <v>America</v>
      </c>
    </row>
    <row r="67" spans="1:9" x14ac:dyDescent="0.3">
      <c r="A67" t="s">
        <v>108</v>
      </c>
      <c r="B67">
        <v>94</v>
      </c>
      <c r="C67" t="s">
        <v>45</v>
      </c>
      <c r="D67">
        <v>57</v>
      </c>
      <c r="E67">
        <v>79</v>
      </c>
      <c r="F67">
        <v>5.4</v>
      </c>
      <c r="G67" t="s">
        <v>6</v>
      </c>
      <c r="H67" t="s">
        <v>6</v>
      </c>
      <c r="I67" t="str">
        <f t="shared" ref="I67:I130" si="1">_xlfn.XLOOKUP(H67, $M$2:$M$50, $N$2:$N$50, "Other")</f>
        <v>America</v>
      </c>
    </row>
    <row r="68" spans="1:9" x14ac:dyDescent="0.3">
      <c r="A68" t="s">
        <v>109</v>
      </c>
      <c r="B68">
        <v>95</v>
      </c>
      <c r="C68" t="s">
        <v>41</v>
      </c>
      <c r="D68">
        <v>60</v>
      </c>
      <c r="E68">
        <v>82</v>
      </c>
      <c r="F68">
        <v>7.35</v>
      </c>
      <c r="G68" t="s">
        <v>18</v>
      </c>
      <c r="H68" t="s">
        <v>12</v>
      </c>
      <c r="I68" t="str">
        <f t="shared" si="1"/>
        <v>Africa</v>
      </c>
    </row>
    <row r="69" spans="1:9" x14ac:dyDescent="0.3">
      <c r="A69" t="s">
        <v>110</v>
      </c>
      <c r="B69">
        <v>94</v>
      </c>
      <c r="C69" t="s">
        <v>45</v>
      </c>
      <c r="D69">
        <v>57</v>
      </c>
      <c r="E69">
        <v>77</v>
      </c>
      <c r="F69">
        <v>6.47</v>
      </c>
      <c r="G69" t="s">
        <v>18</v>
      </c>
      <c r="H69" t="s">
        <v>15</v>
      </c>
      <c r="I69" t="str">
        <f t="shared" si="1"/>
        <v>America</v>
      </c>
    </row>
    <row r="70" spans="1:9" x14ac:dyDescent="0.3">
      <c r="A70" t="s">
        <v>111</v>
      </c>
      <c r="B70">
        <v>94</v>
      </c>
      <c r="C70" t="s">
        <v>41</v>
      </c>
      <c r="D70">
        <v>62</v>
      </c>
      <c r="E70">
        <v>84</v>
      </c>
      <c r="F70">
        <v>10.29</v>
      </c>
      <c r="G70" t="s">
        <v>18</v>
      </c>
      <c r="H70" t="s">
        <v>15</v>
      </c>
      <c r="I70" t="str">
        <f t="shared" si="1"/>
        <v>America</v>
      </c>
    </row>
    <row r="71" spans="1:9" x14ac:dyDescent="0.3">
      <c r="A71" t="s">
        <v>112</v>
      </c>
      <c r="B71">
        <v>94</v>
      </c>
      <c r="C71" t="s">
        <v>45</v>
      </c>
      <c r="D71">
        <v>59</v>
      </c>
      <c r="E71">
        <v>79</v>
      </c>
      <c r="F71">
        <v>6.47</v>
      </c>
      <c r="G71" t="s">
        <v>18</v>
      </c>
      <c r="H71" t="s">
        <v>9</v>
      </c>
      <c r="I71" t="str">
        <f t="shared" si="1"/>
        <v>Africa</v>
      </c>
    </row>
    <row r="72" spans="1:9" x14ac:dyDescent="0.3">
      <c r="A72" t="s">
        <v>113</v>
      </c>
      <c r="B72">
        <v>94</v>
      </c>
      <c r="C72" t="s">
        <v>41</v>
      </c>
      <c r="D72">
        <v>68</v>
      </c>
      <c r="E72">
        <v>94</v>
      </c>
      <c r="F72">
        <v>352.42</v>
      </c>
      <c r="G72" t="s">
        <v>2</v>
      </c>
      <c r="H72" t="s">
        <v>5</v>
      </c>
      <c r="I72" t="str">
        <f t="shared" si="1"/>
        <v>America</v>
      </c>
    </row>
    <row r="73" spans="1:9" x14ac:dyDescent="0.3">
      <c r="A73" t="s">
        <v>114</v>
      </c>
      <c r="B73">
        <v>95</v>
      </c>
      <c r="C73" t="s">
        <v>41</v>
      </c>
      <c r="D73">
        <v>64</v>
      </c>
      <c r="E73">
        <v>88</v>
      </c>
      <c r="F73">
        <v>325</v>
      </c>
      <c r="G73" t="s">
        <v>2</v>
      </c>
      <c r="H73" t="s">
        <v>14</v>
      </c>
      <c r="I73" t="str">
        <f t="shared" si="1"/>
        <v>America</v>
      </c>
    </row>
    <row r="74" spans="1:9" x14ac:dyDescent="0.3">
      <c r="A74" t="s">
        <v>115</v>
      </c>
      <c r="B74">
        <v>94</v>
      </c>
      <c r="C74" t="s">
        <v>41</v>
      </c>
      <c r="D74">
        <v>62</v>
      </c>
      <c r="E74">
        <v>80</v>
      </c>
      <c r="F74">
        <v>2</v>
      </c>
      <c r="G74" t="s">
        <v>2</v>
      </c>
      <c r="H74" t="s">
        <v>2</v>
      </c>
      <c r="I74" t="str">
        <f t="shared" si="1"/>
        <v>Asia-Pacific</v>
      </c>
    </row>
    <row r="75" spans="1:9" x14ac:dyDescent="0.3">
      <c r="A75" t="s">
        <v>116</v>
      </c>
      <c r="B75">
        <v>95</v>
      </c>
      <c r="C75" t="s">
        <v>41</v>
      </c>
      <c r="D75">
        <v>62</v>
      </c>
      <c r="E75">
        <v>86</v>
      </c>
      <c r="F75">
        <v>11.02</v>
      </c>
      <c r="G75" t="s">
        <v>18</v>
      </c>
      <c r="H75" t="s">
        <v>14</v>
      </c>
      <c r="I75" t="str">
        <f t="shared" si="1"/>
        <v>America</v>
      </c>
    </row>
    <row r="76" spans="1:9" x14ac:dyDescent="0.3">
      <c r="A76" t="s">
        <v>117</v>
      </c>
      <c r="B76">
        <v>95</v>
      </c>
      <c r="C76" t="s">
        <v>45</v>
      </c>
      <c r="D76">
        <v>58</v>
      </c>
      <c r="E76">
        <v>78</v>
      </c>
      <c r="F76">
        <v>6.76</v>
      </c>
      <c r="G76" t="s">
        <v>18</v>
      </c>
      <c r="H76" t="s">
        <v>9</v>
      </c>
      <c r="I76" t="str">
        <f t="shared" si="1"/>
        <v>Africa</v>
      </c>
    </row>
    <row r="77" spans="1:9" x14ac:dyDescent="0.3">
      <c r="A77" t="s">
        <v>118</v>
      </c>
      <c r="B77">
        <v>94</v>
      </c>
      <c r="C77" t="s">
        <v>45</v>
      </c>
      <c r="D77">
        <v>57</v>
      </c>
      <c r="E77">
        <v>80</v>
      </c>
      <c r="F77">
        <v>6.76</v>
      </c>
      <c r="G77" t="s">
        <v>18</v>
      </c>
      <c r="H77" t="s">
        <v>16</v>
      </c>
      <c r="I77" t="str">
        <f t="shared" si="1"/>
        <v>Asia-Pacific</v>
      </c>
    </row>
    <row r="78" spans="1:9" x14ac:dyDescent="0.3">
      <c r="A78" t="s">
        <v>119</v>
      </c>
      <c r="B78">
        <v>94</v>
      </c>
      <c r="C78" t="s">
        <v>41</v>
      </c>
      <c r="D78">
        <v>65</v>
      </c>
      <c r="E78">
        <v>93</v>
      </c>
      <c r="F78">
        <v>149.47</v>
      </c>
      <c r="G78" t="s">
        <v>2</v>
      </c>
      <c r="H78" t="s">
        <v>9</v>
      </c>
      <c r="I78" t="str">
        <f t="shared" si="1"/>
        <v>Africa</v>
      </c>
    </row>
    <row r="79" spans="1:9" x14ac:dyDescent="0.3">
      <c r="A79" t="s">
        <v>120</v>
      </c>
      <c r="B79">
        <v>94</v>
      </c>
      <c r="C79" t="s">
        <v>45</v>
      </c>
      <c r="D79">
        <v>60</v>
      </c>
      <c r="E79">
        <v>78</v>
      </c>
      <c r="F79">
        <v>5.88</v>
      </c>
      <c r="G79" t="s">
        <v>18</v>
      </c>
      <c r="H79" t="s">
        <v>7</v>
      </c>
      <c r="I79" t="str">
        <f t="shared" si="1"/>
        <v>America</v>
      </c>
    </row>
    <row r="80" spans="1:9" x14ac:dyDescent="0.3">
      <c r="A80" t="s">
        <v>121</v>
      </c>
      <c r="B80">
        <v>94</v>
      </c>
      <c r="C80" t="s">
        <v>41</v>
      </c>
      <c r="D80">
        <v>66</v>
      </c>
      <c r="E80">
        <v>88</v>
      </c>
      <c r="F80">
        <v>743.36</v>
      </c>
      <c r="G80" t="s">
        <v>2</v>
      </c>
      <c r="H80" t="s">
        <v>9</v>
      </c>
      <c r="I80" t="str">
        <f t="shared" si="1"/>
        <v>Africa</v>
      </c>
    </row>
    <row r="81" spans="1:9" x14ac:dyDescent="0.3">
      <c r="A81" t="s">
        <v>122</v>
      </c>
      <c r="B81">
        <v>95</v>
      </c>
      <c r="C81" t="s">
        <v>41</v>
      </c>
      <c r="D81">
        <v>64</v>
      </c>
      <c r="E81">
        <v>88</v>
      </c>
      <c r="F81">
        <v>10.23</v>
      </c>
      <c r="G81" t="s">
        <v>18</v>
      </c>
      <c r="H81" t="s">
        <v>21</v>
      </c>
      <c r="I81" t="str">
        <f t="shared" si="1"/>
        <v>America</v>
      </c>
    </row>
    <row r="82" spans="1:9" x14ac:dyDescent="0.3">
      <c r="A82" t="s">
        <v>123</v>
      </c>
      <c r="B82">
        <v>94</v>
      </c>
      <c r="C82" t="s">
        <v>41</v>
      </c>
      <c r="D82">
        <v>58</v>
      </c>
      <c r="E82">
        <v>84</v>
      </c>
      <c r="F82">
        <v>8.82</v>
      </c>
      <c r="G82" t="s">
        <v>18</v>
      </c>
      <c r="H82" t="s">
        <v>15</v>
      </c>
      <c r="I82" t="str">
        <f t="shared" si="1"/>
        <v>America</v>
      </c>
    </row>
    <row r="83" spans="1:9" x14ac:dyDescent="0.3">
      <c r="A83" t="s">
        <v>124</v>
      </c>
      <c r="B83">
        <v>94</v>
      </c>
      <c r="C83" t="s">
        <v>41</v>
      </c>
      <c r="D83">
        <v>64</v>
      </c>
      <c r="E83">
        <v>88</v>
      </c>
      <c r="F83">
        <v>5.88</v>
      </c>
      <c r="G83" t="s">
        <v>18</v>
      </c>
      <c r="H83" t="s">
        <v>9</v>
      </c>
      <c r="I83" t="str">
        <f t="shared" si="1"/>
        <v>Africa</v>
      </c>
    </row>
    <row r="84" spans="1:9" x14ac:dyDescent="0.3">
      <c r="A84" t="s">
        <v>125</v>
      </c>
      <c r="B84">
        <v>94</v>
      </c>
      <c r="C84" t="s">
        <v>45</v>
      </c>
      <c r="D84">
        <v>58</v>
      </c>
      <c r="E84">
        <v>82</v>
      </c>
      <c r="F84">
        <v>10.4</v>
      </c>
      <c r="G84" t="s">
        <v>18</v>
      </c>
      <c r="H84" t="s">
        <v>12</v>
      </c>
      <c r="I84" t="str">
        <f t="shared" si="1"/>
        <v>Africa</v>
      </c>
    </row>
    <row r="85" spans="1:9" x14ac:dyDescent="0.3">
      <c r="A85" t="s">
        <v>126</v>
      </c>
      <c r="B85">
        <v>94</v>
      </c>
      <c r="C85" t="s">
        <v>45</v>
      </c>
      <c r="D85">
        <v>58</v>
      </c>
      <c r="E85">
        <v>80</v>
      </c>
      <c r="F85">
        <v>202.82</v>
      </c>
      <c r="G85" t="s">
        <v>2</v>
      </c>
      <c r="H85" t="s">
        <v>9</v>
      </c>
      <c r="I85" t="str">
        <f t="shared" si="1"/>
        <v>Africa</v>
      </c>
    </row>
    <row r="86" spans="1:9" x14ac:dyDescent="0.3">
      <c r="A86" t="s">
        <v>127</v>
      </c>
      <c r="B86">
        <v>94</v>
      </c>
      <c r="C86" t="s">
        <v>41</v>
      </c>
      <c r="D86">
        <v>66</v>
      </c>
      <c r="E86">
        <v>89</v>
      </c>
      <c r="F86">
        <v>317.45999999999998</v>
      </c>
      <c r="G86" t="s">
        <v>2</v>
      </c>
      <c r="H86" t="s">
        <v>9</v>
      </c>
      <c r="I86" t="str">
        <f t="shared" si="1"/>
        <v>Africa</v>
      </c>
    </row>
    <row r="87" spans="1:9" x14ac:dyDescent="0.3">
      <c r="A87" t="s">
        <v>128</v>
      </c>
      <c r="B87">
        <v>96</v>
      </c>
      <c r="C87" t="s">
        <v>45</v>
      </c>
      <c r="D87">
        <v>58</v>
      </c>
      <c r="E87">
        <v>82</v>
      </c>
      <c r="F87">
        <v>6.91</v>
      </c>
      <c r="G87" t="s">
        <v>18</v>
      </c>
      <c r="H87" t="s">
        <v>12</v>
      </c>
      <c r="I87" t="str">
        <f t="shared" si="1"/>
        <v>Africa</v>
      </c>
    </row>
    <row r="88" spans="1:9" x14ac:dyDescent="0.3">
      <c r="A88" t="s">
        <v>129</v>
      </c>
      <c r="B88">
        <v>94</v>
      </c>
      <c r="C88" t="s">
        <v>41</v>
      </c>
      <c r="D88">
        <v>61</v>
      </c>
      <c r="E88">
        <v>85</v>
      </c>
      <c r="F88">
        <v>175</v>
      </c>
      <c r="G88" t="s">
        <v>2</v>
      </c>
      <c r="H88" t="s">
        <v>9</v>
      </c>
      <c r="I88" t="str">
        <f t="shared" si="1"/>
        <v>Africa</v>
      </c>
    </row>
    <row r="89" spans="1:9" x14ac:dyDescent="0.3">
      <c r="A89" t="s">
        <v>130</v>
      </c>
      <c r="B89">
        <v>95</v>
      </c>
      <c r="C89" t="s">
        <v>41</v>
      </c>
      <c r="D89">
        <v>64</v>
      </c>
      <c r="E89">
        <v>88</v>
      </c>
      <c r="F89">
        <v>7.05</v>
      </c>
      <c r="G89" t="s">
        <v>18</v>
      </c>
      <c r="H89" t="s">
        <v>9</v>
      </c>
      <c r="I89" t="str">
        <f t="shared" si="1"/>
        <v>Africa</v>
      </c>
    </row>
    <row r="90" spans="1:9" x14ac:dyDescent="0.3">
      <c r="A90" t="s">
        <v>131</v>
      </c>
      <c r="B90">
        <v>94</v>
      </c>
      <c r="C90" t="s">
        <v>41</v>
      </c>
      <c r="D90">
        <v>60</v>
      </c>
      <c r="E90">
        <v>84</v>
      </c>
      <c r="F90">
        <v>7.94</v>
      </c>
      <c r="G90" t="s">
        <v>18</v>
      </c>
      <c r="H90" t="s">
        <v>14</v>
      </c>
      <c r="I90" t="str">
        <f t="shared" si="1"/>
        <v>America</v>
      </c>
    </row>
    <row r="91" spans="1:9" x14ac:dyDescent="0.3">
      <c r="A91" t="s">
        <v>132</v>
      </c>
      <c r="B91">
        <v>94</v>
      </c>
      <c r="C91" t="s">
        <v>41</v>
      </c>
      <c r="D91">
        <v>66</v>
      </c>
      <c r="E91">
        <v>89</v>
      </c>
      <c r="F91">
        <v>60</v>
      </c>
      <c r="G91" t="s">
        <v>18</v>
      </c>
      <c r="H91" t="s">
        <v>9</v>
      </c>
      <c r="I91" t="str">
        <f t="shared" si="1"/>
        <v>Africa</v>
      </c>
    </row>
    <row r="92" spans="1:9" x14ac:dyDescent="0.3">
      <c r="A92" t="s">
        <v>133</v>
      </c>
      <c r="B92">
        <v>97</v>
      </c>
      <c r="C92" t="s">
        <v>41</v>
      </c>
      <c r="D92">
        <v>64</v>
      </c>
      <c r="E92">
        <v>88</v>
      </c>
      <c r="F92">
        <v>2000</v>
      </c>
      <c r="G92" t="s">
        <v>18</v>
      </c>
      <c r="H92" t="s">
        <v>5</v>
      </c>
      <c r="I92" t="str">
        <f t="shared" si="1"/>
        <v>America</v>
      </c>
    </row>
    <row r="93" spans="1:9" x14ac:dyDescent="0.3">
      <c r="A93" t="s">
        <v>134</v>
      </c>
      <c r="B93">
        <v>96</v>
      </c>
      <c r="C93" t="s">
        <v>41</v>
      </c>
      <c r="D93">
        <v>65</v>
      </c>
      <c r="E93">
        <v>90</v>
      </c>
      <c r="F93">
        <v>2000</v>
      </c>
      <c r="G93" t="s">
        <v>18</v>
      </c>
      <c r="H93" t="s">
        <v>5</v>
      </c>
      <c r="I93" t="str">
        <f t="shared" si="1"/>
        <v>America</v>
      </c>
    </row>
    <row r="94" spans="1:9" x14ac:dyDescent="0.3">
      <c r="A94" t="s">
        <v>135</v>
      </c>
      <c r="B94">
        <v>95</v>
      </c>
      <c r="C94" t="s">
        <v>41</v>
      </c>
      <c r="D94">
        <v>64</v>
      </c>
      <c r="E94">
        <v>88</v>
      </c>
      <c r="F94">
        <v>176.37</v>
      </c>
      <c r="G94" t="s">
        <v>18</v>
      </c>
      <c r="H94" t="s">
        <v>18</v>
      </c>
      <c r="I94" t="str">
        <f t="shared" si="1"/>
        <v>America</v>
      </c>
    </row>
    <row r="95" spans="1:9" x14ac:dyDescent="0.3">
      <c r="A95" t="s">
        <v>136</v>
      </c>
      <c r="B95">
        <v>94</v>
      </c>
      <c r="C95" t="s">
        <v>41</v>
      </c>
      <c r="D95">
        <v>64</v>
      </c>
      <c r="E95">
        <v>84</v>
      </c>
      <c r="F95">
        <v>6.47</v>
      </c>
      <c r="G95" t="s">
        <v>18</v>
      </c>
      <c r="H95" t="s">
        <v>9</v>
      </c>
      <c r="I95" t="str">
        <f t="shared" si="1"/>
        <v>Africa</v>
      </c>
    </row>
    <row r="96" spans="1:9" x14ac:dyDescent="0.3">
      <c r="A96" t="s">
        <v>137</v>
      </c>
      <c r="B96">
        <v>94</v>
      </c>
      <c r="C96" t="s">
        <v>41</v>
      </c>
      <c r="D96">
        <v>64</v>
      </c>
      <c r="E96">
        <v>88</v>
      </c>
      <c r="F96">
        <v>12.35</v>
      </c>
      <c r="G96" t="s">
        <v>18</v>
      </c>
      <c r="H96" t="s">
        <v>14</v>
      </c>
      <c r="I96" t="str">
        <f t="shared" si="1"/>
        <v>America</v>
      </c>
    </row>
    <row r="97" spans="1:9" x14ac:dyDescent="0.3">
      <c r="A97" t="s">
        <v>138</v>
      </c>
      <c r="B97">
        <v>94</v>
      </c>
      <c r="C97" t="s">
        <v>41</v>
      </c>
      <c r="D97">
        <v>62</v>
      </c>
      <c r="E97">
        <v>84</v>
      </c>
      <c r="F97">
        <v>6.47</v>
      </c>
      <c r="G97" t="s">
        <v>18</v>
      </c>
      <c r="H97" t="s">
        <v>14</v>
      </c>
      <c r="I97" t="str">
        <f t="shared" si="1"/>
        <v>America</v>
      </c>
    </row>
    <row r="98" spans="1:9" x14ac:dyDescent="0.3">
      <c r="A98" t="s">
        <v>139</v>
      </c>
      <c r="B98">
        <v>94</v>
      </c>
      <c r="C98" t="s">
        <v>45</v>
      </c>
      <c r="D98">
        <v>60</v>
      </c>
      <c r="E98">
        <v>78</v>
      </c>
      <c r="F98">
        <v>6.47</v>
      </c>
      <c r="G98" t="s">
        <v>18</v>
      </c>
      <c r="H98" t="s">
        <v>12</v>
      </c>
      <c r="I98" t="str">
        <f t="shared" si="1"/>
        <v>Africa</v>
      </c>
    </row>
    <row r="99" spans="1:9" x14ac:dyDescent="0.3">
      <c r="A99" t="s">
        <v>140</v>
      </c>
      <c r="B99">
        <v>95</v>
      </c>
      <c r="C99" t="s">
        <v>45</v>
      </c>
      <c r="D99">
        <v>58</v>
      </c>
      <c r="E99">
        <v>79</v>
      </c>
      <c r="F99">
        <v>119.05</v>
      </c>
      <c r="G99" t="s">
        <v>2</v>
      </c>
      <c r="H99" t="s">
        <v>9</v>
      </c>
      <c r="I99" t="str">
        <f t="shared" si="1"/>
        <v>Africa</v>
      </c>
    </row>
    <row r="100" spans="1:9" x14ac:dyDescent="0.3">
      <c r="A100" t="s">
        <v>141</v>
      </c>
      <c r="B100">
        <v>95</v>
      </c>
      <c r="C100" t="s">
        <v>41</v>
      </c>
      <c r="D100">
        <v>62</v>
      </c>
      <c r="E100">
        <v>84</v>
      </c>
      <c r="F100">
        <v>423.28</v>
      </c>
      <c r="G100" t="s">
        <v>2</v>
      </c>
      <c r="H100" t="s">
        <v>9</v>
      </c>
      <c r="I100" t="str">
        <f t="shared" si="1"/>
        <v>Africa</v>
      </c>
    </row>
    <row r="101" spans="1:9" x14ac:dyDescent="0.3">
      <c r="A101" t="s">
        <v>142</v>
      </c>
      <c r="B101">
        <v>95</v>
      </c>
      <c r="C101" t="s">
        <v>41</v>
      </c>
      <c r="D101">
        <v>64</v>
      </c>
      <c r="E101">
        <v>84</v>
      </c>
      <c r="F101">
        <v>141.09</v>
      </c>
      <c r="G101" t="s">
        <v>2</v>
      </c>
      <c r="H101" t="s">
        <v>9</v>
      </c>
      <c r="I101" t="str">
        <f t="shared" si="1"/>
        <v>Africa</v>
      </c>
    </row>
    <row r="102" spans="1:9" x14ac:dyDescent="0.3">
      <c r="A102" t="s">
        <v>143</v>
      </c>
      <c r="B102">
        <v>94</v>
      </c>
      <c r="C102" t="s">
        <v>41</v>
      </c>
      <c r="D102">
        <v>64</v>
      </c>
      <c r="E102">
        <v>88</v>
      </c>
      <c r="F102">
        <v>141.09</v>
      </c>
      <c r="G102" t="s">
        <v>2</v>
      </c>
      <c r="H102" t="s">
        <v>9</v>
      </c>
      <c r="I102" t="str">
        <f t="shared" si="1"/>
        <v>Africa</v>
      </c>
    </row>
    <row r="103" spans="1:9" x14ac:dyDescent="0.3">
      <c r="A103" t="s">
        <v>144</v>
      </c>
      <c r="B103">
        <v>95</v>
      </c>
      <c r="C103" t="s">
        <v>41</v>
      </c>
      <c r="D103">
        <v>62</v>
      </c>
      <c r="E103">
        <v>84</v>
      </c>
      <c r="F103">
        <v>7.76</v>
      </c>
      <c r="G103" t="s">
        <v>18</v>
      </c>
      <c r="H103" t="s">
        <v>7</v>
      </c>
      <c r="I103" t="str">
        <f t="shared" si="1"/>
        <v>America</v>
      </c>
    </row>
    <row r="104" spans="1:9" x14ac:dyDescent="0.3">
      <c r="A104" t="s">
        <v>145</v>
      </c>
      <c r="B104">
        <v>95</v>
      </c>
      <c r="C104" t="s">
        <v>41</v>
      </c>
      <c r="D104">
        <v>64</v>
      </c>
      <c r="E104">
        <v>86</v>
      </c>
      <c r="F104">
        <v>163.13999999999999</v>
      </c>
      <c r="G104" t="s">
        <v>2</v>
      </c>
      <c r="H104" t="s">
        <v>9</v>
      </c>
      <c r="I104" t="str">
        <f t="shared" si="1"/>
        <v>Africa</v>
      </c>
    </row>
    <row r="105" spans="1:9" x14ac:dyDescent="0.3">
      <c r="A105" t="s">
        <v>146</v>
      </c>
      <c r="B105">
        <v>95</v>
      </c>
      <c r="C105" t="s">
        <v>41</v>
      </c>
      <c r="D105">
        <v>62</v>
      </c>
      <c r="E105">
        <v>84</v>
      </c>
      <c r="F105">
        <v>23.52</v>
      </c>
      <c r="G105" t="s">
        <v>18</v>
      </c>
      <c r="H105" t="s">
        <v>9</v>
      </c>
      <c r="I105" t="str">
        <f t="shared" si="1"/>
        <v>Africa</v>
      </c>
    </row>
    <row r="106" spans="1:9" x14ac:dyDescent="0.3">
      <c r="A106" t="s">
        <v>147</v>
      </c>
      <c r="B106">
        <v>95</v>
      </c>
      <c r="C106" t="s">
        <v>41</v>
      </c>
      <c r="D106">
        <v>64</v>
      </c>
      <c r="E106">
        <v>88</v>
      </c>
      <c r="F106">
        <v>34.17</v>
      </c>
      <c r="G106" t="s">
        <v>18</v>
      </c>
      <c r="H106" t="s">
        <v>5</v>
      </c>
      <c r="I106" t="str">
        <f t="shared" si="1"/>
        <v>America</v>
      </c>
    </row>
    <row r="107" spans="1:9" x14ac:dyDescent="0.3">
      <c r="A107" t="s">
        <v>148</v>
      </c>
      <c r="B107">
        <v>94</v>
      </c>
      <c r="C107" t="s">
        <v>41</v>
      </c>
      <c r="D107">
        <v>62</v>
      </c>
      <c r="E107">
        <v>84</v>
      </c>
      <c r="F107">
        <v>7.35</v>
      </c>
      <c r="G107" t="s">
        <v>18</v>
      </c>
      <c r="H107" t="s">
        <v>14</v>
      </c>
      <c r="I107" t="str">
        <f t="shared" si="1"/>
        <v>America</v>
      </c>
    </row>
    <row r="108" spans="1:9" x14ac:dyDescent="0.3">
      <c r="A108" t="s">
        <v>149</v>
      </c>
      <c r="B108">
        <v>94</v>
      </c>
      <c r="C108" t="s">
        <v>45</v>
      </c>
      <c r="D108">
        <v>50</v>
      </c>
      <c r="E108">
        <v>77</v>
      </c>
      <c r="F108">
        <v>7.05</v>
      </c>
      <c r="G108" t="s">
        <v>18</v>
      </c>
      <c r="H108" t="s">
        <v>150</v>
      </c>
      <c r="I108" t="str">
        <f t="shared" si="1"/>
        <v>NULL</v>
      </c>
    </row>
    <row r="109" spans="1:9" x14ac:dyDescent="0.3">
      <c r="A109" t="s">
        <v>151</v>
      </c>
      <c r="B109">
        <v>94</v>
      </c>
      <c r="C109" t="s">
        <v>45</v>
      </c>
      <c r="D109">
        <v>54</v>
      </c>
      <c r="E109">
        <v>72</v>
      </c>
      <c r="F109">
        <v>10.58</v>
      </c>
      <c r="G109" t="s">
        <v>18</v>
      </c>
      <c r="H109" t="s">
        <v>150</v>
      </c>
      <c r="I109" t="str">
        <f t="shared" si="1"/>
        <v>NULL</v>
      </c>
    </row>
    <row r="110" spans="1:9" x14ac:dyDescent="0.3">
      <c r="A110" t="s">
        <v>152</v>
      </c>
      <c r="B110">
        <v>94</v>
      </c>
      <c r="C110" t="s">
        <v>41</v>
      </c>
      <c r="D110">
        <v>63</v>
      </c>
      <c r="E110">
        <v>87</v>
      </c>
      <c r="F110">
        <v>6.47</v>
      </c>
      <c r="G110" t="s">
        <v>18</v>
      </c>
      <c r="H110" t="s">
        <v>9</v>
      </c>
      <c r="I110" t="str">
        <f t="shared" si="1"/>
        <v>Africa</v>
      </c>
    </row>
    <row r="111" spans="1:9" x14ac:dyDescent="0.3">
      <c r="A111" t="s">
        <v>153</v>
      </c>
      <c r="B111">
        <v>94</v>
      </c>
      <c r="C111" t="s">
        <v>41</v>
      </c>
      <c r="D111">
        <v>62</v>
      </c>
      <c r="E111">
        <v>84</v>
      </c>
      <c r="F111">
        <v>11.02</v>
      </c>
      <c r="G111" t="s">
        <v>18</v>
      </c>
      <c r="H111" t="s">
        <v>14</v>
      </c>
      <c r="I111" t="str">
        <f t="shared" si="1"/>
        <v>America</v>
      </c>
    </row>
    <row r="112" spans="1:9" x14ac:dyDescent="0.3">
      <c r="A112" t="s">
        <v>154</v>
      </c>
      <c r="B112">
        <v>94</v>
      </c>
      <c r="C112" t="s">
        <v>45</v>
      </c>
      <c r="D112">
        <v>59</v>
      </c>
      <c r="E112">
        <v>77</v>
      </c>
      <c r="F112">
        <v>9.6999999999999993</v>
      </c>
      <c r="G112" t="s">
        <v>18</v>
      </c>
      <c r="H112" t="s">
        <v>14</v>
      </c>
      <c r="I112" t="str">
        <f t="shared" si="1"/>
        <v>America</v>
      </c>
    </row>
    <row r="113" spans="1:9" x14ac:dyDescent="0.3">
      <c r="A113" t="s">
        <v>155</v>
      </c>
      <c r="B113">
        <v>96</v>
      </c>
      <c r="C113" t="s">
        <v>41</v>
      </c>
      <c r="D113">
        <v>64</v>
      </c>
      <c r="E113">
        <v>90</v>
      </c>
      <c r="F113">
        <v>666.67</v>
      </c>
      <c r="G113" t="s">
        <v>2</v>
      </c>
      <c r="H113" t="s">
        <v>2</v>
      </c>
      <c r="I113" t="str">
        <f t="shared" si="1"/>
        <v>Asia-Pacific</v>
      </c>
    </row>
    <row r="114" spans="1:9" x14ac:dyDescent="0.3">
      <c r="A114" t="s">
        <v>156</v>
      </c>
      <c r="B114">
        <v>96</v>
      </c>
      <c r="C114" t="s">
        <v>41</v>
      </c>
      <c r="D114">
        <v>62</v>
      </c>
      <c r="E114">
        <v>84</v>
      </c>
      <c r="F114">
        <v>7.05</v>
      </c>
      <c r="G114" t="s">
        <v>18</v>
      </c>
      <c r="H114" t="s">
        <v>9</v>
      </c>
      <c r="I114" t="str">
        <f t="shared" si="1"/>
        <v>Africa</v>
      </c>
    </row>
    <row r="115" spans="1:9" x14ac:dyDescent="0.3">
      <c r="A115" t="s">
        <v>157</v>
      </c>
      <c r="B115">
        <v>96</v>
      </c>
      <c r="C115" t="s">
        <v>41</v>
      </c>
      <c r="D115">
        <v>60</v>
      </c>
      <c r="E115">
        <v>84</v>
      </c>
      <c r="F115">
        <v>20.28</v>
      </c>
      <c r="G115" t="s">
        <v>18</v>
      </c>
      <c r="H115" t="s">
        <v>14</v>
      </c>
      <c r="I115" t="str">
        <f t="shared" si="1"/>
        <v>America</v>
      </c>
    </row>
    <row r="116" spans="1:9" x14ac:dyDescent="0.3">
      <c r="A116" t="s">
        <v>158</v>
      </c>
      <c r="B116">
        <v>95</v>
      </c>
      <c r="C116" t="s">
        <v>41</v>
      </c>
      <c r="D116">
        <v>66</v>
      </c>
      <c r="E116">
        <v>92</v>
      </c>
      <c r="F116">
        <v>7.05</v>
      </c>
      <c r="G116" t="s">
        <v>18</v>
      </c>
      <c r="H116" t="s">
        <v>9</v>
      </c>
      <c r="I116" t="str">
        <f t="shared" si="1"/>
        <v>Africa</v>
      </c>
    </row>
    <row r="117" spans="1:9" x14ac:dyDescent="0.3">
      <c r="A117" t="s">
        <v>159</v>
      </c>
      <c r="B117">
        <v>94</v>
      </c>
      <c r="C117" t="s">
        <v>41</v>
      </c>
      <c r="D117">
        <v>62</v>
      </c>
      <c r="E117">
        <v>84</v>
      </c>
      <c r="F117">
        <v>8.3800000000000008</v>
      </c>
      <c r="G117" t="s">
        <v>18</v>
      </c>
      <c r="H117" t="s">
        <v>15</v>
      </c>
      <c r="I117" t="str">
        <f t="shared" si="1"/>
        <v>America</v>
      </c>
    </row>
    <row r="118" spans="1:9" x14ac:dyDescent="0.3">
      <c r="A118" t="s">
        <v>160</v>
      </c>
      <c r="B118">
        <v>94</v>
      </c>
      <c r="C118" t="s">
        <v>41</v>
      </c>
      <c r="D118">
        <v>58</v>
      </c>
      <c r="E118">
        <v>88</v>
      </c>
      <c r="F118">
        <v>7.35</v>
      </c>
      <c r="G118" t="s">
        <v>18</v>
      </c>
      <c r="H118" t="s">
        <v>15</v>
      </c>
      <c r="I118" t="str">
        <f t="shared" si="1"/>
        <v>America</v>
      </c>
    </row>
    <row r="119" spans="1:9" x14ac:dyDescent="0.3">
      <c r="A119" t="s">
        <v>161</v>
      </c>
      <c r="B119">
        <v>94</v>
      </c>
      <c r="C119" t="s">
        <v>41</v>
      </c>
      <c r="D119">
        <v>68</v>
      </c>
      <c r="E119">
        <v>94</v>
      </c>
      <c r="F119">
        <v>9.6999999999999993</v>
      </c>
      <c r="G119" t="s">
        <v>18</v>
      </c>
      <c r="H119" t="s">
        <v>21</v>
      </c>
      <c r="I119" t="str">
        <f t="shared" si="1"/>
        <v>America</v>
      </c>
    </row>
    <row r="120" spans="1:9" x14ac:dyDescent="0.3">
      <c r="A120" t="s">
        <v>162</v>
      </c>
      <c r="B120">
        <v>94</v>
      </c>
      <c r="C120" t="s">
        <v>41</v>
      </c>
      <c r="D120">
        <v>64</v>
      </c>
      <c r="E120">
        <v>88</v>
      </c>
      <c r="F120">
        <v>6.76</v>
      </c>
      <c r="G120" t="s">
        <v>18</v>
      </c>
      <c r="H120" t="s">
        <v>14</v>
      </c>
      <c r="I120" t="str">
        <f t="shared" si="1"/>
        <v>America</v>
      </c>
    </row>
    <row r="121" spans="1:9" x14ac:dyDescent="0.3">
      <c r="A121" t="s">
        <v>163</v>
      </c>
      <c r="B121">
        <v>94</v>
      </c>
      <c r="C121" t="s">
        <v>41</v>
      </c>
      <c r="D121">
        <v>60</v>
      </c>
      <c r="E121">
        <v>82</v>
      </c>
      <c r="F121">
        <v>7.05</v>
      </c>
      <c r="G121" t="s">
        <v>7</v>
      </c>
      <c r="H121" t="s">
        <v>7</v>
      </c>
      <c r="I121" t="str">
        <f t="shared" si="1"/>
        <v>America</v>
      </c>
    </row>
    <row r="122" spans="1:9" x14ac:dyDescent="0.3">
      <c r="A122" t="s">
        <v>164</v>
      </c>
      <c r="B122">
        <v>94</v>
      </c>
      <c r="C122" t="s">
        <v>41</v>
      </c>
      <c r="D122">
        <v>62</v>
      </c>
      <c r="E122">
        <v>84</v>
      </c>
      <c r="F122">
        <v>4.7</v>
      </c>
      <c r="G122" t="s">
        <v>18</v>
      </c>
      <c r="H122" t="s">
        <v>15</v>
      </c>
      <c r="I122" t="str">
        <f t="shared" si="1"/>
        <v>America</v>
      </c>
    </row>
    <row r="123" spans="1:9" x14ac:dyDescent="0.3">
      <c r="A123" t="s">
        <v>165</v>
      </c>
      <c r="B123">
        <v>94</v>
      </c>
      <c r="C123" t="s">
        <v>45</v>
      </c>
      <c r="D123">
        <v>58</v>
      </c>
      <c r="E123">
        <v>80</v>
      </c>
      <c r="F123">
        <v>10.58</v>
      </c>
      <c r="G123" t="s">
        <v>18</v>
      </c>
      <c r="H123" t="s">
        <v>21</v>
      </c>
      <c r="I123" t="str">
        <f t="shared" si="1"/>
        <v>America</v>
      </c>
    </row>
    <row r="124" spans="1:9" x14ac:dyDescent="0.3">
      <c r="A124" t="s">
        <v>166</v>
      </c>
      <c r="B124">
        <v>94</v>
      </c>
      <c r="C124" t="s">
        <v>45</v>
      </c>
      <c r="D124">
        <v>60</v>
      </c>
      <c r="E124">
        <v>80</v>
      </c>
      <c r="F124">
        <v>171.52</v>
      </c>
      <c r="G124" t="s">
        <v>2</v>
      </c>
      <c r="H124" t="s">
        <v>12</v>
      </c>
      <c r="I124" t="str">
        <f t="shared" si="1"/>
        <v>Africa</v>
      </c>
    </row>
    <row r="125" spans="1:9" x14ac:dyDescent="0.3">
      <c r="A125" t="s">
        <v>167</v>
      </c>
      <c r="B125">
        <v>94</v>
      </c>
      <c r="C125" t="s">
        <v>41</v>
      </c>
      <c r="D125">
        <v>64</v>
      </c>
      <c r="E125">
        <v>86</v>
      </c>
      <c r="F125">
        <v>153.88</v>
      </c>
      <c r="G125" t="s">
        <v>2</v>
      </c>
      <c r="H125" t="s">
        <v>9</v>
      </c>
      <c r="I125" t="str">
        <f t="shared" si="1"/>
        <v>Africa</v>
      </c>
    </row>
    <row r="126" spans="1:9" x14ac:dyDescent="0.3">
      <c r="A126" t="s">
        <v>168</v>
      </c>
      <c r="B126">
        <v>95</v>
      </c>
      <c r="C126" t="s">
        <v>41</v>
      </c>
      <c r="D126">
        <v>60</v>
      </c>
      <c r="E126">
        <v>88</v>
      </c>
      <c r="F126">
        <v>8.52</v>
      </c>
      <c r="G126" t="s">
        <v>18</v>
      </c>
      <c r="H126" t="s">
        <v>15</v>
      </c>
      <c r="I126" t="str">
        <f t="shared" si="1"/>
        <v>America</v>
      </c>
    </row>
    <row r="127" spans="1:9" x14ac:dyDescent="0.3">
      <c r="A127" t="s">
        <v>169</v>
      </c>
      <c r="B127">
        <v>94</v>
      </c>
      <c r="C127" t="s">
        <v>41</v>
      </c>
      <c r="D127">
        <v>62</v>
      </c>
      <c r="E127">
        <v>86</v>
      </c>
      <c r="F127">
        <v>8.23</v>
      </c>
      <c r="G127" t="s">
        <v>18</v>
      </c>
      <c r="H127" t="s">
        <v>15</v>
      </c>
      <c r="I127" t="str">
        <f t="shared" si="1"/>
        <v>America</v>
      </c>
    </row>
    <row r="128" spans="1:9" x14ac:dyDescent="0.3">
      <c r="A128" t="s">
        <v>170</v>
      </c>
      <c r="B128">
        <v>94</v>
      </c>
      <c r="C128" t="s">
        <v>41</v>
      </c>
      <c r="D128">
        <v>66</v>
      </c>
      <c r="E128">
        <v>88</v>
      </c>
      <c r="F128">
        <v>8.82</v>
      </c>
      <c r="G128" t="s">
        <v>18</v>
      </c>
      <c r="H128" t="s">
        <v>13</v>
      </c>
      <c r="I128" t="str">
        <f t="shared" si="1"/>
        <v>America</v>
      </c>
    </row>
    <row r="129" spans="1:9" x14ac:dyDescent="0.3">
      <c r="A129" t="s">
        <v>171</v>
      </c>
      <c r="B129">
        <v>94</v>
      </c>
      <c r="C129" t="s">
        <v>41</v>
      </c>
      <c r="D129">
        <v>62</v>
      </c>
      <c r="E129">
        <v>80</v>
      </c>
      <c r="F129">
        <v>6.47</v>
      </c>
      <c r="G129" t="s">
        <v>18</v>
      </c>
      <c r="H129" t="s">
        <v>12</v>
      </c>
      <c r="I129" t="str">
        <f t="shared" si="1"/>
        <v>Africa</v>
      </c>
    </row>
    <row r="130" spans="1:9" x14ac:dyDescent="0.3">
      <c r="A130" t="s">
        <v>172</v>
      </c>
      <c r="B130">
        <v>94</v>
      </c>
      <c r="C130" t="s">
        <v>41</v>
      </c>
      <c r="D130">
        <v>60</v>
      </c>
      <c r="E130">
        <v>82</v>
      </c>
      <c r="F130">
        <v>9.6999999999999993</v>
      </c>
      <c r="G130" t="s">
        <v>18</v>
      </c>
      <c r="H130" t="s">
        <v>4</v>
      </c>
      <c r="I130" t="str">
        <f t="shared" si="1"/>
        <v>America</v>
      </c>
    </row>
    <row r="131" spans="1:9" x14ac:dyDescent="0.3">
      <c r="A131" t="s">
        <v>173</v>
      </c>
      <c r="B131">
        <v>94</v>
      </c>
      <c r="C131" t="s">
        <v>45</v>
      </c>
      <c r="D131">
        <v>58</v>
      </c>
      <c r="E131">
        <v>82</v>
      </c>
      <c r="F131">
        <v>8.82</v>
      </c>
      <c r="G131" t="s">
        <v>18</v>
      </c>
      <c r="H131" t="s">
        <v>14</v>
      </c>
      <c r="I131" t="str">
        <f t="shared" ref="I131:I194" si="2">_xlfn.XLOOKUP(H131, $M$2:$M$50, $N$2:$N$50, "Other")</f>
        <v>America</v>
      </c>
    </row>
    <row r="132" spans="1:9" x14ac:dyDescent="0.3">
      <c r="A132" t="s">
        <v>174</v>
      </c>
      <c r="B132">
        <v>94</v>
      </c>
      <c r="C132" t="s">
        <v>41</v>
      </c>
      <c r="D132">
        <v>64</v>
      </c>
      <c r="E132">
        <v>86</v>
      </c>
      <c r="F132">
        <v>8.82</v>
      </c>
      <c r="G132" t="s">
        <v>18</v>
      </c>
      <c r="H132" t="s">
        <v>15</v>
      </c>
      <c r="I132" t="str">
        <f t="shared" si="2"/>
        <v>America</v>
      </c>
    </row>
    <row r="133" spans="1:9" x14ac:dyDescent="0.3">
      <c r="A133" t="s">
        <v>175</v>
      </c>
      <c r="B133">
        <v>94</v>
      </c>
      <c r="C133" t="s">
        <v>45</v>
      </c>
      <c r="D133">
        <v>56</v>
      </c>
      <c r="E133">
        <v>74</v>
      </c>
      <c r="F133">
        <v>5.42</v>
      </c>
      <c r="G133" t="s">
        <v>18</v>
      </c>
      <c r="H133" t="s">
        <v>3</v>
      </c>
      <c r="I133" t="str">
        <f t="shared" si="2"/>
        <v>America</v>
      </c>
    </row>
    <row r="134" spans="1:9" x14ac:dyDescent="0.3">
      <c r="A134" t="s">
        <v>176</v>
      </c>
      <c r="B134">
        <v>94</v>
      </c>
      <c r="C134" t="s">
        <v>41</v>
      </c>
      <c r="D134">
        <v>66</v>
      </c>
      <c r="E134">
        <v>90</v>
      </c>
      <c r="F134">
        <v>220.46</v>
      </c>
      <c r="G134" t="s">
        <v>2</v>
      </c>
      <c r="H134" t="s">
        <v>9</v>
      </c>
      <c r="I134" t="str">
        <f t="shared" si="2"/>
        <v>Africa</v>
      </c>
    </row>
    <row r="135" spans="1:9" x14ac:dyDescent="0.3">
      <c r="A135" t="s">
        <v>177</v>
      </c>
      <c r="B135">
        <v>97</v>
      </c>
      <c r="C135" t="s">
        <v>41</v>
      </c>
      <c r="D135">
        <v>64</v>
      </c>
      <c r="E135">
        <v>88</v>
      </c>
      <c r="F135">
        <v>0.88</v>
      </c>
      <c r="G135" t="s">
        <v>2</v>
      </c>
      <c r="H135" t="s">
        <v>5</v>
      </c>
      <c r="I135" t="str">
        <f t="shared" si="2"/>
        <v>America</v>
      </c>
    </row>
    <row r="136" spans="1:9" x14ac:dyDescent="0.3">
      <c r="A136" t="s">
        <v>178</v>
      </c>
      <c r="B136">
        <v>95</v>
      </c>
      <c r="C136" t="s">
        <v>41</v>
      </c>
      <c r="D136">
        <v>70</v>
      </c>
      <c r="E136">
        <v>94</v>
      </c>
      <c r="F136">
        <v>58</v>
      </c>
      <c r="G136" t="s">
        <v>27</v>
      </c>
      <c r="H136" t="s">
        <v>14</v>
      </c>
      <c r="I136" t="str">
        <f t="shared" si="2"/>
        <v>America</v>
      </c>
    </row>
    <row r="137" spans="1:9" x14ac:dyDescent="0.3">
      <c r="A137" t="s">
        <v>179</v>
      </c>
      <c r="B137">
        <v>94</v>
      </c>
      <c r="C137" t="s">
        <v>41</v>
      </c>
      <c r="D137">
        <v>66</v>
      </c>
      <c r="E137">
        <v>88</v>
      </c>
      <c r="F137">
        <v>6.47</v>
      </c>
      <c r="G137" t="s">
        <v>18</v>
      </c>
      <c r="H137" t="s">
        <v>9</v>
      </c>
      <c r="I137" t="str">
        <f t="shared" si="2"/>
        <v>Africa</v>
      </c>
    </row>
    <row r="138" spans="1:9" x14ac:dyDescent="0.3">
      <c r="A138" t="s">
        <v>180</v>
      </c>
      <c r="B138">
        <v>94</v>
      </c>
      <c r="C138" t="s">
        <v>41</v>
      </c>
      <c r="D138">
        <v>62</v>
      </c>
      <c r="E138">
        <v>84</v>
      </c>
      <c r="F138">
        <v>24.25</v>
      </c>
      <c r="G138" t="s">
        <v>18</v>
      </c>
      <c r="H138" t="s">
        <v>5</v>
      </c>
      <c r="I138" t="str">
        <f t="shared" si="2"/>
        <v>America</v>
      </c>
    </row>
    <row r="139" spans="1:9" x14ac:dyDescent="0.3">
      <c r="A139" t="s">
        <v>181</v>
      </c>
      <c r="B139">
        <v>97</v>
      </c>
      <c r="C139" t="s">
        <v>41</v>
      </c>
      <c r="D139">
        <v>66</v>
      </c>
      <c r="E139">
        <v>88</v>
      </c>
      <c r="F139">
        <v>77.599999999999994</v>
      </c>
      <c r="G139" t="s">
        <v>18</v>
      </c>
      <c r="H139" t="s">
        <v>5</v>
      </c>
      <c r="I139" t="str">
        <f t="shared" si="2"/>
        <v>America</v>
      </c>
    </row>
    <row r="140" spans="1:9" x14ac:dyDescent="0.3">
      <c r="A140" t="s">
        <v>182</v>
      </c>
      <c r="B140">
        <v>96</v>
      </c>
      <c r="C140" t="s">
        <v>41</v>
      </c>
      <c r="D140">
        <v>67</v>
      </c>
      <c r="E140">
        <v>94</v>
      </c>
      <c r="F140">
        <v>88.18</v>
      </c>
      <c r="G140" t="s">
        <v>18</v>
      </c>
      <c r="H140" t="s">
        <v>18</v>
      </c>
      <c r="I140" t="str">
        <f t="shared" si="2"/>
        <v>America</v>
      </c>
    </row>
    <row r="141" spans="1:9" x14ac:dyDescent="0.3">
      <c r="A141" t="s">
        <v>183</v>
      </c>
      <c r="B141">
        <v>96</v>
      </c>
      <c r="C141" t="s">
        <v>41</v>
      </c>
      <c r="D141">
        <v>64</v>
      </c>
      <c r="E141">
        <v>88</v>
      </c>
      <c r="F141">
        <v>88.18</v>
      </c>
      <c r="G141" t="s">
        <v>18</v>
      </c>
      <c r="H141" t="s">
        <v>18</v>
      </c>
      <c r="I141" t="str">
        <f t="shared" si="2"/>
        <v>America</v>
      </c>
    </row>
    <row r="142" spans="1:9" x14ac:dyDescent="0.3">
      <c r="A142" t="s">
        <v>184</v>
      </c>
      <c r="B142">
        <v>96</v>
      </c>
      <c r="C142" t="s">
        <v>41</v>
      </c>
      <c r="D142">
        <v>62</v>
      </c>
      <c r="E142">
        <v>88</v>
      </c>
      <c r="F142">
        <v>28</v>
      </c>
      <c r="G142" t="s">
        <v>18</v>
      </c>
      <c r="H142" t="s">
        <v>14</v>
      </c>
      <c r="I142" t="str">
        <f t="shared" si="2"/>
        <v>America</v>
      </c>
    </row>
    <row r="143" spans="1:9" x14ac:dyDescent="0.3">
      <c r="A143" t="s">
        <v>185</v>
      </c>
      <c r="B143">
        <v>95</v>
      </c>
      <c r="C143" t="s">
        <v>41</v>
      </c>
      <c r="D143">
        <v>66</v>
      </c>
      <c r="E143">
        <v>92</v>
      </c>
      <c r="F143">
        <v>28</v>
      </c>
      <c r="G143" t="s">
        <v>18</v>
      </c>
      <c r="H143" t="s">
        <v>14</v>
      </c>
      <c r="I143" t="str">
        <f t="shared" si="2"/>
        <v>America</v>
      </c>
    </row>
    <row r="144" spans="1:9" x14ac:dyDescent="0.3">
      <c r="A144" t="s">
        <v>186</v>
      </c>
      <c r="B144">
        <v>97</v>
      </c>
      <c r="C144" t="s">
        <v>41</v>
      </c>
      <c r="D144">
        <v>64</v>
      </c>
      <c r="E144">
        <v>88</v>
      </c>
      <c r="F144">
        <v>617.28</v>
      </c>
      <c r="G144" t="s">
        <v>2</v>
      </c>
      <c r="H144" t="s">
        <v>5</v>
      </c>
      <c r="I144" t="str">
        <f t="shared" si="2"/>
        <v>America</v>
      </c>
    </row>
    <row r="145" spans="1:9" x14ac:dyDescent="0.3">
      <c r="A145" t="s">
        <v>187</v>
      </c>
      <c r="B145">
        <v>95</v>
      </c>
      <c r="C145" t="s">
        <v>41</v>
      </c>
      <c r="D145">
        <v>66</v>
      </c>
      <c r="E145">
        <v>84</v>
      </c>
      <c r="F145">
        <v>5.59</v>
      </c>
      <c r="G145" t="s">
        <v>18</v>
      </c>
      <c r="H145" t="s">
        <v>12</v>
      </c>
      <c r="I145" t="str">
        <f t="shared" si="2"/>
        <v>Africa</v>
      </c>
    </row>
    <row r="146" spans="1:9" x14ac:dyDescent="0.3">
      <c r="A146" t="s">
        <v>188</v>
      </c>
      <c r="B146">
        <v>94</v>
      </c>
      <c r="C146" t="s">
        <v>41</v>
      </c>
      <c r="D146">
        <v>62</v>
      </c>
      <c r="E146">
        <v>80</v>
      </c>
      <c r="F146">
        <v>9.41</v>
      </c>
      <c r="G146" t="s">
        <v>18</v>
      </c>
      <c r="H146" t="s">
        <v>15</v>
      </c>
      <c r="I146" t="str">
        <f t="shared" si="2"/>
        <v>America</v>
      </c>
    </row>
    <row r="147" spans="1:9" x14ac:dyDescent="0.3">
      <c r="A147" t="s">
        <v>189</v>
      </c>
      <c r="B147">
        <v>94</v>
      </c>
      <c r="C147" t="s">
        <v>41</v>
      </c>
      <c r="D147">
        <v>64</v>
      </c>
      <c r="E147">
        <v>84</v>
      </c>
      <c r="F147">
        <v>5.59</v>
      </c>
      <c r="G147" t="s">
        <v>18</v>
      </c>
      <c r="H147" t="s">
        <v>9</v>
      </c>
      <c r="I147" t="str">
        <f t="shared" si="2"/>
        <v>Africa</v>
      </c>
    </row>
    <row r="148" spans="1:9" x14ac:dyDescent="0.3">
      <c r="A148" t="s">
        <v>190</v>
      </c>
      <c r="B148">
        <v>96</v>
      </c>
      <c r="C148" t="s">
        <v>82</v>
      </c>
      <c r="D148">
        <v>44</v>
      </c>
      <c r="E148">
        <v>60</v>
      </c>
      <c r="F148">
        <v>418.87</v>
      </c>
      <c r="G148" t="s">
        <v>2</v>
      </c>
      <c r="H148" t="s">
        <v>12</v>
      </c>
      <c r="I148" t="str">
        <f t="shared" si="2"/>
        <v>Africa</v>
      </c>
    </row>
    <row r="149" spans="1:9" x14ac:dyDescent="0.3">
      <c r="A149" t="s">
        <v>191</v>
      </c>
      <c r="B149">
        <v>96</v>
      </c>
      <c r="C149" t="s">
        <v>82</v>
      </c>
      <c r="D149">
        <v>46</v>
      </c>
      <c r="E149">
        <v>72</v>
      </c>
      <c r="F149">
        <v>396.83</v>
      </c>
      <c r="G149" t="s">
        <v>2</v>
      </c>
      <c r="H149" t="s">
        <v>12</v>
      </c>
      <c r="I149" t="str">
        <f t="shared" si="2"/>
        <v>Africa</v>
      </c>
    </row>
    <row r="150" spans="1:9" x14ac:dyDescent="0.3">
      <c r="A150" t="s">
        <v>192</v>
      </c>
      <c r="B150">
        <v>96</v>
      </c>
      <c r="C150" t="s">
        <v>82</v>
      </c>
      <c r="D150">
        <v>50</v>
      </c>
      <c r="E150">
        <v>64</v>
      </c>
      <c r="F150">
        <v>7.35</v>
      </c>
      <c r="G150" t="s">
        <v>7</v>
      </c>
      <c r="H150" t="s">
        <v>7</v>
      </c>
      <c r="I150" t="str">
        <f t="shared" si="2"/>
        <v>America</v>
      </c>
    </row>
    <row r="151" spans="1:9" x14ac:dyDescent="0.3">
      <c r="A151" t="s">
        <v>193</v>
      </c>
      <c r="B151">
        <v>98</v>
      </c>
      <c r="C151" t="s">
        <v>45</v>
      </c>
      <c r="D151">
        <v>54</v>
      </c>
      <c r="E151">
        <v>84</v>
      </c>
      <c r="F151">
        <v>44.07</v>
      </c>
      <c r="G151" t="s">
        <v>18</v>
      </c>
      <c r="H151" t="s">
        <v>150</v>
      </c>
      <c r="I151" t="str">
        <f t="shared" si="2"/>
        <v>NULL</v>
      </c>
    </row>
    <row r="152" spans="1:9" x14ac:dyDescent="0.3">
      <c r="A152" t="s">
        <v>194</v>
      </c>
      <c r="B152">
        <v>97</v>
      </c>
      <c r="C152" t="s">
        <v>45</v>
      </c>
      <c r="D152">
        <v>58</v>
      </c>
      <c r="E152">
        <v>80</v>
      </c>
      <c r="F152">
        <v>264.55</v>
      </c>
      <c r="G152" t="s">
        <v>2</v>
      </c>
      <c r="H152" t="s">
        <v>12</v>
      </c>
      <c r="I152" t="str">
        <f t="shared" si="2"/>
        <v>Africa</v>
      </c>
    </row>
    <row r="153" spans="1:9" x14ac:dyDescent="0.3">
      <c r="A153" t="s">
        <v>195</v>
      </c>
      <c r="B153">
        <v>96</v>
      </c>
      <c r="C153" t="s">
        <v>41</v>
      </c>
      <c r="D153">
        <v>58</v>
      </c>
      <c r="E153">
        <v>84</v>
      </c>
      <c r="F153">
        <v>35.25</v>
      </c>
      <c r="G153" t="s">
        <v>18</v>
      </c>
      <c r="H153" t="s">
        <v>18</v>
      </c>
      <c r="I153" t="str">
        <f t="shared" si="2"/>
        <v>America</v>
      </c>
    </row>
    <row r="154" spans="1:9" x14ac:dyDescent="0.3">
      <c r="A154" t="s">
        <v>196</v>
      </c>
      <c r="B154">
        <v>96</v>
      </c>
      <c r="C154" t="s">
        <v>41</v>
      </c>
      <c r="D154">
        <v>64</v>
      </c>
      <c r="E154">
        <v>84</v>
      </c>
      <c r="F154">
        <v>12.79</v>
      </c>
      <c r="G154" t="s">
        <v>18</v>
      </c>
      <c r="H154" t="s">
        <v>14</v>
      </c>
      <c r="I154" t="str">
        <f t="shared" si="2"/>
        <v>America</v>
      </c>
    </row>
    <row r="155" spans="1:9" x14ac:dyDescent="0.3">
      <c r="A155" t="s">
        <v>197</v>
      </c>
      <c r="B155">
        <v>95</v>
      </c>
      <c r="C155" t="s">
        <v>41</v>
      </c>
      <c r="D155">
        <v>60</v>
      </c>
      <c r="E155">
        <v>82</v>
      </c>
      <c r="F155">
        <v>211.64</v>
      </c>
      <c r="G155" t="s">
        <v>2</v>
      </c>
      <c r="H155" t="s">
        <v>9</v>
      </c>
      <c r="I155" t="str">
        <f t="shared" si="2"/>
        <v>Africa</v>
      </c>
    </row>
    <row r="156" spans="1:9" x14ac:dyDescent="0.3">
      <c r="A156" t="s">
        <v>198</v>
      </c>
      <c r="B156">
        <v>95</v>
      </c>
      <c r="C156" t="s">
        <v>41</v>
      </c>
      <c r="D156">
        <v>57</v>
      </c>
      <c r="E156">
        <v>88</v>
      </c>
      <c r="F156">
        <v>211.64</v>
      </c>
      <c r="G156" t="s">
        <v>2</v>
      </c>
      <c r="H156" t="s">
        <v>9</v>
      </c>
      <c r="I156" t="str">
        <f t="shared" si="2"/>
        <v>Africa</v>
      </c>
    </row>
    <row r="157" spans="1:9" x14ac:dyDescent="0.3">
      <c r="A157" t="s">
        <v>199</v>
      </c>
      <c r="B157">
        <v>95</v>
      </c>
      <c r="C157" t="s">
        <v>41</v>
      </c>
      <c r="D157">
        <v>62</v>
      </c>
      <c r="E157">
        <v>84</v>
      </c>
      <c r="F157">
        <v>0.88</v>
      </c>
      <c r="G157" t="s">
        <v>2</v>
      </c>
      <c r="H157" t="s">
        <v>2</v>
      </c>
      <c r="I157" t="str">
        <f t="shared" si="2"/>
        <v>Asia-Pacific</v>
      </c>
    </row>
    <row r="158" spans="1:9" x14ac:dyDescent="0.3">
      <c r="A158" t="s">
        <v>200</v>
      </c>
      <c r="B158">
        <v>94</v>
      </c>
      <c r="C158" t="s">
        <v>45</v>
      </c>
      <c r="D158">
        <v>58</v>
      </c>
      <c r="E158">
        <v>78</v>
      </c>
      <c r="F158">
        <v>154.32</v>
      </c>
      <c r="G158" t="s">
        <v>2</v>
      </c>
      <c r="H158" t="s">
        <v>12</v>
      </c>
      <c r="I158" t="str">
        <f t="shared" si="2"/>
        <v>Africa</v>
      </c>
    </row>
    <row r="159" spans="1:9" x14ac:dyDescent="0.3">
      <c r="A159" t="s">
        <v>201</v>
      </c>
      <c r="B159">
        <v>95</v>
      </c>
      <c r="C159" t="s">
        <v>45</v>
      </c>
      <c r="D159">
        <v>58</v>
      </c>
      <c r="E159">
        <v>80</v>
      </c>
      <c r="F159">
        <v>7.05</v>
      </c>
      <c r="G159" t="s">
        <v>18</v>
      </c>
      <c r="H159" t="s">
        <v>12</v>
      </c>
      <c r="I159" t="str">
        <f t="shared" si="2"/>
        <v>Africa</v>
      </c>
    </row>
    <row r="160" spans="1:9" x14ac:dyDescent="0.3">
      <c r="A160" t="s">
        <v>202</v>
      </c>
      <c r="B160">
        <v>94</v>
      </c>
      <c r="C160" t="s">
        <v>41</v>
      </c>
      <c r="D160">
        <v>62</v>
      </c>
      <c r="E160">
        <v>86</v>
      </c>
      <c r="F160">
        <v>7.94</v>
      </c>
      <c r="G160" t="s">
        <v>18</v>
      </c>
      <c r="H160" t="s">
        <v>9</v>
      </c>
      <c r="I160" t="str">
        <f t="shared" si="2"/>
        <v>Africa</v>
      </c>
    </row>
    <row r="161" spans="1:9" x14ac:dyDescent="0.3">
      <c r="A161" t="s">
        <v>203</v>
      </c>
      <c r="B161">
        <v>94</v>
      </c>
      <c r="C161" t="s">
        <v>45</v>
      </c>
      <c r="D161">
        <v>56</v>
      </c>
      <c r="E161">
        <v>74</v>
      </c>
      <c r="F161">
        <v>114.64</v>
      </c>
      <c r="G161" t="s">
        <v>2</v>
      </c>
      <c r="H161" t="s">
        <v>7</v>
      </c>
      <c r="I161" t="str">
        <f t="shared" si="2"/>
        <v>America</v>
      </c>
    </row>
    <row r="162" spans="1:9" x14ac:dyDescent="0.3">
      <c r="A162" t="s">
        <v>204</v>
      </c>
      <c r="B162">
        <v>94</v>
      </c>
      <c r="C162" t="s">
        <v>45</v>
      </c>
      <c r="D162">
        <v>58</v>
      </c>
      <c r="E162">
        <v>80</v>
      </c>
      <c r="F162">
        <v>145.5</v>
      </c>
      <c r="G162" t="s">
        <v>2</v>
      </c>
      <c r="H162" t="s">
        <v>9</v>
      </c>
      <c r="I162" t="str">
        <f t="shared" si="2"/>
        <v>Africa</v>
      </c>
    </row>
    <row r="163" spans="1:9" x14ac:dyDescent="0.3">
      <c r="A163" t="s">
        <v>205</v>
      </c>
      <c r="B163">
        <v>94</v>
      </c>
      <c r="C163" t="s">
        <v>45</v>
      </c>
      <c r="D163">
        <v>60</v>
      </c>
      <c r="E163">
        <v>77</v>
      </c>
      <c r="F163">
        <v>432.1</v>
      </c>
      <c r="G163" t="s">
        <v>2</v>
      </c>
      <c r="H163" t="s">
        <v>9</v>
      </c>
      <c r="I163" t="str">
        <f t="shared" si="2"/>
        <v>Africa</v>
      </c>
    </row>
    <row r="164" spans="1:9" x14ac:dyDescent="0.3">
      <c r="A164" t="s">
        <v>206</v>
      </c>
      <c r="B164">
        <v>94</v>
      </c>
      <c r="C164" t="s">
        <v>45</v>
      </c>
      <c r="D164">
        <v>60</v>
      </c>
      <c r="E164">
        <v>77</v>
      </c>
      <c r="F164">
        <v>0.88</v>
      </c>
      <c r="G164" t="s">
        <v>2</v>
      </c>
      <c r="H164" t="s">
        <v>2</v>
      </c>
      <c r="I164" t="str">
        <f t="shared" si="2"/>
        <v>Asia-Pacific</v>
      </c>
    </row>
    <row r="165" spans="1:9" x14ac:dyDescent="0.3">
      <c r="A165" t="s">
        <v>207</v>
      </c>
      <c r="B165">
        <v>96</v>
      </c>
      <c r="C165" t="s">
        <v>45</v>
      </c>
      <c r="D165">
        <v>58</v>
      </c>
      <c r="E165">
        <v>82</v>
      </c>
      <c r="F165">
        <v>14.55</v>
      </c>
      <c r="G165" t="s">
        <v>18</v>
      </c>
      <c r="H165" t="s">
        <v>14</v>
      </c>
      <c r="I165" t="str">
        <f t="shared" si="2"/>
        <v>America</v>
      </c>
    </row>
    <row r="166" spans="1:9" x14ac:dyDescent="0.3">
      <c r="A166" t="s">
        <v>208</v>
      </c>
      <c r="B166">
        <v>94</v>
      </c>
      <c r="C166" t="s">
        <v>45</v>
      </c>
      <c r="D166">
        <v>60</v>
      </c>
      <c r="E166">
        <v>79</v>
      </c>
      <c r="F166">
        <v>5.88</v>
      </c>
      <c r="G166" t="s">
        <v>18</v>
      </c>
      <c r="H166" t="s">
        <v>9</v>
      </c>
      <c r="I166" t="str">
        <f t="shared" si="2"/>
        <v>Africa</v>
      </c>
    </row>
    <row r="167" spans="1:9" x14ac:dyDescent="0.3">
      <c r="A167" t="s">
        <v>209</v>
      </c>
      <c r="B167">
        <v>94</v>
      </c>
      <c r="C167" t="s">
        <v>45</v>
      </c>
      <c r="D167">
        <v>59</v>
      </c>
      <c r="E167">
        <v>77</v>
      </c>
      <c r="F167">
        <v>5.88</v>
      </c>
      <c r="G167" t="s">
        <v>18</v>
      </c>
      <c r="H167" t="s">
        <v>16</v>
      </c>
      <c r="I167" t="str">
        <f t="shared" si="2"/>
        <v>Asia-Pacific</v>
      </c>
    </row>
    <row r="168" spans="1:9" x14ac:dyDescent="0.3">
      <c r="A168" t="s">
        <v>210</v>
      </c>
      <c r="B168">
        <v>96</v>
      </c>
      <c r="C168" t="s">
        <v>41</v>
      </c>
      <c r="D168">
        <v>60</v>
      </c>
      <c r="E168">
        <v>82</v>
      </c>
      <c r="F168">
        <v>16</v>
      </c>
      <c r="G168" t="s">
        <v>18</v>
      </c>
      <c r="H168" t="s">
        <v>8</v>
      </c>
      <c r="I168" t="str">
        <f t="shared" si="2"/>
        <v>Africa</v>
      </c>
    </row>
    <row r="169" spans="1:9" x14ac:dyDescent="0.3">
      <c r="A169" t="s">
        <v>211</v>
      </c>
      <c r="B169">
        <v>95</v>
      </c>
      <c r="C169" t="s">
        <v>45</v>
      </c>
      <c r="D169">
        <v>59</v>
      </c>
      <c r="E169">
        <v>81</v>
      </c>
      <c r="F169">
        <v>264.32</v>
      </c>
      <c r="G169" t="s">
        <v>2</v>
      </c>
      <c r="H169" t="s">
        <v>9</v>
      </c>
      <c r="I169" t="str">
        <f t="shared" si="2"/>
        <v>Africa</v>
      </c>
    </row>
    <row r="170" spans="1:9" x14ac:dyDescent="0.3">
      <c r="A170" t="s">
        <v>212</v>
      </c>
      <c r="B170">
        <v>95</v>
      </c>
      <c r="C170" t="s">
        <v>41</v>
      </c>
      <c r="D170">
        <v>62</v>
      </c>
      <c r="E170">
        <v>94</v>
      </c>
      <c r="F170">
        <v>264.32</v>
      </c>
      <c r="G170" t="s">
        <v>2</v>
      </c>
      <c r="H170" t="s">
        <v>14</v>
      </c>
      <c r="I170" t="str">
        <f t="shared" si="2"/>
        <v>America</v>
      </c>
    </row>
    <row r="171" spans="1:9" x14ac:dyDescent="0.3">
      <c r="A171" t="s">
        <v>213</v>
      </c>
      <c r="B171">
        <v>94</v>
      </c>
      <c r="C171" t="s">
        <v>45</v>
      </c>
      <c r="D171">
        <v>60</v>
      </c>
      <c r="E171">
        <v>77</v>
      </c>
      <c r="F171">
        <v>198.24</v>
      </c>
      <c r="G171" t="s">
        <v>2</v>
      </c>
      <c r="H171" t="s">
        <v>9</v>
      </c>
      <c r="I171" t="str">
        <f t="shared" si="2"/>
        <v>Africa</v>
      </c>
    </row>
    <row r="172" spans="1:9" x14ac:dyDescent="0.3">
      <c r="A172" t="s">
        <v>214</v>
      </c>
      <c r="B172">
        <v>94</v>
      </c>
      <c r="C172" t="s">
        <v>45</v>
      </c>
      <c r="D172">
        <v>55</v>
      </c>
      <c r="E172">
        <v>79</v>
      </c>
      <c r="F172">
        <v>5.59</v>
      </c>
      <c r="G172" t="s">
        <v>18</v>
      </c>
      <c r="H172" t="s">
        <v>9</v>
      </c>
      <c r="I172" t="str">
        <f t="shared" si="2"/>
        <v>Africa</v>
      </c>
    </row>
    <row r="173" spans="1:9" x14ac:dyDescent="0.3">
      <c r="A173" t="s">
        <v>215</v>
      </c>
      <c r="B173">
        <v>94</v>
      </c>
      <c r="C173" t="s">
        <v>45</v>
      </c>
      <c r="D173">
        <v>55</v>
      </c>
      <c r="E173">
        <v>79</v>
      </c>
      <c r="F173">
        <v>343.61</v>
      </c>
      <c r="G173" t="s">
        <v>2</v>
      </c>
      <c r="H173" t="s">
        <v>9</v>
      </c>
      <c r="I173" t="str">
        <f t="shared" si="2"/>
        <v>Africa</v>
      </c>
    </row>
    <row r="174" spans="1:9" x14ac:dyDescent="0.3">
      <c r="A174" t="s">
        <v>216</v>
      </c>
      <c r="B174">
        <v>94</v>
      </c>
      <c r="C174" t="s">
        <v>41</v>
      </c>
      <c r="D174">
        <v>65</v>
      </c>
      <c r="E174">
        <v>81</v>
      </c>
      <c r="F174">
        <v>171.81</v>
      </c>
      <c r="G174" t="s">
        <v>2</v>
      </c>
      <c r="H174" t="s">
        <v>9</v>
      </c>
      <c r="I174" t="str">
        <f t="shared" si="2"/>
        <v>Africa</v>
      </c>
    </row>
    <row r="175" spans="1:9" x14ac:dyDescent="0.3">
      <c r="A175" t="s">
        <v>217</v>
      </c>
      <c r="B175">
        <v>94</v>
      </c>
      <c r="C175" t="s">
        <v>41</v>
      </c>
      <c r="D175">
        <v>64</v>
      </c>
      <c r="E175">
        <v>88</v>
      </c>
      <c r="F175">
        <v>211.45</v>
      </c>
      <c r="G175" t="s">
        <v>2</v>
      </c>
      <c r="H175" t="s">
        <v>12</v>
      </c>
      <c r="I175" t="str">
        <f t="shared" si="2"/>
        <v>Africa</v>
      </c>
    </row>
    <row r="176" spans="1:9" x14ac:dyDescent="0.3">
      <c r="A176" t="s">
        <v>218</v>
      </c>
      <c r="B176">
        <v>94</v>
      </c>
      <c r="C176" t="s">
        <v>41</v>
      </c>
      <c r="D176">
        <v>60</v>
      </c>
      <c r="E176">
        <v>83</v>
      </c>
      <c r="F176">
        <v>16.75</v>
      </c>
      <c r="G176" t="s">
        <v>18</v>
      </c>
      <c r="H176" t="s">
        <v>14</v>
      </c>
      <c r="I176" t="str">
        <f t="shared" si="2"/>
        <v>America</v>
      </c>
    </row>
    <row r="177" spans="1:9" x14ac:dyDescent="0.3">
      <c r="A177" t="s">
        <v>219</v>
      </c>
      <c r="B177">
        <v>97</v>
      </c>
      <c r="C177" t="s">
        <v>41</v>
      </c>
      <c r="D177">
        <v>66</v>
      </c>
      <c r="E177">
        <v>84</v>
      </c>
      <c r="F177">
        <v>70.55</v>
      </c>
      <c r="G177" t="s">
        <v>2</v>
      </c>
      <c r="H177" t="s">
        <v>5</v>
      </c>
      <c r="I177" t="str">
        <f t="shared" si="2"/>
        <v>America</v>
      </c>
    </row>
    <row r="178" spans="1:9" x14ac:dyDescent="0.3">
      <c r="A178" t="s">
        <v>220</v>
      </c>
      <c r="B178">
        <v>95</v>
      </c>
      <c r="C178" t="s">
        <v>41</v>
      </c>
      <c r="D178">
        <v>62</v>
      </c>
      <c r="E178">
        <v>84</v>
      </c>
      <c r="F178">
        <v>11.54</v>
      </c>
      <c r="G178" t="s">
        <v>18</v>
      </c>
      <c r="H178" t="s">
        <v>21</v>
      </c>
      <c r="I178" t="str">
        <f t="shared" si="2"/>
        <v>America</v>
      </c>
    </row>
    <row r="179" spans="1:9" x14ac:dyDescent="0.3">
      <c r="A179" t="s">
        <v>221</v>
      </c>
      <c r="B179">
        <v>95</v>
      </c>
      <c r="C179" t="s">
        <v>41</v>
      </c>
      <c r="D179">
        <v>66</v>
      </c>
      <c r="E179">
        <v>90</v>
      </c>
      <c r="F179">
        <v>13.89</v>
      </c>
      <c r="G179" t="s">
        <v>18</v>
      </c>
      <c r="H179" t="s">
        <v>14</v>
      </c>
      <c r="I179" t="str">
        <f t="shared" si="2"/>
        <v>America</v>
      </c>
    </row>
    <row r="180" spans="1:9" x14ac:dyDescent="0.3">
      <c r="A180" t="s">
        <v>222</v>
      </c>
      <c r="B180">
        <v>95</v>
      </c>
      <c r="C180" t="s">
        <v>41</v>
      </c>
      <c r="D180">
        <v>64</v>
      </c>
      <c r="E180">
        <v>88</v>
      </c>
      <c r="F180">
        <v>244.44</v>
      </c>
      <c r="G180" t="s">
        <v>2</v>
      </c>
      <c r="H180" t="s">
        <v>9</v>
      </c>
      <c r="I180" t="str">
        <f t="shared" si="2"/>
        <v>Africa</v>
      </c>
    </row>
    <row r="181" spans="1:9" x14ac:dyDescent="0.3">
      <c r="A181" t="s">
        <v>223</v>
      </c>
      <c r="B181">
        <v>94</v>
      </c>
      <c r="C181" t="s">
        <v>41</v>
      </c>
      <c r="D181">
        <v>64</v>
      </c>
      <c r="E181">
        <v>84</v>
      </c>
      <c r="F181">
        <v>211.64</v>
      </c>
      <c r="G181" t="s">
        <v>2</v>
      </c>
      <c r="H181" t="s">
        <v>9</v>
      </c>
      <c r="I181" t="str">
        <f t="shared" si="2"/>
        <v>Africa</v>
      </c>
    </row>
    <row r="182" spans="1:9" x14ac:dyDescent="0.3">
      <c r="A182" t="s">
        <v>224</v>
      </c>
      <c r="B182">
        <v>96</v>
      </c>
      <c r="C182" t="s">
        <v>41</v>
      </c>
      <c r="D182">
        <v>64</v>
      </c>
      <c r="E182">
        <v>86</v>
      </c>
      <c r="F182">
        <v>8.81</v>
      </c>
      <c r="G182" t="s">
        <v>18</v>
      </c>
      <c r="H182" t="s">
        <v>14</v>
      </c>
      <c r="I182" t="str">
        <f t="shared" si="2"/>
        <v>America</v>
      </c>
    </row>
    <row r="183" spans="1:9" x14ac:dyDescent="0.3">
      <c r="A183" t="s">
        <v>225</v>
      </c>
      <c r="B183">
        <v>94</v>
      </c>
      <c r="C183" t="s">
        <v>41</v>
      </c>
      <c r="D183">
        <v>64</v>
      </c>
      <c r="E183">
        <v>84</v>
      </c>
      <c r="F183">
        <v>8.81</v>
      </c>
      <c r="G183" t="s">
        <v>18</v>
      </c>
      <c r="H183" t="s">
        <v>14</v>
      </c>
      <c r="I183" t="str">
        <f t="shared" si="2"/>
        <v>America</v>
      </c>
    </row>
    <row r="184" spans="1:9" x14ac:dyDescent="0.3">
      <c r="A184" t="s">
        <v>226</v>
      </c>
      <c r="B184">
        <v>94</v>
      </c>
      <c r="C184" t="s">
        <v>45</v>
      </c>
      <c r="D184">
        <v>59</v>
      </c>
      <c r="E184">
        <v>79</v>
      </c>
      <c r="F184">
        <v>5.59</v>
      </c>
      <c r="G184" t="s">
        <v>18</v>
      </c>
      <c r="H184" t="s">
        <v>9</v>
      </c>
      <c r="I184" t="str">
        <f t="shared" si="2"/>
        <v>Africa</v>
      </c>
    </row>
    <row r="185" spans="1:9" x14ac:dyDescent="0.3">
      <c r="A185" t="s">
        <v>227</v>
      </c>
      <c r="B185">
        <v>95</v>
      </c>
      <c r="C185" t="s">
        <v>41</v>
      </c>
      <c r="D185">
        <v>58</v>
      </c>
      <c r="E185">
        <v>84</v>
      </c>
      <c r="F185">
        <v>6.47</v>
      </c>
      <c r="G185" t="s">
        <v>18</v>
      </c>
      <c r="H185" t="s">
        <v>9</v>
      </c>
      <c r="I185" t="str">
        <f t="shared" si="2"/>
        <v>Africa</v>
      </c>
    </row>
    <row r="186" spans="1:9" x14ac:dyDescent="0.3">
      <c r="A186" t="s">
        <v>228</v>
      </c>
      <c r="B186">
        <v>94</v>
      </c>
      <c r="C186" t="s">
        <v>41</v>
      </c>
      <c r="D186">
        <v>66</v>
      </c>
      <c r="E186">
        <v>93</v>
      </c>
      <c r="F186">
        <v>10.23</v>
      </c>
      <c r="G186" t="s">
        <v>18</v>
      </c>
      <c r="H186" t="s">
        <v>14</v>
      </c>
      <c r="I186" t="str">
        <f t="shared" si="2"/>
        <v>America</v>
      </c>
    </row>
    <row r="187" spans="1:9" x14ac:dyDescent="0.3">
      <c r="A187" t="s">
        <v>229</v>
      </c>
      <c r="B187">
        <v>95</v>
      </c>
      <c r="C187" t="s">
        <v>41</v>
      </c>
      <c r="D187">
        <v>69</v>
      </c>
      <c r="E187">
        <v>88</v>
      </c>
      <c r="F187">
        <v>950</v>
      </c>
      <c r="G187" t="s">
        <v>2</v>
      </c>
      <c r="H187" t="s">
        <v>7</v>
      </c>
      <c r="I187" t="str">
        <f t="shared" si="2"/>
        <v>America</v>
      </c>
    </row>
    <row r="188" spans="1:9" x14ac:dyDescent="0.3">
      <c r="A188" t="s">
        <v>230</v>
      </c>
      <c r="B188">
        <v>94</v>
      </c>
      <c r="C188" t="s">
        <v>41</v>
      </c>
      <c r="D188">
        <v>60</v>
      </c>
      <c r="E188">
        <v>88</v>
      </c>
      <c r="F188">
        <v>20.87</v>
      </c>
      <c r="G188" t="s">
        <v>2</v>
      </c>
      <c r="H188" t="s">
        <v>7</v>
      </c>
      <c r="I188" t="str">
        <f t="shared" si="2"/>
        <v>America</v>
      </c>
    </row>
    <row r="189" spans="1:9" x14ac:dyDescent="0.3">
      <c r="A189" t="s">
        <v>231</v>
      </c>
      <c r="B189">
        <v>94</v>
      </c>
      <c r="C189" t="s">
        <v>45</v>
      </c>
      <c r="D189">
        <v>56</v>
      </c>
      <c r="E189">
        <v>84</v>
      </c>
      <c r="F189">
        <v>19.36</v>
      </c>
      <c r="G189" t="s">
        <v>2</v>
      </c>
      <c r="H189" t="s">
        <v>7</v>
      </c>
      <c r="I189" t="str">
        <f t="shared" si="2"/>
        <v>America</v>
      </c>
    </row>
    <row r="190" spans="1:9" x14ac:dyDescent="0.3">
      <c r="A190" t="s">
        <v>232</v>
      </c>
      <c r="B190">
        <v>95</v>
      </c>
      <c r="C190" t="s">
        <v>41</v>
      </c>
      <c r="D190">
        <v>63</v>
      </c>
      <c r="E190">
        <v>81</v>
      </c>
      <c r="F190">
        <v>6.76</v>
      </c>
      <c r="G190" t="s">
        <v>18</v>
      </c>
      <c r="H190" t="s">
        <v>9</v>
      </c>
      <c r="I190" t="str">
        <f t="shared" si="2"/>
        <v>Africa</v>
      </c>
    </row>
    <row r="191" spans="1:9" x14ac:dyDescent="0.3">
      <c r="A191" t="s">
        <v>233</v>
      </c>
      <c r="B191">
        <v>95</v>
      </c>
      <c r="C191" t="s">
        <v>45</v>
      </c>
      <c r="D191">
        <v>59</v>
      </c>
      <c r="E191">
        <v>77</v>
      </c>
      <c r="F191">
        <v>9.6999999999999993</v>
      </c>
      <c r="G191" t="s">
        <v>18</v>
      </c>
      <c r="H191" t="s">
        <v>14</v>
      </c>
      <c r="I191" t="str">
        <f t="shared" si="2"/>
        <v>America</v>
      </c>
    </row>
    <row r="192" spans="1:9" x14ac:dyDescent="0.3">
      <c r="A192" t="s">
        <v>234</v>
      </c>
      <c r="B192">
        <v>96</v>
      </c>
      <c r="C192" t="s">
        <v>45</v>
      </c>
      <c r="D192">
        <v>61</v>
      </c>
      <c r="E192">
        <v>78</v>
      </c>
      <c r="F192">
        <v>5.88</v>
      </c>
      <c r="G192" t="s">
        <v>18</v>
      </c>
      <c r="H192" t="s">
        <v>9</v>
      </c>
      <c r="I192" t="str">
        <f t="shared" si="2"/>
        <v>Africa</v>
      </c>
    </row>
    <row r="193" spans="1:9" x14ac:dyDescent="0.3">
      <c r="A193" t="s">
        <v>235</v>
      </c>
      <c r="B193">
        <v>95</v>
      </c>
      <c r="C193" t="s">
        <v>41</v>
      </c>
      <c r="D193">
        <v>62</v>
      </c>
      <c r="E193">
        <v>80</v>
      </c>
      <c r="F193">
        <v>7.05</v>
      </c>
      <c r="G193" t="s">
        <v>18</v>
      </c>
      <c r="H193" t="s">
        <v>9</v>
      </c>
      <c r="I193" t="str">
        <f t="shared" si="2"/>
        <v>Africa</v>
      </c>
    </row>
    <row r="194" spans="1:9" x14ac:dyDescent="0.3">
      <c r="A194" t="s">
        <v>236</v>
      </c>
      <c r="B194">
        <v>94</v>
      </c>
      <c r="C194" t="s">
        <v>45</v>
      </c>
      <c r="D194">
        <v>60</v>
      </c>
      <c r="E194">
        <v>79</v>
      </c>
      <c r="F194">
        <v>6.76</v>
      </c>
      <c r="G194" t="s">
        <v>18</v>
      </c>
      <c r="H194" t="s">
        <v>16</v>
      </c>
      <c r="I194" t="str">
        <f t="shared" si="2"/>
        <v>Asia-Pacific</v>
      </c>
    </row>
    <row r="195" spans="1:9" x14ac:dyDescent="0.3">
      <c r="A195" t="s">
        <v>237</v>
      </c>
      <c r="B195">
        <v>94</v>
      </c>
      <c r="C195" t="s">
        <v>45</v>
      </c>
      <c r="D195">
        <v>60</v>
      </c>
      <c r="E195">
        <v>77</v>
      </c>
      <c r="F195">
        <v>4.7</v>
      </c>
      <c r="G195" t="s">
        <v>18</v>
      </c>
      <c r="H195" t="s">
        <v>21</v>
      </c>
      <c r="I195" t="str">
        <f t="shared" ref="I195:I258" si="3">_xlfn.XLOOKUP(H195, $M$2:$M$50, $N$2:$N$50, "Other")</f>
        <v>America</v>
      </c>
    </row>
    <row r="196" spans="1:9" x14ac:dyDescent="0.3">
      <c r="A196" t="s">
        <v>238</v>
      </c>
      <c r="B196">
        <v>94</v>
      </c>
      <c r="C196" t="s">
        <v>45</v>
      </c>
      <c r="D196">
        <v>59</v>
      </c>
      <c r="E196">
        <v>81</v>
      </c>
      <c r="F196">
        <v>8.23</v>
      </c>
      <c r="G196" t="s">
        <v>18</v>
      </c>
      <c r="H196" t="s">
        <v>12</v>
      </c>
      <c r="I196" t="str">
        <f t="shared" si="3"/>
        <v>Africa</v>
      </c>
    </row>
    <row r="197" spans="1:9" x14ac:dyDescent="0.3">
      <c r="A197" t="s">
        <v>239</v>
      </c>
      <c r="B197">
        <v>95</v>
      </c>
      <c r="C197" t="s">
        <v>41</v>
      </c>
      <c r="D197">
        <v>64</v>
      </c>
      <c r="E197">
        <v>86</v>
      </c>
      <c r="F197">
        <v>242.29</v>
      </c>
      <c r="G197" t="s">
        <v>2</v>
      </c>
      <c r="H197" t="s">
        <v>9</v>
      </c>
      <c r="I197" t="str">
        <f t="shared" si="3"/>
        <v>Africa</v>
      </c>
    </row>
    <row r="198" spans="1:9" x14ac:dyDescent="0.3">
      <c r="A198" t="s">
        <v>240</v>
      </c>
      <c r="B198">
        <v>94</v>
      </c>
      <c r="C198" t="s">
        <v>41</v>
      </c>
      <c r="D198">
        <v>65</v>
      </c>
      <c r="E198">
        <v>89</v>
      </c>
      <c r="F198">
        <v>22.33</v>
      </c>
      <c r="G198" t="s">
        <v>18</v>
      </c>
      <c r="H198" t="s">
        <v>14</v>
      </c>
      <c r="I198" t="str">
        <f t="shared" si="3"/>
        <v>America</v>
      </c>
    </row>
    <row r="199" spans="1:9" x14ac:dyDescent="0.3">
      <c r="A199" t="s">
        <v>241</v>
      </c>
      <c r="B199">
        <v>94</v>
      </c>
      <c r="C199" t="s">
        <v>41</v>
      </c>
      <c r="D199">
        <v>62</v>
      </c>
      <c r="E199">
        <v>80</v>
      </c>
      <c r="F199">
        <v>136.24</v>
      </c>
      <c r="G199" t="s">
        <v>2</v>
      </c>
      <c r="H199" t="s">
        <v>12</v>
      </c>
      <c r="I199" t="str">
        <f t="shared" si="3"/>
        <v>Africa</v>
      </c>
    </row>
    <row r="200" spans="1:9" x14ac:dyDescent="0.3">
      <c r="A200" t="s">
        <v>242</v>
      </c>
      <c r="B200">
        <v>94</v>
      </c>
      <c r="C200" t="s">
        <v>41</v>
      </c>
      <c r="D200">
        <v>64</v>
      </c>
      <c r="E200">
        <v>84</v>
      </c>
      <c r="F200">
        <v>149.47</v>
      </c>
      <c r="G200" t="s">
        <v>2</v>
      </c>
      <c r="H200" t="s">
        <v>9</v>
      </c>
      <c r="I200" t="str">
        <f t="shared" si="3"/>
        <v>Africa</v>
      </c>
    </row>
    <row r="201" spans="1:9" x14ac:dyDescent="0.3">
      <c r="A201" t="s">
        <v>243</v>
      </c>
      <c r="B201">
        <v>94</v>
      </c>
      <c r="C201" t="s">
        <v>41</v>
      </c>
      <c r="D201">
        <v>66</v>
      </c>
      <c r="E201">
        <v>90</v>
      </c>
      <c r="F201">
        <v>197.97</v>
      </c>
      <c r="G201" t="s">
        <v>2</v>
      </c>
      <c r="H201" t="s">
        <v>9</v>
      </c>
      <c r="I201" t="str">
        <f t="shared" si="3"/>
        <v>Africa</v>
      </c>
    </row>
    <row r="202" spans="1:9" x14ac:dyDescent="0.3">
      <c r="A202" t="s">
        <v>244</v>
      </c>
      <c r="B202">
        <v>97</v>
      </c>
      <c r="C202" t="s">
        <v>41</v>
      </c>
      <c r="D202">
        <v>62</v>
      </c>
      <c r="E202">
        <v>84</v>
      </c>
      <c r="F202">
        <v>6000</v>
      </c>
      <c r="G202" t="s">
        <v>2</v>
      </c>
      <c r="H202" t="s">
        <v>5</v>
      </c>
      <c r="I202" t="str">
        <f t="shared" si="3"/>
        <v>America</v>
      </c>
    </row>
    <row r="203" spans="1:9" x14ac:dyDescent="0.3">
      <c r="A203" t="s">
        <v>245</v>
      </c>
      <c r="B203">
        <v>96</v>
      </c>
      <c r="C203" t="s">
        <v>82</v>
      </c>
      <c r="D203">
        <v>47</v>
      </c>
      <c r="E203">
        <v>69</v>
      </c>
      <c r="F203">
        <v>127.87</v>
      </c>
      <c r="G203" t="s">
        <v>2</v>
      </c>
      <c r="H203" t="s">
        <v>12</v>
      </c>
      <c r="I203" t="str">
        <f t="shared" si="3"/>
        <v>Africa</v>
      </c>
    </row>
    <row r="204" spans="1:9" x14ac:dyDescent="0.3">
      <c r="A204" t="s">
        <v>246</v>
      </c>
      <c r="B204">
        <v>95</v>
      </c>
      <c r="C204" t="s">
        <v>45</v>
      </c>
      <c r="D204">
        <v>58</v>
      </c>
      <c r="E204">
        <v>82</v>
      </c>
      <c r="F204">
        <v>154.32</v>
      </c>
      <c r="G204" t="s">
        <v>2</v>
      </c>
      <c r="H204" t="s">
        <v>12</v>
      </c>
      <c r="I204" t="str">
        <f t="shared" si="3"/>
        <v>Africa</v>
      </c>
    </row>
    <row r="205" spans="1:9" x14ac:dyDescent="0.3">
      <c r="A205" t="s">
        <v>247</v>
      </c>
      <c r="B205">
        <v>95</v>
      </c>
      <c r="C205" t="s">
        <v>41</v>
      </c>
      <c r="D205">
        <v>62</v>
      </c>
      <c r="E205">
        <v>84</v>
      </c>
      <c r="F205">
        <v>145.5</v>
      </c>
      <c r="G205" t="s">
        <v>2</v>
      </c>
      <c r="H205" t="s">
        <v>9</v>
      </c>
      <c r="I205" t="str">
        <f t="shared" si="3"/>
        <v>Africa</v>
      </c>
    </row>
    <row r="206" spans="1:9" x14ac:dyDescent="0.3">
      <c r="A206" t="s">
        <v>248</v>
      </c>
      <c r="B206">
        <v>94</v>
      </c>
      <c r="C206" t="s">
        <v>41</v>
      </c>
      <c r="D206">
        <v>64</v>
      </c>
      <c r="E206">
        <v>86</v>
      </c>
      <c r="F206">
        <v>8.82</v>
      </c>
      <c r="G206" t="s">
        <v>18</v>
      </c>
      <c r="H206" t="s">
        <v>4</v>
      </c>
      <c r="I206" t="str">
        <f t="shared" si="3"/>
        <v>America</v>
      </c>
    </row>
    <row r="207" spans="1:9" x14ac:dyDescent="0.3">
      <c r="A207" t="s">
        <v>249</v>
      </c>
      <c r="B207">
        <v>95</v>
      </c>
      <c r="C207" t="s">
        <v>41</v>
      </c>
      <c r="D207">
        <v>64</v>
      </c>
      <c r="E207">
        <v>88</v>
      </c>
      <c r="F207">
        <v>15.43</v>
      </c>
      <c r="G207" t="s">
        <v>18</v>
      </c>
      <c r="H207" t="s">
        <v>150</v>
      </c>
      <c r="I207" t="str">
        <f t="shared" si="3"/>
        <v>NULL</v>
      </c>
    </row>
    <row r="208" spans="1:9" x14ac:dyDescent="0.3">
      <c r="A208" t="s">
        <v>250</v>
      </c>
      <c r="B208">
        <v>95</v>
      </c>
      <c r="C208" t="s">
        <v>41</v>
      </c>
      <c r="D208">
        <v>64</v>
      </c>
      <c r="E208">
        <v>82</v>
      </c>
      <c r="F208">
        <v>6.17</v>
      </c>
      <c r="G208" t="s">
        <v>18</v>
      </c>
      <c r="H208" t="s">
        <v>9</v>
      </c>
      <c r="I208" t="str">
        <f t="shared" si="3"/>
        <v>Africa</v>
      </c>
    </row>
    <row r="209" spans="1:9" x14ac:dyDescent="0.3">
      <c r="A209" t="s">
        <v>251</v>
      </c>
      <c r="B209">
        <v>94</v>
      </c>
      <c r="C209" t="s">
        <v>41</v>
      </c>
      <c r="D209">
        <v>62</v>
      </c>
      <c r="E209">
        <v>80</v>
      </c>
      <c r="F209">
        <v>6.17</v>
      </c>
      <c r="G209" t="s">
        <v>18</v>
      </c>
      <c r="H209" t="s">
        <v>9</v>
      </c>
      <c r="I209" t="str">
        <f t="shared" si="3"/>
        <v>Africa</v>
      </c>
    </row>
    <row r="210" spans="1:9" x14ac:dyDescent="0.3">
      <c r="A210" t="s">
        <v>252</v>
      </c>
      <c r="B210">
        <v>94</v>
      </c>
      <c r="C210" t="s">
        <v>41</v>
      </c>
      <c r="D210">
        <v>64</v>
      </c>
      <c r="E210">
        <v>86</v>
      </c>
      <c r="F210">
        <v>4.41</v>
      </c>
      <c r="G210" t="s">
        <v>18</v>
      </c>
      <c r="H210" t="s">
        <v>14</v>
      </c>
      <c r="I210" t="str">
        <f t="shared" si="3"/>
        <v>America</v>
      </c>
    </row>
    <row r="211" spans="1:9" x14ac:dyDescent="0.3">
      <c r="A211" t="s">
        <v>253</v>
      </c>
      <c r="B211">
        <v>94</v>
      </c>
      <c r="C211" t="s">
        <v>41</v>
      </c>
      <c r="D211">
        <v>65</v>
      </c>
      <c r="E211">
        <v>87</v>
      </c>
      <c r="F211">
        <v>175</v>
      </c>
      <c r="G211" t="s">
        <v>2</v>
      </c>
      <c r="H211" t="s">
        <v>9</v>
      </c>
      <c r="I211" t="str">
        <f t="shared" si="3"/>
        <v>Africa</v>
      </c>
    </row>
    <row r="212" spans="1:9" x14ac:dyDescent="0.3">
      <c r="A212" t="s">
        <v>254</v>
      </c>
      <c r="B212">
        <v>94</v>
      </c>
      <c r="C212" t="s">
        <v>41</v>
      </c>
      <c r="D212">
        <v>66</v>
      </c>
      <c r="E212">
        <v>88</v>
      </c>
      <c r="F212">
        <v>264.32</v>
      </c>
      <c r="G212" t="s">
        <v>2</v>
      </c>
      <c r="H212" t="s">
        <v>9</v>
      </c>
      <c r="I212" t="str">
        <f t="shared" si="3"/>
        <v>Africa</v>
      </c>
    </row>
    <row r="213" spans="1:9" x14ac:dyDescent="0.3">
      <c r="A213" t="s">
        <v>255</v>
      </c>
      <c r="B213">
        <v>94</v>
      </c>
      <c r="C213" t="s">
        <v>41</v>
      </c>
      <c r="D213">
        <v>66</v>
      </c>
      <c r="E213">
        <v>84</v>
      </c>
      <c r="F213">
        <v>190</v>
      </c>
      <c r="G213" t="s">
        <v>2</v>
      </c>
      <c r="H213" t="s">
        <v>9</v>
      </c>
      <c r="I213" t="str">
        <f t="shared" si="3"/>
        <v>Africa</v>
      </c>
    </row>
    <row r="214" spans="1:9" x14ac:dyDescent="0.3">
      <c r="A214" t="s">
        <v>256</v>
      </c>
      <c r="B214">
        <v>95</v>
      </c>
      <c r="C214" t="s">
        <v>41</v>
      </c>
      <c r="D214">
        <v>66</v>
      </c>
      <c r="E214">
        <v>88</v>
      </c>
      <c r="F214">
        <v>211.64</v>
      </c>
      <c r="G214" t="s">
        <v>2</v>
      </c>
      <c r="H214" t="s">
        <v>9</v>
      </c>
      <c r="I214" t="str">
        <f t="shared" si="3"/>
        <v>Africa</v>
      </c>
    </row>
    <row r="215" spans="1:9" x14ac:dyDescent="0.3">
      <c r="A215" t="s">
        <v>257</v>
      </c>
      <c r="B215">
        <v>96</v>
      </c>
      <c r="C215" t="s">
        <v>45</v>
      </c>
      <c r="D215">
        <v>58</v>
      </c>
      <c r="E215">
        <v>80</v>
      </c>
      <c r="F215">
        <v>10.58</v>
      </c>
      <c r="G215" t="s">
        <v>18</v>
      </c>
      <c r="H215" t="s">
        <v>20</v>
      </c>
      <c r="I215" t="str">
        <f t="shared" si="3"/>
        <v>Africa</v>
      </c>
    </row>
    <row r="216" spans="1:9" x14ac:dyDescent="0.3">
      <c r="A216" t="s">
        <v>258</v>
      </c>
      <c r="B216">
        <v>95</v>
      </c>
      <c r="C216" t="s">
        <v>45</v>
      </c>
      <c r="D216">
        <v>57</v>
      </c>
      <c r="E216">
        <v>77</v>
      </c>
      <c r="F216">
        <v>10.58</v>
      </c>
      <c r="G216" t="s">
        <v>18</v>
      </c>
      <c r="H216" t="s">
        <v>20</v>
      </c>
      <c r="I216" t="str">
        <f t="shared" si="3"/>
        <v>Africa</v>
      </c>
    </row>
    <row r="217" spans="1:9" x14ac:dyDescent="0.3">
      <c r="A217" t="s">
        <v>259</v>
      </c>
      <c r="B217">
        <v>96</v>
      </c>
      <c r="C217" t="s">
        <v>41</v>
      </c>
      <c r="D217">
        <v>59</v>
      </c>
      <c r="E217">
        <v>93</v>
      </c>
      <c r="F217">
        <v>8.82</v>
      </c>
      <c r="G217" t="s">
        <v>18</v>
      </c>
      <c r="H217" t="s">
        <v>14</v>
      </c>
      <c r="I217" t="str">
        <f t="shared" si="3"/>
        <v>America</v>
      </c>
    </row>
    <row r="218" spans="1:9" x14ac:dyDescent="0.3">
      <c r="A218" t="s">
        <v>260</v>
      </c>
      <c r="B218">
        <v>94</v>
      </c>
      <c r="C218" t="s">
        <v>41</v>
      </c>
      <c r="D218">
        <v>63</v>
      </c>
      <c r="E218">
        <v>82</v>
      </c>
      <c r="F218">
        <v>255.51</v>
      </c>
      <c r="G218" t="s">
        <v>2</v>
      </c>
      <c r="H218" t="s">
        <v>9</v>
      </c>
      <c r="I218" t="str">
        <f t="shared" si="3"/>
        <v>Africa</v>
      </c>
    </row>
    <row r="219" spans="1:9" x14ac:dyDescent="0.3">
      <c r="A219" t="s">
        <v>261</v>
      </c>
      <c r="B219">
        <v>94</v>
      </c>
      <c r="C219" t="s">
        <v>41</v>
      </c>
      <c r="D219">
        <v>63</v>
      </c>
      <c r="E219">
        <v>85</v>
      </c>
      <c r="F219">
        <v>5.88</v>
      </c>
      <c r="G219" t="s">
        <v>18</v>
      </c>
      <c r="H219" t="s">
        <v>14</v>
      </c>
      <c r="I219" t="str">
        <f t="shared" si="3"/>
        <v>America</v>
      </c>
    </row>
    <row r="220" spans="1:9" x14ac:dyDescent="0.3">
      <c r="A220" t="s">
        <v>262</v>
      </c>
      <c r="B220">
        <v>96</v>
      </c>
      <c r="C220" t="s">
        <v>41</v>
      </c>
      <c r="D220">
        <v>66</v>
      </c>
      <c r="E220">
        <v>88</v>
      </c>
      <c r="F220">
        <v>79.37</v>
      </c>
      <c r="G220" t="s">
        <v>2</v>
      </c>
      <c r="H220" t="s">
        <v>5</v>
      </c>
      <c r="I220" t="str">
        <f t="shared" si="3"/>
        <v>America</v>
      </c>
    </row>
    <row r="221" spans="1:9" x14ac:dyDescent="0.3">
      <c r="A221" t="s">
        <v>263</v>
      </c>
      <c r="B221">
        <v>95</v>
      </c>
      <c r="C221" t="s">
        <v>41</v>
      </c>
      <c r="D221">
        <v>72</v>
      </c>
      <c r="E221">
        <v>102</v>
      </c>
      <c r="F221">
        <v>8.23</v>
      </c>
      <c r="G221" t="s">
        <v>18</v>
      </c>
      <c r="H221" t="s">
        <v>15</v>
      </c>
      <c r="I221" t="str">
        <f t="shared" si="3"/>
        <v>America</v>
      </c>
    </row>
    <row r="222" spans="1:9" x14ac:dyDescent="0.3">
      <c r="A222" t="s">
        <v>264</v>
      </c>
      <c r="B222">
        <v>94</v>
      </c>
      <c r="C222" t="s">
        <v>41</v>
      </c>
      <c r="D222">
        <v>66</v>
      </c>
      <c r="E222">
        <v>88</v>
      </c>
      <c r="F222">
        <v>12.4</v>
      </c>
      <c r="G222" t="s">
        <v>18</v>
      </c>
      <c r="H222" t="s">
        <v>14</v>
      </c>
      <c r="I222" t="str">
        <f t="shared" si="3"/>
        <v>America</v>
      </c>
    </row>
    <row r="223" spans="1:9" x14ac:dyDescent="0.3">
      <c r="A223" t="s">
        <v>265</v>
      </c>
      <c r="B223">
        <v>94</v>
      </c>
      <c r="C223" t="s">
        <v>41</v>
      </c>
      <c r="D223">
        <v>65</v>
      </c>
      <c r="E223">
        <v>90</v>
      </c>
      <c r="F223">
        <v>12.4</v>
      </c>
      <c r="G223" t="s">
        <v>18</v>
      </c>
      <c r="H223" t="s">
        <v>14</v>
      </c>
      <c r="I223" t="str">
        <f t="shared" si="3"/>
        <v>America</v>
      </c>
    </row>
    <row r="224" spans="1:9" x14ac:dyDescent="0.3">
      <c r="A224" t="s">
        <v>266</v>
      </c>
      <c r="B224">
        <v>96</v>
      </c>
      <c r="C224" t="s">
        <v>41</v>
      </c>
      <c r="D224">
        <v>68</v>
      </c>
      <c r="E224">
        <v>92</v>
      </c>
      <c r="F224">
        <v>24.8</v>
      </c>
      <c r="G224" t="s">
        <v>18</v>
      </c>
      <c r="H224" t="s">
        <v>14</v>
      </c>
      <c r="I224" t="str">
        <f t="shared" si="3"/>
        <v>America</v>
      </c>
    </row>
    <row r="225" spans="1:9" x14ac:dyDescent="0.3">
      <c r="A225" t="s">
        <v>267</v>
      </c>
      <c r="B225">
        <v>95</v>
      </c>
      <c r="C225" t="s">
        <v>41</v>
      </c>
      <c r="D225">
        <v>65</v>
      </c>
      <c r="E225">
        <v>92</v>
      </c>
      <c r="F225">
        <v>24.8</v>
      </c>
      <c r="G225" t="s">
        <v>18</v>
      </c>
      <c r="H225" t="s">
        <v>14</v>
      </c>
      <c r="I225" t="str">
        <f t="shared" si="3"/>
        <v>America</v>
      </c>
    </row>
    <row r="226" spans="1:9" x14ac:dyDescent="0.3">
      <c r="A226" t="s">
        <v>268</v>
      </c>
      <c r="B226">
        <v>94</v>
      </c>
      <c r="C226" t="s">
        <v>45</v>
      </c>
      <c r="D226">
        <v>58</v>
      </c>
      <c r="E226">
        <v>78</v>
      </c>
      <c r="F226">
        <v>7.5</v>
      </c>
      <c r="G226" t="s">
        <v>18</v>
      </c>
      <c r="H226" t="s">
        <v>9</v>
      </c>
      <c r="I226" t="str">
        <f t="shared" si="3"/>
        <v>Africa</v>
      </c>
    </row>
    <row r="227" spans="1:9" x14ac:dyDescent="0.3">
      <c r="A227" t="s">
        <v>269</v>
      </c>
      <c r="B227">
        <v>96</v>
      </c>
      <c r="C227" t="s">
        <v>41</v>
      </c>
      <c r="D227">
        <v>59</v>
      </c>
      <c r="E227">
        <v>83</v>
      </c>
      <c r="F227">
        <v>799</v>
      </c>
      <c r="G227" t="s">
        <v>2</v>
      </c>
      <c r="H227" t="s">
        <v>9</v>
      </c>
      <c r="I227" t="str">
        <f t="shared" si="3"/>
        <v>Africa</v>
      </c>
    </row>
    <row r="228" spans="1:9" x14ac:dyDescent="0.3">
      <c r="A228" t="s">
        <v>270</v>
      </c>
      <c r="B228">
        <v>95</v>
      </c>
      <c r="C228" t="s">
        <v>41</v>
      </c>
      <c r="D228">
        <v>64</v>
      </c>
      <c r="E228">
        <v>88</v>
      </c>
      <c r="F228">
        <v>158.29</v>
      </c>
      <c r="G228" t="s">
        <v>2</v>
      </c>
      <c r="H228" t="s">
        <v>9</v>
      </c>
      <c r="I228" t="str">
        <f t="shared" si="3"/>
        <v>Africa</v>
      </c>
    </row>
    <row r="229" spans="1:9" x14ac:dyDescent="0.3">
      <c r="A229" t="s">
        <v>271</v>
      </c>
      <c r="B229">
        <v>94</v>
      </c>
      <c r="C229" t="s">
        <v>41</v>
      </c>
      <c r="D229">
        <v>64</v>
      </c>
      <c r="E229">
        <v>86</v>
      </c>
      <c r="F229">
        <v>254.55</v>
      </c>
      <c r="G229" t="s">
        <v>2</v>
      </c>
      <c r="H229" t="s">
        <v>9</v>
      </c>
      <c r="I229" t="str">
        <f t="shared" si="3"/>
        <v>Africa</v>
      </c>
    </row>
    <row r="230" spans="1:9" x14ac:dyDescent="0.3">
      <c r="A230" t="s">
        <v>272</v>
      </c>
      <c r="B230">
        <v>94</v>
      </c>
      <c r="C230" t="s">
        <v>45</v>
      </c>
      <c r="D230">
        <v>57</v>
      </c>
      <c r="E230">
        <v>76</v>
      </c>
      <c r="F230">
        <v>264.11</v>
      </c>
      <c r="G230" t="s">
        <v>2</v>
      </c>
      <c r="H230" t="s">
        <v>9</v>
      </c>
      <c r="I230" t="str">
        <f t="shared" si="3"/>
        <v>Africa</v>
      </c>
    </row>
    <row r="231" spans="1:9" x14ac:dyDescent="0.3">
      <c r="A231" t="s">
        <v>273</v>
      </c>
      <c r="B231">
        <v>96</v>
      </c>
      <c r="C231" t="s">
        <v>45</v>
      </c>
      <c r="D231">
        <v>60</v>
      </c>
      <c r="E231">
        <v>77</v>
      </c>
      <c r="F231">
        <v>154.32</v>
      </c>
      <c r="G231" t="s">
        <v>2</v>
      </c>
      <c r="H231" t="s">
        <v>9</v>
      </c>
      <c r="I231" t="str">
        <f t="shared" si="3"/>
        <v>Africa</v>
      </c>
    </row>
    <row r="232" spans="1:9" x14ac:dyDescent="0.3">
      <c r="A232" t="s">
        <v>274</v>
      </c>
      <c r="B232">
        <v>95</v>
      </c>
      <c r="C232" t="s">
        <v>41</v>
      </c>
      <c r="D232">
        <v>64</v>
      </c>
      <c r="E232">
        <v>84</v>
      </c>
      <c r="F232">
        <v>198.41</v>
      </c>
      <c r="G232" t="s">
        <v>2</v>
      </c>
      <c r="H232" t="s">
        <v>6</v>
      </c>
      <c r="I232" t="str">
        <f t="shared" si="3"/>
        <v>America</v>
      </c>
    </row>
    <row r="233" spans="1:9" x14ac:dyDescent="0.3">
      <c r="A233" t="s">
        <v>275</v>
      </c>
      <c r="B233">
        <v>94</v>
      </c>
      <c r="C233" t="s">
        <v>41</v>
      </c>
      <c r="D233">
        <v>64</v>
      </c>
      <c r="E233">
        <v>88</v>
      </c>
      <c r="F233">
        <v>180.78</v>
      </c>
      <c r="G233" t="s">
        <v>2</v>
      </c>
      <c r="H233" t="s">
        <v>6</v>
      </c>
      <c r="I233" t="str">
        <f t="shared" si="3"/>
        <v>America</v>
      </c>
    </row>
    <row r="234" spans="1:9" x14ac:dyDescent="0.3">
      <c r="A234" t="s">
        <v>276</v>
      </c>
      <c r="B234">
        <v>94</v>
      </c>
      <c r="C234" t="s">
        <v>45</v>
      </c>
      <c r="D234">
        <v>58</v>
      </c>
      <c r="E234">
        <v>76</v>
      </c>
      <c r="F234">
        <v>6.76</v>
      </c>
      <c r="G234" t="s">
        <v>18</v>
      </c>
      <c r="H234" t="s">
        <v>12</v>
      </c>
      <c r="I234" t="str">
        <f t="shared" si="3"/>
        <v>Africa</v>
      </c>
    </row>
    <row r="235" spans="1:9" x14ac:dyDescent="0.3">
      <c r="A235" t="s">
        <v>277</v>
      </c>
      <c r="B235">
        <v>94</v>
      </c>
      <c r="C235" t="s">
        <v>41</v>
      </c>
      <c r="D235">
        <v>57</v>
      </c>
      <c r="E235">
        <v>87</v>
      </c>
      <c r="F235">
        <v>14.99</v>
      </c>
      <c r="G235" t="s">
        <v>18</v>
      </c>
      <c r="H235" t="s">
        <v>14</v>
      </c>
      <c r="I235" t="str">
        <f t="shared" si="3"/>
        <v>America</v>
      </c>
    </row>
    <row r="236" spans="1:9" x14ac:dyDescent="0.3">
      <c r="A236" t="s">
        <v>278</v>
      </c>
      <c r="B236">
        <v>95</v>
      </c>
      <c r="C236" t="s">
        <v>41</v>
      </c>
      <c r="D236">
        <v>58</v>
      </c>
      <c r="E236">
        <v>86</v>
      </c>
      <c r="F236">
        <v>211.45</v>
      </c>
      <c r="G236" t="s">
        <v>2</v>
      </c>
      <c r="H236" t="s">
        <v>9</v>
      </c>
      <c r="I236" t="str">
        <f t="shared" si="3"/>
        <v>Africa</v>
      </c>
    </row>
    <row r="237" spans="1:9" x14ac:dyDescent="0.3">
      <c r="A237" t="s">
        <v>279</v>
      </c>
      <c r="B237">
        <v>94</v>
      </c>
      <c r="C237" t="s">
        <v>41</v>
      </c>
      <c r="D237">
        <v>66</v>
      </c>
      <c r="E237">
        <v>88</v>
      </c>
      <c r="F237">
        <v>330.4</v>
      </c>
      <c r="G237" t="s">
        <v>2</v>
      </c>
      <c r="H237" t="s">
        <v>9</v>
      </c>
      <c r="I237" t="str">
        <f t="shared" si="3"/>
        <v>Africa</v>
      </c>
    </row>
    <row r="238" spans="1:9" x14ac:dyDescent="0.3">
      <c r="A238" t="s">
        <v>280</v>
      </c>
      <c r="B238">
        <v>94</v>
      </c>
      <c r="C238" t="s">
        <v>41</v>
      </c>
      <c r="D238">
        <v>58</v>
      </c>
      <c r="E238">
        <v>86</v>
      </c>
      <c r="F238">
        <v>330.4</v>
      </c>
      <c r="G238" t="s">
        <v>2</v>
      </c>
      <c r="H238" t="s">
        <v>14</v>
      </c>
      <c r="I238" t="str">
        <f t="shared" si="3"/>
        <v>America</v>
      </c>
    </row>
    <row r="239" spans="1:9" x14ac:dyDescent="0.3">
      <c r="A239" t="s">
        <v>281</v>
      </c>
      <c r="B239">
        <v>95</v>
      </c>
      <c r="C239" t="s">
        <v>41</v>
      </c>
      <c r="D239">
        <v>63</v>
      </c>
      <c r="E239">
        <v>81</v>
      </c>
      <c r="F239">
        <v>11.02</v>
      </c>
      <c r="G239" t="s">
        <v>18</v>
      </c>
      <c r="H239" t="s">
        <v>14</v>
      </c>
      <c r="I239" t="str">
        <f t="shared" si="3"/>
        <v>America</v>
      </c>
    </row>
    <row r="240" spans="1:9" x14ac:dyDescent="0.3">
      <c r="A240" t="s">
        <v>282</v>
      </c>
      <c r="B240">
        <v>94</v>
      </c>
      <c r="C240" t="s">
        <v>45</v>
      </c>
      <c r="D240">
        <v>58</v>
      </c>
      <c r="E240">
        <v>82</v>
      </c>
      <c r="F240">
        <v>7.05</v>
      </c>
      <c r="G240" t="s">
        <v>18</v>
      </c>
      <c r="H240" t="s">
        <v>15</v>
      </c>
      <c r="I240" t="str">
        <f t="shared" si="3"/>
        <v>America</v>
      </c>
    </row>
    <row r="241" spans="1:9" x14ac:dyDescent="0.3">
      <c r="A241" t="s">
        <v>283</v>
      </c>
      <c r="B241">
        <v>94</v>
      </c>
      <c r="C241" t="s">
        <v>45</v>
      </c>
      <c r="D241">
        <v>56</v>
      </c>
      <c r="E241">
        <v>76</v>
      </c>
      <c r="F241">
        <v>18.64</v>
      </c>
      <c r="G241" t="s">
        <v>18</v>
      </c>
      <c r="H241" t="s">
        <v>18</v>
      </c>
      <c r="I241" t="str">
        <f t="shared" si="3"/>
        <v>America</v>
      </c>
    </row>
    <row r="242" spans="1:9" x14ac:dyDescent="0.3">
      <c r="A242" t="s">
        <v>284</v>
      </c>
      <c r="B242">
        <v>95</v>
      </c>
      <c r="C242" t="s">
        <v>45</v>
      </c>
      <c r="D242">
        <v>58</v>
      </c>
      <c r="E242">
        <v>77</v>
      </c>
      <c r="F242">
        <v>123.46</v>
      </c>
      <c r="G242" t="s">
        <v>2</v>
      </c>
      <c r="H242" t="s">
        <v>9</v>
      </c>
      <c r="I242" t="str">
        <f t="shared" si="3"/>
        <v>Africa</v>
      </c>
    </row>
    <row r="243" spans="1:9" x14ac:dyDescent="0.3">
      <c r="A243" t="s">
        <v>285</v>
      </c>
      <c r="B243">
        <v>94</v>
      </c>
      <c r="C243" t="s">
        <v>41</v>
      </c>
      <c r="D243">
        <v>64</v>
      </c>
      <c r="E243">
        <v>86</v>
      </c>
      <c r="F243">
        <v>132.28</v>
      </c>
      <c r="G243" t="s">
        <v>2</v>
      </c>
      <c r="H243" t="s">
        <v>9</v>
      </c>
      <c r="I243" t="str">
        <f t="shared" si="3"/>
        <v>Africa</v>
      </c>
    </row>
    <row r="244" spans="1:9" x14ac:dyDescent="0.3">
      <c r="A244" t="s">
        <v>286</v>
      </c>
      <c r="B244">
        <v>94</v>
      </c>
      <c r="C244" t="s">
        <v>41</v>
      </c>
      <c r="D244">
        <v>62</v>
      </c>
      <c r="E244">
        <v>80</v>
      </c>
      <c r="F244">
        <v>352.73</v>
      </c>
      <c r="G244" t="s">
        <v>2</v>
      </c>
      <c r="H244" t="s">
        <v>2</v>
      </c>
      <c r="I244" t="str">
        <f t="shared" si="3"/>
        <v>Asia-Pacific</v>
      </c>
    </row>
    <row r="245" spans="1:9" x14ac:dyDescent="0.3">
      <c r="A245" t="s">
        <v>287</v>
      </c>
      <c r="B245">
        <v>96</v>
      </c>
      <c r="C245" t="s">
        <v>41</v>
      </c>
      <c r="D245">
        <v>64</v>
      </c>
      <c r="E245">
        <v>88</v>
      </c>
      <c r="F245">
        <v>16.309999999999999</v>
      </c>
      <c r="G245" t="s">
        <v>18</v>
      </c>
      <c r="H245" t="s">
        <v>14</v>
      </c>
      <c r="I245" t="str">
        <f t="shared" si="3"/>
        <v>America</v>
      </c>
    </row>
    <row r="246" spans="1:9" x14ac:dyDescent="0.3">
      <c r="A246" t="s">
        <v>288</v>
      </c>
      <c r="B246">
        <v>94</v>
      </c>
      <c r="C246" t="s">
        <v>45</v>
      </c>
      <c r="D246">
        <v>59</v>
      </c>
      <c r="E246">
        <v>81</v>
      </c>
      <c r="F246">
        <v>6.16</v>
      </c>
      <c r="G246" t="s">
        <v>18</v>
      </c>
      <c r="H246" t="s">
        <v>14</v>
      </c>
      <c r="I246" t="str">
        <f t="shared" si="3"/>
        <v>America</v>
      </c>
    </row>
    <row r="247" spans="1:9" x14ac:dyDescent="0.3">
      <c r="A247" t="s">
        <v>289</v>
      </c>
      <c r="B247">
        <v>94</v>
      </c>
      <c r="C247" t="s">
        <v>41</v>
      </c>
      <c r="D247">
        <v>63</v>
      </c>
      <c r="E247">
        <v>86</v>
      </c>
      <c r="F247">
        <v>18.670000000000002</v>
      </c>
      <c r="G247" t="s">
        <v>27</v>
      </c>
      <c r="H247" t="s">
        <v>14</v>
      </c>
      <c r="I247" t="str">
        <f t="shared" si="3"/>
        <v>America</v>
      </c>
    </row>
    <row r="248" spans="1:9" x14ac:dyDescent="0.3">
      <c r="A248" t="s">
        <v>290</v>
      </c>
      <c r="B248">
        <v>94</v>
      </c>
      <c r="C248" t="s">
        <v>45</v>
      </c>
      <c r="D248">
        <v>51</v>
      </c>
      <c r="E248">
        <v>80</v>
      </c>
      <c r="F248">
        <v>175</v>
      </c>
      <c r="G248" t="s">
        <v>2</v>
      </c>
      <c r="H248" t="s">
        <v>9</v>
      </c>
      <c r="I248" t="str">
        <f t="shared" si="3"/>
        <v>Africa</v>
      </c>
    </row>
    <row r="249" spans="1:9" x14ac:dyDescent="0.3">
      <c r="A249" t="s">
        <v>291</v>
      </c>
      <c r="B249">
        <v>94</v>
      </c>
      <c r="C249" t="s">
        <v>45</v>
      </c>
      <c r="D249">
        <v>58</v>
      </c>
      <c r="E249">
        <v>80</v>
      </c>
      <c r="F249">
        <v>399</v>
      </c>
      <c r="G249" t="s">
        <v>2</v>
      </c>
      <c r="H249" t="s">
        <v>20</v>
      </c>
      <c r="I249" t="str">
        <f t="shared" si="3"/>
        <v>Africa</v>
      </c>
    </row>
    <row r="250" spans="1:9" x14ac:dyDescent="0.3">
      <c r="A250" t="s">
        <v>292</v>
      </c>
      <c r="B250">
        <v>95</v>
      </c>
      <c r="C250" t="s">
        <v>41</v>
      </c>
      <c r="D250">
        <v>62</v>
      </c>
      <c r="E250">
        <v>84</v>
      </c>
      <c r="F250">
        <v>11.02</v>
      </c>
      <c r="G250" t="s">
        <v>18</v>
      </c>
      <c r="H250" t="s">
        <v>14</v>
      </c>
      <c r="I250" t="str">
        <f t="shared" si="3"/>
        <v>America</v>
      </c>
    </row>
    <row r="251" spans="1:9" x14ac:dyDescent="0.3">
      <c r="A251" t="s">
        <v>293</v>
      </c>
      <c r="B251">
        <v>94</v>
      </c>
      <c r="C251" t="s">
        <v>41</v>
      </c>
      <c r="D251">
        <v>62</v>
      </c>
      <c r="E251">
        <v>86</v>
      </c>
      <c r="F251">
        <v>8.82</v>
      </c>
      <c r="G251" t="s">
        <v>18</v>
      </c>
      <c r="H251" t="s">
        <v>14</v>
      </c>
      <c r="I251" t="str">
        <f t="shared" si="3"/>
        <v>America</v>
      </c>
    </row>
    <row r="252" spans="1:9" x14ac:dyDescent="0.3">
      <c r="A252" t="s">
        <v>294</v>
      </c>
      <c r="B252">
        <v>94</v>
      </c>
      <c r="C252" t="s">
        <v>45</v>
      </c>
      <c r="D252">
        <v>59</v>
      </c>
      <c r="E252">
        <v>82</v>
      </c>
      <c r="F252">
        <v>17.64</v>
      </c>
      <c r="G252" t="s">
        <v>18</v>
      </c>
      <c r="H252" t="s">
        <v>14</v>
      </c>
      <c r="I252" t="str">
        <f t="shared" si="3"/>
        <v>America</v>
      </c>
    </row>
    <row r="253" spans="1:9" x14ac:dyDescent="0.3">
      <c r="A253" t="s">
        <v>295</v>
      </c>
      <c r="B253">
        <v>94</v>
      </c>
      <c r="C253" t="s">
        <v>41</v>
      </c>
      <c r="D253">
        <v>63</v>
      </c>
      <c r="E253">
        <v>86</v>
      </c>
      <c r="F253">
        <v>18.52</v>
      </c>
      <c r="G253" t="s">
        <v>18</v>
      </c>
      <c r="H253" t="s">
        <v>14</v>
      </c>
      <c r="I253" t="str">
        <f t="shared" si="3"/>
        <v>America</v>
      </c>
    </row>
    <row r="254" spans="1:9" x14ac:dyDescent="0.3">
      <c r="A254" t="s">
        <v>296</v>
      </c>
      <c r="B254">
        <v>94</v>
      </c>
      <c r="C254" t="s">
        <v>41</v>
      </c>
      <c r="D254">
        <v>64</v>
      </c>
      <c r="E254">
        <v>97</v>
      </c>
      <c r="F254">
        <v>12.78</v>
      </c>
      <c r="G254" t="s">
        <v>18</v>
      </c>
      <c r="H254" t="s">
        <v>14</v>
      </c>
      <c r="I254" t="str">
        <f t="shared" si="3"/>
        <v>America</v>
      </c>
    </row>
    <row r="255" spans="1:9" x14ac:dyDescent="0.3">
      <c r="A255" t="s">
        <v>297</v>
      </c>
      <c r="B255">
        <v>94</v>
      </c>
      <c r="C255" t="s">
        <v>41</v>
      </c>
      <c r="D255">
        <v>59</v>
      </c>
      <c r="E255">
        <v>94</v>
      </c>
      <c r="F255">
        <v>93.77</v>
      </c>
      <c r="G255" t="s">
        <v>2</v>
      </c>
      <c r="H255" t="s">
        <v>9</v>
      </c>
      <c r="I255" t="str">
        <f t="shared" si="3"/>
        <v>Africa</v>
      </c>
    </row>
    <row r="256" spans="1:9" x14ac:dyDescent="0.3">
      <c r="A256" t="s">
        <v>298</v>
      </c>
      <c r="B256">
        <v>94</v>
      </c>
      <c r="C256" t="s">
        <v>41</v>
      </c>
      <c r="D256">
        <v>64</v>
      </c>
      <c r="E256">
        <v>82</v>
      </c>
      <c r="F256">
        <v>220.26</v>
      </c>
      <c r="G256" t="s">
        <v>2</v>
      </c>
      <c r="H256" t="s">
        <v>9</v>
      </c>
      <c r="I256" t="str">
        <f t="shared" si="3"/>
        <v>Africa</v>
      </c>
    </row>
    <row r="257" spans="1:9" x14ac:dyDescent="0.3">
      <c r="A257" t="s">
        <v>299</v>
      </c>
      <c r="B257">
        <v>94</v>
      </c>
      <c r="C257" t="s">
        <v>41</v>
      </c>
      <c r="D257">
        <v>62</v>
      </c>
      <c r="E257">
        <v>82</v>
      </c>
      <c r="F257">
        <v>264.32</v>
      </c>
      <c r="G257" t="s">
        <v>2</v>
      </c>
      <c r="H257" t="s">
        <v>9</v>
      </c>
      <c r="I257" t="str">
        <f t="shared" si="3"/>
        <v>Africa</v>
      </c>
    </row>
    <row r="258" spans="1:9" x14ac:dyDescent="0.3">
      <c r="A258" t="s">
        <v>300</v>
      </c>
      <c r="B258">
        <v>94</v>
      </c>
      <c r="C258" t="s">
        <v>45</v>
      </c>
      <c r="D258">
        <v>57</v>
      </c>
      <c r="E258">
        <v>79</v>
      </c>
      <c r="F258">
        <v>5.88</v>
      </c>
      <c r="G258" t="s">
        <v>18</v>
      </c>
      <c r="H258" t="s">
        <v>7</v>
      </c>
      <c r="I258" t="str">
        <f t="shared" si="3"/>
        <v>America</v>
      </c>
    </row>
    <row r="259" spans="1:9" x14ac:dyDescent="0.3">
      <c r="A259" t="s">
        <v>301</v>
      </c>
      <c r="B259">
        <v>95</v>
      </c>
      <c r="C259" t="s">
        <v>41</v>
      </c>
      <c r="D259">
        <v>57</v>
      </c>
      <c r="E259">
        <v>89</v>
      </c>
      <c r="F259">
        <v>11.46</v>
      </c>
      <c r="G259" t="s">
        <v>18</v>
      </c>
      <c r="H259" t="s">
        <v>14</v>
      </c>
      <c r="I259" t="str">
        <f t="shared" ref="I259:I322" si="4">_xlfn.XLOOKUP(H259, $M$2:$M$50, $N$2:$N$50, "Other")</f>
        <v>America</v>
      </c>
    </row>
    <row r="260" spans="1:9" x14ac:dyDescent="0.3">
      <c r="A260" t="s">
        <v>302</v>
      </c>
      <c r="B260">
        <v>94</v>
      </c>
      <c r="C260" t="s">
        <v>41</v>
      </c>
      <c r="D260">
        <v>60</v>
      </c>
      <c r="E260">
        <v>88</v>
      </c>
      <c r="F260">
        <v>6.76</v>
      </c>
      <c r="G260" t="s">
        <v>18</v>
      </c>
      <c r="H260" t="s">
        <v>16</v>
      </c>
      <c r="I260" t="str">
        <f t="shared" si="4"/>
        <v>Asia-Pacific</v>
      </c>
    </row>
    <row r="261" spans="1:9" x14ac:dyDescent="0.3">
      <c r="A261" t="s">
        <v>303</v>
      </c>
      <c r="B261">
        <v>95</v>
      </c>
      <c r="C261" t="s">
        <v>41</v>
      </c>
      <c r="D261">
        <v>65</v>
      </c>
      <c r="E261">
        <v>89</v>
      </c>
      <c r="F261">
        <v>17</v>
      </c>
      <c r="G261" t="s">
        <v>18</v>
      </c>
      <c r="H261" t="s">
        <v>14</v>
      </c>
      <c r="I261" t="str">
        <f t="shared" si="4"/>
        <v>America</v>
      </c>
    </row>
    <row r="262" spans="1:9" x14ac:dyDescent="0.3">
      <c r="A262" t="s">
        <v>304</v>
      </c>
      <c r="B262">
        <v>94</v>
      </c>
      <c r="C262" t="s">
        <v>41</v>
      </c>
      <c r="D262">
        <v>66</v>
      </c>
      <c r="E262">
        <v>88</v>
      </c>
      <c r="F262">
        <v>6.76</v>
      </c>
      <c r="G262" t="s">
        <v>18</v>
      </c>
      <c r="H262" t="s">
        <v>12</v>
      </c>
      <c r="I262" t="str">
        <f t="shared" si="4"/>
        <v>Africa</v>
      </c>
    </row>
    <row r="263" spans="1:9" x14ac:dyDescent="0.3">
      <c r="A263" t="s">
        <v>305</v>
      </c>
      <c r="B263">
        <v>96</v>
      </c>
      <c r="C263" t="s">
        <v>41</v>
      </c>
      <c r="D263">
        <v>62</v>
      </c>
      <c r="E263">
        <v>80</v>
      </c>
      <c r="F263">
        <v>158.72999999999999</v>
      </c>
      <c r="G263" t="s">
        <v>2</v>
      </c>
      <c r="H263" t="s">
        <v>12</v>
      </c>
      <c r="I263" t="str">
        <f t="shared" si="4"/>
        <v>Africa</v>
      </c>
    </row>
    <row r="264" spans="1:9" x14ac:dyDescent="0.3">
      <c r="A264" t="s">
        <v>306</v>
      </c>
      <c r="B264">
        <v>95</v>
      </c>
      <c r="C264" t="s">
        <v>41</v>
      </c>
      <c r="D264">
        <v>66</v>
      </c>
      <c r="E264">
        <v>86</v>
      </c>
      <c r="F264">
        <v>97</v>
      </c>
      <c r="G264" t="s">
        <v>2</v>
      </c>
      <c r="H264" t="s">
        <v>9</v>
      </c>
      <c r="I264" t="str">
        <f t="shared" si="4"/>
        <v>Africa</v>
      </c>
    </row>
    <row r="265" spans="1:9" x14ac:dyDescent="0.3">
      <c r="A265" t="s">
        <v>97</v>
      </c>
      <c r="B265">
        <v>94</v>
      </c>
      <c r="C265" t="s">
        <v>45</v>
      </c>
      <c r="D265">
        <v>57</v>
      </c>
      <c r="E265">
        <v>77</v>
      </c>
      <c r="F265">
        <v>114.64</v>
      </c>
      <c r="G265" t="s">
        <v>2</v>
      </c>
      <c r="H265" t="s">
        <v>7</v>
      </c>
      <c r="I265" t="str">
        <f t="shared" si="4"/>
        <v>America</v>
      </c>
    </row>
    <row r="266" spans="1:9" x14ac:dyDescent="0.3">
      <c r="A266" t="s">
        <v>307</v>
      </c>
      <c r="B266">
        <v>94</v>
      </c>
      <c r="C266" t="s">
        <v>41</v>
      </c>
      <c r="D266">
        <v>62</v>
      </c>
      <c r="E266">
        <v>80</v>
      </c>
      <c r="F266">
        <v>264.55</v>
      </c>
      <c r="G266" t="s">
        <v>2</v>
      </c>
      <c r="H266" t="s">
        <v>7</v>
      </c>
      <c r="I266" t="str">
        <f t="shared" si="4"/>
        <v>America</v>
      </c>
    </row>
    <row r="267" spans="1:9" x14ac:dyDescent="0.3">
      <c r="A267" t="s">
        <v>308</v>
      </c>
      <c r="B267">
        <v>95</v>
      </c>
      <c r="C267" t="s">
        <v>41</v>
      </c>
      <c r="D267">
        <v>66</v>
      </c>
      <c r="E267">
        <v>88</v>
      </c>
      <c r="F267">
        <v>143.30000000000001</v>
      </c>
      <c r="G267" t="s">
        <v>2</v>
      </c>
      <c r="H267" t="s">
        <v>9</v>
      </c>
      <c r="I267" t="str">
        <f t="shared" si="4"/>
        <v>Africa</v>
      </c>
    </row>
    <row r="268" spans="1:9" x14ac:dyDescent="0.3">
      <c r="A268" t="s">
        <v>309</v>
      </c>
      <c r="B268">
        <v>95</v>
      </c>
      <c r="C268" t="s">
        <v>41</v>
      </c>
      <c r="D268">
        <v>67</v>
      </c>
      <c r="E268">
        <v>92</v>
      </c>
      <c r="F268">
        <v>140.65</v>
      </c>
      <c r="G268" t="s">
        <v>2</v>
      </c>
      <c r="H268" t="s">
        <v>9</v>
      </c>
      <c r="I268" t="str">
        <f t="shared" si="4"/>
        <v>Africa</v>
      </c>
    </row>
    <row r="269" spans="1:9" x14ac:dyDescent="0.3">
      <c r="A269" t="s">
        <v>310</v>
      </c>
      <c r="B269">
        <v>94</v>
      </c>
      <c r="C269" t="s">
        <v>41</v>
      </c>
      <c r="D269">
        <v>62</v>
      </c>
      <c r="E269">
        <v>81</v>
      </c>
      <c r="F269">
        <v>268.52</v>
      </c>
      <c r="G269" t="s">
        <v>2</v>
      </c>
      <c r="H269" t="s">
        <v>14</v>
      </c>
      <c r="I269" t="str">
        <f t="shared" si="4"/>
        <v>America</v>
      </c>
    </row>
    <row r="270" spans="1:9" x14ac:dyDescent="0.3">
      <c r="A270" t="s">
        <v>311</v>
      </c>
      <c r="B270">
        <v>94</v>
      </c>
      <c r="C270" t="s">
        <v>41</v>
      </c>
      <c r="D270">
        <v>67</v>
      </c>
      <c r="E270">
        <v>90</v>
      </c>
      <c r="F270">
        <v>123.02</v>
      </c>
      <c r="G270" t="s">
        <v>2</v>
      </c>
      <c r="H270" t="s">
        <v>9</v>
      </c>
      <c r="I270" t="str">
        <f t="shared" si="4"/>
        <v>Africa</v>
      </c>
    </row>
    <row r="271" spans="1:9" x14ac:dyDescent="0.3">
      <c r="A271" t="s">
        <v>312</v>
      </c>
      <c r="B271">
        <v>94</v>
      </c>
      <c r="C271" t="s">
        <v>41</v>
      </c>
      <c r="D271">
        <v>64</v>
      </c>
      <c r="E271">
        <v>88</v>
      </c>
      <c r="F271">
        <v>1.18</v>
      </c>
      <c r="G271" t="s">
        <v>18</v>
      </c>
      <c r="H271" t="s">
        <v>14</v>
      </c>
      <c r="I271" t="str">
        <f t="shared" si="4"/>
        <v>America</v>
      </c>
    </row>
    <row r="272" spans="1:9" x14ac:dyDescent="0.3">
      <c r="A272" t="s">
        <v>313</v>
      </c>
      <c r="B272">
        <v>94</v>
      </c>
      <c r="C272" t="s">
        <v>41</v>
      </c>
      <c r="D272">
        <v>65</v>
      </c>
      <c r="E272">
        <v>86</v>
      </c>
      <c r="F272">
        <v>1.18</v>
      </c>
      <c r="G272" t="s">
        <v>18</v>
      </c>
      <c r="H272" t="s">
        <v>14</v>
      </c>
      <c r="I272" t="str">
        <f t="shared" si="4"/>
        <v>America</v>
      </c>
    </row>
    <row r="273" spans="1:9" x14ac:dyDescent="0.3">
      <c r="A273" t="s">
        <v>314</v>
      </c>
      <c r="B273">
        <v>95</v>
      </c>
      <c r="C273" t="s">
        <v>41</v>
      </c>
      <c r="D273">
        <v>62</v>
      </c>
      <c r="E273">
        <v>80</v>
      </c>
      <c r="F273">
        <v>14.81</v>
      </c>
      <c r="G273" t="s">
        <v>18</v>
      </c>
      <c r="H273" t="s">
        <v>14</v>
      </c>
      <c r="I273" t="str">
        <f t="shared" si="4"/>
        <v>America</v>
      </c>
    </row>
    <row r="274" spans="1:9" x14ac:dyDescent="0.3">
      <c r="A274" t="s">
        <v>315</v>
      </c>
      <c r="B274">
        <v>94</v>
      </c>
      <c r="C274" t="s">
        <v>41</v>
      </c>
      <c r="D274">
        <v>62</v>
      </c>
      <c r="E274">
        <v>84</v>
      </c>
      <c r="F274">
        <v>8.16</v>
      </c>
      <c r="G274" t="s">
        <v>18</v>
      </c>
      <c r="H274" t="s">
        <v>17</v>
      </c>
      <c r="I274" t="str">
        <f t="shared" si="4"/>
        <v>Africa</v>
      </c>
    </row>
    <row r="275" spans="1:9" x14ac:dyDescent="0.3">
      <c r="A275" t="s">
        <v>316</v>
      </c>
      <c r="B275">
        <v>94</v>
      </c>
      <c r="C275" t="s">
        <v>41</v>
      </c>
      <c r="D275">
        <v>64</v>
      </c>
      <c r="E275">
        <v>86</v>
      </c>
      <c r="F275">
        <v>153.85</v>
      </c>
      <c r="G275" t="s">
        <v>2</v>
      </c>
      <c r="H275" t="s">
        <v>9</v>
      </c>
      <c r="I275" t="str">
        <f t="shared" si="4"/>
        <v>Africa</v>
      </c>
    </row>
    <row r="276" spans="1:9" x14ac:dyDescent="0.3">
      <c r="A276" t="s">
        <v>317</v>
      </c>
      <c r="B276">
        <v>94</v>
      </c>
      <c r="C276" t="s">
        <v>45</v>
      </c>
      <c r="D276">
        <v>60</v>
      </c>
      <c r="E276">
        <v>79</v>
      </c>
      <c r="F276">
        <v>136.68</v>
      </c>
      <c r="G276" t="s">
        <v>2</v>
      </c>
      <c r="H276" t="s">
        <v>5</v>
      </c>
      <c r="I276" t="str">
        <f t="shared" si="4"/>
        <v>America</v>
      </c>
    </row>
    <row r="277" spans="1:9" x14ac:dyDescent="0.3">
      <c r="A277" t="s">
        <v>318</v>
      </c>
      <c r="B277">
        <v>95</v>
      </c>
      <c r="C277" t="s">
        <v>41</v>
      </c>
      <c r="D277">
        <v>59</v>
      </c>
      <c r="E277">
        <v>84</v>
      </c>
      <c r="F277">
        <v>70.55</v>
      </c>
      <c r="G277" t="s">
        <v>18</v>
      </c>
      <c r="H277" t="s">
        <v>18</v>
      </c>
      <c r="I277" t="str">
        <f t="shared" si="4"/>
        <v>America</v>
      </c>
    </row>
    <row r="278" spans="1:9" x14ac:dyDescent="0.3">
      <c r="A278" t="s">
        <v>319</v>
      </c>
      <c r="B278">
        <v>94</v>
      </c>
      <c r="C278" t="s">
        <v>41</v>
      </c>
      <c r="D278">
        <v>62</v>
      </c>
      <c r="E278">
        <v>84</v>
      </c>
      <c r="F278">
        <v>8.82</v>
      </c>
      <c r="G278" t="s">
        <v>18</v>
      </c>
      <c r="H278" t="s">
        <v>14</v>
      </c>
      <c r="I278" t="str">
        <f t="shared" si="4"/>
        <v>America</v>
      </c>
    </row>
    <row r="279" spans="1:9" x14ac:dyDescent="0.3">
      <c r="A279" t="s">
        <v>320</v>
      </c>
      <c r="B279">
        <v>94</v>
      </c>
      <c r="C279" t="s">
        <v>45</v>
      </c>
      <c r="D279">
        <v>59</v>
      </c>
      <c r="E279">
        <v>81</v>
      </c>
      <c r="F279">
        <v>9.92</v>
      </c>
      <c r="G279" t="s">
        <v>18</v>
      </c>
      <c r="H279" t="s">
        <v>14</v>
      </c>
      <c r="I279" t="str">
        <f t="shared" si="4"/>
        <v>America</v>
      </c>
    </row>
    <row r="280" spans="1:9" x14ac:dyDescent="0.3">
      <c r="A280" t="s">
        <v>321</v>
      </c>
      <c r="B280">
        <v>94</v>
      </c>
      <c r="C280" t="s">
        <v>41</v>
      </c>
      <c r="D280">
        <v>60</v>
      </c>
      <c r="E280">
        <v>82</v>
      </c>
      <c r="F280">
        <v>8.23</v>
      </c>
      <c r="G280" t="s">
        <v>18</v>
      </c>
      <c r="H280" t="s">
        <v>15</v>
      </c>
      <c r="I280" t="str">
        <f t="shared" si="4"/>
        <v>America</v>
      </c>
    </row>
    <row r="281" spans="1:9" x14ac:dyDescent="0.3">
      <c r="A281" t="s">
        <v>322</v>
      </c>
      <c r="B281">
        <v>96</v>
      </c>
      <c r="C281" t="s">
        <v>41</v>
      </c>
      <c r="D281">
        <v>66</v>
      </c>
      <c r="E281">
        <v>91</v>
      </c>
      <c r="F281">
        <v>16.170000000000002</v>
      </c>
      <c r="G281" t="s">
        <v>18</v>
      </c>
      <c r="H281" t="s">
        <v>9</v>
      </c>
      <c r="I281" t="str">
        <f t="shared" si="4"/>
        <v>Africa</v>
      </c>
    </row>
    <row r="282" spans="1:9" x14ac:dyDescent="0.3">
      <c r="A282" t="s">
        <v>323</v>
      </c>
      <c r="B282">
        <v>96</v>
      </c>
      <c r="C282" t="s">
        <v>41</v>
      </c>
      <c r="D282">
        <v>67</v>
      </c>
      <c r="E282">
        <v>90</v>
      </c>
      <c r="F282">
        <v>300</v>
      </c>
      <c r="G282" t="s">
        <v>2</v>
      </c>
      <c r="H282" t="s">
        <v>9</v>
      </c>
      <c r="I282" t="str">
        <f t="shared" si="4"/>
        <v>Africa</v>
      </c>
    </row>
    <row r="283" spans="1:9" x14ac:dyDescent="0.3">
      <c r="A283" t="s">
        <v>324</v>
      </c>
      <c r="B283">
        <v>94</v>
      </c>
      <c r="C283" t="s">
        <v>41</v>
      </c>
      <c r="D283">
        <v>60</v>
      </c>
      <c r="E283">
        <v>84</v>
      </c>
      <c r="F283">
        <v>9.6999999999999993</v>
      </c>
      <c r="G283" t="s">
        <v>18</v>
      </c>
      <c r="H283" t="s">
        <v>4</v>
      </c>
      <c r="I283" t="str">
        <f t="shared" si="4"/>
        <v>America</v>
      </c>
    </row>
    <row r="284" spans="1:9" x14ac:dyDescent="0.3">
      <c r="A284" t="s">
        <v>325</v>
      </c>
      <c r="B284">
        <v>94</v>
      </c>
      <c r="C284" t="s">
        <v>45</v>
      </c>
      <c r="D284">
        <v>61</v>
      </c>
      <c r="E284">
        <v>79</v>
      </c>
      <c r="F284">
        <v>9.6999999999999993</v>
      </c>
      <c r="G284" t="s">
        <v>18</v>
      </c>
      <c r="H284" t="s">
        <v>14</v>
      </c>
      <c r="I284" t="str">
        <f t="shared" si="4"/>
        <v>America</v>
      </c>
    </row>
    <row r="285" spans="1:9" x14ac:dyDescent="0.3">
      <c r="A285" t="s">
        <v>326</v>
      </c>
      <c r="B285">
        <v>94</v>
      </c>
      <c r="C285" t="s">
        <v>45</v>
      </c>
      <c r="D285">
        <v>56</v>
      </c>
      <c r="E285">
        <v>79</v>
      </c>
      <c r="F285">
        <v>7.94</v>
      </c>
      <c r="G285" t="s">
        <v>18</v>
      </c>
      <c r="H285" t="s">
        <v>16</v>
      </c>
      <c r="I285" t="str">
        <f t="shared" si="4"/>
        <v>Asia-Pacific</v>
      </c>
    </row>
    <row r="286" spans="1:9" x14ac:dyDescent="0.3">
      <c r="A286" t="s">
        <v>327</v>
      </c>
      <c r="B286">
        <v>94</v>
      </c>
      <c r="C286" t="s">
        <v>45</v>
      </c>
      <c r="D286">
        <v>59</v>
      </c>
      <c r="E286">
        <v>77</v>
      </c>
      <c r="F286">
        <v>7.64</v>
      </c>
      <c r="G286" t="s">
        <v>18</v>
      </c>
      <c r="H286" t="s">
        <v>17</v>
      </c>
      <c r="I286" t="str">
        <f t="shared" si="4"/>
        <v>Africa</v>
      </c>
    </row>
    <row r="287" spans="1:9" x14ac:dyDescent="0.3">
      <c r="A287" t="s">
        <v>328</v>
      </c>
      <c r="B287">
        <v>95</v>
      </c>
      <c r="C287" t="s">
        <v>41</v>
      </c>
      <c r="D287">
        <v>66</v>
      </c>
      <c r="E287">
        <v>90</v>
      </c>
      <c r="F287">
        <v>24</v>
      </c>
      <c r="G287" t="s">
        <v>18</v>
      </c>
      <c r="H287" t="s">
        <v>14</v>
      </c>
      <c r="I287" t="str">
        <f t="shared" si="4"/>
        <v>America</v>
      </c>
    </row>
    <row r="288" spans="1:9" x14ac:dyDescent="0.3">
      <c r="A288" t="s">
        <v>329</v>
      </c>
      <c r="B288">
        <v>94</v>
      </c>
      <c r="C288" t="s">
        <v>41</v>
      </c>
      <c r="D288">
        <v>75</v>
      </c>
      <c r="E288">
        <v>90</v>
      </c>
      <c r="F288">
        <v>396.83</v>
      </c>
      <c r="G288" t="s">
        <v>2</v>
      </c>
      <c r="H288" t="s">
        <v>14</v>
      </c>
      <c r="I288" t="str">
        <f t="shared" si="4"/>
        <v>America</v>
      </c>
    </row>
    <row r="289" spans="1:9" x14ac:dyDescent="0.3">
      <c r="A289" t="s">
        <v>330</v>
      </c>
      <c r="B289">
        <v>94</v>
      </c>
      <c r="C289" t="s">
        <v>41</v>
      </c>
      <c r="D289">
        <v>66</v>
      </c>
      <c r="E289">
        <v>83</v>
      </c>
      <c r="F289">
        <v>10.58</v>
      </c>
      <c r="G289" t="s">
        <v>18</v>
      </c>
      <c r="H289" t="s">
        <v>14</v>
      </c>
      <c r="I289" t="str">
        <f t="shared" si="4"/>
        <v>America</v>
      </c>
    </row>
    <row r="290" spans="1:9" x14ac:dyDescent="0.3">
      <c r="A290" t="s">
        <v>331</v>
      </c>
      <c r="B290">
        <v>94</v>
      </c>
      <c r="C290" t="s">
        <v>41</v>
      </c>
      <c r="D290">
        <v>62</v>
      </c>
      <c r="E290">
        <v>84</v>
      </c>
      <c r="F290">
        <v>22.49</v>
      </c>
      <c r="G290" t="s">
        <v>18</v>
      </c>
      <c r="H290" t="s">
        <v>14</v>
      </c>
      <c r="I290" t="str">
        <f t="shared" si="4"/>
        <v>America</v>
      </c>
    </row>
    <row r="291" spans="1:9" x14ac:dyDescent="0.3">
      <c r="A291" t="s">
        <v>252</v>
      </c>
      <c r="B291">
        <v>95</v>
      </c>
      <c r="C291" t="s">
        <v>41</v>
      </c>
      <c r="D291">
        <v>62</v>
      </c>
      <c r="E291">
        <v>80</v>
      </c>
      <c r="F291">
        <v>4.41</v>
      </c>
      <c r="G291" t="s">
        <v>18</v>
      </c>
      <c r="H291" t="s">
        <v>14</v>
      </c>
      <c r="I291" t="str">
        <f t="shared" si="4"/>
        <v>America</v>
      </c>
    </row>
    <row r="292" spans="1:9" x14ac:dyDescent="0.3">
      <c r="A292" t="s">
        <v>332</v>
      </c>
      <c r="B292">
        <v>94</v>
      </c>
      <c r="C292" t="s">
        <v>41</v>
      </c>
      <c r="D292">
        <v>66</v>
      </c>
      <c r="E292">
        <v>88</v>
      </c>
      <c r="F292">
        <v>7.35</v>
      </c>
      <c r="G292" t="s">
        <v>18</v>
      </c>
      <c r="H292" t="s">
        <v>14</v>
      </c>
      <c r="I292" t="str">
        <f t="shared" si="4"/>
        <v>America</v>
      </c>
    </row>
    <row r="293" spans="1:9" x14ac:dyDescent="0.3">
      <c r="A293" t="s">
        <v>333</v>
      </c>
      <c r="B293">
        <v>94</v>
      </c>
      <c r="C293" t="s">
        <v>45</v>
      </c>
      <c r="D293">
        <v>59</v>
      </c>
      <c r="E293">
        <v>82</v>
      </c>
      <c r="F293">
        <v>15.87</v>
      </c>
      <c r="G293" t="s">
        <v>18</v>
      </c>
      <c r="H293" t="s">
        <v>14</v>
      </c>
      <c r="I293" t="str">
        <f t="shared" si="4"/>
        <v>America</v>
      </c>
    </row>
    <row r="294" spans="1:9" x14ac:dyDescent="0.3">
      <c r="A294" t="s">
        <v>334</v>
      </c>
      <c r="B294">
        <v>94</v>
      </c>
      <c r="C294" t="s">
        <v>45</v>
      </c>
      <c r="D294">
        <v>59</v>
      </c>
      <c r="E294">
        <v>81</v>
      </c>
      <c r="F294">
        <v>127.75</v>
      </c>
      <c r="G294" t="s">
        <v>2</v>
      </c>
      <c r="H294" t="s">
        <v>9</v>
      </c>
      <c r="I294" t="str">
        <f t="shared" si="4"/>
        <v>Africa</v>
      </c>
    </row>
    <row r="295" spans="1:9" x14ac:dyDescent="0.3">
      <c r="A295" t="s">
        <v>335</v>
      </c>
      <c r="B295">
        <v>94</v>
      </c>
      <c r="C295" t="s">
        <v>41</v>
      </c>
      <c r="D295">
        <v>65</v>
      </c>
      <c r="E295">
        <v>87</v>
      </c>
      <c r="F295">
        <v>500</v>
      </c>
      <c r="G295" t="s">
        <v>2</v>
      </c>
      <c r="H295" t="s">
        <v>14</v>
      </c>
      <c r="I295" t="str">
        <f t="shared" si="4"/>
        <v>America</v>
      </c>
    </row>
    <row r="296" spans="1:9" x14ac:dyDescent="0.3">
      <c r="A296" t="s">
        <v>336</v>
      </c>
      <c r="B296">
        <v>95</v>
      </c>
      <c r="C296" t="s">
        <v>41</v>
      </c>
      <c r="D296">
        <v>66</v>
      </c>
      <c r="E296">
        <v>92</v>
      </c>
      <c r="F296">
        <v>300</v>
      </c>
      <c r="G296" t="s">
        <v>2</v>
      </c>
      <c r="H296" t="s">
        <v>14</v>
      </c>
      <c r="I296" t="str">
        <f t="shared" si="4"/>
        <v>America</v>
      </c>
    </row>
    <row r="297" spans="1:9" x14ac:dyDescent="0.3">
      <c r="A297" t="s">
        <v>337</v>
      </c>
      <c r="B297">
        <v>96</v>
      </c>
      <c r="C297" t="s">
        <v>41</v>
      </c>
      <c r="D297">
        <v>64</v>
      </c>
      <c r="E297">
        <v>86</v>
      </c>
      <c r="F297">
        <v>88.18</v>
      </c>
      <c r="G297" t="s">
        <v>18</v>
      </c>
      <c r="H297" t="s">
        <v>18</v>
      </c>
      <c r="I297" t="str">
        <f t="shared" si="4"/>
        <v>America</v>
      </c>
    </row>
    <row r="298" spans="1:9" x14ac:dyDescent="0.3">
      <c r="A298" t="s">
        <v>338</v>
      </c>
      <c r="B298">
        <v>95</v>
      </c>
      <c r="C298" t="s">
        <v>45</v>
      </c>
      <c r="D298">
        <v>58</v>
      </c>
      <c r="E298">
        <v>82</v>
      </c>
      <c r="F298">
        <v>24.23</v>
      </c>
      <c r="G298" t="s">
        <v>18</v>
      </c>
      <c r="H298" t="s">
        <v>18</v>
      </c>
      <c r="I298" t="str">
        <f t="shared" si="4"/>
        <v>America</v>
      </c>
    </row>
    <row r="299" spans="1:9" x14ac:dyDescent="0.3">
      <c r="A299" t="s">
        <v>130</v>
      </c>
      <c r="B299">
        <v>95</v>
      </c>
      <c r="C299" t="s">
        <v>41</v>
      </c>
      <c r="D299">
        <v>65</v>
      </c>
      <c r="E299">
        <v>86</v>
      </c>
      <c r="F299">
        <v>7.05</v>
      </c>
      <c r="G299" t="s">
        <v>18</v>
      </c>
      <c r="H299" t="s">
        <v>9</v>
      </c>
      <c r="I299" t="str">
        <f t="shared" si="4"/>
        <v>Africa</v>
      </c>
    </row>
    <row r="300" spans="1:9" x14ac:dyDescent="0.3">
      <c r="A300" t="s">
        <v>339</v>
      </c>
      <c r="B300">
        <v>94</v>
      </c>
      <c r="C300" t="s">
        <v>41</v>
      </c>
      <c r="D300">
        <v>62</v>
      </c>
      <c r="E300">
        <v>86</v>
      </c>
      <c r="F300">
        <v>145.06</v>
      </c>
      <c r="G300" t="s">
        <v>2</v>
      </c>
      <c r="H300" t="s">
        <v>9</v>
      </c>
      <c r="I300" t="str">
        <f t="shared" si="4"/>
        <v>Africa</v>
      </c>
    </row>
    <row r="301" spans="1:9" x14ac:dyDescent="0.3">
      <c r="A301" t="s">
        <v>340</v>
      </c>
      <c r="B301">
        <v>94</v>
      </c>
      <c r="C301" t="s">
        <v>41</v>
      </c>
      <c r="D301">
        <v>62</v>
      </c>
      <c r="E301">
        <v>80</v>
      </c>
      <c r="F301">
        <v>6.47</v>
      </c>
      <c r="G301" t="s">
        <v>18</v>
      </c>
      <c r="H301" t="s">
        <v>12</v>
      </c>
      <c r="I301" t="str">
        <f t="shared" si="4"/>
        <v>Africa</v>
      </c>
    </row>
    <row r="302" spans="1:9" x14ac:dyDescent="0.3">
      <c r="A302" t="s">
        <v>341</v>
      </c>
      <c r="B302">
        <v>95</v>
      </c>
      <c r="C302" t="s">
        <v>41</v>
      </c>
      <c r="D302">
        <v>66</v>
      </c>
      <c r="E302">
        <v>103</v>
      </c>
      <c r="F302">
        <v>26.67</v>
      </c>
      <c r="G302" t="s">
        <v>18</v>
      </c>
      <c r="H302" t="s">
        <v>14</v>
      </c>
      <c r="I302" t="str">
        <f t="shared" si="4"/>
        <v>America</v>
      </c>
    </row>
    <row r="303" spans="1:9" x14ac:dyDescent="0.3">
      <c r="A303" t="s">
        <v>342</v>
      </c>
      <c r="B303">
        <v>94</v>
      </c>
      <c r="C303" t="s">
        <v>82</v>
      </c>
      <c r="D303">
        <v>45</v>
      </c>
      <c r="E303">
        <v>62</v>
      </c>
      <c r="F303">
        <v>286.33999999999997</v>
      </c>
      <c r="G303" t="s">
        <v>2</v>
      </c>
      <c r="H303" t="s">
        <v>15</v>
      </c>
      <c r="I303" t="str">
        <f t="shared" si="4"/>
        <v>America</v>
      </c>
    </row>
    <row r="304" spans="1:9" x14ac:dyDescent="0.3">
      <c r="A304" t="s">
        <v>343</v>
      </c>
      <c r="B304">
        <v>94</v>
      </c>
      <c r="C304" t="s">
        <v>41</v>
      </c>
      <c r="D304">
        <v>68</v>
      </c>
      <c r="E304">
        <v>90</v>
      </c>
      <c r="F304">
        <v>195</v>
      </c>
      <c r="G304" t="s">
        <v>2</v>
      </c>
      <c r="H304" t="s">
        <v>9</v>
      </c>
      <c r="I304" t="str">
        <f t="shared" si="4"/>
        <v>Africa</v>
      </c>
    </row>
    <row r="305" spans="1:9" x14ac:dyDescent="0.3">
      <c r="A305" t="s">
        <v>344</v>
      </c>
      <c r="B305">
        <v>95</v>
      </c>
      <c r="C305" t="s">
        <v>41</v>
      </c>
      <c r="D305">
        <v>60</v>
      </c>
      <c r="E305">
        <v>84</v>
      </c>
      <c r="F305">
        <v>5.88</v>
      </c>
      <c r="G305" t="s">
        <v>18</v>
      </c>
      <c r="H305" t="s">
        <v>9</v>
      </c>
      <c r="I305" t="str">
        <f t="shared" si="4"/>
        <v>Africa</v>
      </c>
    </row>
    <row r="306" spans="1:9" x14ac:dyDescent="0.3">
      <c r="A306" t="s">
        <v>345</v>
      </c>
      <c r="B306">
        <v>95</v>
      </c>
      <c r="C306" t="s">
        <v>41</v>
      </c>
      <c r="D306">
        <v>64</v>
      </c>
      <c r="E306">
        <v>86</v>
      </c>
      <c r="F306">
        <v>123.46</v>
      </c>
      <c r="G306" t="s">
        <v>2</v>
      </c>
      <c r="H306" t="s">
        <v>9</v>
      </c>
      <c r="I306" t="str">
        <f t="shared" si="4"/>
        <v>Africa</v>
      </c>
    </row>
    <row r="307" spans="1:9" x14ac:dyDescent="0.3">
      <c r="A307" t="s">
        <v>346</v>
      </c>
      <c r="B307">
        <v>94</v>
      </c>
      <c r="C307" t="s">
        <v>45</v>
      </c>
      <c r="D307">
        <v>58</v>
      </c>
      <c r="E307">
        <v>78</v>
      </c>
      <c r="F307">
        <v>88.18</v>
      </c>
      <c r="G307" t="s">
        <v>2</v>
      </c>
      <c r="H307" t="s">
        <v>9</v>
      </c>
      <c r="I307" t="str">
        <f t="shared" si="4"/>
        <v>Africa</v>
      </c>
    </row>
    <row r="308" spans="1:9" x14ac:dyDescent="0.3">
      <c r="A308" t="s">
        <v>347</v>
      </c>
      <c r="B308">
        <v>94</v>
      </c>
      <c r="C308" t="s">
        <v>41</v>
      </c>
      <c r="D308">
        <v>64</v>
      </c>
      <c r="E308">
        <v>82</v>
      </c>
      <c r="F308">
        <v>110.23</v>
      </c>
      <c r="G308" t="s">
        <v>2</v>
      </c>
      <c r="H308" t="s">
        <v>9</v>
      </c>
      <c r="I308" t="str">
        <f t="shared" si="4"/>
        <v>Africa</v>
      </c>
    </row>
    <row r="309" spans="1:9" x14ac:dyDescent="0.3">
      <c r="A309" t="s">
        <v>348</v>
      </c>
      <c r="B309">
        <v>94</v>
      </c>
      <c r="C309" t="s">
        <v>41</v>
      </c>
      <c r="D309">
        <v>62</v>
      </c>
      <c r="E309">
        <v>84</v>
      </c>
      <c r="F309">
        <v>136.68</v>
      </c>
      <c r="G309" t="s">
        <v>2</v>
      </c>
      <c r="H309" t="s">
        <v>9</v>
      </c>
      <c r="I309" t="str">
        <f t="shared" si="4"/>
        <v>Africa</v>
      </c>
    </row>
    <row r="310" spans="1:9" x14ac:dyDescent="0.3">
      <c r="A310" t="s">
        <v>349</v>
      </c>
      <c r="B310">
        <v>94</v>
      </c>
      <c r="C310" t="s">
        <v>45</v>
      </c>
      <c r="D310">
        <v>56</v>
      </c>
      <c r="E310">
        <v>74</v>
      </c>
      <c r="F310">
        <v>141.09</v>
      </c>
      <c r="G310" t="s">
        <v>2</v>
      </c>
      <c r="H310" t="s">
        <v>7</v>
      </c>
      <c r="I310" t="str">
        <f t="shared" si="4"/>
        <v>America</v>
      </c>
    </row>
    <row r="311" spans="1:9" x14ac:dyDescent="0.3">
      <c r="A311" t="s">
        <v>350</v>
      </c>
      <c r="B311">
        <v>94</v>
      </c>
      <c r="C311" t="s">
        <v>41</v>
      </c>
      <c r="D311">
        <v>62</v>
      </c>
      <c r="E311">
        <v>82</v>
      </c>
      <c r="F311">
        <v>176.37</v>
      </c>
      <c r="G311" t="s">
        <v>2</v>
      </c>
      <c r="H311" t="s">
        <v>12</v>
      </c>
      <c r="I311" t="str">
        <f t="shared" si="4"/>
        <v>Africa</v>
      </c>
    </row>
    <row r="312" spans="1:9" x14ac:dyDescent="0.3">
      <c r="A312" t="s">
        <v>351</v>
      </c>
      <c r="B312">
        <v>94</v>
      </c>
      <c r="C312" t="s">
        <v>41</v>
      </c>
      <c r="D312">
        <v>64</v>
      </c>
      <c r="E312">
        <v>82</v>
      </c>
      <c r="F312">
        <v>5.59</v>
      </c>
      <c r="G312" t="s">
        <v>18</v>
      </c>
      <c r="H312" t="s">
        <v>14</v>
      </c>
      <c r="I312" t="str">
        <f t="shared" si="4"/>
        <v>America</v>
      </c>
    </row>
    <row r="313" spans="1:9" x14ac:dyDescent="0.3">
      <c r="A313" t="s">
        <v>352</v>
      </c>
      <c r="B313">
        <v>94</v>
      </c>
      <c r="C313" t="s">
        <v>45</v>
      </c>
      <c r="D313">
        <v>60</v>
      </c>
      <c r="E313">
        <v>78</v>
      </c>
      <c r="F313">
        <v>5.59</v>
      </c>
      <c r="G313" t="s">
        <v>18</v>
      </c>
      <c r="H313" t="s">
        <v>7</v>
      </c>
      <c r="I313" t="str">
        <f t="shared" si="4"/>
        <v>America</v>
      </c>
    </row>
    <row r="314" spans="1:9" x14ac:dyDescent="0.3">
      <c r="A314" t="s">
        <v>353</v>
      </c>
      <c r="B314">
        <v>95</v>
      </c>
      <c r="C314" t="s">
        <v>41</v>
      </c>
      <c r="D314">
        <v>67</v>
      </c>
      <c r="E314">
        <v>88</v>
      </c>
      <c r="F314">
        <v>21.6</v>
      </c>
      <c r="G314" t="s">
        <v>18</v>
      </c>
      <c r="H314" t="s">
        <v>14</v>
      </c>
      <c r="I314" t="str">
        <f t="shared" si="4"/>
        <v>America</v>
      </c>
    </row>
    <row r="315" spans="1:9" x14ac:dyDescent="0.3">
      <c r="A315" t="s">
        <v>354</v>
      </c>
      <c r="B315">
        <v>95</v>
      </c>
      <c r="C315" t="s">
        <v>45</v>
      </c>
      <c r="D315">
        <v>52</v>
      </c>
      <c r="E315">
        <v>74</v>
      </c>
      <c r="F315">
        <v>215</v>
      </c>
      <c r="G315" t="s">
        <v>2</v>
      </c>
      <c r="H315" t="s">
        <v>14</v>
      </c>
      <c r="I315" t="str">
        <f t="shared" si="4"/>
        <v>America</v>
      </c>
    </row>
    <row r="316" spans="1:9" x14ac:dyDescent="0.3">
      <c r="A316" t="s">
        <v>355</v>
      </c>
      <c r="B316">
        <v>95</v>
      </c>
      <c r="C316" t="s">
        <v>41</v>
      </c>
      <c r="D316">
        <v>60</v>
      </c>
      <c r="E316">
        <v>84</v>
      </c>
      <c r="F316">
        <v>7.35</v>
      </c>
      <c r="G316" t="s">
        <v>18</v>
      </c>
      <c r="H316" t="s">
        <v>14</v>
      </c>
      <c r="I316" t="str">
        <f t="shared" si="4"/>
        <v>America</v>
      </c>
    </row>
    <row r="317" spans="1:9" x14ac:dyDescent="0.3">
      <c r="A317" t="s">
        <v>356</v>
      </c>
      <c r="B317">
        <v>94</v>
      </c>
      <c r="C317" t="s">
        <v>41</v>
      </c>
      <c r="D317">
        <v>65</v>
      </c>
      <c r="E317">
        <v>85</v>
      </c>
      <c r="F317">
        <v>396.48</v>
      </c>
      <c r="G317" t="s">
        <v>2</v>
      </c>
      <c r="H317" t="s">
        <v>9</v>
      </c>
      <c r="I317" t="str">
        <f t="shared" si="4"/>
        <v>Africa</v>
      </c>
    </row>
    <row r="318" spans="1:9" x14ac:dyDescent="0.3">
      <c r="A318" t="s">
        <v>357</v>
      </c>
      <c r="B318">
        <v>94</v>
      </c>
      <c r="C318" t="s">
        <v>41</v>
      </c>
      <c r="D318">
        <v>62</v>
      </c>
      <c r="E318">
        <v>83</v>
      </c>
      <c r="F318">
        <v>282.61</v>
      </c>
      <c r="G318" t="s">
        <v>2</v>
      </c>
      <c r="H318" t="s">
        <v>9</v>
      </c>
      <c r="I318" t="str">
        <f t="shared" si="4"/>
        <v>Africa</v>
      </c>
    </row>
    <row r="319" spans="1:9" x14ac:dyDescent="0.3">
      <c r="A319" t="s">
        <v>358</v>
      </c>
      <c r="B319">
        <v>94</v>
      </c>
      <c r="C319" t="s">
        <v>82</v>
      </c>
      <c r="D319">
        <v>50</v>
      </c>
      <c r="E319">
        <v>65</v>
      </c>
      <c r="F319">
        <v>8.82</v>
      </c>
      <c r="G319" t="s">
        <v>2</v>
      </c>
      <c r="H319" t="s">
        <v>14</v>
      </c>
      <c r="I319" t="str">
        <f t="shared" si="4"/>
        <v>America</v>
      </c>
    </row>
    <row r="320" spans="1:9" x14ac:dyDescent="0.3">
      <c r="A320" t="s">
        <v>359</v>
      </c>
      <c r="B320">
        <v>94</v>
      </c>
      <c r="C320" t="s">
        <v>45</v>
      </c>
      <c r="D320">
        <v>58</v>
      </c>
      <c r="E320">
        <v>74</v>
      </c>
      <c r="F320">
        <v>30.84</v>
      </c>
      <c r="G320" t="s">
        <v>18</v>
      </c>
      <c r="H320" t="s">
        <v>18</v>
      </c>
      <c r="I320" t="str">
        <f t="shared" si="4"/>
        <v>America</v>
      </c>
    </row>
    <row r="321" spans="1:9" x14ac:dyDescent="0.3">
      <c r="A321" t="s">
        <v>360</v>
      </c>
      <c r="B321">
        <v>94</v>
      </c>
      <c r="C321" t="s">
        <v>41</v>
      </c>
      <c r="D321">
        <v>66</v>
      </c>
      <c r="E321">
        <v>97</v>
      </c>
      <c r="F321">
        <v>5.88</v>
      </c>
      <c r="G321" t="s">
        <v>18</v>
      </c>
      <c r="H321" t="s">
        <v>21</v>
      </c>
      <c r="I321" t="str">
        <f t="shared" si="4"/>
        <v>America</v>
      </c>
    </row>
    <row r="322" spans="1:9" x14ac:dyDescent="0.3">
      <c r="A322" t="s">
        <v>361</v>
      </c>
      <c r="B322">
        <v>94</v>
      </c>
      <c r="C322" t="s">
        <v>45</v>
      </c>
      <c r="D322">
        <v>57</v>
      </c>
      <c r="E322">
        <v>74</v>
      </c>
      <c r="F322">
        <v>352.42</v>
      </c>
      <c r="G322" t="s">
        <v>2</v>
      </c>
      <c r="H322" t="s">
        <v>14</v>
      </c>
      <c r="I322" t="str">
        <f t="shared" si="4"/>
        <v>America</v>
      </c>
    </row>
    <row r="323" spans="1:9" x14ac:dyDescent="0.3">
      <c r="A323" t="s">
        <v>362</v>
      </c>
      <c r="B323">
        <v>94</v>
      </c>
      <c r="C323" t="s">
        <v>41</v>
      </c>
      <c r="D323">
        <v>62</v>
      </c>
      <c r="E323">
        <v>81</v>
      </c>
      <c r="F323">
        <v>11.76</v>
      </c>
      <c r="G323" t="s">
        <v>18</v>
      </c>
      <c r="H323" t="s">
        <v>14</v>
      </c>
      <c r="I323" t="str">
        <f t="shared" ref="I323:I386" si="5">_xlfn.XLOOKUP(H323, $M$2:$M$50, $N$2:$N$50, "Other")</f>
        <v>America</v>
      </c>
    </row>
    <row r="324" spans="1:9" x14ac:dyDescent="0.3">
      <c r="A324" t="s">
        <v>363</v>
      </c>
      <c r="B324">
        <v>94</v>
      </c>
      <c r="C324" t="s">
        <v>82</v>
      </c>
      <c r="D324">
        <v>40</v>
      </c>
      <c r="E324">
        <v>67</v>
      </c>
      <c r="F324">
        <v>244.44</v>
      </c>
      <c r="G324" t="s">
        <v>2</v>
      </c>
      <c r="H324" t="s">
        <v>17</v>
      </c>
      <c r="I324" t="str">
        <f t="shared" si="5"/>
        <v>Africa</v>
      </c>
    </row>
    <row r="325" spans="1:9" x14ac:dyDescent="0.3">
      <c r="A325" t="s">
        <v>364</v>
      </c>
      <c r="B325">
        <v>94</v>
      </c>
      <c r="C325" t="s">
        <v>41</v>
      </c>
      <c r="D325">
        <v>62</v>
      </c>
      <c r="E325">
        <v>84</v>
      </c>
      <c r="F325">
        <v>8.82</v>
      </c>
      <c r="G325" t="s">
        <v>18</v>
      </c>
      <c r="H325" t="s">
        <v>14</v>
      </c>
      <c r="I325" t="str">
        <f t="shared" si="5"/>
        <v>America</v>
      </c>
    </row>
    <row r="326" spans="1:9" x14ac:dyDescent="0.3">
      <c r="A326" t="s">
        <v>365</v>
      </c>
      <c r="B326">
        <v>94</v>
      </c>
      <c r="C326" t="s">
        <v>82</v>
      </c>
      <c r="D326">
        <v>41</v>
      </c>
      <c r="E326">
        <v>76</v>
      </c>
      <c r="F326">
        <v>6.47</v>
      </c>
      <c r="G326" t="s">
        <v>18</v>
      </c>
      <c r="H326" t="s">
        <v>9</v>
      </c>
      <c r="I326" t="str">
        <f t="shared" si="5"/>
        <v>Africa</v>
      </c>
    </row>
    <row r="327" spans="1:9" x14ac:dyDescent="0.3">
      <c r="A327" t="s">
        <v>366</v>
      </c>
      <c r="B327">
        <v>95</v>
      </c>
      <c r="C327" t="s">
        <v>41</v>
      </c>
      <c r="D327">
        <v>59</v>
      </c>
      <c r="E327">
        <v>86</v>
      </c>
      <c r="F327">
        <v>9.41</v>
      </c>
      <c r="G327" t="s">
        <v>18</v>
      </c>
      <c r="H327" t="s">
        <v>14</v>
      </c>
      <c r="I327" t="str">
        <f t="shared" si="5"/>
        <v>America</v>
      </c>
    </row>
    <row r="328" spans="1:9" x14ac:dyDescent="0.3">
      <c r="A328" t="s">
        <v>367</v>
      </c>
      <c r="B328">
        <v>94</v>
      </c>
      <c r="C328" t="s">
        <v>45</v>
      </c>
      <c r="D328">
        <v>54</v>
      </c>
      <c r="E328">
        <v>78</v>
      </c>
      <c r="F328">
        <v>8.52</v>
      </c>
      <c r="G328" t="s">
        <v>18</v>
      </c>
      <c r="H328" t="s">
        <v>9</v>
      </c>
      <c r="I328" t="str">
        <f t="shared" si="5"/>
        <v>Africa</v>
      </c>
    </row>
    <row r="329" spans="1:9" x14ac:dyDescent="0.3">
      <c r="A329" t="s">
        <v>368</v>
      </c>
      <c r="B329">
        <v>95</v>
      </c>
      <c r="C329" t="s">
        <v>41</v>
      </c>
      <c r="D329">
        <v>65</v>
      </c>
      <c r="E329">
        <v>81</v>
      </c>
      <c r="F329">
        <v>12</v>
      </c>
      <c r="G329" t="s">
        <v>18</v>
      </c>
      <c r="H329" t="s">
        <v>14</v>
      </c>
      <c r="I329" t="str">
        <f t="shared" si="5"/>
        <v>America</v>
      </c>
    </row>
    <row r="330" spans="1:9" x14ac:dyDescent="0.3">
      <c r="A330" t="s">
        <v>369</v>
      </c>
      <c r="B330">
        <v>95</v>
      </c>
      <c r="C330" t="s">
        <v>41</v>
      </c>
      <c r="D330">
        <v>65</v>
      </c>
      <c r="E330">
        <v>81</v>
      </c>
      <c r="F330">
        <v>52.91</v>
      </c>
      <c r="G330" t="s">
        <v>18</v>
      </c>
      <c r="H330" t="s">
        <v>18</v>
      </c>
      <c r="I330" t="str">
        <f t="shared" si="5"/>
        <v>America</v>
      </c>
    </row>
    <row r="331" spans="1:9" x14ac:dyDescent="0.3">
      <c r="A331" t="s">
        <v>370</v>
      </c>
      <c r="B331">
        <v>94</v>
      </c>
      <c r="C331" t="s">
        <v>41</v>
      </c>
      <c r="D331">
        <v>64</v>
      </c>
      <c r="E331">
        <v>84</v>
      </c>
      <c r="F331">
        <v>35.270000000000003</v>
      </c>
      <c r="G331" t="s">
        <v>18</v>
      </c>
      <c r="H331" t="s">
        <v>14</v>
      </c>
      <c r="I331" t="str">
        <f t="shared" si="5"/>
        <v>America</v>
      </c>
    </row>
    <row r="332" spans="1:9" x14ac:dyDescent="0.3">
      <c r="A332" t="s">
        <v>371</v>
      </c>
      <c r="B332">
        <v>95</v>
      </c>
      <c r="C332" t="s">
        <v>45</v>
      </c>
      <c r="D332">
        <v>60</v>
      </c>
      <c r="E332">
        <v>78</v>
      </c>
      <c r="F332">
        <v>9.6999999999999993</v>
      </c>
      <c r="G332" t="s">
        <v>18</v>
      </c>
      <c r="H332" t="s">
        <v>9</v>
      </c>
      <c r="I332" t="str">
        <f t="shared" si="5"/>
        <v>Africa</v>
      </c>
    </row>
    <row r="333" spans="1:9" x14ac:dyDescent="0.3">
      <c r="A333" t="s">
        <v>372</v>
      </c>
      <c r="B333">
        <v>94</v>
      </c>
      <c r="C333" t="s">
        <v>41</v>
      </c>
      <c r="D333">
        <v>64</v>
      </c>
      <c r="E333">
        <v>86</v>
      </c>
      <c r="F333">
        <v>6.17</v>
      </c>
      <c r="G333" t="s">
        <v>18</v>
      </c>
      <c r="H333" t="s">
        <v>14</v>
      </c>
      <c r="I333" t="str">
        <f t="shared" si="5"/>
        <v>America</v>
      </c>
    </row>
    <row r="334" spans="1:9" x14ac:dyDescent="0.3">
      <c r="A334" t="s">
        <v>373</v>
      </c>
      <c r="B334">
        <v>95</v>
      </c>
      <c r="C334" t="s">
        <v>41</v>
      </c>
      <c r="D334">
        <v>64</v>
      </c>
      <c r="E334">
        <v>80</v>
      </c>
      <c r="F334">
        <v>396.83</v>
      </c>
      <c r="G334" t="s">
        <v>2</v>
      </c>
      <c r="H334" t="s">
        <v>14</v>
      </c>
      <c r="I334" t="str">
        <f t="shared" si="5"/>
        <v>America</v>
      </c>
    </row>
    <row r="335" spans="1:9" x14ac:dyDescent="0.3">
      <c r="A335" t="s">
        <v>374</v>
      </c>
      <c r="B335">
        <v>94</v>
      </c>
      <c r="C335" t="s">
        <v>45</v>
      </c>
      <c r="D335">
        <v>60</v>
      </c>
      <c r="E335">
        <v>80</v>
      </c>
      <c r="F335">
        <v>127.87</v>
      </c>
      <c r="G335" t="s">
        <v>2</v>
      </c>
      <c r="H335" t="s">
        <v>12</v>
      </c>
      <c r="I335" t="str">
        <f t="shared" si="5"/>
        <v>Africa</v>
      </c>
    </row>
    <row r="336" spans="1:9" x14ac:dyDescent="0.3">
      <c r="A336" t="s">
        <v>375</v>
      </c>
      <c r="B336">
        <v>94</v>
      </c>
      <c r="C336" t="s">
        <v>41</v>
      </c>
      <c r="D336">
        <v>62</v>
      </c>
      <c r="E336">
        <v>84</v>
      </c>
      <c r="F336">
        <v>396.83</v>
      </c>
      <c r="G336" t="s">
        <v>2</v>
      </c>
      <c r="H336" t="s">
        <v>14</v>
      </c>
      <c r="I336" t="str">
        <f t="shared" si="5"/>
        <v>America</v>
      </c>
    </row>
    <row r="337" spans="1:9" x14ac:dyDescent="0.3">
      <c r="A337" t="s">
        <v>376</v>
      </c>
      <c r="B337">
        <v>95</v>
      </c>
      <c r="C337" t="s">
        <v>45</v>
      </c>
      <c r="D337">
        <v>59</v>
      </c>
      <c r="E337">
        <v>77</v>
      </c>
      <c r="F337">
        <v>6.76</v>
      </c>
      <c r="G337" t="s">
        <v>18</v>
      </c>
      <c r="H337" t="s">
        <v>16</v>
      </c>
      <c r="I337" t="str">
        <f t="shared" si="5"/>
        <v>Asia-Pacific</v>
      </c>
    </row>
    <row r="338" spans="1:9" x14ac:dyDescent="0.3">
      <c r="A338" t="s">
        <v>377</v>
      </c>
      <c r="B338">
        <v>95</v>
      </c>
      <c r="C338" t="s">
        <v>41</v>
      </c>
      <c r="D338">
        <v>62</v>
      </c>
      <c r="E338">
        <v>82</v>
      </c>
      <c r="F338">
        <v>375</v>
      </c>
      <c r="G338" t="s">
        <v>2</v>
      </c>
      <c r="H338" t="s">
        <v>14</v>
      </c>
      <c r="I338" t="str">
        <f t="shared" si="5"/>
        <v>America</v>
      </c>
    </row>
    <row r="339" spans="1:9" x14ac:dyDescent="0.3">
      <c r="A339" t="s">
        <v>378</v>
      </c>
      <c r="B339">
        <v>94</v>
      </c>
      <c r="C339" t="s">
        <v>41</v>
      </c>
      <c r="D339">
        <v>62</v>
      </c>
      <c r="E339">
        <v>80</v>
      </c>
      <c r="F339">
        <v>175</v>
      </c>
      <c r="G339" t="s">
        <v>2</v>
      </c>
      <c r="H339" t="s">
        <v>12</v>
      </c>
      <c r="I339" t="str">
        <f t="shared" si="5"/>
        <v>Africa</v>
      </c>
    </row>
    <row r="340" spans="1:9" x14ac:dyDescent="0.3">
      <c r="A340" t="s">
        <v>302</v>
      </c>
      <c r="B340">
        <v>94</v>
      </c>
      <c r="C340" t="s">
        <v>45</v>
      </c>
      <c r="D340">
        <v>59</v>
      </c>
      <c r="E340">
        <v>77</v>
      </c>
      <c r="F340">
        <v>6.76</v>
      </c>
      <c r="G340" t="s">
        <v>18</v>
      </c>
      <c r="H340" t="s">
        <v>16</v>
      </c>
      <c r="I340" t="str">
        <f t="shared" si="5"/>
        <v>Asia-Pacific</v>
      </c>
    </row>
    <row r="341" spans="1:9" x14ac:dyDescent="0.3">
      <c r="A341" t="s">
        <v>379</v>
      </c>
      <c r="B341">
        <v>94</v>
      </c>
      <c r="C341" t="s">
        <v>41</v>
      </c>
      <c r="D341">
        <v>67</v>
      </c>
      <c r="E341">
        <v>86</v>
      </c>
      <c r="F341">
        <v>154.19</v>
      </c>
      <c r="G341" t="s">
        <v>2</v>
      </c>
      <c r="H341" t="s">
        <v>9</v>
      </c>
      <c r="I341" t="str">
        <f t="shared" si="5"/>
        <v>Africa</v>
      </c>
    </row>
    <row r="342" spans="1:9" x14ac:dyDescent="0.3">
      <c r="A342" t="s">
        <v>380</v>
      </c>
      <c r="B342">
        <v>94</v>
      </c>
      <c r="C342" t="s">
        <v>41</v>
      </c>
      <c r="D342">
        <v>62</v>
      </c>
      <c r="E342">
        <v>80</v>
      </c>
      <c r="F342">
        <v>6.17</v>
      </c>
      <c r="G342" t="s">
        <v>18</v>
      </c>
      <c r="H342" t="s">
        <v>12</v>
      </c>
      <c r="I342" t="str">
        <f t="shared" si="5"/>
        <v>Africa</v>
      </c>
    </row>
    <row r="343" spans="1:9" x14ac:dyDescent="0.3">
      <c r="A343" t="s">
        <v>112</v>
      </c>
      <c r="B343">
        <v>94</v>
      </c>
      <c r="C343" t="s">
        <v>45</v>
      </c>
      <c r="D343">
        <v>58</v>
      </c>
      <c r="E343">
        <v>77</v>
      </c>
      <c r="F343">
        <v>7.64</v>
      </c>
      <c r="G343" t="s">
        <v>18</v>
      </c>
      <c r="H343" t="s">
        <v>9</v>
      </c>
      <c r="I343" t="str">
        <f t="shared" si="5"/>
        <v>Africa</v>
      </c>
    </row>
    <row r="344" spans="1:9" x14ac:dyDescent="0.3">
      <c r="A344" t="s">
        <v>381</v>
      </c>
      <c r="B344">
        <v>94</v>
      </c>
      <c r="C344" t="s">
        <v>45</v>
      </c>
      <c r="D344">
        <v>56</v>
      </c>
      <c r="E344">
        <v>80</v>
      </c>
      <c r="F344">
        <v>99.21</v>
      </c>
      <c r="G344" t="s">
        <v>2</v>
      </c>
      <c r="H344" t="s">
        <v>14</v>
      </c>
      <c r="I344" t="str">
        <f t="shared" si="5"/>
        <v>America</v>
      </c>
    </row>
    <row r="345" spans="1:9" x14ac:dyDescent="0.3">
      <c r="A345" t="s">
        <v>382</v>
      </c>
      <c r="B345">
        <v>94</v>
      </c>
      <c r="C345" t="s">
        <v>41</v>
      </c>
      <c r="D345">
        <v>63</v>
      </c>
      <c r="E345">
        <v>81</v>
      </c>
      <c r="F345">
        <v>149.91</v>
      </c>
      <c r="G345" t="s">
        <v>2</v>
      </c>
      <c r="H345" t="s">
        <v>9</v>
      </c>
      <c r="I345" t="str">
        <f t="shared" si="5"/>
        <v>Africa</v>
      </c>
    </row>
    <row r="346" spans="1:9" x14ac:dyDescent="0.3">
      <c r="A346" t="s">
        <v>383</v>
      </c>
      <c r="B346">
        <v>94</v>
      </c>
      <c r="C346" t="s">
        <v>41</v>
      </c>
      <c r="D346">
        <v>63</v>
      </c>
      <c r="E346">
        <v>81</v>
      </c>
      <c r="F346">
        <v>6.27</v>
      </c>
      <c r="G346" t="s">
        <v>18</v>
      </c>
      <c r="H346" t="s">
        <v>7</v>
      </c>
      <c r="I346" t="str">
        <f t="shared" si="5"/>
        <v>America</v>
      </c>
    </row>
    <row r="347" spans="1:9" x14ac:dyDescent="0.3">
      <c r="A347" t="s">
        <v>384</v>
      </c>
      <c r="B347">
        <v>95</v>
      </c>
      <c r="C347" t="s">
        <v>45</v>
      </c>
      <c r="D347">
        <v>58</v>
      </c>
      <c r="E347">
        <v>80</v>
      </c>
      <c r="F347">
        <v>5.57</v>
      </c>
      <c r="G347" t="s">
        <v>18</v>
      </c>
      <c r="H347" t="s">
        <v>15</v>
      </c>
      <c r="I347" t="str">
        <f t="shared" si="5"/>
        <v>America</v>
      </c>
    </row>
    <row r="348" spans="1:9" x14ac:dyDescent="0.3">
      <c r="A348" t="s">
        <v>385</v>
      </c>
      <c r="B348">
        <v>95</v>
      </c>
      <c r="C348" t="s">
        <v>82</v>
      </c>
      <c r="D348">
        <v>44</v>
      </c>
      <c r="E348">
        <v>62</v>
      </c>
      <c r="F348">
        <v>275</v>
      </c>
      <c r="G348" t="s">
        <v>2</v>
      </c>
      <c r="H348" t="s">
        <v>12</v>
      </c>
      <c r="I348" t="str">
        <f t="shared" si="5"/>
        <v>Africa</v>
      </c>
    </row>
    <row r="349" spans="1:9" x14ac:dyDescent="0.3">
      <c r="A349" t="s">
        <v>386</v>
      </c>
      <c r="B349">
        <v>94</v>
      </c>
      <c r="C349" t="s">
        <v>45</v>
      </c>
      <c r="D349">
        <v>60</v>
      </c>
      <c r="E349">
        <v>78</v>
      </c>
      <c r="F349">
        <v>6.47</v>
      </c>
      <c r="G349" t="s">
        <v>18</v>
      </c>
      <c r="H349" t="s">
        <v>12</v>
      </c>
      <c r="I349" t="str">
        <f t="shared" si="5"/>
        <v>Africa</v>
      </c>
    </row>
    <row r="350" spans="1:9" x14ac:dyDescent="0.3">
      <c r="A350" t="s">
        <v>387</v>
      </c>
      <c r="B350">
        <v>95</v>
      </c>
      <c r="C350" t="s">
        <v>41</v>
      </c>
      <c r="D350">
        <v>64</v>
      </c>
      <c r="E350">
        <v>84</v>
      </c>
      <c r="F350">
        <v>9.41</v>
      </c>
      <c r="G350" t="s">
        <v>18</v>
      </c>
      <c r="H350" t="s">
        <v>14</v>
      </c>
      <c r="I350" t="str">
        <f t="shared" si="5"/>
        <v>America</v>
      </c>
    </row>
    <row r="351" spans="1:9" x14ac:dyDescent="0.3">
      <c r="A351" t="s">
        <v>388</v>
      </c>
      <c r="B351">
        <v>94</v>
      </c>
      <c r="C351" t="s">
        <v>41</v>
      </c>
      <c r="D351">
        <v>62</v>
      </c>
      <c r="E351">
        <v>80</v>
      </c>
      <c r="F351">
        <v>7.05</v>
      </c>
      <c r="G351" t="s">
        <v>18</v>
      </c>
      <c r="H351" t="s">
        <v>9</v>
      </c>
      <c r="I351" t="str">
        <f t="shared" si="5"/>
        <v>Africa</v>
      </c>
    </row>
    <row r="352" spans="1:9" x14ac:dyDescent="0.3">
      <c r="A352" t="s">
        <v>389</v>
      </c>
      <c r="B352">
        <v>94</v>
      </c>
      <c r="C352" t="s">
        <v>41</v>
      </c>
      <c r="D352">
        <v>64</v>
      </c>
      <c r="E352">
        <v>86</v>
      </c>
      <c r="F352">
        <v>7.05</v>
      </c>
      <c r="G352" t="s">
        <v>18</v>
      </c>
      <c r="H352" t="s">
        <v>7</v>
      </c>
      <c r="I352" t="str">
        <f t="shared" si="5"/>
        <v>America</v>
      </c>
    </row>
    <row r="353" spans="1:9" x14ac:dyDescent="0.3">
      <c r="A353" t="s">
        <v>390</v>
      </c>
      <c r="B353">
        <v>94</v>
      </c>
      <c r="C353" t="s">
        <v>45</v>
      </c>
      <c r="D353">
        <v>60</v>
      </c>
      <c r="E353">
        <v>78</v>
      </c>
      <c r="F353">
        <v>6.47</v>
      </c>
      <c r="G353" t="s">
        <v>18</v>
      </c>
      <c r="H353" t="s">
        <v>16</v>
      </c>
      <c r="I353" t="str">
        <f t="shared" si="5"/>
        <v>Asia-Pacific</v>
      </c>
    </row>
    <row r="354" spans="1:9" x14ac:dyDescent="0.3">
      <c r="A354" t="s">
        <v>391</v>
      </c>
      <c r="B354">
        <v>94</v>
      </c>
      <c r="C354" t="s">
        <v>41</v>
      </c>
      <c r="D354">
        <v>64</v>
      </c>
      <c r="E354">
        <v>84</v>
      </c>
      <c r="F354">
        <v>10.29</v>
      </c>
      <c r="G354" t="s">
        <v>18</v>
      </c>
      <c r="H354" t="s">
        <v>15</v>
      </c>
      <c r="I354" t="str">
        <f t="shared" si="5"/>
        <v>America</v>
      </c>
    </row>
    <row r="355" spans="1:9" x14ac:dyDescent="0.3">
      <c r="A355" t="s">
        <v>392</v>
      </c>
      <c r="B355">
        <v>95</v>
      </c>
      <c r="C355" t="s">
        <v>41</v>
      </c>
      <c r="D355">
        <v>60</v>
      </c>
      <c r="E355">
        <v>82</v>
      </c>
      <c r="F355">
        <v>52.91</v>
      </c>
      <c r="G355" t="s">
        <v>18</v>
      </c>
      <c r="H355" t="s">
        <v>18</v>
      </c>
      <c r="I355" t="str">
        <f t="shared" si="5"/>
        <v>America</v>
      </c>
    </row>
    <row r="356" spans="1:9" x14ac:dyDescent="0.3">
      <c r="A356" t="s">
        <v>393</v>
      </c>
      <c r="B356">
        <v>95</v>
      </c>
      <c r="C356" t="s">
        <v>45</v>
      </c>
      <c r="D356">
        <v>61</v>
      </c>
      <c r="E356">
        <v>80</v>
      </c>
      <c r="F356">
        <v>8.82</v>
      </c>
      <c r="G356" t="s">
        <v>18</v>
      </c>
      <c r="H356" t="s">
        <v>14</v>
      </c>
      <c r="I356" t="str">
        <f t="shared" si="5"/>
        <v>America</v>
      </c>
    </row>
    <row r="357" spans="1:9" x14ac:dyDescent="0.3">
      <c r="A357" t="s">
        <v>394</v>
      </c>
      <c r="B357">
        <v>94</v>
      </c>
      <c r="C357" t="s">
        <v>45</v>
      </c>
      <c r="D357">
        <v>56</v>
      </c>
      <c r="E357">
        <v>84</v>
      </c>
      <c r="F357">
        <v>190</v>
      </c>
      <c r="G357" t="s">
        <v>2</v>
      </c>
      <c r="H357" t="s">
        <v>9</v>
      </c>
      <c r="I357" t="str">
        <f t="shared" si="5"/>
        <v>Africa</v>
      </c>
    </row>
    <row r="358" spans="1:9" x14ac:dyDescent="0.3">
      <c r="A358" t="s">
        <v>395</v>
      </c>
      <c r="B358">
        <v>94</v>
      </c>
      <c r="C358" t="s">
        <v>41</v>
      </c>
      <c r="D358">
        <v>65</v>
      </c>
      <c r="E358">
        <v>84</v>
      </c>
      <c r="F358">
        <v>35.270000000000003</v>
      </c>
      <c r="G358" t="s">
        <v>18</v>
      </c>
      <c r="H358" t="s">
        <v>5</v>
      </c>
      <c r="I358" t="str">
        <f t="shared" si="5"/>
        <v>America</v>
      </c>
    </row>
    <row r="359" spans="1:9" x14ac:dyDescent="0.3">
      <c r="A359" t="s">
        <v>396</v>
      </c>
      <c r="B359">
        <v>94</v>
      </c>
      <c r="C359" t="s">
        <v>41</v>
      </c>
      <c r="D359">
        <v>74</v>
      </c>
      <c r="E359">
        <v>100</v>
      </c>
      <c r="F359">
        <v>6.32</v>
      </c>
      <c r="G359" t="s">
        <v>18</v>
      </c>
      <c r="H359" t="s">
        <v>9</v>
      </c>
      <c r="I359" t="str">
        <f t="shared" si="5"/>
        <v>Africa</v>
      </c>
    </row>
    <row r="360" spans="1:9" x14ac:dyDescent="0.3">
      <c r="A360" t="s">
        <v>397</v>
      </c>
      <c r="B360">
        <v>95</v>
      </c>
      <c r="C360" t="s">
        <v>41</v>
      </c>
      <c r="D360">
        <v>62</v>
      </c>
      <c r="E360">
        <v>84</v>
      </c>
      <c r="F360">
        <v>20.81</v>
      </c>
      <c r="G360" t="s">
        <v>18</v>
      </c>
      <c r="H360" t="s">
        <v>18</v>
      </c>
      <c r="I360" t="str">
        <f t="shared" si="5"/>
        <v>America</v>
      </c>
    </row>
    <row r="361" spans="1:9" x14ac:dyDescent="0.3">
      <c r="A361" t="s">
        <v>398</v>
      </c>
      <c r="B361">
        <v>97</v>
      </c>
      <c r="C361" t="s">
        <v>41</v>
      </c>
      <c r="D361">
        <v>62</v>
      </c>
      <c r="E361">
        <v>80</v>
      </c>
      <c r="F361">
        <v>30.84</v>
      </c>
      <c r="G361" t="s">
        <v>18</v>
      </c>
      <c r="H361" t="s">
        <v>150</v>
      </c>
      <c r="I361" t="str">
        <f t="shared" si="5"/>
        <v>NULL</v>
      </c>
    </row>
    <row r="362" spans="1:9" x14ac:dyDescent="0.3">
      <c r="A362" t="s">
        <v>399</v>
      </c>
      <c r="B362">
        <v>96</v>
      </c>
      <c r="C362" t="s">
        <v>41</v>
      </c>
      <c r="D362">
        <v>64</v>
      </c>
      <c r="E362">
        <v>82</v>
      </c>
      <c r="F362">
        <v>220.46</v>
      </c>
      <c r="G362" t="s">
        <v>18</v>
      </c>
      <c r="H362" t="s">
        <v>5</v>
      </c>
      <c r="I362" t="str">
        <f t="shared" si="5"/>
        <v>America</v>
      </c>
    </row>
    <row r="363" spans="1:9" x14ac:dyDescent="0.3">
      <c r="A363" t="s">
        <v>400</v>
      </c>
      <c r="B363">
        <v>95</v>
      </c>
      <c r="C363" t="s">
        <v>45</v>
      </c>
      <c r="D363">
        <v>58</v>
      </c>
      <c r="E363">
        <v>76</v>
      </c>
      <c r="F363">
        <v>25.57</v>
      </c>
      <c r="G363" t="s">
        <v>18</v>
      </c>
      <c r="H363" t="s">
        <v>18</v>
      </c>
      <c r="I363" t="str">
        <f t="shared" si="5"/>
        <v>America</v>
      </c>
    </row>
    <row r="364" spans="1:9" x14ac:dyDescent="0.3">
      <c r="A364" t="s">
        <v>401</v>
      </c>
      <c r="B364">
        <v>94</v>
      </c>
      <c r="C364" t="s">
        <v>45</v>
      </c>
      <c r="D364">
        <v>58</v>
      </c>
      <c r="E364">
        <v>77</v>
      </c>
      <c r="F364">
        <v>72.31</v>
      </c>
      <c r="G364" t="s">
        <v>18</v>
      </c>
      <c r="H364" t="s">
        <v>150</v>
      </c>
      <c r="I364" t="str">
        <f t="shared" si="5"/>
        <v>NULL</v>
      </c>
    </row>
    <row r="365" spans="1:9" x14ac:dyDescent="0.3">
      <c r="A365" t="s">
        <v>402</v>
      </c>
      <c r="B365">
        <v>94</v>
      </c>
      <c r="C365" t="s">
        <v>41</v>
      </c>
      <c r="D365">
        <v>64</v>
      </c>
      <c r="E365">
        <v>82</v>
      </c>
      <c r="F365">
        <v>14.11</v>
      </c>
      <c r="G365" t="s">
        <v>18</v>
      </c>
      <c r="H365" t="s">
        <v>150</v>
      </c>
      <c r="I365" t="str">
        <f t="shared" si="5"/>
        <v>NULL</v>
      </c>
    </row>
    <row r="366" spans="1:9" x14ac:dyDescent="0.3">
      <c r="A366" t="s">
        <v>403</v>
      </c>
      <c r="B366">
        <v>94</v>
      </c>
      <c r="C366" t="s">
        <v>45</v>
      </c>
      <c r="D366">
        <v>58</v>
      </c>
      <c r="E366">
        <v>74</v>
      </c>
      <c r="F366">
        <v>15.12</v>
      </c>
      <c r="G366" t="s">
        <v>18</v>
      </c>
      <c r="H366" t="s">
        <v>18</v>
      </c>
      <c r="I366" t="str">
        <f t="shared" si="5"/>
        <v>America</v>
      </c>
    </row>
    <row r="367" spans="1:9" x14ac:dyDescent="0.3">
      <c r="A367" t="s">
        <v>404</v>
      </c>
      <c r="B367">
        <v>94</v>
      </c>
      <c r="C367" t="s">
        <v>45</v>
      </c>
      <c r="D367">
        <v>58</v>
      </c>
      <c r="E367">
        <v>80</v>
      </c>
      <c r="F367">
        <v>14.08</v>
      </c>
      <c r="G367" t="s">
        <v>18</v>
      </c>
      <c r="H367" t="s">
        <v>18</v>
      </c>
      <c r="I367" t="str">
        <f t="shared" si="5"/>
        <v>America</v>
      </c>
    </row>
    <row r="368" spans="1:9" x14ac:dyDescent="0.3">
      <c r="A368" t="s">
        <v>405</v>
      </c>
      <c r="B368">
        <v>95</v>
      </c>
      <c r="C368" t="s">
        <v>41</v>
      </c>
      <c r="D368">
        <v>62</v>
      </c>
      <c r="E368">
        <v>82</v>
      </c>
      <c r="F368">
        <v>8.82</v>
      </c>
      <c r="G368" t="s">
        <v>18</v>
      </c>
      <c r="H368" t="s">
        <v>14</v>
      </c>
      <c r="I368" t="str">
        <f t="shared" si="5"/>
        <v>America</v>
      </c>
    </row>
    <row r="369" spans="1:9" x14ac:dyDescent="0.3">
      <c r="A369" t="s">
        <v>406</v>
      </c>
      <c r="B369">
        <v>94</v>
      </c>
      <c r="C369" t="s">
        <v>45</v>
      </c>
      <c r="D369">
        <v>58</v>
      </c>
      <c r="E369">
        <v>78</v>
      </c>
      <c r="F369">
        <v>8.82</v>
      </c>
      <c r="G369" t="s">
        <v>18</v>
      </c>
      <c r="H369" t="s">
        <v>14</v>
      </c>
      <c r="I369" t="str">
        <f t="shared" si="5"/>
        <v>America</v>
      </c>
    </row>
    <row r="370" spans="1:9" x14ac:dyDescent="0.3">
      <c r="A370" t="s">
        <v>407</v>
      </c>
      <c r="B370">
        <v>94</v>
      </c>
      <c r="C370" t="s">
        <v>82</v>
      </c>
      <c r="D370">
        <v>43</v>
      </c>
      <c r="E370">
        <v>61</v>
      </c>
      <c r="F370">
        <v>17.64</v>
      </c>
      <c r="G370" t="s">
        <v>2</v>
      </c>
      <c r="H370" t="s">
        <v>9</v>
      </c>
      <c r="I370" t="str">
        <f t="shared" si="5"/>
        <v>Africa</v>
      </c>
    </row>
    <row r="371" spans="1:9" x14ac:dyDescent="0.3">
      <c r="A371" t="s">
        <v>408</v>
      </c>
      <c r="B371">
        <v>95</v>
      </c>
      <c r="C371" t="s">
        <v>41</v>
      </c>
      <c r="D371">
        <v>62</v>
      </c>
      <c r="E371">
        <v>80</v>
      </c>
      <c r="F371">
        <v>6.76</v>
      </c>
      <c r="G371" t="s">
        <v>18</v>
      </c>
      <c r="H371" t="s">
        <v>9</v>
      </c>
      <c r="I371" t="str">
        <f t="shared" si="5"/>
        <v>Africa</v>
      </c>
    </row>
    <row r="372" spans="1:9" x14ac:dyDescent="0.3">
      <c r="A372" t="s">
        <v>409</v>
      </c>
      <c r="B372">
        <v>94</v>
      </c>
      <c r="C372" t="s">
        <v>45</v>
      </c>
      <c r="D372">
        <v>58</v>
      </c>
      <c r="E372">
        <v>76</v>
      </c>
      <c r="F372">
        <v>7.2</v>
      </c>
      <c r="G372" t="s">
        <v>18</v>
      </c>
      <c r="H372" t="s">
        <v>9</v>
      </c>
      <c r="I372" t="str">
        <f t="shared" si="5"/>
        <v>Africa</v>
      </c>
    </row>
    <row r="373" spans="1:9" x14ac:dyDescent="0.3">
      <c r="A373" t="s">
        <v>410</v>
      </c>
      <c r="B373">
        <v>95</v>
      </c>
      <c r="C373" t="s">
        <v>41</v>
      </c>
      <c r="D373">
        <v>66</v>
      </c>
      <c r="E373">
        <v>84</v>
      </c>
      <c r="F373">
        <v>343.61</v>
      </c>
      <c r="G373" t="s">
        <v>2</v>
      </c>
      <c r="H373" t="s">
        <v>14</v>
      </c>
      <c r="I373" t="str">
        <f t="shared" si="5"/>
        <v>America</v>
      </c>
    </row>
    <row r="374" spans="1:9" x14ac:dyDescent="0.3">
      <c r="A374" t="s">
        <v>411</v>
      </c>
      <c r="B374">
        <v>94</v>
      </c>
      <c r="C374" t="s">
        <v>41</v>
      </c>
      <c r="D374">
        <v>64</v>
      </c>
      <c r="E374">
        <v>86</v>
      </c>
      <c r="F374">
        <v>88.18</v>
      </c>
      <c r="G374" t="s">
        <v>2</v>
      </c>
      <c r="H374" t="s">
        <v>9</v>
      </c>
      <c r="I374" t="str">
        <f t="shared" si="5"/>
        <v>Africa</v>
      </c>
    </row>
    <row r="375" spans="1:9" x14ac:dyDescent="0.3">
      <c r="A375" t="s">
        <v>412</v>
      </c>
      <c r="B375">
        <v>94</v>
      </c>
      <c r="C375" t="s">
        <v>45</v>
      </c>
      <c r="D375">
        <v>60</v>
      </c>
      <c r="E375">
        <v>76</v>
      </c>
      <c r="F375">
        <v>312.77999999999997</v>
      </c>
      <c r="G375" t="s">
        <v>2</v>
      </c>
      <c r="H375" t="s">
        <v>14</v>
      </c>
      <c r="I375" t="str">
        <f t="shared" si="5"/>
        <v>America</v>
      </c>
    </row>
    <row r="376" spans="1:9" x14ac:dyDescent="0.3">
      <c r="A376" t="s">
        <v>413</v>
      </c>
      <c r="B376">
        <v>94</v>
      </c>
      <c r="C376" t="s">
        <v>45</v>
      </c>
      <c r="D376">
        <v>60</v>
      </c>
      <c r="E376">
        <v>78</v>
      </c>
      <c r="F376">
        <v>105.73</v>
      </c>
      <c r="G376" t="s">
        <v>2</v>
      </c>
      <c r="H376" t="s">
        <v>12</v>
      </c>
      <c r="I376" t="str">
        <f t="shared" si="5"/>
        <v>Africa</v>
      </c>
    </row>
    <row r="377" spans="1:9" x14ac:dyDescent="0.3">
      <c r="A377" t="s">
        <v>414</v>
      </c>
      <c r="B377">
        <v>94</v>
      </c>
      <c r="C377" t="s">
        <v>45</v>
      </c>
      <c r="D377">
        <v>60</v>
      </c>
      <c r="E377">
        <v>80</v>
      </c>
      <c r="F377">
        <v>286.33999999999997</v>
      </c>
      <c r="G377" t="s">
        <v>2</v>
      </c>
      <c r="H377" t="s">
        <v>14</v>
      </c>
      <c r="I377" t="str">
        <f t="shared" si="5"/>
        <v>America</v>
      </c>
    </row>
    <row r="378" spans="1:9" x14ac:dyDescent="0.3">
      <c r="A378" t="s">
        <v>54</v>
      </c>
      <c r="B378">
        <v>96</v>
      </c>
      <c r="C378" t="s">
        <v>41</v>
      </c>
      <c r="D378">
        <v>62</v>
      </c>
      <c r="E378">
        <v>80</v>
      </c>
      <c r="F378">
        <v>11.9</v>
      </c>
      <c r="G378" t="s">
        <v>18</v>
      </c>
      <c r="H378" t="s">
        <v>14</v>
      </c>
      <c r="I378" t="str">
        <f t="shared" si="5"/>
        <v>America</v>
      </c>
    </row>
    <row r="379" spans="1:9" x14ac:dyDescent="0.3">
      <c r="A379" t="s">
        <v>415</v>
      </c>
      <c r="B379">
        <v>95</v>
      </c>
      <c r="C379" t="s">
        <v>45</v>
      </c>
      <c r="D379">
        <v>62</v>
      </c>
      <c r="E379">
        <v>78</v>
      </c>
      <c r="F379">
        <v>143.30000000000001</v>
      </c>
      <c r="G379" t="s">
        <v>2</v>
      </c>
      <c r="H379" t="s">
        <v>9</v>
      </c>
      <c r="I379" t="str">
        <f t="shared" si="5"/>
        <v>Africa</v>
      </c>
    </row>
    <row r="380" spans="1:9" x14ac:dyDescent="0.3">
      <c r="A380" t="s">
        <v>416</v>
      </c>
      <c r="B380">
        <v>95</v>
      </c>
      <c r="C380" t="s">
        <v>41</v>
      </c>
      <c r="D380">
        <v>64</v>
      </c>
      <c r="E380">
        <v>86</v>
      </c>
      <c r="F380">
        <v>143.30000000000001</v>
      </c>
      <c r="G380" t="s">
        <v>2</v>
      </c>
      <c r="H380" t="s">
        <v>9</v>
      </c>
      <c r="I380" t="str">
        <f t="shared" si="5"/>
        <v>Africa</v>
      </c>
    </row>
    <row r="381" spans="1:9" x14ac:dyDescent="0.3">
      <c r="A381" t="s">
        <v>417</v>
      </c>
      <c r="B381">
        <v>94</v>
      </c>
      <c r="C381" t="s">
        <v>45</v>
      </c>
      <c r="D381">
        <v>58</v>
      </c>
      <c r="E381">
        <v>78</v>
      </c>
      <c r="F381">
        <v>110.23</v>
      </c>
      <c r="G381" t="s">
        <v>2</v>
      </c>
      <c r="H381" t="s">
        <v>6</v>
      </c>
      <c r="I381" t="str">
        <f t="shared" si="5"/>
        <v>America</v>
      </c>
    </row>
    <row r="382" spans="1:9" x14ac:dyDescent="0.3">
      <c r="A382" t="s">
        <v>418</v>
      </c>
      <c r="B382">
        <v>94</v>
      </c>
      <c r="C382" t="s">
        <v>45</v>
      </c>
      <c r="D382">
        <v>58</v>
      </c>
      <c r="E382">
        <v>74</v>
      </c>
      <c r="F382">
        <v>238.1</v>
      </c>
      <c r="G382" t="s">
        <v>2</v>
      </c>
      <c r="H382" t="s">
        <v>15</v>
      </c>
      <c r="I382" t="str">
        <f t="shared" si="5"/>
        <v>America</v>
      </c>
    </row>
    <row r="383" spans="1:9" x14ac:dyDescent="0.3">
      <c r="A383" t="s">
        <v>419</v>
      </c>
      <c r="B383">
        <v>94</v>
      </c>
      <c r="C383" t="s">
        <v>41</v>
      </c>
      <c r="D383">
        <v>62</v>
      </c>
      <c r="E383">
        <v>80</v>
      </c>
      <c r="F383">
        <v>132.28</v>
      </c>
      <c r="G383" t="s">
        <v>2</v>
      </c>
      <c r="H383" t="s">
        <v>9</v>
      </c>
      <c r="I383" t="str">
        <f t="shared" si="5"/>
        <v>Africa</v>
      </c>
    </row>
    <row r="384" spans="1:9" x14ac:dyDescent="0.3">
      <c r="A384" t="s">
        <v>420</v>
      </c>
      <c r="B384">
        <v>94</v>
      </c>
      <c r="C384" t="s">
        <v>41</v>
      </c>
      <c r="D384">
        <v>64</v>
      </c>
      <c r="E384">
        <v>86</v>
      </c>
      <c r="F384">
        <v>143.30000000000001</v>
      </c>
      <c r="G384" t="s">
        <v>2</v>
      </c>
      <c r="H384" t="s">
        <v>12</v>
      </c>
      <c r="I384" t="str">
        <f t="shared" si="5"/>
        <v>Africa</v>
      </c>
    </row>
    <row r="385" spans="1:9" x14ac:dyDescent="0.3">
      <c r="A385" t="s">
        <v>421</v>
      </c>
      <c r="B385">
        <v>94</v>
      </c>
      <c r="C385" t="s">
        <v>41</v>
      </c>
      <c r="D385">
        <v>62</v>
      </c>
      <c r="E385">
        <v>84</v>
      </c>
      <c r="F385">
        <v>161.38</v>
      </c>
      <c r="G385" t="s">
        <v>2</v>
      </c>
      <c r="H385" t="s">
        <v>14</v>
      </c>
      <c r="I385" t="str">
        <f t="shared" si="5"/>
        <v>America</v>
      </c>
    </row>
    <row r="386" spans="1:9" x14ac:dyDescent="0.3">
      <c r="A386" t="s">
        <v>422</v>
      </c>
      <c r="B386">
        <v>94</v>
      </c>
      <c r="C386" t="s">
        <v>41</v>
      </c>
      <c r="D386">
        <v>62</v>
      </c>
      <c r="E386">
        <v>82</v>
      </c>
      <c r="F386">
        <v>11.76</v>
      </c>
      <c r="G386" t="s">
        <v>18</v>
      </c>
      <c r="H386" t="s">
        <v>14</v>
      </c>
      <c r="I386" t="str">
        <f t="shared" si="5"/>
        <v>America</v>
      </c>
    </row>
    <row r="387" spans="1:9" x14ac:dyDescent="0.3">
      <c r="A387" t="s">
        <v>423</v>
      </c>
      <c r="B387">
        <v>94</v>
      </c>
      <c r="C387" t="s">
        <v>45</v>
      </c>
      <c r="D387">
        <v>59</v>
      </c>
      <c r="E387">
        <v>77</v>
      </c>
      <c r="F387">
        <v>7.94</v>
      </c>
      <c r="G387" t="s">
        <v>18</v>
      </c>
      <c r="H387" t="s">
        <v>15</v>
      </c>
      <c r="I387" t="str">
        <f t="shared" ref="I387:I450" si="6">_xlfn.XLOOKUP(H387, $M$2:$M$50, $N$2:$N$50, "Other")</f>
        <v>America</v>
      </c>
    </row>
    <row r="388" spans="1:9" x14ac:dyDescent="0.3">
      <c r="A388" t="s">
        <v>276</v>
      </c>
      <c r="B388">
        <v>94</v>
      </c>
      <c r="C388" t="s">
        <v>45</v>
      </c>
      <c r="D388">
        <v>56</v>
      </c>
      <c r="E388">
        <v>74</v>
      </c>
      <c r="F388">
        <v>6.47</v>
      </c>
      <c r="G388" t="s">
        <v>18</v>
      </c>
      <c r="H388" t="s">
        <v>12</v>
      </c>
      <c r="I388" t="str">
        <f t="shared" si="6"/>
        <v>Africa</v>
      </c>
    </row>
    <row r="389" spans="1:9" x14ac:dyDescent="0.3">
      <c r="A389" t="s">
        <v>424</v>
      </c>
      <c r="B389">
        <v>94</v>
      </c>
      <c r="C389" t="s">
        <v>41</v>
      </c>
      <c r="D389">
        <v>64</v>
      </c>
      <c r="E389">
        <v>86</v>
      </c>
      <c r="F389">
        <v>242.29</v>
      </c>
      <c r="G389" t="s">
        <v>2</v>
      </c>
      <c r="H389" t="s">
        <v>9</v>
      </c>
      <c r="I389" t="str">
        <f t="shared" si="6"/>
        <v>Africa</v>
      </c>
    </row>
    <row r="390" spans="1:9" x14ac:dyDescent="0.3">
      <c r="A390" t="s">
        <v>425</v>
      </c>
      <c r="B390">
        <v>94</v>
      </c>
      <c r="C390" t="s">
        <v>45</v>
      </c>
      <c r="D390">
        <v>60</v>
      </c>
      <c r="E390">
        <v>78</v>
      </c>
      <c r="F390">
        <v>6.47</v>
      </c>
      <c r="G390" t="s">
        <v>18</v>
      </c>
      <c r="H390" t="s">
        <v>9</v>
      </c>
      <c r="I390" t="str">
        <f t="shared" si="6"/>
        <v>Africa</v>
      </c>
    </row>
    <row r="391" spans="1:9" x14ac:dyDescent="0.3">
      <c r="A391" t="s">
        <v>426</v>
      </c>
      <c r="B391">
        <v>95</v>
      </c>
      <c r="C391" t="s">
        <v>41</v>
      </c>
      <c r="D391">
        <v>64</v>
      </c>
      <c r="E391">
        <v>86</v>
      </c>
      <c r="F391">
        <v>88.18</v>
      </c>
      <c r="G391" t="s">
        <v>18</v>
      </c>
      <c r="H391" t="s">
        <v>18</v>
      </c>
      <c r="I391" t="str">
        <f t="shared" si="6"/>
        <v>America</v>
      </c>
    </row>
    <row r="392" spans="1:9" x14ac:dyDescent="0.3">
      <c r="A392" t="s">
        <v>427</v>
      </c>
      <c r="B392">
        <v>94</v>
      </c>
      <c r="C392" t="s">
        <v>41</v>
      </c>
      <c r="D392">
        <v>64</v>
      </c>
      <c r="E392">
        <v>82</v>
      </c>
      <c r="F392">
        <v>200</v>
      </c>
      <c r="G392" t="s">
        <v>2</v>
      </c>
      <c r="H392" t="s">
        <v>9</v>
      </c>
      <c r="I392" t="str">
        <f t="shared" si="6"/>
        <v>Africa</v>
      </c>
    </row>
    <row r="393" spans="1:9" x14ac:dyDescent="0.3">
      <c r="A393" t="s">
        <v>428</v>
      </c>
      <c r="B393">
        <v>94</v>
      </c>
      <c r="C393" t="s">
        <v>41</v>
      </c>
      <c r="D393">
        <v>64</v>
      </c>
      <c r="E393">
        <v>86</v>
      </c>
      <c r="F393">
        <v>427.31</v>
      </c>
      <c r="G393" t="s">
        <v>2</v>
      </c>
      <c r="H393" t="s">
        <v>9</v>
      </c>
      <c r="I393" t="str">
        <f t="shared" si="6"/>
        <v>Africa</v>
      </c>
    </row>
    <row r="394" spans="1:9" x14ac:dyDescent="0.3">
      <c r="A394" t="s">
        <v>429</v>
      </c>
      <c r="B394">
        <v>94</v>
      </c>
      <c r="C394" t="s">
        <v>45</v>
      </c>
      <c r="D394">
        <v>52</v>
      </c>
      <c r="E394">
        <v>78</v>
      </c>
      <c r="F394">
        <v>237.65</v>
      </c>
      <c r="G394" t="s">
        <v>2</v>
      </c>
      <c r="H394" t="s">
        <v>14</v>
      </c>
      <c r="I394" t="str">
        <f t="shared" si="6"/>
        <v>America</v>
      </c>
    </row>
    <row r="395" spans="1:9" x14ac:dyDescent="0.3">
      <c r="A395" t="s">
        <v>430</v>
      </c>
      <c r="B395">
        <v>94</v>
      </c>
      <c r="C395" t="s">
        <v>41</v>
      </c>
      <c r="D395">
        <v>64</v>
      </c>
      <c r="E395">
        <v>80</v>
      </c>
      <c r="F395">
        <v>26.01</v>
      </c>
      <c r="G395" t="s">
        <v>18</v>
      </c>
      <c r="H395" t="s">
        <v>15</v>
      </c>
      <c r="I395" t="str">
        <f t="shared" si="6"/>
        <v>America</v>
      </c>
    </row>
    <row r="396" spans="1:9" x14ac:dyDescent="0.3">
      <c r="A396" t="s">
        <v>431</v>
      </c>
      <c r="B396">
        <v>94</v>
      </c>
      <c r="C396" t="s">
        <v>82</v>
      </c>
      <c r="D396">
        <v>46</v>
      </c>
      <c r="E396">
        <v>70</v>
      </c>
      <c r="F396">
        <v>286.60000000000002</v>
      </c>
      <c r="G396" t="s">
        <v>2</v>
      </c>
      <c r="H396" t="s">
        <v>9</v>
      </c>
      <c r="I396" t="str">
        <f t="shared" si="6"/>
        <v>Africa</v>
      </c>
    </row>
    <row r="397" spans="1:9" x14ac:dyDescent="0.3">
      <c r="A397" t="s">
        <v>432</v>
      </c>
      <c r="B397">
        <v>98</v>
      </c>
      <c r="C397" t="s">
        <v>45</v>
      </c>
      <c r="D397">
        <v>58</v>
      </c>
      <c r="E397">
        <v>74</v>
      </c>
      <c r="F397">
        <v>10</v>
      </c>
      <c r="G397" t="s">
        <v>2</v>
      </c>
      <c r="H397" t="s">
        <v>5</v>
      </c>
      <c r="I397" t="str">
        <f t="shared" si="6"/>
        <v>America</v>
      </c>
    </row>
    <row r="398" spans="1:9" x14ac:dyDescent="0.3">
      <c r="A398" t="s">
        <v>433</v>
      </c>
      <c r="B398">
        <v>94</v>
      </c>
      <c r="C398" t="s">
        <v>45</v>
      </c>
      <c r="D398">
        <v>58</v>
      </c>
      <c r="E398">
        <v>78</v>
      </c>
      <c r="F398">
        <v>5.88</v>
      </c>
      <c r="G398" t="s">
        <v>18</v>
      </c>
      <c r="H398" t="s">
        <v>21</v>
      </c>
      <c r="I398" t="str">
        <f t="shared" si="6"/>
        <v>America</v>
      </c>
    </row>
    <row r="399" spans="1:9" x14ac:dyDescent="0.3">
      <c r="A399" t="s">
        <v>434</v>
      </c>
      <c r="B399">
        <v>94</v>
      </c>
      <c r="C399" t="s">
        <v>45</v>
      </c>
      <c r="D399">
        <v>60</v>
      </c>
      <c r="E399">
        <v>78</v>
      </c>
      <c r="F399">
        <v>6.76</v>
      </c>
      <c r="G399" t="s">
        <v>18</v>
      </c>
      <c r="H399" t="s">
        <v>15</v>
      </c>
      <c r="I399" t="str">
        <f t="shared" si="6"/>
        <v>America</v>
      </c>
    </row>
    <row r="400" spans="1:9" x14ac:dyDescent="0.3">
      <c r="A400" t="s">
        <v>435</v>
      </c>
      <c r="B400">
        <v>95</v>
      </c>
      <c r="C400" t="s">
        <v>41</v>
      </c>
      <c r="D400">
        <v>48</v>
      </c>
      <c r="E400">
        <v>689</v>
      </c>
      <c r="F400">
        <v>352.73</v>
      </c>
      <c r="G400" t="s">
        <v>2</v>
      </c>
      <c r="H400" t="s">
        <v>17</v>
      </c>
      <c r="I400" t="str">
        <f t="shared" si="6"/>
        <v>Africa</v>
      </c>
    </row>
    <row r="401" spans="1:9" x14ac:dyDescent="0.3">
      <c r="A401" t="s">
        <v>436</v>
      </c>
      <c r="B401">
        <v>95</v>
      </c>
      <c r="C401" t="s">
        <v>41</v>
      </c>
      <c r="D401">
        <v>70</v>
      </c>
      <c r="E401">
        <v>85</v>
      </c>
      <c r="F401">
        <v>27</v>
      </c>
      <c r="G401" t="s">
        <v>27</v>
      </c>
      <c r="H401" t="s">
        <v>14</v>
      </c>
      <c r="I401" t="str">
        <f t="shared" si="6"/>
        <v>America</v>
      </c>
    </row>
    <row r="402" spans="1:9" x14ac:dyDescent="0.3">
      <c r="A402" t="s">
        <v>430</v>
      </c>
      <c r="B402">
        <v>95</v>
      </c>
      <c r="C402" t="s">
        <v>41</v>
      </c>
      <c r="D402">
        <v>66</v>
      </c>
      <c r="E402">
        <v>82</v>
      </c>
      <c r="F402">
        <v>11.46</v>
      </c>
      <c r="G402" t="s">
        <v>18</v>
      </c>
      <c r="H402" t="s">
        <v>15</v>
      </c>
      <c r="I402" t="str">
        <f t="shared" si="6"/>
        <v>America</v>
      </c>
    </row>
    <row r="403" spans="1:9" x14ac:dyDescent="0.3">
      <c r="A403" t="s">
        <v>437</v>
      </c>
      <c r="B403">
        <v>97</v>
      </c>
      <c r="C403" t="s">
        <v>45</v>
      </c>
      <c r="D403">
        <v>52</v>
      </c>
      <c r="E403">
        <v>72</v>
      </c>
      <c r="F403">
        <v>30.84</v>
      </c>
      <c r="G403" t="s">
        <v>18</v>
      </c>
      <c r="H403" t="s">
        <v>18</v>
      </c>
      <c r="I403" t="str">
        <f t="shared" si="6"/>
        <v>America</v>
      </c>
    </row>
    <row r="404" spans="1:9" x14ac:dyDescent="0.3">
      <c r="A404" t="s">
        <v>438</v>
      </c>
      <c r="B404">
        <v>96</v>
      </c>
      <c r="C404" t="s">
        <v>45</v>
      </c>
      <c r="D404">
        <v>60</v>
      </c>
      <c r="E404">
        <v>78</v>
      </c>
      <c r="F404">
        <v>9.48</v>
      </c>
      <c r="G404" t="s">
        <v>18</v>
      </c>
      <c r="H404" t="s">
        <v>14</v>
      </c>
      <c r="I404" t="str">
        <f t="shared" si="6"/>
        <v>America</v>
      </c>
    </row>
    <row r="405" spans="1:9" x14ac:dyDescent="0.3">
      <c r="A405" t="s">
        <v>439</v>
      </c>
      <c r="B405">
        <v>95</v>
      </c>
      <c r="C405" t="s">
        <v>45</v>
      </c>
      <c r="D405">
        <v>58</v>
      </c>
      <c r="E405">
        <v>78</v>
      </c>
      <c r="F405">
        <v>24.23</v>
      </c>
      <c r="G405" t="s">
        <v>18</v>
      </c>
      <c r="H405" t="s">
        <v>18</v>
      </c>
      <c r="I405" t="str">
        <f t="shared" si="6"/>
        <v>America</v>
      </c>
    </row>
    <row r="406" spans="1:9" x14ac:dyDescent="0.3">
      <c r="A406" t="s">
        <v>440</v>
      </c>
      <c r="B406">
        <v>96</v>
      </c>
      <c r="C406" t="s">
        <v>41</v>
      </c>
      <c r="D406">
        <v>65</v>
      </c>
      <c r="E406">
        <v>83</v>
      </c>
      <c r="F406">
        <v>24</v>
      </c>
      <c r="G406" t="s">
        <v>18</v>
      </c>
      <c r="H406" t="s">
        <v>14</v>
      </c>
      <c r="I406" t="str">
        <f t="shared" si="6"/>
        <v>America</v>
      </c>
    </row>
    <row r="407" spans="1:9" x14ac:dyDescent="0.3">
      <c r="A407" t="s">
        <v>441</v>
      </c>
      <c r="B407">
        <v>95</v>
      </c>
      <c r="C407" t="s">
        <v>41</v>
      </c>
      <c r="D407">
        <v>64</v>
      </c>
      <c r="E407">
        <v>88</v>
      </c>
      <c r="F407">
        <v>8.52</v>
      </c>
      <c r="G407" t="s">
        <v>18</v>
      </c>
      <c r="H407" t="s">
        <v>6</v>
      </c>
      <c r="I407" t="str">
        <f t="shared" si="6"/>
        <v>America</v>
      </c>
    </row>
    <row r="408" spans="1:9" x14ac:dyDescent="0.3">
      <c r="A408" t="s">
        <v>130</v>
      </c>
      <c r="B408">
        <v>95</v>
      </c>
      <c r="C408" t="s">
        <v>41</v>
      </c>
      <c r="D408">
        <v>64</v>
      </c>
      <c r="E408">
        <v>84</v>
      </c>
      <c r="F408">
        <v>7.05</v>
      </c>
      <c r="G408" t="s">
        <v>18</v>
      </c>
      <c r="H408" t="s">
        <v>9</v>
      </c>
      <c r="I408" t="str">
        <f t="shared" si="6"/>
        <v>Africa</v>
      </c>
    </row>
    <row r="409" spans="1:9" x14ac:dyDescent="0.3">
      <c r="A409" t="s">
        <v>442</v>
      </c>
      <c r="B409">
        <v>95</v>
      </c>
      <c r="C409" t="s">
        <v>41</v>
      </c>
      <c r="D409">
        <v>62</v>
      </c>
      <c r="E409">
        <v>80</v>
      </c>
      <c r="F409">
        <v>7.64</v>
      </c>
      <c r="G409" t="s">
        <v>18</v>
      </c>
      <c r="H409" t="s">
        <v>12</v>
      </c>
      <c r="I409" t="str">
        <f t="shared" si="6"/>
        <v>Africa</v>
      </c>
    </row>
    <row r="410" spans="1:9" x14ac:dyDescent="0.3">
      <c r="A410" t="s">
        <v>443</v>
      </c>
      <c r="B410">
        <v>95</v>
      </c>
      <c r="C410" t="s">
        <v>41</v>
      </c>
      <c r="D410">
        <v>62</v>
      </c>
      <c r="E410">
        <v>80</v>
      </c>
      <c r="F410">
        <v>229.28</v>
      </c>
      <c r="G410" t="s">
        <v>2</v>
      </c>
      <c r="H410" t="s">
        <v>14</v>
      </c>
      <c r="I410" t="str">
        <f t="shared" si="6"/>
        <v>America</v>
      </c>
    </row>
    <row r="411" spans="1:9" x14ac:dyDescent="0.3">
      <c r="A411" t="s">
        <v>444</v>
      </c>
      <c r="B411">
        <v>94</v>
      </c>
      <c r="C411" t="s">
        <v>41</v>
      </c>
      <c r="D411">
        <v>74</v>
      </c>
      <c r="E411">
        <v>90</v>
      </c>
      <c r="F411">
        <v>14.55</v>
      </c>
      <c r="G411" t="s">
        <v>18</v>
      </c>
      <c r="H411" t="s">
        <v>14</v>
      </c>
      <c r="I411" t="str">
        <f t="shared" si="6"/>
        <v>America</v>
      </c>
    </row>
    <row r="412" spans="1:9" x14ac:dyDescent="0.3">
      <c r="A412" t="s">
        <v>445</v>
      </c>
      <c r="B412">
        <v>94</v>
      </c>
      <c r="C412" t="s">
        <v>45</v>
      </c>
      <c r="D412">
        <v>60</v>
      </c>
      <c r="E412">
        <v>78</v>
      </c>
      <c r="F412">
        <v>8.8000000000000007</v>
      </c>
      <c r="G412" t="s">
        <v>18</v>
      </c>
      <c r="H412" t="s">
        <v>14</v>
      </c>
      <c r="I412" t="str">
        <f t="shared" si="6"/>
        <v>America</v>
      </c>
    </row>
    <row r="413" spans="1:9" x14ac:dyDescent="0.3">
      <c r="A413" t="s">
        <v>446</v>
      </c>
      <c r="B413">
        <v>94</v>
      </c>
      <c r="C413" t="s">
        <v>45</v>
      </c>
      <c r="D413">
        <v>60</v>
      </c>
      <c r="E413">
        <v>78</v>
      </c>
      <c r="F413">
        <v>9.99</v>
      </c>
      <c r="G413" t="s">
        <v>2</v>
      </c>
      <c r="H413" t="s">
        <v>7</v>
      </c>
      <c r="I413" t="str">
        <f t="shared" si="6"/>
        <v>America</v>
      </c>
    </row>
    <row r="414" spans="1:9" x14ac:dyDescent="0.3">
      <c r="A414" t="s">
        <v>447</v>
      </c>
      <c r="B414">
        <v>94</v>
      </c>
      <c r="C414" t="s">
        <v>45</v>
      </c>
      <c r="D414">
        <v>58</v>
      </c>
      <c r="E414">
        <v>78</v>
      </c>
      <c r="F414">
        <v>6.61</v>
      </c>
      <c r="G414" t="s">
        <v>2</v>
      </c>
      <c r="H414" t="s">
        <v>7</v>
      </c>
      <c r="I414" t="str">
        <f t="shared" si="6"/>
        <v>America</v>
      </c>
    </row>
    <row r="415" spans="1:9" x14ac:dyDescent="0.3">
      <c r="A415" t="s">
        <v>448</v>
      </c>
      <c r="B415">
        <v>95</v>
      </c>
      <c r="C415" t="s">
        <v>41</v>
      </c>
      <c r="D415">
        <v>64</v>
      </c>
      <c r="E415">
        <v>80</v>
      </c>
      <c r="F415">
        <v>7.64</v>
      </c>
      <c r="G415" t="s">
        <v>18</v>
      </c>
      <c r="H415" t="s">
        <v>12</v>
      </c>
      <c r="I415" t="str">
        <f t="shared" si="6"/>
        <v>Africa</v>
      </c>
    </row>
    <row r="416" spans="1:9" x14ac:dyDescent="0.3">
      <c r="A416" t="s">
        <v>449</v>
      </c>
      <c r="B416">
        <v>95</v>
      </c>
      <c r="C416" t="s">
        <v>45</v>
      </c>
      <c r="D416">
        <v>60</v>
      </c>
      <c r="E416">
        <v>77</v>
      </c>
      <c r="F416">
        <v>661.38</v>
      </c>
      <c r="G416" t="s">
        <v>2</v>
      </c>
      <c r="H416" t="s">
        <v>7</v>
      </c>
      <c r="I416" t="str">
        <f t="shared" si="6"/>
        <v>America</v>
      </c>
    </row>
    <row r="417" spans="1:9" x14ac:dyDescent="0.3">
      <c r="A417" t="s">
        <v>450</v>
      </c>
      <c r="B417">
        <v>94</v>
      </c>
      <c r="C417" t="s">
        <v>41</v>
      </c>
      <c r="D417">
        <v>62</v>
      </c>
      <c r="E417">
        <v>80</v>
      </c>
      <c r="F417">
        <v>198.41</v>
      </c>
      <c r="G417" t="s">
        <v>2</v>
      </c>
      <c r="H417" t="s">
        <v>9</v>
      </c>
      <c r="I417" t="str">
        <f t="shared" si="6"/>
        <v>Africa</v>
      </c>
    </row>
    <row r="418" spans="1:9" x14ac:dyDescent="0.3">
      <c r="A418" t="s">
        <v>451</v>
      </c>
      <c r="B418">
        <v>96</v>
      </c>
      <c r="C418" t="s">
        <v>41</v>
      </c>
      <c r="D418">
        <v>62</v>
      </c>
      <c r="E418">
        <v>82</v>
      </c>
      <c r="F418">
        <v>180.34</v>
      </c>
      <c r="G418" t="s">
        <v>2</v>
      </c>
      <c r="H418" t="s">
        <v>12</v>
      </c>
      <c r="I418" t="str">
        <f t="shared" si="6"/>
        <v>Africa</v>
      </c>
    </row>
    <row r="419" spans="1:9" x14ac:dyDescent="0.3">
      <c r="A419" t="s">
        <v>452</v>
      </c>
      <c r="B419">
        <v>95</v>
      </c>
      <c r="C419" t="s">
        <v>45</v>
      </c>
      <c r="D419">
        <v>58</v>
      </c>
      <c r="E419">
        <v>77</v>
      </c>
      <c r="F419">
        <v>114.64</v>
      </c>
      <c r="G419" t="s">
        <v>2</v>
      </c>
      <c r="H419" t="s">
        <v>16</v>
      </c>
      <c r="I419" t="str">
        <f t="shared" si="6"/>
        <v>Asia-Pacific</v>
      </c>
    </row>
    <row r="420" spans="1:9" x14ac:dyDescent="0.3">
      <c r="A420" t="s">
        <v>453</v>
      </c>
      <c r="B420">
        <v>95</v>
      </c>
      <c r="C420" t="s">
        <v>45</v>
      </c>
      <c r="D420">
        <v>60</v>
      </c>
      <c r="E420">
        <v>80</v>
      </c>
      <c r="F420">
        <v>154.32</v>
      </c>
      <c r="G420" t="s">
        <v>2</v>
      </c>
      <c r="H420" t="s">
        <v>9</v>
      </c>
      <c r="I420" t="str">
        <f t="shared" si="6"/>
        <v>Africa</v>
      </c>
    </row>
    <row r="421" spans="1:9" x14ac:dyDescent="0.3">
      <c r="A421" t="s">
        <v>454</v>
      </c>
      <c r="B421">
        <v>94</v>
      </c>
      <c r="C421" t="s">
        <v>45</v>
      </c>
      <c r="D421">
        <v>58</v>
      </c>
      <c r="E421">
        <v>79</v>
      </c>
      <c r="F421">
        <v>97</v>
      </c>
      <c r="G421" t="s">
        <v>2</v>
      </c>
      <c r="H421" t="s">
        <v>7</v>
      </c>
      <c r="I421" t="str">
        <f t="shared" si="6"/>
        <v>America</v>
      </c>
    </row>
    <row r="422" spans="1:9" x14ac:dyDescent="0.3">
      <c r="A422" t="s">
        <v>455</v>
      </c>
      <c r="B422">
        <v>94</v>
      </c>
      <c r="C422" t="s">
        <v>45</v>
      </c>
      <c r="D422">
        <v>58</v>
      </c>
      <c r="E422">
        <v>78</v>
      </c>
      <c r="F422">
        <v>149.91</v>
      </c>
      <c r="G422" t="s">
        <v>2</v>
      </c>
      <c r="H422" t="s">
        <v>9</v>
      </c>
      <c r="I422" t="str">
        <f t="shared" si="6"/>
        <v>Africa</v>
      </c>
    </row>
    <row r="423" spans="1:9" x14ac:dyDescent="0.3">
      <c r="A423" t="s">
        <v>456</v>
      </c>
      <c r="B423">
        <v>94</v>
      </c>
      <c r="C423" t="s">
        <v>41</v>
      </c>
      <c r="D423">
        <v>64</v>
      </c>
      <c r="E423">
        <v>78</v>
      </c>
      <c r="F423">
        <v>171.96</v>
      </c>
      <c r="G423" t="s">
        <v>2</v>
      </c>
      <c r="H423" t="s">
        <v>9</v>
      </c>
      <c r="I423" t="str">
        <f t="shared" si="6"/>
        <v>Africa</v>
      </c>
    </row>
    <row r="424" spans="1:9" x14ac:dyDescent="0.3">
      <c r="A424" t="s">
        <v>457</v>
      </c>
      <c r="B424">
        <v>96</v>
      </c>
      <c r="C424" t="s">
        <v>45</v>
      </c>
      <c r="D424">
        <v>60</v>
      </c>
      <c r="E424">
        <v>78</v>
      </c>
      <c r="F424">
        <v>25.57</v>
      </c>
      <c r="G424" t="s">
        <v>18</v>
      </c>
      <c r="H424" t="s">
        <v>14</v>
      </c>
      <c r="I424" t="str">
        <f t="shared" si="6"/>
        <v>America</v>
      </c>
    </row>
    <row r="425" spans="1:9" x14ac:dyDescent="0.3">
      <c r="A425" t="s">
        <v>218</v>
      </c>
      <c r="B425">
        <v>95</v>
      </c>
      <c r="C425" t="s">
        <v>45</v>
      </c>
      <c r="D425">
        <v>60</v>
      </c>
      <c r="E425">
        <v>78</v>
      </c>
      <c r="F425">
        <v>16.75</v>
      </c>
      <c r="G425" t="s">
        <v>18</v>
      </c>
      <c r="H425" t="s">
        <v>14</v>
      </c>
      <c r="I425" t="str">
        <f t="shared" si="6"/>
        <v>America</v>
      </c>
    </row>
    <row r="426" spans="1:9" x14ac:dyDescent="0.3">
      <c r="A426" t="s">
        <v>458</v>
      </c>
      <c r="B426">
        <v>94</v>
      </c>
      <c r="C426" t="s">
        <v>41</v>
      </c>
      <c r="D426">
        <v>61</v>
      </c>
      <c r="E426">
        <v>83</v>
      </c>
      <c r="F426">
        <v>15.43</v>
      </c>
      <c r="G426" t="s">
        <v>18</v>
      </c>
      <c r="H426" t="s">
        <v>14</v>
      </c>
      <c r="I426" t="str">
        <f t="shared" si="6"/>
        <v>America</v>
      </c>
    </row>
    <row r="427" spans="1:9" x14ac:dyDescent="0.3">
      <c r="A427" t="s">
        <v>459</v>
      </c>
      <c r="B427">
        <v>94</v>
      </c>
      <c r="C427" t="s">
        <v>45</v>
      </c>
      <c r="D427">
        <v>60</v>
      </c>
      <c r="E427">
        <v>77</v>
      </c>
      <c r="F427">
        <v>15.43</v>
      </c>
      <c r="G427" t="s">
        <v>18</v>
      </c>
      <c r="H427" t="s">
        <v>14</v>
      </c>
      <c r="I427" t="str">
        <f t="shared" si="6"/>
        <v>America</v>
      </c>
    </row>
    <row r="428" spans="1:9" x14ac:dyDescent="0.3">
      <c r="A428" t="s">
        <v>460</v>
      </c>
      <c r="B428">
        <v>94</v>
      </c>
      <c r="C428" t="s">
        <v>45</v>
      </c>
      <c r="D428">
        <v>60</v>
      </c>
      <c r="E428">
        <v>76</v>
      </c>
      <c r="F428">
        <v>176.37</v>
      </c>
      <c r="G428" t="s">
        <v>2</v>
      </c>
      <c r="H428" t="s">
        <v>9</v>
      </c>
      <c r="I428" t="str">
        <f t="shared" si="6"/>
        <v>Africa</v>
      </c>
    </row>
    <row r="429" spans="1:9" x14ac:dyDescent="0.3">
      <c r="A429" t="s">
        <v>461</v>
      </c>
      <c r="B429">
        <v>97</v>
      </c>
      <c r="C429" t="s">
        <v>45</v>
      </c>
      <c r="D429">
        <v>60</v>
      </c>
      <c r="E429">
        <v>78</v>
      </c>
      <c r="F429">
        <v>275</v>
      </c>
      <c r="G429" t="s">
        <v>2</v>
      </c>
      <c r="H429" t="s">
        <v>12</v>
      </c>
      <c r="I429" t="str">
        <f t="shared" si="6"/>
        <v>Africa</v>
      </c>
    </row>
    <row r="430" spans="1:9" x14ac:dyDescent="0.3">
      <c r="A430" t="s">
        <v>462</v>
      </c>
      <c r="B430">
        <v>95</v>
      </c>
      <c r="C430" t="s">
        <v>41</v>
      </c>
      <c r="D430">
        <v>62</v>
      </c>
      <c r="E430">
        <v>82</v>
      </c>
      <c r="F430">
        <v>12</v>
      </c>
      <c r="G430" t="s">
        <v>2</v>
      </c>
      <c r="H430" t="s">
        <v>5</v>
      </c>
      <c r="I430" t="str">
        <f t="shared" si="6"/>
        <v>America</v>
      </c>
    </row>
    <row r="431" spans="1:9" x14ac:dyDescent="0.3">
      <c r="A431" t="s">
        <v>332</v>
      </c>
      <c r="B431">
        <v>94</v>
      </c>
      <c r="C431" t="s">
        <v>45</v>
      </c>
      <c r="D431">
        <v>60</v>
      </c>
      <c r="E431">
        <v>76</v>
      </c>
      <c r="F431">
        <v>8.23</v>
      </c>
      <c r="G431" t="s">
        <v>18</v>
      </c>
      <c r="H431" t="s">
        <v>14</v>
      </c>
      <c r="I431" t="str">
        <f t="shared" si="6"/>
        <v>America</v>
      </c>
    </row>
    <row r="432" spans="1:9" x14ac:dyDescent="0.3">
      <c r="A432" t="s">
        <v>463</v>
      </c>
      <c r="B432">
        <v>95</v>
      </c>
      <c r="C432" t="s">
        <v>41</v>
      </c>
      <c r="D432">
        <v>65</v>
      </c>
      <c r="E432">
        <v>82</v>
      </c>
      <c r="F432">
        <v>12.35</v>
      </c>
      <c r="G432" t="s">
        <v>18</v>
      </c>
      <c r="H432" t="s">
        <v>10</v>
      </c>
      <c r="I432" t="str">
        <f t="shared" si="6"/>
        <v>America</v>
      </c>
    </row>
    <row r="433" spans="1:9" x14ac:dyDescent="0.3">
      <c r="A433" t="s">
        <v>464</v>
      </c>
      <c r="B433">
        <v>95</v>
      </c>
      <c r="C433" t="s">
        <v>41</v>
      </c>
      <c r="D433">
        <v>64</v>
      </c>
      <c r="E433">
        <v>80</v>
      </c>
      <c r="F433">
        <v>220.46</v>
      </c>
      <c r="G433" t="s">
        <v>2</v>
      </c>
      <c r="H433" t="s">
        <v>9</v>
      </c>
      <c r="I433" t="str">
        <f t="shared" si="6"/>
        <v>Africa</v>
      </c>
    </row>
    <row r="434" spans="1:9" x14ac:dyDescent="0.3">
      <c r="A434" t="s">
        <v>465</v>
      </c>
      <c r="B434">
        <v>94</v>
      </c>
      <c r="C434" t="s">
        <v>41</v>
      </c>
      <c r="D434">
        <v>64</v>
      </c>
      <c r="E434">
        <v>80</v>
      </c>
      <c r="F434">
        <v>0.44</v>
      </c>
      <c r="G434" t="s">
        <v>2</v>
      </c>
      <c r="H434" t="s">
        <v>7</v>
      </c>
      <c r="I434" t="str">
        <f t="shared" si="6"/>
        <v>America</v>
      </c>
    </row>
    <row r="435" spans="1:9" x14ac:dyDescent="0.3">
      <c r="A435" t="s">
        <v>466</v>
      </c>
      <c r="B435">
        <v>96</v>
      </c>
      <c r="C435" t="s">
        <v>41</v>
      </c>
      <c r="D435">
        <v>64</v>
      </c>
      <c r="E435">
        <v>82</v>
      </c>
      <c r="F435">
        <v>6.47</v>
      </c>
      <c r="G435" t="s">
        <v>18</v>
      </c>
      <c r="H435" t="s">
        <v>9</v>
      </c>
      <c r="I435" t="str">
        <f t="shared" si="6"/>
        <v>Africa</v>
      </c>
    </row>
    <row r="436" spans="1:9" x14ac:dyDescent="0.3">
      <c r="A436" t="s">
        <v>467</v>
      </c>
      <c r="B436">
        <v>95</v>
      </c>
      <c r="C436" t="s">
        <v>45</v>
      </c>
      <c r="D436">
        <v>58</v>
      </c>
      <c r="E436">
        <v>74</v>
      </c>
      <c r="F436">
        <v>49.8</v>
      </c>
      <c r="G436" t="s">
        <v>18</v>
      </c>
      <c r="H436" t="s">
        <v>18</v>
      </c>
      <c r="I436" t="str">
        <f t="shared" si="6"/>
        <v>America</v>
      </c>
    </row>
    <row r="437" spans="1:9" x14ac:dyDescent="0.3">
      <c r="A437" t="s">
        <v>468</v>
      </c>
      <c r="B437">
        <v>96</v>
      </c>
      <c r="C437" t="s">
        <v>45</v>
      </c>
      <c r="D437">
        <v>60</v>
      </c>
      <c r="E437">
        <v>78</v>
      </c>
      <c r="F437">
        <v>6.76</v>
      </c>
      <c r="G437" t="s">
        <v>18</v>
      </c>
      <c r="H437" t="s">
        <v>9</v>
      </c>
      <c r="I437" t="str">
        <f t="shared" si="6"/>
        <v>Africa</v>
      </c>
    </row>
    <row r="438" spans="1:9" x14ac:dyDescent="0.3">
      <c r="A438" t="s">
        <v>469</v>
      </c>
      <c r="B438">
        <v>94</v>
      </c>
      <c r="C438" t="s">
        <v>41</v>
      </c>
      <c r="D438">
        <v>62</v>
      </c>
      <c r="E438">
        <v>80</v>
      </c>
      <c r="F438">
        <v>7.05</v>
      </c>
      <c r="G438" t="s">
        <v>18</v>
      </c>
      <c r="H438" t="s">
        <v>14</v>
      </c>
      <c r="I438" t="str">
        <f t="shared" si="6"/>
        <v>America</v>
      </c>
    </row>
    <row r="439" spans="1:9" x14ac:dyDescent="0.3">
      <c r="A439" t="s">
        <v>470</v>
      </c>
      <c r="B439">
        <v>95</v>
      </c>
      <c r="C439" t="s">
        <v>45</v>
      </c>
      <c r="D439">
        <v>60</v>
      </c>
      <c r="E439">
        <v>80</v>
      </c>
      <c r="F439">
        <v>23.37</v>
      </c>
      <c r="G439" t="s">
        <v>18</v>
      </c>
      <c r="H439" t="s">
        <v>14</v>
      </c>
      <c r="I439" t="str">
        <f t="shared" si="6"/>
        <v>America</v>
      </c>
    </row>
    <row r="440" spans="1:9" x14ac:dyDescent="0.3">
      <c r="A440" t="s">
        <v>471</v>
      </c>
      <c r="B440">
        <v>94</v>
      </c>
      <c r="C440" t="s">
        <v>45</v>
      </c>
      <c r="D440">
        <v>60</v>
      </c>
      <c r="E440">
        <v>77</v>
      </c>
      <c r="F440">
        <v>22.05</v>
      </c>
      <c r="G440" t="s">
        <v>18</v>
      </c>
      <c r="H440" t="s">
        <v>18</v>
      </c>
      <c r="I440" t="str">
        <f t="shared" si="6"/>
        <v>America</v>
      </c>
    </row>
    <row r="441" spans="1:9" x14ac:dyDescent="0.3">
      <c r="A441" t="s">
        <v>472</v>
      </c>
      <c r="B441">
        <v>94</v>
      </c>
      <c r="C441" t="s">
        <v>41</v>
      </c>
      <c r="D441">
        <v>68</v>
      </c>
      <c r="E441">
        <v>84</v>
      </c>
      <c r="F441">
        <v>110.23</v>
      </c>
      <c r="G441" t="s">
        <v>2</v>
      </c>
      <c r="H441" t="s">
        <v>9</v>
      </c>
      <c r="I441" t="str">
        <f t="shared" si="6"/>
        <v>Africa</v>
      </c>
    </row>
    <row r="442" spans="1:9" x14ac:dyDescent="0.3">
      <c r="A442" t="s">
        <v>165</v>
      </c>
      <c r="B442">
        <v>94</v>
      </c>
      <c r="C442" t="s">
        <v>45</v>
      </c>
      <c r="D442">
        <v>56</v>
      </c>
      <c r="E442">
        <v>78</v>
      </c>
      <c r="F442">
        <v>7.05</v>
      </c>
      <c r="G442" t="s">
        <v>18</v>
      </c>
      <c r="H442" t="s">
        <v>21</v>
      </c>
      <c r="I442" t="str">
        <f t="shared" si="6"/>
        <v>America</v>
      </c>
    </row>
    <row r="443" spans="1:9" x14ac:dyDescent="0.3">
      <c r="A443" t="s">
        <v>473</v>
      </c>
      <c r="B443">
        <v>94</v>
      </c>
      <c r="C443" t="s">
        <v>45</v>
      </c>
      <c r="D443">
        <v>58</v>
      </c>
      <c r="E443">
        <v>72</v>
      </c>
      <c r="F443">
        <v>5.29</v>
      </c>
      <c r="G443" t="s">
        <v>2</v>
      </c>
      <c r="H443" t="s">
        <v>9</v>
      </c>
      <c r="I443" t="str">
        <f t="shared" si="6"/>
        <v>Africa</v>
      </c>
    </row>
    <row r="444" spans="1:9" x14ac:dyDescent="0.3">
      <c r="A444" t="s">
        <v>474</v>
      </c>
      <c r="B444">
        <v>95</v>
      </c>
      <c r="C444" t="s">
        <v>45</v>
      </c>
      <c r="D444">
        <v>59</v>
      </c>
      <c r="E444">
        <v>75</v>
      </c>
      <c r="F444">
        <v>6.47</v>
      </c>
      <c r="G444" t="s">
        <v>18</v>
      </c>
      <c r="H444" t="s">
        <v>12</v>
      </c>
      <c r="I444" t="str">
        <f t="shared" si="6"/>
        <v>Africa</v>
      </c>
    </row>
    <row r="445" spans="1:9" x14ac:dyDescent="0.3">
      <c r="A445" t="s">
        <v>475</v>
      </c>
      <c r="B445">
        <v>95</v>
      </c>
      <c r="C445" t="s">
        <v>45</v>
      </c>
      <c r="D445">
        <v>59</v>
      </c>
      <c r="E445">
        <v>77</v>
      </c>
      <c r="F445">
        <v>8.3800000000000008</v>
      </c>
      <c r="G445" t="s">
        <v>18</v>
      </c>
      <c r="H445" t="s">
        <v>15</v>
      </c>
      <c r="I445" t="str">
        <f t="shared" si="6"/>
        <v>America</v>
      </c>
    </row>
    <row r="446" spans="1:9" x14ac:dyDescent="0.3">
      <c r="A446" t="s">
        <v>476</v>
      </c>
      <c r="B446">
        <v>94</v>
      </c>
      <c r="C446" t="s">
        <v>45</v>
      </c>
      <c r="D446">
        <v>59</v>
      </c>
      <c r="E446">
        <v>77</v>
      </c>
      <c r="F446">
        <v>5.59</v>
      </c>
      <c r="G446" t="s">
        <v>18</v>
      </c>
      <c r="H446" t="s">
        <v>6</v>
      </c>
      <c r="I446" t="str">
        <f t="shared" si="6"/>
        <v>America</v>
      </c>
    </row>
    <row r="447" spans="1:9" x14ac:dyDescent="0.3">
      <c r="A447" t="s">
        <v>477</v>
      </c>
      <c r="B447">
        <v>95</v>
      </c>
      <c r="C447" t="s">
        <v>41</v>
      </c>
      <c r="D447">
        <v>63</v>
      </c>
      <c r="E447">
        <v>81</v>
      </c>
      <c r="F447">
        <v>13.67</v>
      </c>
      <c r="G447" t="s">
        <v>18</v>
      </c>
      <c r="H447" t="s">
        <v>14</v>
      </c>
      <c r="I447" t="str">
        <f t="shared" si="6"/>
        <v>America</v>
      </c>
    </row>
    <row r="448" spans="1:9" x14ac:dyDescent="0.3">
      <c r="A448" t="s">
        <v>478</v>
      </c>
      <c r="B448">
        <v>95</v>
      </c>
      <c r="C448" t="s">
        <v>41</v>
      </c>
      <c r="D448">
        <v>62</v>
      </c>
      <c r="E448">
        <v>83</v>
      </c>
      <c r="F448">
        <v>14.55</v>
      </c>
      <c r="G448" t="s">
        <v>18</v>
      </c>
      <c r="H448" t="s">
        <v>14</v>
      </c>
      <c r="I448" t="str">
        <f t="shared" si="6"/>
        <v>America</v>
      </c>
    </row>
    <row r="449" spans="1:9" x14ac:dyDescent="0.3">
      <c r="A449" t="s">
        <v>479</v>
      </c>
      <c r="B449">
        <v>95</v>
      </c>
      <c r="C449" t="s">
        <v>41</v>
      </c>
      <c r="D449">
        <v>62</v>
      </c>
      <c r="E449">
        <v>81</v>
      </c>
      <c r="F449">
        <v>242.5</v>
      </c>
      <c r="G449" t="s">
        <v>2</v>
      </c>
      <c r="H449" t="s">
        <v>14</v>
      </c>
      <c r="I449" t="str">
        <f t="shared" si="6"/>
        <v>America</v>
      </c>
    </row>
    <row r="450" spans="1:9" x14ac:dyDescent="0.3">
      <c r="A450" t="s">
        <v>480</v>
      </c>
      <c r="B450">
        <v>95</v>
      </c>
      <c r="C450" t="s">
        <v>41</v>
      </c>
      <c r="D450">
        <v>64</v>
      </c>
      <c r="E450">
        <v>80</v>
      </c>
      <c r="F450">
        <v>14.11</v>
      </c>
      <c r="G450" t="s">
        <v>2</v>
      </c>
      <c r="H450" t="s">
        <v>4</v>
      </c>
      <c r="I450" t="str">
        <f t="shared" si="6"/>
        <v>America</v>
      </c>
    </row>
    <row r="451" spans="1:9" x14ac:dyDescent="0.3">
      <c r="A451" t="s">
        <v>481</v>
      </c>
      <c r="B451">
        <v>94</v>
      </c>
      <c r="C451" t="s">
        <v>45</v>
      </c>
      <c r="D451">
        <v>58</v>
      </c>
      <c r="E451">
        <v>78</v>
      </c>
      <c r="F451">
        <v>325</v>
      </c>
      <c r="G451" t="s">
        <v>2</v>
      </c>
      <c r="H451" t="s">
        <v>14</v>
      </c>
      <c r="I451" t="str">
        <f t="shared" ref="I451:I514" si="7">_xlfn.XLOOKUP(H451, $M$2:$M$50, $N$2:$N$50, "Other")</f>
        <v>America</v>
      </c>
    </row>
    <row r="452" spans="1:9" x14ac:dyDescent="0.3">
      <c r="A452" t="s">
        <v>482</v>
      </c>
      <c r="B452">
        <v>94</v>
      </c>
      <c r="C452" t="s">
        <v>45</v>
      </c>
      <c r="D452">
        <v>62</v>
      </c>
      <c r="E452">
        <v>79</v>
      </c>
      <c r="F452">
        <v>10.58</v>
      </c>
      <c r="G452" t="s">
        <v>18</v>
      </c>
      <c r="H452" t="s">
        <v>7</v>
      </c>
      <c r="I452" t="str">
        <f t="shared" si="7"/>
        <v>America</v>
      </c>
    </row>
    <row r="453" spans="1:9" x14ac:dyDescent="0.3">
      <c r="A453" t="s">
        <v>259</v>
      </c>
      <c r="B453">
        <v>96</v>
      </c>
      <c r="C453" t="s">
        <v>45</v>
      </c>
      <c r="D453">
        <v>60</v>
      </c>
      <c r="E453">
        <v>74</v>
      </c>
      <c r="F453">
        <v>11.02</v>
      </c>
      <c r="G453" t="s">
        <v>18</v>
      </c>
      <c r="H453" t="s">
        <v>14</v>
      </c>
      <c r="I453" t="str">
        <f t="shared" si="7"/>
        <v>America</v>
      </c>
    </row>
    <row r="454" spans="1:9" x14ac:dyDescent="0.3">
      <c r="A454" t="s">
        <v>483</v>
      </c>
      <c r="B454">
        <v>94</v>
      </c>
      <c r="C454" t="s">
        <v>45</v>
      </c>
      <c r="D454">
        <v>57</v>
      </c>
      <c r="E454">
        <v>77</v>
      </c>
      <c r="F454">
        <v>17.64</v>
      </c>
      <c r="G454" t="s">
        <v>2</v>
      </c>
      <c r="H454" t="s">
        <v>9</v>
      </c>
      <c r="I454" t="str">
        <f t="shared" si="7"/>
        <v>Africa</v>
      </c>
    </row>
    <row r="455" spans="1:9" x14ac:dyDescent="0.3">
      <c r="A455" t="s">
        <v>484</v>
      </c>
      <c r="B455">
        <v>96</v>
      </c>
      <c r="C455" t="s">
        <v>41</v>
      </c>
      <c r="D455">
        <v>65</v>
      </c>
      <c r="E455">
        <v>90</v>
      </c>
      <c r="F455">
        <v>39.68</v>
      </c>
      <c r="G455" t="s">
        <v>18</v>
      </c>
      <c r="H455" t="s">
        <v>5</v>
      </c>
      <c r="I455" t="str">
        <f t="shared" si="7"/>
        <v>America</v>
      </c>
    </row>
    <row r="456" spans="1:9" x14ac:dyDescent="0.3">
      <c r="A456" t="s">
        <v>485</v>
      </c>
      <c r="B456">
        <v>96</v>
      </c>
      <c r="C456" t="s">
        <v>41</v>
      </c>
      <c r="D456">
        <v>62</v>
      </c>
      <c r="E456">
        <v>80</v>
      </c>
      <c r="F456">
        <v>396.83</v>
      </c>
      <c r="G456" t="s">
        <v>2</v>
      </c>
      <c r="H456" t="s">
        <v>9</v>
      </c>
      <c r="I456" t="str">
        <f t="shared" si="7"/>
        <v>Africa</v>
      </c>
    </row>
    <row r="457" spans="1:9" x14ac:dyDescent="0.3">
      <c r="A457" t="s">
        <v>486</v>
      </c>
      <c r="B457">
        <v>95</v>
      </c>
      <c r="C457" t="s">
        <v>45</v>
      </c>
      <c r="D457">
        <v>56</v>
      </c>
      <c r="E457">
        <v>72</v>
      </c>
      <c r="F457">
        <v>143.30000000000001</v>
      </c>
      <c r="G457" t="s">
        <v>2</v>
      </c>
      <c r="H457" t="s">
        <v>7</v>
      </c>
      <c r="I457" t="str">
        <f t="shared" si="7"/>
        <v>America</v>
      </c>
    </row>
    <row r="458" spans="1:9" x14ac:dyDescent="0.3">
      <c r="A458" t="s">
        <v>487</v>
      </c>
      <c r="B458">
        <v>95</v>
      </c>
      <c r="C458" t="s">
        <v>41</v>
      </c>
      <c r="D458">
        <v>64</v>
      </c>
      <c r="E458">
        <v>80</v>
      </c>
      <c r="F458">
        <v>255.73</v>
      </c>
      <c r="G458" t="s">
        <v>2</v>
      </c>
      <c r="H458" t="s">
        <v>14</v>
      </c>
      <c r="I458" t="str">
        <f t="shared" si="7"/>
        <v>America</v>
      </c>
    </row>
    <row r="459" spans="1:9" x14ac:dyDescent="0.3">
      <c r="A459" t="s">
        <v>488</v>
      </c>
      <c r="B459">
        <v>95</v>
      </c>
      <c r="C459" t="s">
        <v>45</v>
      </c>
      <c r="D459">
        <v>63</v>
      </c>
      <c r="E459">
        <v>77</v>
      </c>
      <c r="F459">
        <v>9.8800000000000008</v>
      </c>
      <c r="G459" t="s">
        <v>18</v>
      </c>
      <c r="H459" t="s">
        <v>14</v>
      </c>
      <c r="I459" t="str">
        <f t="shared" si="7"/>
        <v>America</v>
      </c>
    </row>
    <row r="460" spans="1:9" x14ac:dyDescent="0.3">
      <c r="A460" t="s">
        <v>489</v>
      </c>
      <c r="B460">
        <v>94</v>
      </c>
      <c r="C460" t="s">
        <v>45</v>
      </c>
      <c r="D460">
        <v>57</v>
      </c>
      <c r="E460">
        <v>74</v>
      </c>
      <c r="F460">
        <v>11.76</v>
      </c>
      <c r="G460" t="s">
        <v>18</v>
      </c>
      <c r="H460" t="s">
        <v>7</v>
      </c>
      <c r="I460" t="str">
        <f t="shared" si="7"/>
        <v>America</v>
      </c>
    </row>
    <row r="461" spans="1:9" x14ac:dyDescent="0.3">
      <c r="A461" t="s">
        <v>490</v>
      </c>
      <c r="B461">
        <v>95</v>
      </c>
      <c r="C461" t="s">
        <v>45</v>
      </c>
      <c r="D461">
        <v>58</v>
      </c>
      <c r="E461">
        <v>66</v>
      </c>
      <c r="F461">
        <v>30.84</v>
      </c>
      <c r="G461" t="s">
        <v>18</v>
      </c>
      <c r="H461" t="s">
        <v>150</v>
      </c>
      <c r="I461" t="str">
        <f t="shared" si="7"/>
        <v>NULL</v>
      </c>
    </row>
    <row r="462" spans="1:9" x14ac:dyDescent="0.3">
      <c r="A462" t="s">
        <v>491</v>
      </c>
      <c r="B462">
        <v>95</v>
      </c>
      <c r="C462" t="s">
        <v>45</v>
      </c>
      <c r="D462">
        <v>58</v>
      </c>
      <c r="E462">
        <v>77</v>
      </c>
      <c r="F462">
        <v>6.47</v>
      </c>
      <c r="G462" t="s">
        <v>18</v>
      </c>
      <c r="H462" t="s">
        <v>12</v>
      </c>
      <c r="I462" t="str">
        <f t="shared" si="7"/>
        <v>Africa</v>
      </c>
    </row>
    <row r="463" spans="1:9" x14ac:dyDescent="0.3">
      <c r="A463" t="s">
        <v>492</v>
      </c>
      <c r="B463">
        <v>95</v>
      </c>
      <c r="C463" t="s">
        <v>45</v>
      </c>
      <c r="D463">
        <v>60</v>
      </c>
      <c r="E463">
        <v>78</v>
      </c>
      <c r="F463">
        <v>6.16</v>
      </c>
      <c r="G463" t="s">
        <v>18</v>
      </c>
      <c r="H463" t="s">
        <v>12</v>
      </c>
      <c r="I463" t="str">
        <f t="shared" si="7"/>
        <v>Africa</v>
      </c>
    </row>
    <row r="464" spans="1:9" x14ac:dyDescent="0.3">
      <c r="A464" t="s">
        <v>493</v>
      </c>
      <c r="B464">
        <v>94</v>
      </c>
      <c r="C464" t="s">
        <v>41</v>
      </c>
      <c r="D464">
        <v>62</v>
      </c>
      <c r="E464">
        <v>80</v>
      </c>
      <c r="F464">
        <v>9.83</v>
      </c>
      <c r="G464" t="s">
        <v>18</v>
      </c>
      <c r="H464" t="s">
        <v>14</v>
      </c>
      <c r="I464" t="str">
        <f t="shared" si="7"/>
        <v>America</v>
      </c>
    </row>
    <row r="465" spans="1:9" x14ac:dyDescent="0.3">
      <c r="A465" t="s">
        <v>494</v>
      </c>
      <c r="B465">
        <v>95</v>
      </c>
      <c r="C465" t="s">
        <v>45</v>
      </c>
      <c r="D465">
        <v>60</v>
      </c>
      <c r="E465">
        <v>76</v>
      </c>
      <c r="F465">
        <v>6.17</v>
      </c>
      <c r="G465" t="s">
        <v>18</v>
      </c>
      <c r="H465" t="s">
        <v>9</v>
      </c>
      <c r="I465" t="str">
        <f t="shared" si="7"/>
        <v>Africa</v>
      </c>
    </row>
    <row r="466" spans="1:9" x14ac:dyDescent="0.3">
      <c r="A466" t="s">
        <v>495</v>
      </c>
      <c r="B466">
        <v>95</v>
      </c>
      <c r="C466" t="s">
        <v>45</v>
      </c>
      <c r="D466">
        <v>59</v>
      </c>
      <c r="E466">
        <v>76</v>
      </c>
      <c r="F466">
        <v>211.64</v>
      </c>
      <c r="G466" t="s">
        <v>2</v>
      </c>
      <c r="H466" t="s">
        <v>9</v>
      </c>
      <c r="I466" t="str">
        <f t="shared" si="7"/>
        <v>Africa</v>
      </c>
    </row>
    <row r="467" spans="1:9" x14ac:dyDescent="0.3">
      <c r="A467" t="s">
        <v>496</v>
      </c>
      <c r="B467">
        <v>94</v>
      </c>
      <c r="C467" t="s">
        <v>45</v>
      </c>
      <c r="D467">
        <v>59</v>
      </c>
      <c r="E467">
        <v>77</v>
      </c>
      <c r="F467">
        <v>6.47</v>
      </c>
      <c r="G467" t="s">
        <v>18</v>
      </c>
      <c r="H467" t="s">
        <v>15</v>
      </c>
      <c r="I467" t="str">
        <f t="shared" si="7"/>
        <v>America</v>
      </c>
    </row>
    <row r="468" spans="1:9" x14ac:dyDescent="0.3">
      <c r="A468" t="s">
        <v>497</v>
      </c>
      <c r="B468">
        <v>94</v>
      </c>
      <c r="C468" t="s">
        <v>45</v>
      </c>
      <c r="D468">
        <v>63</v>
      </c>
      <c r="E468">
        <v>71</v>
      </c>
      <c r="F468">
        <v>480</v>
      </c>
      <c r="G468" t="s">
        <v>2</v>
      </c>
      <c r="H468" t="s">
        <v>14</v>
      </c>
      <c r="I468" t="str">
        <f t="shared" si="7"/>
        <v>America</v>
      </c>
    </row>
    <row r="469" spans="1:9" x14ac:dyDescent="0.3">
      <c r="A469" t="s">
        <v>498</v>
      </c>
      <c r="B469">
        <v>94</v>
      </c>
      <c r="C469" t="s">
        <v>41</v>
      </c>
      <c r="D469">
        <v>63</v>
      </c>
      <c r="E469">
        <v>79</v>
      </c>
      <c r="F469">
        <v>145.5</v>
      </c>
      <c r="G469" t="s">
        <v>2</v>
      </c>
      <c r="H469" t="s">
        <v>15</v>
      </c>
      <c r="I469" t="str">
        <f t="shared" si="7"/>
        <v>America</v>
      </c>
    </row>
    <row r="470" spans="1:9" x14ac:dyDescent="0.3">
      <c r="A470" t="s">
        <v>499</v>
      </c>
      <c r="B470">
        <v>94</v>
      </c>
      <c r="C470" t="s">
        <v>45</v>
      </c>
      <c r="D470">
        <v>52</v>
      </c>
      <c r="E470">
        <v>70</v>
      </c>
      <c r="F470">
        <v>17.64</v>
      </c>
      <c r="G470" t="s">
        <v>18</v>
      </c>
      <c r="H470" t="s">
        <v>18</v>
      </c>
      <c r="I470" t="str">
        <f t="shared" si="7"/>
        <v>America</v>
      </c>
    </row>
    <row r="471" spans="1:9" x14ac:dyDescent="0.3">
      <c r="A471" t="s">
        <v>500</v>
      </c>
      <c r="B471">
        <v>96</v>
      </c>
      <c r="C471" t="s">
        <v>45</v>
      </c>
      <c r="D471">
        <v>57</v>
      </c>
      <c r="E471">
        <v>77</v>
      </c>
      <c r="F471">
        <v>149.91</v>
      </c>
      <c r="G471" t="s">
        <v>2</v>
      </c>
      <c r="H471" t="s">
        <v>12</v>
      </c>
      <c r="I471" t="str">
        <f t="shared" si="7"/>
        <v>Africa</v>
      </c>
    </row>
    <row r="472" spans="1:9" x14ac:dyDescent="0.3">
      <c r="A472" t="s">
        <v>501</v>
      </c>
      <c r="B472">
        <v>94</v>
      </c>
      <c r="C472" t="s">
        <v>45</v>
      </c>
      <c r="D472">
        <v>60</v>
      </c>
      <c r="E472">
        <v>76</v>
      </c>
      <c r="F472">
        <v>7.94</v>
      </c>
      <c r="G472" t="s">
        <v>18</v>
      </c>
      <c r="H472" t="s">
        <v>7</v>
      </c>
      <c r="I472" t="str">
        <f t="shared" si="7"/>
        <v>America</v>
      </c>
    </row>
    <row r="473" spans="1:9" x14ac:dyDescent="0.3">
      <c r="A473" t="s">
        <v>502</v>
      </c>
      <c r="B473">
        <v>94</v>
      </c>
      <c r="C473" t="s">
        <v>45</v>
      </c>
      <c r="D473">
        <v>58</v>
      </c>
      <c r="E473">
        <v>76</v>
      </c>
      <c r="F473">
        <v>143.30000000000001</v>
      </c>
      <c r="G473" t="s">
        <v>2</v>
      </c>
      <c r="H473" t="s">
        <v>9</v>
      </c>
      <c r="I473" t="str">
        <f t="shared" si="7"/>
        <v>Africa</v>
      </c>
    </row>
    <row r="474" spans="1:9" x14ac:dyDescent="0.3">
      <c r="A474" t="s">
        <v>503</v>
      </c>
      <c r="B474">
        <v>94</v>
      </c>
      <c r="C474" t="s">
        <v>45</v>
      </c>
      <c r="D474">
        <v>60</v>
      </c>
      <c r="E474">
        <v>78</v>
      </c>
      <c r="F474">
        <v>127.87</v>
      </c>
      <c r="G474" t="s">
        <v>2</v>
      </c>
      <c r="H474" t="s">
        <v>9</v>
      </c>
      <c r="I474" t="str">
        <f t="shared" si="7"/>
        <v>Africa</v>
      </c>
    </row>
    <row r="475" spans="1:9" x14ac:dyDescent="0.3">
      <c r="A475" t="s">
        <v>504</v>
      </c>
      <c r="B475">
        <v>95</v>
      </c>
      <c r="C475" t="s">
        <v>41</v>
      </c>
      <c r="D475">
        <v>62</v>
      </c>
      <c r="E475">
        <v>80</v>
      </c>
      <c r="F475">
        <v>6.76</v>
      </c>
      <c r="G475" t="s">
        <v>18</v>
      </c>
      <c r="H475" t="s">
        <v>9</v>
      </c>
      <c r="I475" t="str">
        <f t="shared" si="7"/>
        <v>Africa</v>
      </c>
    </row>
    <row r="476" spans="1:9" x14ac:dyDescent="0.3">
      <c r="A476" t="s">
        <v>505</v>
      </c>
      <c r="B476">
        <v>95</v>
      </c>
      <c r="C476" t="s">
        <v>41</v>
      </c>
      <c r="D476">
        <v>65</v>
      </c>
      <c r="E476">
        <v>81</v>
      </c>
      <c r="F476">
        <v>198.24</v>
      </c>
      <c r="G476" t="s">
        <v>2</v>
      </c>
      <c r="H476" t="s">
        <v>5</v>
      </c>
      <c r="I476" t="str">
        <f t="shared" si="7"/>
        <v>America</v>
      </c>
    </row>
    <row r="477" spans="1:9" x14ac:dyDescent="0.3">
      <c r="A477" t="s">
        <v>506</v>
      </c>
      <c r="B477">
        <v>94</v>
      </c>
      <c r="C477" t="s">
        <v>45</v>
      </c>
      <c r="D477">
        <v>60</v>
      </c>
      <c r="E477">
        <v>77</v>
      </c>
      <c r="F477">
        <v>136.56</v>
      </c>
      <c r="G477" t="s">
        <v>2</v>
      </c>
      <c r="H477" t="s">
        <v>9</v>
      </c>
      <c r="I477" t="str">
        <f t="shared" si="7"/>
        <v>Africa</v>
      </c>
    </row>
    <row r="478" spans="1:9" x14ac:dyDescent="0.3">
      <c r="A478" t="s">
        <v>301</v>
      </c>
      <c r="B478">
        <v>94</v>
      </c>
      <c r="C478" t="s">
        <v>45</v>
      </c>
      <c r="D478">
        <v>58</v>
      </c>
      <c r="E478">
        <v>74</v>
      </c>
      <c r="F478">
        <v>9.6999999999999993</v>
      </c>
      <c r="G478" t="s">
        <v>18</v>
      </c>
      <c r="H478" t="s">
        <v>14</v>
      </c>
      <c r="I478" t="str">
        <f t="shared" si="7"/>
        <v>America</v>
      </c>
    </row>
    <row r="479" spans="1:9" x14ac:dyDescent="0.3">
      <c r="A479" t="s">
        <v>507</v>
      </c>
      <c r="B479">
        <v>95</v>
      </c>
      <c r="C479" t="s">
        <v>45</v>
      </c>
      <c r="D479">
        <v>60</v>
      </c>
      <c r="E479">
        <v>77</v>
      </c>
      <c r="F479">
        <v>19.399999999999999</v>
      </c>
      <c r="G479" t="s">
        <v>2</v>
      </c>
      <c r="H479" t="s">
        <v>5</v>
      </c>
      <c r="I479" t="str">
        <f t="shared" si="7"/>
        <v>America</v>
      </c>
    </row>
    <row r="480" spans="1:9" x14ac:dyDescent="0.3">
      <c r="A480" t="s">
        <v>508</v>
      </c>
      <c r="B480">
        <v>95</v>
      </c>
      <c r="C480" t="s">
        <v>41</v>
      </c>
      <c r="D480">
        <v>64</v>
      </c>
      <c r="E480">
        <v>78</v>
      </c>
      <c r="F480">
        <v>17.64</v>
      </c>
      <c r="G480" t="s">
        <v>2</v>
      </c>
      <c r="H480" t="s">
        <v>5</v>
      </c>
      <c r="I480" t="str">
        <f t="shared" si="7"/>
        <v>America</v>
      </c>
    </row>
    <row r="481" spans="1:9" x14ac:dyDescent="0.3">
      <c r="A481" t="s">
        <v>509</v>
      </c>
      <c r="B481">
        <v>96</v>
      </c>
      <c r="C481" t="s">
        <v>45</v>
      </c>
      <c r="D481">
        <v>52</v>
      </c>
      <c r="E481">
        <v>72</v>
      </c>
      <c r="F481">
        <v>30.86</v>
      </c>
      <c r="G481" t="s">
        <v>18</v>
      </c>
      <c r="H481" t="s">
        <v>150</v>
      </c>
      <c r="I481" t="str">
        <f t="shared" si="7"/>
        <v>NULL</v>
      </c>
    </row>
    <row r="482" spans="1:9" x14ac:dyDescent="0.3">
      <c r="A482" t="s">
        <v>510</v>
      </c>
      <c r="B482">
        <v>95</v>
      </c>
      <c r="C482" t="s">
        <v>45</v>
      </c>
      <c r="D482">
        <v>56</v>
      </c>
      <c r="E482">
        <v>74</v>
      </c>
      <c r="F482">
        <v>6.17</v>
      </c>
      <c r="G482" t="s">
        <v>18</v>
      </c>
      <c r="H482" t="s">
        <v>16</v>
      </c>
      <c r="I482" t="str">
        <f t="shared" si="7"/>
        <v>Asia-Pacific</v>
      </c>
    </row>
    <row r="483" spans="1:9" x14ac:dyDescent="0.3">
      <c r="A483" t="s">
        <v>511</v>
      </c>
      <c r="B483">
        <v>94</v>
      </c>
      <c r="C483" t="s">
        <v>41</v>
      </c>
      <c r="D483">
        <v>65</v>
      </c>
      <c r="E483">
        <v>81</v>
      </c>
      <c r="F483">
        <v>1</v>
      </c>
      <c r="G483" t="s">
        <v>2</v>
      </c>
      <c r="H483" t="s">
        <v>5</v>
      </c>
      <c r="I483" t="str">
        <f t="shared" si="7"/>
        <v>America</v>
      </c>
    </row>
    <row r="484" spans="1:9" x14ac:dyDescent="0.3">
      <c r="A484" t="s">
        <v>512</v>
      </c>
      <c r="B484">
        <v>94</v>
      </c>
      <c r="C484" t="s">
        <v>45</v>
      </c>
      <c r="D484">
        <v>60</v>
      </c>
      <c r="E484">
        <v>77</v>
      </c>
      <c r="F484">
        <v>7.64</v>
      </c>
      <c r="G484" t="s">
        <v>18</v>
      </c>
      <c r="H484" t="s">
        <v>14</v>
      </c>
      <c r="I484" t="str">
        <f t="shared" si="7"/>
        <v>America</v>
      </c>
    </row>
    <row r="485" spans="1:9" x14ac:dyDescent="0.3">
      <c r="A485" t="s">
        <v>513</v>
      </c>
      <c r="B485">
        <v>95</v>
      </c>
      <c r="C485" t="s">
        <v>45</v>
      </c>
      <c r="D485">
        <v>62</v>
      </c>
      <c r="E485">
        <v>78</v>
      </c>
      <c r="F485">
        <v>7.94</v>
      </c>
      <c r="G485" t="s">
        <v>18</v>
      </c>
      <c r="H485" t="s">
        <v>9</v>
      </c>
      <c r="I485" t="str">
        <f t="shared" si="7"/>
        <v>Africa</v>
      </c>
    </row>
    <row r="486" spans="1:9" x14ac:dyDescent="0.3">
      <c r="A486" t="s">
        <v>514</v>
      </c>
      <c r="B486">
        <v>94</v>
      </c>
      <c r="C486" t="s">
        <v>41</v>
      </c>
      <c r="D486">
        <v>64</v>
      </c>
      <c r="E486">
        <v>80</v>
      </c>
      <c r="F486">
        <v>7.94</v>
      </c>
      <c r="G486" t="s">
        <v>18</v>
      </c>
      <c r="H486" t="s">
        <v>14</v>
      </c>
      <c r="I486" t="str">
        <f t="shared" si="7"/>
        <v>America</v>
      </c>
    </row>
    <row r="487" spans="1:9" x14ac:dyDescent="0.3">
      <c r="A487" t="s">
        <v>515</v>
      </c>
      <c r="B487">
        <v>94</v>
      </c>
      <c r="C487" t="s">
        <v>45</v>
      </c>
      <c r="D487">
        <v>59</v>
      </c>
      <c r="E487">
        <v>75</v>
      </c>
      <c r="F487">
        <v>7.94</v>
      </c>
      <c r="G487" t="s">
        <v>18</v>
      </c>
      <c r="H487" t="s">
        <v>9</v>
      </c>
      <c r="I487" t="str">
        <f t="shared" si="7"/>
        <v>Africa</v>
      </c>
    </row>
    <row r="488" spans="1:9" x14ac:dyDescent="0.3">
      <c r="A488" t="s">
        <v>516</v>
      </c>
      <c r="B488">
        <v>94</v>
      </c>
      <c r="C488" t="s">
        <v>45</v>
      </c>
      <c r="D488">
        <v>59</v>
      </c>
      <c r="E488">
        <v>76</v>
      </c>
      <c r="F488">
        <v>225</v>
      </c>
      <c r="G488" t="s">
        <v>2</v>
      </c>
      <c r="H488" t="s">
        <v>9</v>
      </c>
      <c r="I488" t="str">
        <f t="shared" si="7"/>
        <v>Africa</v>
      </c>
    </row>
    <row r="489" spans="1:9" x14ac:dyDescent="0.3">
      <c r="A489" t="s">
        <v>517</v>
      </c>
      <c r="B489">
        <v>94</v>
      </c>
      <c r="C489" t="s">
        <v>45</v>
      </c>
      <c r="D489">
        <v>61</v>
      </c>
      <c r="E489">
        <v>74</v>
      </c>
      <c r="F489">
        <v>250</v>
      </c>
      <c r="G489" t="s">
        <v>2</v>
      </c>
      <c r="H489" t="s">
        <v>9</v>
      </c>
      <c r="I489" t="str">
        <f t="shared" si="7"/>
        <v>Africa</v>
      </c>
    </row>
    <row r="490" spans="1:9" x14ac:dyDescent="0.3">
      <c r="A490" t="s">
        <v>518</v>
      </c>
      <c r="B490">
        <v>96</v>
      </c>
      <c r="C490" t="s">
        <v>41</v>
      </c>
      <c r="D490">
        <v>65</v>
      </c>
      <c r="E490">
        <v>82</v>
      </c>
      <c r="F490">
        <v>52.91</v>
      </c>
      <c r="G490" t="s">
        <v>18</v>
      </c>
      <c r="H490" t="s">
        <v>14</v>
      </c>
      <c r="I490" t="str">
        <f t="shared" si="7"/>
        <v>America</v>
      </c>
    </row>
    <row r="491" spans="1:9" x14ac:dyDescent="0.3">
      <c r="A491" t="s">
        <v>519</v>
      </c>
      <c r="B491">
        <v>94</v>
      </c>
      <c r="C491" t="s">
        <v>45</v>
      </c>
      <c r="D491">
        <v>62</v>
      </c>
      <c r="E491">
        <v>74</v>
      </c>
      <c r="F491">
        <v>5.59</v>
      </c>
      <c r="G491" t="s">
        <v>18</v>
      </c>
      <c r="H491" t="s">
        <v>20</v>
      </c>
      <c r="I491" t="str">
        <f t="shared" si="7"/>
        <v>Africa</v>
      </c>
    </row>
    <row r="492" spans="1:9" x14ac:dyDescent="0.3">
      <c r="A492" t="s">
        <v>241</v>
      </c>
      <c r="B492">
        <v>95</v>
      </c>
      <c r="C492" t="s">
        <v>45</v>
      </c>
      <c r="D492">
        <v>58</v>
      </c>
      <c r="E492">
        <v>74</v>
      </c>
      <c r="F492">
        <v>145.5</v>
      </c>
      <c r="G492" t="s">
        <v>2</v>
      </c>
      <c r="H492" t="s">
        <v>12</v>
      </c>
      <c r="I492" t="str">
        <f t="shared" si="7"/>
        <v>Africa</v>
      </c>
    </row>
    <row r="493" spans="1:9" x14ac:dyDescent="0.3">
      <c r="A493" t="s">
        <v>520</v>
      </c>
      <c r="B493">
        <v>94</v>
      </c>
      <c r="C493" t="s">
        <v>45</v>
      </c>
      <c r="D493">
        <v>57</v>
      </c>
      <c r="E493">
        <v>76</v>
      </c>
      <c r="F493">
        <v>143.30000000000001</v>
      </c>
      <c r="G493" t="s">
        <v>2</v>
      </c>
      <c r="H493" t="s">
        <v>12</v>
      </c>
      <c r="I493" t="str">
        <f t="shared" si="7"/>
        <v>Africa</v>
      </c>
    </row>
    <row r="494" spans="1:9" x14ac:dyDescent="0.3">
      <c r="A494" t="s">
        <v>521</v>
      </c>
      <c r="B494">
        <v>94</v>
      </c>
      <c r="C494" t="s">
        <v>45</v>
      </c>
      <c r="D494">
        <v>60</v>
      </c>
      <c r="E494">
        <v>77</v>
      </c>
      <c r="F494">
        <v>198.41</v>
      </c>
      <c r="G494" t="s">
        <v>2</v>
      </c>
      <c r="H494" t="s">
        <v>15</v>
      </c>
      <c r="I494" t="str">
        <f t="shared" si="7"/>
        <v>America</v>
      </c>
    </row>
    <row r="495" spans="1:9" x14ac:dyDescent="0.3">
      <c r="A495" t="s">
        <v>522</v>
      </c>
      <c r="B495">
        <v>98</v>
      </c>
      <c r="C495" t="s">
        <v>45</v>
      </c>
      <c r="D495">
        <v>62</v>
      </c>
      <c r="E495">
        <v>78</v>
      </c>
      <c r="F495">
        <v>8.82</v>
      </c>
      <c r="G495" t="s">
        <v>18</v>
      </c>
      <c r="H495" t="s">
        <v>14</v>
      </c>
      <c r="I495" t="str">
        <f t="shared" si="7"/>
        <v>America</v>
      </c>
    </row>
    <row r="496" spans="1:9" x14ac:dyDescent="0.3">
      <c r="A496" t="s">
        <v>523</v>
      </c>
      <c r="B496">
        <v>95</v>
      </c>
      <c r="C496" t="s">
        <v>41</v>
      </c>
      <c r="D496">
        <v>62</v>
      </c>
      <c r="E496">
        <v>80</v>
      </c>
      <c r="F496">
        <v>8.82</v>
      </c>
      <c r="G496" t="s">
        <v>18</v>
      </c>
      <c r="H496" t="s">
        <v>15</v>
      </c>
      <c r="I496" t="str">
        <f t="shared" si="7"/>
        <v>America</v>
      </c>
    </row>
    <row r="497" spans="1:9" x14ac:dyDescent="0.3">
      <c r="A497" t="s">
        <v>524</v>
      </c>
      <c r="B497">
        <v>95</v>
      </c>
      <c r="C497" t="s">
        <v>45</v>
      </c>
      <c r="D497">
        <v>58</v>
      </c>
      <c r="E497">
        <v>74</v>
      </c>
      <c r="F497">
        <v>6.76</v>
      </c>
      <c r="G497" t="s">
        <v>18</v>
      </c>
      <c r="H497" t="s">
        <v>9</v>
      </c>
      <c r="I497" t="str">
        <f t="shared" si="7"/>
        <v>Africa</v>
      </c>
    </row>
    <row r="498" spans="1:9" x14ac:dyDescent="0.3">
      <c r="A498" t="s">
        <v>287</v>
      </c>
      <c r="B498">
        <v>95</v>
      </c>
      <c r="C498" t="s">
        <v>41</v>
      </c>
      <c r="D498">
        <v>62</v>
      </c>
      <c r="E498">
        <v>80</v>
      </c>
      <c r="F498">
        <v>16.93</v>
      </c>
      <c r="G498" t="s">
        <v>18</v>
      </c>
      <c r="H498" t="s">
        <v>14</v>
      </c>
      <c r="I498" t="str">
        <f t="shared" si="7"/>
        <v>America</v>
      </c>
    </row>
    <row r="499" spans="1:9" x14ac:dyDescent="0.3">
      <c r="A499" t="s">
        <v>525</v>
      </c>
      <c r="B499">
        <v>94</v>
      </c>
      <c r="C499" t="s">
        <v>45</v>
      </c>
      <c r="D499">
        <v>59</v>
      </c>
      <c r="E499">
        <v>73</v>
      </c>
      <c r="F499">
        <v>35.270000000000003</v>
      </c>
      <c r="G499" t="s">
        <v>2</v>
      </c>
      <c r="H499" t="s">
        <v>5</v>
      </c>
      <c r="I499" t="str">
        <f t="shared" si="7"/>
        <v>America</v>
      </c>
    </row>
    <row r="500" spans="1:9" x14ac:dyDescent="0.3">
      <c r="A500" t="s">
        <v>526</v>
      </c>
      <c r="B500">
        <v>94</v>
      </c>
      <c r="C500" t="s">
        <v>41</v>
      </c>
      <c r="D500">
        <v>64</v>
      </c>
      <c r="E500">
        <v>80</v>
      </c>
      <c r="F500">
        <v>12</v>
      </c>
      <c r="G500" t="s">
        <v>18</v>
      </c>
      <c r="H500" t="s">
        <v>14</v>
      </c>
      <c r="I500" t="str">
        <f t="shared" si="7"/>
        <v>America</v>
      </c>
    </row>
    <row r="501" spans="1:9" x14ac:dyDescent="0.3">
      <c r="A501" t="s">
        <v>527</v>
      </c>
      <c r="B501">
        <v>94</v>
      </c>
      <c r="C501" t="s">
        <v>41</v>
      </c>
      <c r="D501">
        <v>65</v>
      </c>
      <c r="E501">
        <v>79</v>
      </c>
      <c r="F501">
        <v>198.41</v>
      </c>
      <c r="G501" t="s">
        <v>2</v>
      </c>
      <c r="H501" t="s">
        <v>14</v>
      </c>
      <c r="I501" t="str">
        <f t="shared" si="7"/>
        <v>America</v>
      </c>
    </row>
    <row r="502" spans="1:9" x14ac:dyDescent="0.3">
      <c r="A502" t="s">
        <v>528</v>
      </c>
      <c r="B502">
        <v>94</v>
      </c>
      <c r="C502" t="s">
        <v>41</v>
      </c>
      <c r="D502">
        <v>62</v>
      </c>
      <c r="E502">
        <v>80</v>
      </c>
      <c r="F502">
        <v>24</v>
      </c>
      <c r="G502" t="s">
        <v>18</v>
      </c>
      <c r="H502" t="s">
        <v>14</v>
      </c>
      <c r="I502" t="str">
        <f t="shared" si="7"/>
        <v>America</v>
      </c>
    </row>
    <row r="503" spans="1:9" x14ac:dyDescent="0.3">
      <c r="A503" t="s">
        <v>529</v>
      </c>
      <c r="B503">
        <v>94</v>
      </c>
      <c r="C503" t="s">
        <v>41</v>
      </c>
      <c r="D503">
        <v>66</v>
      </c>
      <c r="E503">
        <v>80</v>
      </c>
      <c r="F503">
        <v>132.28</v>
      </c>
      <c r="G503" t="s">
        <v>2</v>
      </c>
      <c r="H503" t="s">
        <v>9</v>
      </c>
      <c r="I503" t="str">
        <f t="shared" si="7"/>
        <v>Africa</v>
      </c>
    </row>
    <row r="504" spans="1:9" x14ac:dyDescent="0.3">
      <c r="A504" t="s">
        <v>530</v>
      </c>
      <c r="B504">
        <v>95</v>
      </c>
      <c r="C504" t="s">
        <v>45</v>
      </c>
      <c r="D504">
        <v>60</v>
      </c>
      <c r="E504">
        <v>77</v>
      </c>
      <c r="F504">
        <v>11.74</v>
      </c>
      <c r="G504" t="s">
        <v>18</v>
      </c>
      <c r="H504" t="s">
        <v>8</v>
      </c>
      <c r="I504" t="str">
        <f t="shared" si="7"/>
        <v>Africa</v>
      </c>
    </row>
    <row r="505" spans="1:9" x14ac:dyDescent="0.3">
      <c r="A505" t="s">
        <v>531</v>
      </c>
      <c r="B505">
        <v>95</v>
      </c>
      <c r="C505" t="s">
        <v>41</v>
      </c>
      <c r="D505">
        <v>63</v>
      </c>
      <c r="E505">
        <v>79</v>
      </c>
      <c r="F505">
        <v>30.86</v>
      </c>
      <c r="G505" t="s">
        <v>18</v>
      </c>
      <c r="H505" t="s">
        <v>18</v>
      </c>
      <c r="I505" t="str">
        <f t="shared" si="7"/>
        <v>America</v>
      </c>
    </row>
    <row r="506" spans="1:9" x14ac:dyDescent="0.3">
      <c r="A506" t="s">
        <v>532</v>
      </c>
      <c r="B506">
        <v>94</v>
      </c>
      <c r="C506" t="s">
        <v>41</v>
      </c>
      <c r="D506">
        <v>62</v>
      </c>
      <c r="E506">
        <v>84</v>
      </c>
      <c r="F506">
        <v>7.35</v>
      </c>
      <c r="G506" t="s">
        <v>18</v>
      </c>
      <c r="H506" t="s">
        <v>4</v>
      </c>
      <c r="I506" t="str">
        <f t="shared" si="7"/>
        <v>America</v>
      </c>
    </row>
    <row r="507" spans="1:9" x14ac:dyDescent="0.3">
      <c r="A507" t="s">
        <v>533</v>
      </c>
      <c r="B507">
        <v>94</v>
      </c>
      <c r="C507" t="s">
        <v>41</v>
      </c>
      <c r="D507">
        <v>65</v>
      </c>
      <c r="E507">
        <v>79</v>
      </c>
      <c r="F507">
        <v>6.76</v>
      </c>
      <c r="G507" t="s">
        <v>18</v>
      </c>
      <c r="H507" t="s">
        <v>9</v>
      </c>
      <c r="I507" t="str">
        <f t="shared" si="7"/>
        <v>Africa</v>
      </c>
    </row>
    <row r="508" spans="1:9" x14ac:dyDescent="0.3">
      <c r="A508" t="s">
        <v>534</v>
      </c>
      <c r="B508">
        <v>94</v>
      </c>
      <c r="C508" t="s">
        <v>45</v>
      </c>
      <c r="D508">
        <v>58</v>
      </c>
      <c r="E508">
        <v>72</v>
      </c>
      <c r="F508">
        <v>5.14</v>
      </c>
      <c r="G508" t="s">
        <v>18</v>
      </c>
      <c r="H508" t="s">
        <v>21</v>
      </c>
      <c r="I508" t="str">
        <f t="shared" si="7"/>
        <v>America</v>
      </c>
    </row>
    <row r="509" spans="1:9" x14ac:dyDescent="0.3">
      <c r="A509" t="s">
        <v>468</v>
      </c>
      <c r="B509">
        <v>94</v>
      </c>
      <c r="C509" t="s">
        <v>45</v>
      </c>
      <c r="D509">
        <v>62</v>
      </c>
      <c r="E509">
        <v>78</v>
      </c>
      <c r="F509">
        <v>6.47</v>
      </c>
      <c r="G509" t="s">
        <v>18</v>
      </c>
      <c r="H509" t="s">
        <v>9</v>
      </c>
      <c r="I509" t="str">
        <f t="shared" si="7"/>
        <v>Africa</v>
      </c>
    </row>
    <row r="510" spans="1:9" x14ac:dyDescent="0.3">
      <c r="A510" t="s">
        <v>535</v>
      </c>
      <c r="B510">
        <v>94</v>
      </c>
      <c r="C510" t="s">
        <v>41</v>
      </c>
      <c r="D510">
        <v>64</v>
      </c>
      <c r="E510">
        <v>80</v>
      </c>
      <c r="F510">
        <v>6.76</v>
      </c>
      <c r="G510" t="s">
        <v>18</v>
      </c>
      <c r="H510" t="s">
        <v>9</v>
      </c>
      <c r="I510" t="str">
        <f t="shared" si="7"/>
        <v>Africa</v>
      </c>
    </row>
    <row r="511" spans="1:9" x14ac:dyDescent="0.3">
      <c r="A511" t="s">
        <v>536</v>
      </c>
      <c r="B511">
        <v>94</v>
      </c>
      <c r="C511" t="s">
        <v>41</v>
      </c>
      <c r="D511">
        <v>66</v>
      </c>
      <c r="E511">
        <v>80</v>
      </c>
      <c r="F511">
        <v>105.73</v>
      </c>
      <c r="G511" t="s">
        <v>2</v>
      </c>
      <c r="H511" t="s">
        <v>9</v>
      </c>
      <c r="I511" t="str">
        <f t="shared" si="7"/>
        <v>Africa</v>
      </c>
    </row>
    <row r="512" spans="1:9" x14ac:dyDescent="0.3">
      <c r="A512" t="s">
        <v>537</v>
      </c>
      <c r="B512">
        <v>96</v>
      </c>
      <c r="C512" t="s">
        <v>45</v>
      </c>
      <c r="D512">
        <v>59</v>
      </c>
      <c r="E512">
        <v>75</v>
      </c>
      <c r="F512">
        <v>8.52</v>
      </c>
      <c r="G512" t="s">
        <v>18</v>
      </c>
      <c r="H512" t="s">
        <v>4</v>
      </c>
      <c r="I512" t="str">
        <f t="shared" si="7"/>
        <v>America</v>
      </c>
    </row>
    <row r="513" spans="1:9" x14ac:dyDescent="0.3">
      <c r="A513" t="s">
        <v>538</v>
      </c>
      <c r="B513">
        <v>95</v>
      </c>
      <c r="C513" t="s">
        <v>41</v>
      </c>
      <c r="D513">
        <v>63</v>
      </c>
      <c r="E513">
        <v>81</v>
      </c>
      <c r="F513">
        <v>275</v>
      </c>
      <c r="G513" t="s">
        <v>2</v>
      </c>
      <c r="H513" t="s">
        <v>14</v>
      </c>
      <c r="I513" t="str">
        <f t="shared" si="7"/>
        <v>America</v>
      </c>
    </row>
    <row r="514" spans="1:9" x14ac:dyDescent="0.3">
      <c r="A514" t="s">
        <v>539</v>
      </c>
      <c r="B514">
        <v>95</v>
      </c>
      <c r="C514" t="s">
        <v>45</v>
      </c>
      <c r="D514">
        <v>60</v>
      </c>
      <c r="E514">
        <v>77</v>
      </c>
      <c r="F514">
        <v>260</v>
      </c>
      <c r="G514" t="s">
        <v>2</v>
      </c>
      <c r="H514" t="s">
        <v>14</v>
      </c>
      <c r="I514" t="str">
        <f t="shared" si="7"/>
        <v>America</v>
      </c>
    </row>
    <row r="515" spans="1:9" x14ac:dyDescent="0.3">
      <c r="A515" t="s">
        <v>540</v>
      </c>
      <c r="B515">
        <v>94</v>
      </c>
      <c r="C515" t="s">
        <v>41</v>
      </c>
      <c r="D515">
        <v>62</v>
      </c>
      <c r="E515">
        <v>80</v>
      </c>
      <c r="F515">
        <v>225</v>
      </c>
      <c r="G515" t="s">
        <v>2</v>
      </c>
      <c r="H515" t="s">
        <v>9</v>
      </c>
      <c r="I515" t="str">
        <f t="shared" ref="I515:I578" si="8">_xlfn.XLOOKUP(H515, $M$2:$M$50, $N$2:$N$50, "Other")</f>
        <v>Africa</v>
      </c>
    </row>
    <row r="516" spans="1:9" x14ac:dyDescent="0.3">
      <c r="A516" t="s">
        <v>12</v>
      </c>
      <c r="B516">
        <v>95</v>
      </c>
      <c r="C516" t="s">
        <v>541</v>
      </c>
      <c r="D516">
        <v>35</v>
      </c>
      <c r="E516">
        <v>51</v>
      </c>
      <c r="F516">
        <v>302.22000000000003</v>
      </c>
      <c r="G516" t="s">
        <v>2</v>
      </c>
      <c r="H516" t="s">
        <v>12</v>
      </c>
      <c r="I516" t="str">
        <f t="shared" si="8"/>
        <v>Africa</v>
      </c>
    </row>
    <row r="517" spans="1:9" x14ac:dyDescent="0.3">
      <c r="A517" t="s">
        <v>542</v>
      </c>
      <c r="B517">
        <v>94</v>
      </c>
      <c r="C517" t="s">
        <v>541</v>
      </c>
      <c r="D517">
        <v>48</v>
      </c>
      <c r="E517">
        <v>52</v>
      </c>
      <c r="F517">
        <v>30.84</v>
      </c>
      <c r="G517" t="s">
        <v>18</v>
      </c>
      <c r="H517" t="s">
        <v>150</v>
      </c>
      <c r="I517" t="str">
        <f t="shared" si="8"/>
        <v>NULL</v>
      </c>
    </row>
    <row r="518" spans="1:9" x14ac:dyDescent="0.3">
      <c r="A518" t="s">
        <v>543</v>
      </c>
      <c r="B518">
        <v>94</v>
      </c>
      <c r="C518" t="s">
        <v>541</v>
      </c>
      <c r="D518">
        <v>45</v>
      </c>
      <c r="E518">
        <v>52</v>
      </c>
      <c r="F518">
        <v>300</v>
      </c>
      <c r="G518" t="s">
        <v>2</v>
      </c>
      <c r="H518" t="s">
        <v>9</v>
      </c>
      <c r="I518" t="str">
        <f t="shared" si="8"/>
        <v>Africa</v>
      </c>
    </row>
    <row r="519" spans="1:9" x14ac:dyDescent="0.3">
      <c r="A519" t="s">
        <v>544</v>
      </c>
      <c r="B519">
        <v>94</v>
      </c>
      <c r="C519" t="s">
        <v>545</v>
      </c>
      <c r="D519">
        <v>33</v>
      </c>
      <c r="E519">
        <v>44</v>
      </c>
      <c r="F519">
        <v>352.73</v>
      </c>
      <c r="G519" t="s">
        <v>2</v>
      </c>
      <c r="H519" t="s">
        <v>12</v>
      </c>
      <c r="I519" t="str">
        <f t="shared" si="8"/>
        <v>Africa</v>
      </c>
    </row>
    <row r="520" spans="1:9" x14ac:dyDescent="0.3">
      <c r="A520" t="s">
        <v>546</v>
      </c>
      <c r="B520">
        <v>94</v>
      </c>
      <c r="C520" t="s">
        <v>541</v>
      </c>
      <c r="D520">
        <v>41</v>
      </c>
      <c r="E520">
        <v>44</v>
      </c>
      <c r="F520">
        <v>0.42</v>
      </c>
      <c r="G520" t="s">
        <v>2</v>
      </c>
      <c r="H520" t="s">
        <v>12</v>
      </c>
      <c r="I520" t="str">
        <f t="shared" si="8"/>
        <v>Africa</v>
      </c>
    </row>
    <row r="521" spans="1:9" x14ac:dyDescent="0.3">
      <c r="A521" t="s">
        <v>547</v>
      </c>
      <c r="B521">
        <v>94</v>
      </c>
      <c r="C521" t="s">
        <v>45</v>
      </c>
      <c r="D521">
        <v>59</v>
      </c>
      <c r="E521">
        <v>77</v>
      </c>
      <c r="F521">
        <v>143.30000000000001</v>
      </c>
      <c r="G521" t="s">
        <v>2</v>
      </c>
      <c r="H521" t="s">
        <v>15</v>
      </c>
      <c r="I521" t="str">
        <f t="shared" si="8"/>
        <v>America</v>
      </c>
    </row>
    <row r="522" spans="1:9" x14ac:dyDescent="0.3">
      <c r="A522" t="s">
        <v>548</v>
      </c>
      <c r="B522">
        <v>94</v>
      </c>
      <c r="C522" t="s">
        <v>45</v>
      </c>
      <c r="D522">
        <v>58</v>
      </c>
      <c r="E522">
        <v>74</v>
      </c>
      <c r="F522">
        <v>9.41</v>
      </c>
      <c r="G522" t="s">
        <v>18</v>
      </c>
      <c r="H522" t="s">
        <v>14</v>
      </c>
      <c r="I522" t="str">
        <f t="shared" si="8"/>
        <v>America</v>
      </c>
    </row>
    <row r="523" spans="1:9" x14ac:dyDescent="0.3">
      <c r="A523" t="s">
        <v>549</v>
      </c>
      <c r="B523">
        <v>94</v>
      </c>
      <c r="C523" t="s">
        <v>45</v>
      </c>
      <c r="D523">
        <v>59</v>
      </c>
      <c r="E523">
        <v>80</v>
      </c>
      <c r="F523">
        <v>7.05</v>
      </c>
      <c r="G523" t="s">
        <v>18</v>
      </c>
      <c r="H523" t="s">
        <v>12</v>
      </c>
      <c r="I523" t="str">
        <f t="shared" si="8"/>
        <v>Africa</v>
      </c>
    </row>
    <row r="524" spans="1:9" x14ac:dyDescent="0.3">
      <c r="A524" t="s">
        <v>550</v>
      </c>
      <c r="B524">
        <v>94</v>
      </c>
      <c r="C524" t="s">
        <v>41</v>
      </c>
      <c r="D524">
        <v>64</v>
      </c>
      <c r="E524">
        <v>83</v>
      </c>
      <c r="F524">
        <v>300</v>
      </c>
      <c r="G524" t="s">
        <v>2</v>
      </c>
      <c r="H524" t="s">
        <v>9</v>
      </c>
      <c r="I524" t="str">
        <f t="shared" si="8"/>
        <v>Africa</v>
      </c>
    </row>
    <row r="525" spans="1:9" x14ac:dyDescent="0.3">
      <c r="A525" t="s">
        <v>551</v>
      </c>
      <c r="B525">
        <v>95</v>
      </c>
      <c r="C525" t="s">
        <v>45</v>
      </c>
      <c r="D525">
        <v>60</v>
      </c>
      <c r="E525">
        <v>77</v>
      </c>
      <c r="F525">
        <v>7.35</v>
      </c>
      <c r="G525" t="s">
        <v>18</v>
      </c>
      <c r="H525" t="s">
        <v>4</v>
      </c>
      <c r="I525" t="str">
        <f t="shared" si="8"/>
        <v>America</v>
      </c>
    </row>
    <row r="526" spans="1:9" x14ac:dyDescent="0.3">
      <c r="A526" t="s">
        <v>552</v>
      </c>
      <c r="B526">
        <v>95</v>
      </c>
      <c r="C526" t="s">
        <v>45</v>
      </c>
      <c r="D526">
        <v>54</v>
      </c>
      <c r="E526">
        <v>72</v>
      </c>
      <c r="F526">
        <v>19.84</v>
      </c>
      <c r="G526" t="s">
        <v>2</v>
      </c>
      <c r="H526" t="s">
        <v>9</v>
      </c>
      <c r="I526" t="str">
        <f t="shared" si="8"/>
        <v>Africa</v>
      </c>
    </row>
    <row r="527" spans="1:9" x14ac:dyDescent="0.3">
      <c r="A527" t="s">
        <v>553</v>
      </c>
      <c r="B527">
        <v>94</v>
      </c>
      <c r="C527" t="s">
        <v>45</v>
      </c>
      <c r="D527">
        <v>59</v>
      </c>
      <c r="E527">
        <v>75</v>
      </c>
      <c r="F527">
        <v>8.82</v>
      </c>
      <c r="G527" t="s">
        <v>2</v>
      </c>
      <c r="H527" t="s">
        <v>9</v>
      </c>
      <c r="I527" t="str">
        <f t="shared" si="8"/>
        <v>Africa</v>
      </c>
    </row>
    <row r="528" spans="1:9" x14ac:dyDescent="0.3">
      <c r="A528" t="s">
        <v>554</v>
      </c>
      <c r="B528">
        <v>94</v>
      </c>
      <c r="C528" t="s">
        <v>45</v>
      </c>
      <c r="D528">
        <v>60</v>
      </c>
      <c r="E528">
        <v>75</v>
      </c>
      <c r="F528">
        <v>5.59</v>
      </c>
      <c r="G528" t="s">
        <v>18</v>
      </c>
      <c r="H528" t="s">
        <v>16</v>
      </c>
      <c r="I528" t="str">
        <f t="shared" si="8"/>
        <v>Asia-Pacific</v>
      </c>
    </row>
    <row r="529" spans="1:9" x14ac:dyDescent="0.3">
      <c r="A529" t="s">
        <v>555</v>
      </c>
      <c r="B529">
        <v>95</v>
      </c>
      <c r="C529" t="s">
        <v>45</v>
      </c>
      <c r="D529">
        <v>58</v>
      </c>
      <c r="E529">
        <v>80</v>
      </c>
      <c r="F529">
        <v>8.3800000000000008</v>
      </c>
      <c r="G529" t="s">
        <v>18</v>
      </c>
      <c r="H529" t="s">
        <v>4</v>
      </c>
      <c r="I529" t="str">
        <f t="shared" si="8"/>
        <v>America</v>
      </c>
    </row>
    <row r="530" spans="1:9" x14ac:dyDescent="0.3">
      <c r="A530" t="s">
        <v>556</v>
      </c>
      <c r="B530">
        <v>95</v>
      </c>
      <c r="C530" t="s">
        <v>41</v>
      </c>
      <c r="D530">
        <v>64</v>
      </c>
      <c r="E530">
        <v>86</v>
      </c>
      <c r="F530">
        <v>6.47</v>
      </c>
      <c r="G530" t="s">
        <v>18</v>
      </c>
      <c r="H530" t="s">
        <v>14</v>
      </c>
      <c r="I530" t="str">
        <f t="shared" si="8"/>
        <v>America</v>
      </c>
    </row>
    <row r="531" spans="1:9" x14ac:dyDescent="0.3">
      <c r="A531" t="s">
        <v>557</v>
      </c>
      <c r="B531">
        <v>94</v>
      </c>
      <c r="C531" t="s">
        <v>45</v>
      </c>
      <c r="D531">
        <v>56</v>
      </c>
      <c r="E531">
        <v>77</v>
      </c>
      <c r="F531">
        <v>5.59</v>
      </c>
      <c r="G531" t="s">
        <v>18</v>
      </c>
      <c r="H531" t="s">
        <v>6</v>
      </c>
      <c r="I531" t="str">
        <f t="shared" si="8"/>
        <v>America</v>
      </c>
    </row>
    <row r="532" spans="1:9" x14ac:dyDescent="0.3">
      <c r="A532" t="s">
        <v>558</v>
      </c>
      <c r="B532">
        <v>95</v>
      </c>
      <c r="C532" t="s">
        <v>45</v>
      </c>
      <c r="D532">
        <v>60</v>
      </c>
      <c r="E532">
        <v>78</v>
      </c>
      <c r="F532">
        <v>5.88</v>
      </c>
      <c r="G532" t="s">
        <v>18</v>
      </c>
      <c r="H532" t="s">
        <v>9</v>
      </c>
      <c r="I532" t="str">
        <f t="shared" si="8"/>
        <v>Africa</v>
      </c>
    </row>
    <row r="533" spans="1:9" x14ac:dyDescent="0.3">
      <c r="A533" t="s">
        <v>559</v>
      </c>
      <c r="B533">
        <v>94</v>
      </c>
      <c r="C533" t="s">
        <v>45</v>
      </c>
      <c r="D533">
        <v>59</v>
      </c>
      <c r="E533">
        <v>76</v>
      </c>
      <c r="F533">
        <v>8.3800000000000008</v>
      </c>
      <c r="G533" t="s">
        <v>18</v>
      </c>
      <c r="H533" t="s">
        <v>7</v>
      </c>
      <c r="I533" t="str">
        <f t="shared" si="8"/>
        <v>America</v>
      </c>
    </row>
    <row r="534" spans="1:9" x14ac:dyDescent="0.3">
      <c r="A534" t="s">
        <v>118</v>
      </c>
      <c r="B534">
        <v>95</v>
      </c>
      <c r="C534" t="s">
        <v>45</v>
      </c>
      <c r="D534">
        <v>56</v>
      </c>
      <c r="E534">
        <v>78</v>
      </c>
      <c r="F534">
        <v>6.76</v>
      </c>
      <c r="G534" t="s">
        <v>18</v>
      </c>
      <c r="H534" t="s">
        <v>16</v>
      </c>
      <c r="I534" t="str">
        <f t="shared" si="8"/>
        <v>Asia-Pacific</v>
      </c>
    </row>
    <row r="535" spans="1:9" x14ac:dyDescent="0.3">
      <c r="A535" t="s">
        <v>560</v>
      </c>
      <c r="B535">
        <v>94</v>
      </c>
      <c r="C535" t="s">
        <v>45</v>
      </c>
      <c r="D535">
        <v>59</v>
      </c>
      <c r="E535">
        <v>79</v>
      </c>
      <c r="F535">
        <v>7.35</v>
      </c>
      <c r="G535" t="s">
        <v>18</v>
      </c>
      <c r="H535" t="s">
        <v>12</v>
      </c>
      <c r="I535" t="str">
        <f t="shared" si="8"/>
        <v>Africa</v>
      </c>
    </row>
    <row r="536" spans="1:9" x14ac:dyDescent="0.3">
      <c r="A536" t="s">
        <v>561</v>
      </c>
      <c r="B536">
        <v>95</v>
      </c>
      <c r="C536" t="s">
        <v>41</v>
      </c>
      <c r="D536">
        <v>62</v>
      </c>
      <c r="E536">
        <v>86</v>
      </c>
      <c r="F536">
        <v>6.76</v>
      </c>
      <c r="G536" t="s">
        <v>18</v>
      </c>
      <c r="H536" t="s">
        <v>9</v>
      </c>
      <c r="I536" t="str">
        <f t="shared" si="8"/>
        <v>Africa</v>
      </c>
    </row>
    <row r="537" spans="1:9" x14ac:dyDescent="0.3">
      <c r="A537" t="s">
        <v>562</v>
      </c>
      <c r="B537">
        <v>94</v>
      </c>
      <c r="C537" t="s">
        <v>45</v>
      </c>
      <c r="D537">
        <v>58</v>
      </c>
      <c r="E537">
        <v>80</v>
      </c>
      <c r="F537">
        <v>350</v>
      </c>
      <c r="G537" t="s">
        <v>2</v>
      </c>
      <c r="H537" t="s">
        <v>14</v>
      </c>
      <c r="I537" t="str">
        <f t="shared" si="8"/>
        <v>America</v>
      </c>
    </row>
    <row r="538" spans="1:9" x14ac:dyDescent="0.3">
      <c r="A538" t="s">
        <v>563</v>
      </c>
      <c r="B538">
        <v>94</v>
      </c>
      <c r="C538" t="s">
        <v>45</v>
      </c>
      <c r="D538">
        <v>62</v>
      </c>
      <c r="E538">
        <v>76</v>
      </c>
      <c r="F538">
        <v>35.270000000000003</v>
      </c>
      <c r="G538" t="s">
        <v>18</v>
      </c>
      <c r="H538" t="s">
        <v>18</v>
      </c>
      <c r="I538" t="str">
        <f t="shared" si="8"/>
        <v>America</v>
      </c>
    </row>
    <row r="539" spans="1:9" x14ac:dyDescent="0.3">
      <c r="A539" t="s">
        <v>564</v>
      </c>
      <c r="B539">
        <v>95</v>
      </c>
      <c r="C539" t="s">
        <v>82</v>
      </c>
      <c r="D539">
        <v>46</v>
      </c>
      <c r="E539">
        <v>70</v>
      </c>
      <c r="F539">
        <v>286.60000000000002</v>
      </c>
      <c r="G539" t="s">
        <v>2</v>
      </c>
      <c r="H539" t="s">
        <v>12</v>
      </c>
      <c r="I539" t="str">
        <f t="shared" si="8"/>
        <v>Africa</v>
      </c>
    </row>
    <row r="540" spans="1:9" x14ac:dyDescent="0.3">
      <c r="A540" t="s">
        <v>565</v>
      </c>
      <c r="B540">
        <v>94</v>
      </c>
      <c r="C540" t="s">
        <v>41</v>
      </c>
      <c r="D540">
        <v>64</v>
      </c>
      <c r="E540">
        <v>84</v>
      </c>
      <c r="F540">
        <v>24</v>
      </c>
      <c r="G540" t="s">
        <v>18</v>
      </c>
      <c r="H540" t="s">
        <v>14</v>
      </c>
      <c r="I540" t="str">
        <f t="shared" si="8"/>
        <v>America</v>
      </c>
    </row>
    <row r="541" spans="1:9" x14ac:dyDescent="0.3">
      <c r="A541" t="s">
        <v>566</v>
      </c>
      <c r="B541">
        <v>94</v>
      </c>
      <c r="C541" t="s">
        <v>41</v>
      </c>
      <c r="D541">
        <v>64</v>
      </c>
      <c r="E541">
        <v>84</v>
      </c>
      <c r="F541">
        <v>24</v>
      </c>
      <c r="G541" t="s">
        <v>18</v>
      </c>
      <c r="H541" t="s">
        <v>14</v>
      </c>
      <c r="I541" t="str">
        <f t="shared" si="8"/>
        <v>America</v>
      </c>
    </row>
    <row r="542" spans="1:9" x14ac:dyDescent="0.3">
      <c r="A542" t="s">
        <v>567</v>
      </c>
      <c r="B542">
        <v>94</v>
      </c>
      <c r="C542" t="s">
        <v>45</v>
      </c>
      <c r="D542">
        <v>62</v>
      </c>
      <c r="E542">
        <v>76</v>
      </c>
      <c r="F542">
        <v>167.55</v>
      </c>
      <c r="G542" t="s">
        <v>2</v>
      </c>
      <c r="H542" t="s">
        <v>14</v>
      </c>
      <c r="I542" t="str">
        <f t="shared" si="8"/>
        <v>America</v>
      </c>
    </row>
    <row r="543" spans="1:9" x14ac:dyDescent="0.3">
      <c r="A543" t="s">
        <v>568</v>
      </c>
      <c r="B543">
        <v>95</v>
      </c>
      <c r="C543" t="s">
        <v>45</v>
      </c>
      <c r="D543">
        <v>56</v>
      </c>
      <c r="E543">
        <v>74</v>
      </c>
      <c r="F543">
        <v>7.05</v>
      </c>
      <c r="G543" t="s">
        <v>18</v>
      </c>
      <c r="H543" t="s">
        <v>9</v>
      </c>
      <c r="I543" t="str">
        <f t="shared" si="8"/>
        <v>Africa</v>
      </c>
    </row>
    <row r="544" spans="1:9" x14ac:dyDescent="0.3">
      <c r="A544" t="s">
        <v>569</v>
      </c>
      <c r="B544">
        <v>94</v>
      </c>
      <c r="C544" t="s">
        <v>41</v>
      </c>
      <c r="D544">
        <v>62</v>
      </c>
      <c r="E544">
        <v>84</v>
      </c>
      <c r="F544">
        <v>6.91</v>
      </c>
      <c r="G544" t="s">
        <v>18</v>
      </c>
      <c r="H544" t="s">
        <v>9</v>
      </c>
      <c r="I544" t="str">
        <f t="shared" si="8"/>
        <v>Africa</v>
      </c>
    </row>
    <row r="545" spans="1:9" x14ac:dyDescent="0.3">
      <c r="A545" t="s">
        <v>570</v>
      </c>
      <c r="B545">
        <v>94</v>
      </c>
      <c r="C545" t="s">
        <v>45</v>
      </c>
      <c r="D545">
        <v>62</v>
      </c>
      <c r="E545">
        <v>79</v>
      </c>
      <c r="F545">
        <v>12.93</v>
      </c>
      <c r="G545" t="s">
        <v>18</v>
      </c>
      <c r="H545" t="s">
        <v>4</v>
      </c>
      <c r="I545" t="str">
        <f t="shared" si="8"/>
        <v>America</v>
      </c>
    </row>
    <row r="546" spans="1:9" x14ac:dyDescent="0.3">
      <c r="A546" t="s">
        <v>571</v>
      </c>
      <c r="B546">
        <v>94</v>
      </c>
      <c r="C546" t="s">
        <v>45</v>
      </c>
      <c r="D546">
        <v>60</v>
      </c>
      <c r="E546">
        <v>76</v>
      </c>
      <c r="F546">
        <v>7.64</v>
      </c>
      <c r="G546" t="s">
        <v>18</v>
      </c>
      <c r="H546" t="s">
        <v>15</v>
      </c>
      <c r="I546" t="str">
        <f t="shared" si="8"/>
        <v>America</v>
      </c>
    </row>
    <row r="547" spans="1:9" x14ac:dyDescent="0.3">
      <c r="A547" t="s">
        <v>572</v>
      </c>
      <c r="B547">
        <v>94</v>
      </c>
      <c r="C547" t="s">
        <v>41</v>
      </c>
      <c r="D547">
        <v>62</v>
      </c>
      <c r="E547">
        <v>80</v>
      </c>
      <c r="F547">
        <v>7.94</v>
      </c>
      <c r="G547" t="s">
        <v>18</v>
      </c>
      <c r="H547" t="s">
        <v>14</v>
      </c>
      <c r="I547" t="str">
        <f t="shared" si="8"/>
        <v>America</v>
      </c>
    </row>
    <row r="548" spans="1:9" x14ac:dyDescent="0.3">
      <c r="A548" t="s">
        <v>573</v>
      </c>
      <c r="B548">
        <v>95</v>
      </c>
      <c r="C548" t="s">
        <v>45</v>
      </c>
      <c r="D548">
        <v>58</v>
      </c>
      <c r="E548">
        <v>80</v>
      </c>
      <c r="F548">
        <v>8.52</v>
      </c>
      <c r="G548" t="s">
        <v>18</v>
      </c>
      <c r="H548" t="s">
        <v>6</v>
      </c>
      <c r="I548" t="str">
        <f t="shared" si="8"/>
        <v>America</v>
      </c>
    </row>
    <row r="549" spans="1:9" x14ac:dyDescent="0.3">
      <c r="A549" t="s">
        <v>574</v>
      </c>
      <c r="B549">
        <v>95</v>
      </c>
      <c r="C549" t="s">
        <v>41</v>
      </c>
      <c r="D549">
        <v>60</v>
      </c>
      <c r="E549">
        <v>82</v>
      </c>
      <c r="F549">
        <v>132.28</v>
      </c>
      <c r="G549" t="s">
        <v>2</v>
      </c>
      <c r="H549" t="s">
        <v>12</v>
      </c>
      <c r="I549" t="str">
        <f t="shared" si="8"/>
        <v>Africa</v>
      </c>
    </row>
    <row r="550" spans="1:9" x14ac:dyDescent="0.3">
      <c r="A550" t="s">
        <v>575</v>
      </c>
      <c r="B550">
        <v>95</v>
      </c>
      <c r="C550" t="s">
        <v>41</v>
      </c>
      <c r="D550">
        <v>62</v>
      </c>
      <c r="E550">
        <v>86</v>
      </c>
      <c r="F550">
        <v>127.87</v>
      </c>
      <c r="G550" t="s">
        <v>2</v>
      </c>
      <c r="H550" t="s">
        <v>9</v>
      </c>
      <c r="I550" t="str">
        <f t="shared" si="8"/>
        <v>Africa</v>
      </c>
    </row>
    <row r="551" spans="1:9" x14ac:dyDescent="0.3">
      <c r="A551" t="s">
        <v>576</v>
      </c>
      <c r="B551">
        <v>94</v>
      </c>
      <c r="C551" t="s">
        <v>45</v>
      </c>
      <c r="D551">
        <v>60</v>
      </c>
      <c r="E551">
        <v>78</v>
      </c>
      <c r="F551">
        <v>22.05</v>
      </c>
      <c r="G551" t="s">
        <v>18</v>
      </c>
      <c r="H551" t="s">
        <v>18</v>
      </c>
      <c r="I551" t="str">
        <f t="shared" si="8"/>
        <v>America</v>
      </c>
    </row>
    <row r="552" spans="1:9" x14ac:dyDescent="0.3">
      <c r="A552" t="s">
        <v>577</v>
      </c>
      <c r="B552">
        <v>94</v>
      </c>
      <c r="C552" t="s">
        <v>45</v>
      </c>
      <c r="D552">
        <v>60</v>
      </c>
      <c r="E552">
        <v>78</v>
      </c>
      <c r="F552">
        <v>22.05</v>
      </c>
      <c r="G552" t="s">
        <v>18</v>
      </c>
      <c r="H552" t="s">
        <v>18</v>
      </c>
      <c r="I552" t="str">
        <f t="shared" si="8"/>
        <v>America</v>
      </c>
    </row>
    <row r="553" spans="1:9" x14ac:dyDescent="0.3">
      <c r="A553" t="s">
        <v>578</v>
      </c>
      <c r="B553">
        <v>95</v>
      </c>
      <c r="C553" t="s">
        <v>41</v>
      </c>
      <c r="D553">
        <v>64</v>
      </c>
      <c r="E553">
        <v>84</v>
      </c>
      <c r="F553">
        <v>176.37</v>
      </c>
      <c r="G553" t="s">
        <v>2</v>
      </c>
      <c r="H553" t="s">
        <v>9</v>
      </c>
      <c r="I553" t="str">
        <f t="shared" si="8"/>
        <v>Africa</v>
      </c>
    </row>
    <row r="554" spans="1:9" x14ac:dyDescent="0.3">
      <c r="A554" t="s">
        <v>579</v>
      </c>
      <c r="B554">
        <v>94</v>
      </c>
      <c r="C554" t="s">
        <v>41</v>
      </c>
      <c r="D554">
        <v>62</v>
      </c>
      <c r="E554">
        <v>80</v>
      </c>
      <c r="F554">
        <v>529.1</v>
      </c>
      <c r="G554" t="s">
        <v>2</v>
      </c>
      <c r="H554" t="s">
        <v>8</v>
      </c>
      <c r="I554" t="str">
        <f t="shared" si="8"/>
        <v>Africa</v>
      </c>
    </row>
    <row r="555" spans="1:9" x14ac:dyDescent="0.3">
      <c r="A555" t="s">
        <v>580</v>
      </c>
      <c r="B555">
        <v>94</v>
      </c>
      <c r="C555" t="s">
        <v>41</v>
      </c>
      <c r="D555">
        <v>67</v>
      </c>
      <c r="E555">
        <v>86</v>
      </c>
      <c r="F555">
        <v>0.44</v>
      </c>
      <c r="G555" t="s">
        <v>2</v>
      </c>
      <c r="H555" t="s">
        <v>7</v>
      </c>
      <c r="I555" t="str">
        <f t="shared" si="8"/>
        <v>America</v>
      </c>
    </row>
    <row r="556" spans="1:9" x14ac:dyDescent="0.3">
      <c r="A556" t="s">
        <v>581</v>
      </c>
      <c r="B556">
        <v>94</v>
      </c>
      <c r="C556" t="s">
        <v>45</v>
      </c>
      <c r="D556">
        <v>59</v>
      </c>
      <c r="E556">
        <v>77</v>
      </c>
      <c r="F556">
        <v>8.82</v>
      </c>
      <c r="G556" t="s">
        <v>18</v>
      </c>
      <c r="H556" t="s">
        <v>12</v>
      </c>
      <c r="I556" t="str">
        <f t="shared" si="8"/>
        <v>Africa</v>
      </c>
    </row>
    <row r="557" spans="1:9" x14ac:dyDescent="0.3">
      <c r="A557" t="s">
        <v>582</v>
      </c>
      <c r="B557">
        <v>94</v>
      </c>
      <c r="C557" t="s">
        <v>41</v>
      </c>
      <c r="D557">
        <v>65</v>
      </c>
      <c r="E557">
        <v>86</v>
      </c>
      <c r="F557">
        <v>79.37</v>
      </c>
      <c r="G557" t="s">
        <v>2</v>
      </c>
      <c r="H557" t="s">
        <v>9</v>
      </c>
      <c r="I557" t="str">
        <f t="shared" si="8"/>
        <v>Africa</v>
      </c>
    </row>
    <row r="558" spans="1:9" x14ac:dyDescent="0.3">
      <c r="A558" t="s">
        <v>583</v>
      </c>
      <c r="B558">
        <v>94</v>
      </c>
      <c r="C558" t="s">
        <v>45</v>
      </c>
      <c r="D558">
        <v>60</v>
      </c>
      <c r="E558">
        <v>77</v>
      </c>
      <c r="F558">
        <v>6.76</v>
      </c>
      <c r="G558" t="s">
        <v>18</v>
      </c>
      <c r="H558" t="s">
        <v>24</v>
      </c>
      <c r="I558" t="str">
        <f t="shared" si="8"/>
        <v>Africa</v>
      </c>
    </row>
    <row r="559" spans="1:9" x14ac:dyDescent="0.3">
      <c r="A559" t="s">
        <v>584</v>
      </c>
      <c r="B559">
        <v>95</v>
      </c>
      <c r="C559" t="s">
        <v>41</v>
      </c>
      <c r="D559">
        <v>62</v>
      </c>
      <c r="E559">
        <v>84</v>
      </c>
      <c r="F559">
        <v>5.88</v>
      </c>
      <c r="G559" t="s">
        <v>18</v>
      </c>
      <c r="H559" t="s">
        <v>9</v>
      </c>
      <c r="I559" t="str">
        <f t="shared" si="8"/>
        <v>Africa</v>
      </c>
    </row>
    <row r="560" spans="1:9" x14ac:dyDescent="0.3">
      <c r="A560" t="s">
        <v>585</v>
      </c>
      <c r="B560">
        <v>94</v>
      </c>
      <c r="C560" t="s">
        <v>45</v>
      </c>
      <c r="D560">
        <v>60</v>
      </c>
      <c r="E560">
        <v>77</v>
      </c>
      <c r="F560">
        <v>7.05</v>
      </c>
      <c r="G560" t="s">
        <v>18</v>
      </c>
      <c r="H560" t="s">
        <v>12</v>
      </c>
      <c r="I560" t="str">
        <f t="shared" si="8"/>
        <v>Africa</v>
      </c>
    </row>
    <row r="561" spans="1:9" x14ac:dyDescent="0.3">
      <c r="A561" t="s">
        <v>586</v>
      </c>
      <c r="B561">
        <v>94</v>
      </c>
      <c r="C561" t="s">
        <v>45</v>
      </c>
      <c r="D561">
        <v>60</v>
      </c>
      <c r="E561">
        <v>77</v>
      </c>
      <c r="F561">
        <v>7.05</v>
      </c>
      <c r="G561" t="s">
        <v>18</v>
      </c>
      <c r="H561" t="s">
        <v>12</v>
      </c>
      <c r="I561" t="str">
        <f t="shared" si="8"/>
        <v>Africa</v>
      </c>
    </row>
    <row r="562" spans="1:9" x14ac:dyDescent="0.3">
      <c r="A562" t="s">
        <v>587</v>
      </c>
      <c r="B562">
        <v>94</v>
      </c>
      <c r="C562" t="s">
        <v>45</v>
      </c>
      <c r="D562">
        <v>58</v>
      </c>
      <c r="E562">
        <v>77</v>
      </c>
      <c r="F562">
        <v>6.76</v>
      </c>
      <c r="G562" t="s">
        <v>18</v>
      </c>
      <c r="H562" t="s">
        <v>21</v>
      </c>
      <c r="I562" t="str">
        <f t="shared" si="8"/>
        <v>America</v>
      </c>
    </row>
    <row r="563" spans="1:9" x14ac:dyDescent="0.3">
      <c r="A563" t="s">
        <v>588</v>
      </c>
      <c r="B563">
        <v>95</v>
      </c>
      <c r="C563" t="s">
        <v>41</v>
      </c>
      <c r="D563">
        <v>62</v>
      </c>
      <c r="E563">
        <v>80</v>
      </c>
      <c r="F563">
        <v>9.26</v>
      </c>
      <c r="G563" t="s">
        <v>18</v>
      </c>
      <c r="H563" t="s">
        <v>14</v>
      </c>
      <c r="I563" t="str">
        <f t="shared" si="8"/>
        <v>America</v>
      </c>
    </row>
    <row r="564" spans="1:9" x14ac:dyDescent="0.3">
      <c r="A564" t="s">
        <v>589</v>
      </c>
      <c r="B564">
        <v>95</v>
      </c>
      <c r="C564" t="s">
        <v>45</v>
      </c>
      <c r="D564">
        <v>59</v>
      </c>
      <c r="E564">
        <v>75</v>
      </c>
      <c r="F564">
        <v>573.19000000000005</v>
      </c>
      <c r="G564" t="s">
        <v>2</v>
      </c>
      <c r="H564" t="s">
        <v>7</v>
      </c>
      <c r="I564" t="str">
        <f t="shared" si="8"/>
        <v>America</v>
      </c>
    </row>
    <row r="565" spans="1:9" x14ac:dyDescent="0.3">
      <c r="A565" t="s">
        <v>590</v>
      </c>
      <c r="B565">
        <v>94</v>
      </c>
      <c r="C565" t="s">
        <v>45</v>
      </c>
      <c r="D565">
        <v>59</v>
      </c>
      <c r="E565">
        <v>77</v>
      </c>
      <c r="F565">
        <v>7.35</v>
      </c>
      <c r="G565" t="s">
        <v>18</v>
      </c>
      <c r="H565" t="s">
        <v>14</v>
      </c>
      <c r="I565" t="str">
        <f t="shared" si="8"/>
        <v>America</v>
      </c>
    </row>
    <row r="566" spans="1:9" x14ac:dyDescent="0.3">
      <c r="A566" t="s">
        <v>591</v>
      </c>
      <c r="B566">
        <v>95</v>
      </c>
      <c r="C566" t="s">
        <v>41</v>
      </c>
      <c r="D566">
        <v>62</v>
      </c>
      <c r="E566">
        <v>86</v>
      </c>
      <c r="F566">
        <v>0.88</v>
      </c>
      <c r="G566" t="s">
        <v>2</v>
      </c>
      <c r="H566" t="s">
        <v>9</v>
      </c>
      <c r="I566" t="str">
        <f t="shared" si="8"/>
        <v>Africa</v>
      </c>
    </row>
    <row r="567" spans="1:9" x14ac:dyDescent="0.3">
      <c r="A567" t="s">
        <v>592</v>
      </c>
      <c r="B567">
        <v>94</v>
      </c>
      <c r="C567" t="s">
        <v>45</v>
      </c>
      <c r="D567">
        <v>54</v>
      </c>
      <c r="E567">
        <v>72</v>
      </c>
      <c r="F567">
        <v>4.9800000000000004</v>
      </c>
      <c r="G567" t="s">
        <v>18</v>
      </c>
      <c r="H567" t="s">
        <v>10</v>
      </c>
      <c r="I567" t="str">
        <f t="shared" si="8"/>
        <v>America</v>
      </c>
    </row>
    <row r="568" spans="1:9" x14ac:dyDescent="0.3">
      <c r="A568" t="s">
        <v>593</v>
      </c>
      <c r="B568">
        <v>94</v>
      </c>
      <c r="C568" t="s">
        <v>45</v>
      </c>
      <c r="D568">
        <v>58</v>
      </c>
      <c r="E568">
        <v>78</v>
      </c>
      <c r="F568">
        <v>92.59</v>
      </c>
      <c r="G568" t="s">
        <v>2</v>
      </c>
      <c r="H568" t="s">
        <v>14</v>
      </c>
      <c r="I568" t="str">
        <f t="shared" si="8"/>
        <v>America</v>
      </c>
    </row>
    <row r="569" spans="1:9" x14ac:dyDescent="0.3">
      <c r="A569" t="s">
        <v>594</v>
      </c>
      <c r="B569">
        <v>95</v>
      </c>
      <c r="C569" t="s">
        <v>41</v>
      </c>
      <c r="D569">
        <v>65</v>
      </c>
      <c r="E569">
        <v>86</v>
      </c>
      <c r="F569">
        <v>11.3</v>
      </c>
      <c r="G569" t="s">
        <v>18</v>
      </c>
      <c r="H569" t="s">
        <v>14</v>
      </c>
      <c r="I569" t="str">
        <f t="shared" si="8"/>
        <v>America</v>
      </c>
    </row>
    <row r="570" spans="1:9" x14ac:dyDescent="0.3">
      <c r="A570" t="s">
        <v>595</v>
      </c>
      <c r="B570">
        <v>95</v>
      </c>
      <c r="C570" t="s">
        <v>41</v>
      </c>
      <c r="D570">
        <v>62</v>
      </c>
      <c r="E570">
        <v>84</v>
      </c>
      <c r="F570">
        <v>35.270000000000003</v>
      </c>
      <c r="G570" t="s">
        <v>18</v>
      </c>
      <c r="H570" t="s">
        <v>18</v>
      </c>
      <c r="I570" t="str">
        <f t="shared" si="8"/>
        <v>America</v>
      </c>
    </row>
    <row r="571" spans="1:9" x14ac:dyDescent="0.3">
      <c r="A571" t="s">
        <v>596</v>
      </c>
      <c r="B571">
        <v>94</v>
      </c>
      <c r="C571" t="s">
        <v>41</v>
      </c>
      <c r="D571">
        <v>64</v>
      </c>
      <c r="E571">
        <v>88</v>
      </c>
      <c r="F571">
        <v>500</v>
      </c>
      <c r="G571" t="s">
        <v>2</v>
      </c>
      <c r="H571" t="s">
        <v>14</v>
      </c>
      <c r="I571" t="str">
        <f t="shared" si="8"/>
        <v>America</v>
      </c>
    </row>
    <row r="572" spans="1:9" x14ac:dyDescent="0.3">
      <c r="A572" t="s">
        <v>597</v>
      </c>
      <c r="B572">
        <v>94</v>
      </c>
      <c r="C572" t="s">
        <v>41</v>
      </c>
      <c r="D572">
        <v>56</v>
      </c>
      <c r="E572">
        <v>86</v>
      </c>
      <c r="F572">
        <v>7.73</v>
      </c>
      <c r="G572" t="s">
        <v>18</v>
      </c>
      <c r="H572" t="s">
        <v>14</v>
      </c>
      <c r="I572" t="str">
        <f t="shared" si="8"/>
        <v>America</v>
      </c>
    </row>
    <row r="573" spans="1:9" x14ac:dyDescent="0.3">
      <c r="A573" t="s">
        <v>598</v>
      </c>
      <c r="B573">
        <v>94</v>
      </c>
      <c r="C573" t="s">
        <v>41</v>
      </c>
      <c r="D573">
        <v>67</v>
      </c>
      <c r="E573">
        <v>99</v>
      </c>
      <c r="F573">
        <v>10.29</v>
      </c>
      <c r="G573" t="s">
        <v>18</v>
      </c>
      <c r="H573" t="s">
        <v>14</v>
      </c>
      <c r="I573" t="str">
        <f t="shared" si="8"/>
        <v>America</v>
      </c>
    </row>
    <row r="574" spans="1:9" x14ac:dyDescent="0.3">
      <c r="A574" t="s">
        <v>599</v>
      </c>
      <c r="B574">
        <v>94</v>
      </c>
      <c r="C574" t="s">
        <v>41</v>
      </c>
      <c r="D574">
        <v>65</v>
      </c>
      <c r="E574">
        <v>92</v>
      </c>
      <c r="F574">
        <v>10.14</v>
      </c>
      <c r="G574" t="s">
        <v>18</v>
      </c>
      <c r="H574" t="s">
        <v>9</v>
      </c>
      <c r="I574" t="str">
        <f t="shared" si="8"/>
        <v>Africa</v>
      </c>
    </row>
    <row r="575" spans="1:9" x14ac:dyDescent="0.3">
      <c r="A575" t="s">
        <v>600</v>
      </c>
      <c r="B575">
        <v>94</v>
      </c>
      <c r="C575" t="s">
        <v>41</v>
      </c>
      <c r="D575">
        <v>64</v>
      </c>
      <c r="E575">
        <v>82</v>
      </c>
      <c r="F575">
        <v>28</v>
      </c>
      <c r="G575" t="s">
        <v>30</v>
      </c>
      <c r="H575" t="s">
        <v>14</v>
      </c>
      <c r="I575" t="str">
        <f t="shared" si="8"/>
        <v>America</v>
      </c>
    </row>
    <row r="576" spans="1:9" x14ac:dyDescent="0.3">
      <c r="A576" t="s">
        <v>601</v>
      </c>
      <c r="B576">
        <v>95</v>
      </c>
      <c r="C576" t="s">
        <v>41</v>
      </c>
      <c r="D576">
        <v>64</v>
      </c>
      <c r="E576">
        <v>84</v>
      </c>
      <c r="F576">
        <v>35.270000000000003</v>
      </c>
      <c r="G576" t="s">
        <v>18</v>
      </c>
      <c r="H576" t="s">
        <v>14</v>
      </c>
      <c r="I576" t="str">
        <f t="shared" si="8"/>
        <v>America</v>
      </c>
    </row>
    <row r="577" spans="1:9" x14ac:dyDescent="0.3">
      <c r="A577" t="s">
        <v>602</v>
      </c>
      <c r="B577">
        <v>95</v>
      </c>
      <c r="C577" t="s">
        <v>41</v>
      </c>
      <c r="D577">
        <v>62</v>
      </c>
      <c r="E577">
        <v>84</v>
      </c>
      <c r="F577">
        <v>8.23</v>
      </c>
      <c r="G577" t="s">
        <v>18</v>
      </c>
      <c r="H577" t="s">
        <v>9</v>
      </c>
      <c r="I577" t="str">
        <f t="shared" si="8"/>
        <v>Africa</v>
      </c>
    </row>
    <row r="578" spans="1:9" x14ac:dyDescent="0.3">
      <c r="A578" t="s">
        <v>603</v>
      </c>
      <c r="B578">
        <v>95</v>
      </c>
      <c r="C578" t="s">
        <v>41</v>
      </c>
      <c r="D578">
        <v>64</v>
      </c>
      <c r="E578">
        <v>82</v>
      </c>
      <c r="F578">
        <v>12</v>
      </c>
      <c r="G578" t="s">
        <v>18</v>
      </c>
      <c r="H578" t="s">
        <v>14</v>
      </c>
      <c r="I578" t="str">
        <f t="shared" si="8"/>
        <v>America</v>
      </c>
    </row>
    <row r="579" spans="1:9" x14ac:dyDescent="0.3">
      <c r="A579" t="s">
        <v>604</v>
      </c>
      <c r="B579">
        <v>94</v>
      </c>
      <c r="C579" t="s">
        <v>45</v>
      </c>
      <c r="D579">
        <v>60</v>
      </c>
      <c r="E579">
        <v>77</v>
      </c>
      <c r="F579">
        <v>153.88</v>
      </c>
      <c r="G579" t="s">
        <v>2</v>
      </c>
      <c r="H579" t="s">
        <v>12</v>
      </c>
      <c r="I579" t="str">
        <f t="shared" ref="I579:I642" si="9">_xlfn.XLOOKUP(H579, $M$2:$M$50, $N$2:$N$50, "Other")</f>
        <v>Africa</v>
      </c>
    </row>
    <row r="580" spans="1:9" x14ac:dyDescent="0.3">
      <c r="A580" t="s">
        <v>605</v>
      </c>
      <c r="B580">
        <v>94</v>
      </c>
      <c r="C580" t="s">
        <v>41</v>
      </c>
      <c r="D580">
        <v>62</v>
      </c>
      <c r="E580">
        <v>80</v>
      </c>
      <c r="F580">
        <v>349</v>
      </c>
      <c r="G580" t="s">
        <v>2</v>
      </c>
      <c r="H580" t="s">
        <v>15</v>
      </c>
      <c r="I580" t="str">
        <f t="shared" si="9"/>
        <v>America</v>
      </c>
    </row>
    <row r="581" spans="1:9" x14ac:dyDescent="0.3">
      <c r="A581" t="s">
        <v>606</v>
      </c>
      <c r="B581">
        <v>94</v>
      </c>
      <c r="C581" t="s">
        <v>41</v>
      </c>
      <c r="D581">
        <v>63</v>
      </c>
      <c r="E581">
        <v>79</v>
      </c>
      <c r="F581">
        <v>242.5</v>
      </c>
      <c r="G581" t="s">
        <v>2</v>
      </c>
      <c r="H581" t="s">
        <v>9</v>
      </c>
      <c r="I581" t="str">
        <f t="shared" si="9"/>
        <v>Africa</v>
      </c>
    </row>
    <row r="582" spans="1:9" x14ac:dyDescent="0.3">
      <c r="A582" t="s">
        <v>442</v>
      </c>
      <c r="B582">
        <v>94</v>
      </c>
      <c r="C582" t="s">
        <v>41</v>
      </c>
      <c r="D582">
        <v>64</v>
      </c>
      <c r="E582">
        <v>82</v>
      </c>
      <c r="F582">
        <v>7.35</v>
      </c>
      <c r="G582" t="s">
        <v>18</v>
      </c>
      <c r="H582" t="s">
        <v>12</v>
      </c>
      <c r="I582" t="str">
        <f t="shared" si="9"/>
        <v>Africa</v>
      </c>
    </row>
    <row r="583" spans="1:9" x14ac:dyDescent="0.3">
      <c r="A583" t="s">
        <v>607</v>
      </c>
      <c r="B583">
        <v>94</v>
      </c>
      <c r="C583" t="s">
        <v>45</v>
      </c>
      <c r="D583">
        <v>59</v>
      </c>
      <c r="E583">
        <v>78</v>
      </c>
      <c r="F583">
        <v>5.57</v>
      </c>
      <c r="G583" t="s">
        <v>18</v>
      </c>
      <c r="H583" t="s">
        <v>7</v>
      </c>
      <c r="I583" t="str">
        <f t="shared" si="9"/>
        <v>America</v>
      </c>
    </row>
    <row r="584" spans="1:9" x14ac:dyDescent="0.3">
      <c r="A584" t="s">
        <v>367</v>
      </c>
      <c r="B584">
        <v>94</v>
      </c>
      <c r="C584" t="s">
        <v>45</v>
      </c>
      <c r="D584">
        <v>62</v>
      </c>
      <c r="E584">
        <v>79</v>
      </c>
      <c r="F584">
        <v>10.29</v>
      </c>
      <c r="G584" t="s">
        <v>18</v>
      </c>
      <c r="H584" t="s">
        <v>9</v>
      </c>
      <c r="I584" t="str">
        <f t="shared" si="9"/>
        <v>Africa</v>
      </c>
    </row>
    <row r="585" spans="1:9" x14ac:dyDescent="0.3">
      <c r="A585" t="s">
        <v>608</v>
      </c>
      <c r="B585">
        <v>94</v>
      </c>
      <c r="C585" t="s">
        <v>45</v>
      </c>
      <c r="D585">
        <v>62</v>
      </c>
      <c r="E585">
        <v>78</v>
      </c>
      <c r="F585">
        <v>7.2</v>
      </c>
      <c r="G585" t="s">
        <v>18</v>
      </c>
      <c r="H585" t="s">
        <v>14</v>
      </c>
      <c r="I585" t="str">
        <f t="shared" si="9"/>
        <v>America</v>
      </c>
    </row>
    <row r="586" spans="1:9" x14ac:dyDescent="0.3">
      <c r="A586" t="s">
        <v>609</v>
      </c>
      <c r="B586">
        <v>94</v>
      </c>
      <c r="C586" t="s">
        <v>45</v>
      </c>
      <c r="D586">
        <v>58</v>
      </c>
      <c r="E586">
        <v>77</v>
      </c>
      <c r="F586">
        <v>5.88</v>
      </c>
      <c r="G586" t="s">
        <v>18</v>
      </c>
      <c r="H586" t="s">
        <v>19</v>
      </c>
      <c r="I586" t="str">
        <f t="shared" si="9"/>
        <v>Asia-Pacific</v>
      </c>
    </row>
    <row r="587" spans="1:9" x14ac:dyDescent="0.3">
      <c r="A587" t="s">
        <v>610</v>
      </c>
      <c r="B587">
        <v>94</v>
      </c>
      <c r="C587" t="s">
        <v>45</v>
      </c>
      <c r="D587">
        <v>59</v>
      </c>
      <c r="E587">
        <v>74</v>
      </c>
      <c r="F587">
        <v>26.46</v>
      </c>
      <c r="G587" t="s">
        <v>18</v>
      </c>
      <c r="H587" t="s">
        <v>18</v>
      </c>
      <c r="I587" t="str">
        <f t="shared" si="9"/>
        <v>America</v>
      </c>
    </row>
    <row r="588" spans="1:9" x14ac:dyDescent="0.3">
      <c r="A588" t="s">
        <v>130</v>
      </c>
      <c r="B588">
        <v>94</v>
      </c>
      <c r="C588" t="s">
        <v>41</v>
      </c>
      <c r="D588">
        <v>64</v>
      </c>
      <c r="E588">
        <v>82</v>
      </c>
      <c r="F588">
        <v>6.16</v>
      </c>
      <c r="G588" t="s">
        <v>18</v>
      </c>
      <c r="H588" t="s">
        <v>9</v>
      </c>
      <c r="I588" t="str">
        <f t="shared" si="9"/>
        <v>Africa</v>
      </c>
    </row>
    <row r="589" spans="1:9" x14ac:dyDescent="0.3">
      <c r="A589" t="s">
        <v>611</v>
      </c>
      <c r="B589">
        <v>94</v>
      </c>
      <c r="C589" t="s">
        <v>45</v>
      </c>
      <c r="D589">
        <v>60</v>
      </c>
      <c r="E589">
        <v>77</v>
      </c>
      <c r="F589">
        <v>6.61</v>
      </c>
      <c r="G589" t="s">
        <v>18</v>
      </c>
      <c r="H589" t="s">
        <v>5</v>
      </c>
      <c r="I589" t="str">
        <f t="shared" si="9"/>
        <v>America</v>
      </c>
    </row>
    <row r="590" spans="1:9" x14ac:dyDescent="0.3">
      <c r="A590" t="s">
        <v>612</v>
      </c>
      <c r="B590">
        <v>95</v>
      </c>
      <c r="C590" t="s">
        <v>45</v>
      </c>
      <c r="D590">
        <v>60</v>
      </c>
      <c r="E590">
        <v>78</v>
      </c>
      <c r="F590">
        <v>8.23</v>
      </c>
      <c r="G590" t="s">
        <v>18</v>
      </c>
      <c r="H590" t="s">
        <v>7</v>
      </c>
      <c r="I590" t="str">
        <f t="shared" si="9"/>
        <v>America</v>
      </c>
    </row>
    <row r="591" spans="1:9" x14ac:dyDescent="0.3">
      <c r="A591" t="s">
        <v>613</v>
      </c>
      <c r="B591">
        <v>94</v>
      </c>
      <c r="C591" t="s">
        <v>41</v>
      </c>
      <c r="D591">
        <v>65</v>
      </c>
      <c r="E591">
        <v>84</v>
      </c>
      <c r="F591">
        <v>8.23</v>
      </c>
      <c r="G591" t="s">
        <v>18</v>
      </c>
      <c r="H591" t="s">
        <v>15</v>
      </c>
      <c r="I591" t="str">
        <f t="shared" si="9"/>
        <v>America</v>
      </c>
    </row>
    <row r="592" spans="1:9" x14ac:dyDescent="0.3">
      <c r="A592" t="s">
        <v>614</v>
      </c>
      <c r="B592">
        <v>94</v>
      </c>
      <c r="C592" t="s">
        <v>41</v>
      </c>
      <c r="D592">
        <v>62</v>
      </c>
      <c r="E592">
        <v>81</v>
      </c>
      <c r="F592">
        <v>5</v>
      </c>
      <c r="G592" t="s">
        <v>18</v>
      </c>
      <c r="H592" t="s">
        <v>9</v>
      </c>
      <c r="I592" t="str">
        <f t="shared" si="9"/>
        <v>Africa</v>
      </c>
    </row>
    <row r="593" spans="1:9" x14ac:dyDescent="0.3">
      <c r="A593" t="s">
        <v>615</v>
      </c>
      <c r="B593">
        <v>94</v>
      </c>
      <c r="C593" t="s">
        <v>41</v>
      </c>
      <c r="D593">
        <v>62</v>
      </c>
      <c r="E593">
        <v>80</v>
      </c>
      <c r="F593">
        <v>29.39</v>
      </c>
      <c r="G593" t="s">
        <v>18</v>
      </c>
      <c r="H593" t="s">
        <v>14</v>
      </c>
      <c r="I593" t="str">
        <f t="shared" si="9"/>
        <v>America</v>
      </c>
    </row>
    <row r="594" spans="1:9" x14ac:dyDescent="0.3">
      <c r="A594" t="s">
        <v>398</v>
      </c>
      <c r="B594">
        <v>96</v>
      </c>
      <c r="C594" t="s">
        <v>45</v>
      </c>
      <c r="D594">
        <v>60</v>
      </c>
      <c r="E594">
        <v>80</v>
      </c>
      <c r="F594">
        <v>30.84</v>
      </c>
      <c r="G594" t="s">
        <v>18</v>
      </c>
      <c r="H594" t="s">
        <v>150</v>
      </c>
      <c r="I594" t="str">
        <f t="shared" si="9"/>
        <v>NULL</v>
      </c>
    </row>
    <row r="595" spans="1:9" x14ac:dyDescent="0.3">
      <c r="A595" t="s">
        <v>616</v>
      </c>
      <c r="B595">
        <v>96</v>
      </c>
      <c r="C595" t="s">
        <v>45</v>
      </c>
      <c r="D595">
        <v>58</v>
      </c>
      <c r="E595">
        <v>78</v>
      </c>
      <c r="F595">
        <v>440.92</v>
      </c>
      <c r="G595" t="s">
        <v>2</v>
      </c>
      <c r="H595" t="s">
        <v>21</v>
      </c>
      <c r="I595" t="str">
        <f t="shared" si="9"/>
        <v>America</v>
      </c>
    </row>
    <row r="596" spans="1:9" x14ac:dyDescent="0.3">
      <c r="A596" t="s">
        <v>617</v>
      </c>
      <c r="B596">
        <v>95</v>
      </c>
      <c r="C596" t="s">
        <v>41</v>
      </c>
      <c r="D596">
        <v>64</v>
      </c>
      <c r="E596">
        <v>84</v>
      </c>
      <c r="F596">
        <v>0.88</v>
      </c>
      <c r="G596" t="s">
        <v>2</v>
      </c>
      <c r="H596" t="s">
        <v>5</v>
      </c>
      <c r="I596" t="str">
        <f t="shared" si="9"/>
        <v>America</v>
      </c>
    </row>
    <row r="597" spans="1:9" x14ac:dyDescent="0.3">
      <c r="A597" t="s">
        <v>618</v>
      </c>
      <c r="B597">
        <v>94</v>
      </c>
      <c r="C597" t="s">
        <v>45</v>
      </c>
      <c r="D597">
        <v>58</v>
      </c>
      <c r="E597">
        <v>76</v>
      </c>
      <c r="F597">
        <v>127.87</v>
      </c>
      <c r="G597" t="s">
        <v>2</v>
      </c>
      <c r="H597" t="s">
        <v>7</v>
      </c>
      <c r="I597" t="str">
        <f t="shared" si="9"/>
        <v>America</v>
      </c>
    </row>
    <row r="598" spans="1:9" x14ac:dyDescent="0.3">
      <c r="A598" t="s">
        <v>619</v>
      </c>
      <c r="B598">
        <v>94</v>
      </c>
      <c r="C598" t="s">
        <v>41</v>
      </c>
      <c r="D598">
        <v>65</v>
      </c>
      <c r="E598">
        <v>84</v>
      </c>
      <c r="F598">
        <v>396.83</v>
      </c>
      <c r="G598" t="s">
        <v>2</v>
      </c>
      <c r="H598" t="s">
        <v>9</v>
      </c>
      <c r="I598" t="str">
        <f t="shared" si="9"/>
        <v>Africa</v>
      </c>
    </row>
    <row r="599" spans="1:9" x14ac:dyDescent="0.3">
      <c r="A599" t="s">
        <v>620</v>
      </c>
      <c r="B599">
        <v>94</v>
      </c>
      <c r="C599" t="s">
        <v>41</v>
      </c>
      <c r="D599">
        <v>64</v>
      </c>
      <c r="E599">
        <v>86</v>
      </c>
      <c r="F599">
        <v>171.96</v>
      </c>
      <c r="G599" t="s">
        <v>2</v>
      </c>
      <c r="H599" t="s">
        <v>9</v>
      </c>
      <c r="I599" t="str">
        <f t="shared" si="9"/>
        <v>Africa</v>
      </c>
    </row>
    <row r="600" spans="1:9" x14ac:dyDescent="0.3">
      <c r="A600" t="s">
        <v>621</v>
      </c>
      <c r="B600">
        <v>95</v>
      </c>
      <c r="C600" t="s">
        <v>45</v>
      </c>
      <c r="D600">
        <v>59</v>
      </c>
      <c r="E600">
        <v>77</v>
      </c>
      <c r="F600">
        <v>244.44</v>
      </c>
      <c r="G600" t="s">
        <v>2</v>
      </c>
      <c r="H600" t="s">
        <v>9</v>
      </c>
      <c r="I600" t="str">
        <f t="shared" si="9"/>
        <v>Africa</v>
      </c>
    </row>
    <row r="601" spans="1:9" x14ac:dyDescent="0.3">
      <c r="A601" t="s">
        <v>622</v>
      </c>
      <c r="B601">
        <v>95</v>
      </c>
      <c r="C601" t="s">
        <v>45</v>
      </c>
      <c r="D601">
        <v>60</v>
      </c>
      <c r="E601">
        <v>76</v>
      </c>
      <c r="F601">
        <v>288.89</v>
      </c>
      <c r="G601" t="s">
        <v>2</v>
      </c>
      <c r="H601" t="s">
        <v>12</v>
      </c>
      <c r="I601" t="str">
        <f t="shared" si="9"/>
        <v>Africa</v>
      </c>
    </row>
    <row r="602" spans="1:9" x14ac:dyDescent="0.3">
      <c r="A602" t="s">
        <v>623</v>
      </c>
      <c r="B602">
        <v>94</v>
      </c>
      <c r="C602" t="s">
        <v>41</v>
      </c>
      <c r="D602">
        <v>62</v>
      </c>
      <c r="E602">
        <v>84</v>
      </c>
      <c r="F602">
        <v>28.66</v>
      </c>
      <c r="G602" t="s">
        <v>18</v>
      </c>
      <c r="H602" t="s">
        <v>14</v>
      </c>
      <c r="I602" t="str">
        <f t="shared" si="9"/>
        <v>America</v>
      </c>
    </row>
    <row r="603" spans="1:9" x14ac:dyDescent="0.3">
      <c r="A603" t="s">
        <v>281</v>
      </c>
      <c r="B603">
        <v>96</v>
      </c>
      <c r="C603" t="s">
        <v>41</v>
      </c>
      <c r="D603">
        <v>60</v>
      </c>
      <c r="E603">
        <v>82</v>
      </c>
      <c r="F603">
        <v>8.3800000000000008</v>
      </c>
      <c r="G603" t="s">
        <v>18</v>
      </c>
      <c r="H603" t="s">
        <v>14</v>
      </c>
      <c r="I603" t="str">
        <f t="shared" si="9"/>
        <v>America</v>
      </c>
    </row>
    <row r="604" spans="1:9" x14ac:dyDescent="0.3">
      <c r="A604" t="s">
        <v>624</v>
      </c>
      <c r="B604">
        <v>94</v>
      </c>
      <c r="C604" t="s">
        <v>45</v>
      </c>
      <c r="D604">
        <v>58</v>
      </c>
      <c r="E604">
        <v>78</v>
      </c>
      <c r="F604">
        <v>5.29</v>
      </c>
      <c r="G604" t="s">
        <v>18</v>
      </c>
      <c r="H604" t="s">
        <v>9</v>
      </c>
      <c r="I604" t="str">
        <f t="shared" si="9"/>
        <v>Africa</v>
      </c>
    </row>
    <row r="605" spans="1:9" x14ac:dyDescent="0.3">
      <c r="A605" t="s">
        <v>625</v>
      </c>
      <c r="B605">
        <v>94</v>
      </c>
      <c r="C605" t="s">
        <v>41</v>
      </c>
      <c r="D605">
        <v>62</v>
      </c>
      <c r="E605">
        <v>80</v>
      </c>
      <c r="F605">
        <v>220.26</v>
      </c>
      <c r="G605" t="s">
        <v>2</v>
      </c>
      <c r="H605" t="s">
        <v>9</v>
      </c>
      <c r="I605" t="str">
        <f t="shared" si="9"/>
        <v>Africa</v>
      </c>
    </row>
    <row r="606" spans="1:9" x14ac:dyDescent="0.3">
      <c r="A606" t="s">
        <v>626</v>
      </c>
      <c r="B606">
        <v>95</v>
      </c>
      <c r="C606" t="s">
        <v>41</v>
      </c>
      <c r="D606">
        <v>64</v>
      </c>
      <c r="E606">
        <v>82</v>
      </c>
      <c r="F606">
        <v>44.09</v>
      </c>
      <c r="G606" t="s">
        <v>18</v>
      </c>
      <c r="H606" t="s">
        <v>14</v>
      </c>
      <c r="I606" t="str">
        <f t="shared" si="9"/>
        <v>America</v>
      </c>
    </row>
    <row r="607" spans="1:9" x14ac:dyDescent="0.3">
      <c r="A607" t="s">
        <v>627</v>
      </c>
      <c r="B607">
        <v>94</v>
      </c>
      <c r="C607" t="s">
        <v>45</v>
      </c>
      <c r="D607">
        <v>62</v>
      </c>
      <c r="E607">
        <v>78</v>
      </c>
      <c r="F607">
        <v>6.96</v>
      </c>
      <c r="G607" t="s">
        <v>2</v>
      </c>
      <c r="H607" t="s">
        <v>21</v>
      </c>
      <c r="I607" t="str">
        <f t="shared" si="9"/>
        <v>America</v>
      </c>
    </row>
    <row r="608" spans="1:9" x14ac:dyDescent="0.3">
      <c r="A608" t="s">
        <v>628</v>
      </c>
      <c r="B608">
        <v>94</v>
      </c>
      <c r="C608" t="s">
        <v>41</v>
      </c>
      <c r="D608">
        <v>61</v>
      </c>
      <c r="E608">
        <v>82</v>
      </c>
      <c r="F608">
        <v>9.52</v>
      </c>
      <c r="G608" t="s">
        <v>18</v>
      </c>
      <c r="H608" t="s">
        <v>9</v>
      </c>
      <c r="I608" t="str">
        <f t="shared" si="9"/>
        <v>Africa</v>
      </c>
    </row>
    <row r="609" spans="1:9" x14ac:dyDescent="0.3">
      <c r="A609" t="s">
        <v>276</v>
      </c>
      <c r="B609">
        <v>94</v>
      </c>
      <c r="C609" t="s">
        <v>45</v>
      </c>
      <c r="D609">
        <v>58</v>
      </c>
      <c r="E609">
        <v>80</v>
      </c>
      <c r="F609">
        <v>6.47</v>
      </c>
      <c r="G609" t="s">
        <v>18</v>
      </c>
      <c r="H609" t="s">
        <v>12</v>
      </c>
      <c r="I609" t="str">
        <f t="shared" si="9"/>
        <v>Africa</v>
      </c>
    </row>
    <row r="610" spans="1:9" x14ac:dyDescent="0.3">
      <c r="A610" t="s">
        <v>629</v>
      </c>
      <c r="B610">
        <v>95</v>
      </c>
      <c r="C610" t="s">
        <v>41</v>
      </c>
      <c r="D610">
        <v>63</v>
      </c>
      <c r="E610">
        <v>82</v>
      </c>
      <c r="F610">
        <v>850</v>
      </c>
      <c r="G610" t="s">
        <v>2</v>
      </c>
      <c r="H610" t="s">
        <v>9</v>
      </c>
      <c r="I610" t="str">
        <f t="shared" si="9"/>
        <v>Africa</v>
      </c>
    </row>
    <row r="611" spans="1:9" x14ac:dyDescent="0.3">
      <c r="A611" t="s">
        <v>494</v>
      </c>
      <c r="B611">
        <v>94</v>
      </c>
      <c r="C611" t="s">
        <v>45</v>
      </c>
      <c r="D611">
        <v>60</v>
      </c>
      <c r="E611">
        <v>78</v>
      </c>
      <c r="F611">
        <v>5.88</v>
      </c>
      <c r="G611" t="s">
        <v>18</v>
      </c>
      <c r="H611" t="s">
        <v>9</v>
      </c>
      <c r="I611" t="str">
        <f t="shared" si="9"/>
        <v>Africa</v>
      </c>
    </row>
    <row r="612" spans="1:9" x14ac:dyDescent="0.3">
      <c r="A612" t="s">
        <v>630</v>
      </c>
      <c r="B612">
        <v>94</v>
      </c>
      <c r="C612" t="s">
        <v>45</v>
      </c>
      <c r="D612">
        <v>60</v>
      </c>
      <c r="E612">
        <v>78</v>
      </c>
      <c r="F612">
        <v>22.05</v>
      </c>
      <c r="G612" t="s">
        <v>18</v>
      </c>
      <c r="H612" t="s">
        <v>18</v>
      </c>
      <c r="I612" t="str">
        <f t="shared" si="9"/>
        <v>America</v>
      </c>
    </row>
    <row r="613" spans="1:9" x14ac:dyDescent="0.3">
      <c r="A613" t="s">
        <v>631</v>
      </c>
      <c r="B613">
        <v>94</v>
      </c>
      <c r="C613" t="s">
        <v>41</v>
      </c>
      <c r="D613">
        <v>64</v>
      </c>
      <c r="E613">
        <v>84</v>
      </c>
      <c r="F613">
        <v>299</v>
      </c>
      <c r="G613" t="s">
        <v>2</v>
      </c>
      <c r="H613" t="s">
        <v>9</v>
      </c>
      <c r="I613" t="str">
        <f t="shared" si="9"/>
        <v>Africa</v>
      </c>
    </row>
    <row r="614" spans="1:9" x14ac:dyDescent="0.3">
      <c r="A614" t="s">
        <v>632</v>
      </c>
      <c r="B614">
        <v>94</v>
      </c>
      <c r="C614" t="s">
        <v>45</v>
      </c>
      <c r="D614">
        <v>59</v>
      </c>
      <c r="E614">
        <v>77</v>
      </c>
      <c r="F614">
        <v>8.23</v>
      </c>
      <c r="G614" t="s">
        <v>18</v>
      </c>
      <c r="H614" t="s">
        <v>9</v>
      </c>
      <c r="I614" t="str">
        <f t="shared" si="9"/>
        <v>Africa</v>
      </c>
    </row>
    <row r="615" spans="1:9" x14ac:dyDescent="0.3">
      <c r="A615" t="s">
        <v>633</v>
      </c>
      <c r="B615">
        <v>94</v>
      </c>
      <c r="C615" t="s">
        <v>45</v>
      </c>
      <c r="D615">
        <v>59</v>
      </c>
      <c r="E615">
        <v>77</v>
      </c>
      <c r="F615">
        <v>7.94</v>
      </c>
      <c r="G615" t="s">
        <v>18</v>
      </c>
      <c r="H615" t="s">
        <v>12</v>
      </c>
      <c r="I615" t="str">
        <f t="shared" si="9"/>
        <v>Africa</v>
      </c>
    </row>
    <row r="616" spans="1:9" x14ac:dyDescent="0.3">
      <c r="A616" t="s">
        <v>634</v>
      </c>
      <c r="B616">
        <v>94</v>
      </c>
      <c r="C616" t="s">
        <v>45</v>
      </c>
      <c r="D616">
        <v>60</v>
      </c>
      <c r="E616">
        <v>78</v>
      </c>
      <c r="F616">
        <v>549</v>
      </c>
      <c r="G616" t="s">
        <v>2</v>
      </c>
      <c r="H616" t="s">
        <v>5</v>
      </c>
      <c r="I616" t="str">
        <f t="shared" si="9"/>
        <v>America</v>
      </c>
    </row>
    <row r="617" spans="1:9" x14ac:dyDescent="0.3">
      <c r="A617" t="s">
        <v>635</v>
      </c>
      <c r="B617">
        <v>94</v>
      </c>
      <c r="C617" t="s">
        <v>45</v>
      </c>
      <c r="D617">
        <v>59</v>
      </c>
      <c r="E617">
        <v>77</v>
      </c>
      <c r="F617">
        <v>8.23</v>
      </c>
      <c r="G617" t="s">
        <v>18</v>
      </c>
      <c r="H617" t="s">
        <v>12</v>
      </c>
      <c r="I617" t="str">
        <f t="shared" si="9"/>
        <v>Africa</v>
      </c>
    </row>
    <row r="618" spans="1:9" x14ac:dyDescent="0.3">
      <c r="A618" t="s">
        <v>636</v>
      </c>
      <c r="B618">
        <v>95</v>
      </c>
      <c r="C618" t="s">
        <v>41</v>
      </c>
      <c r="D618">
        <v>60</v>
      </c>
      <c r="E618">
        <v>82</v>
      </c>
      <c r="F618">
        <v>7.94</v>
      </c>
      <c r="G618" t="s">
        <v>18</v>
      </c>
      <c r="H618" t="s">
        <v>9</v>
      </c>
      <c r="I618" t="str">
        <f t="shared" si="9"/>
        <v>Africa</v>
      </c>
    </row>
    <row r="619" spans="1:9" x14ac:dyDescent="0.3">
      <c r="A619" t="s">
        <v>637</v>
      </c>
      <c r="B619">
        <v>95</v>
      </c>
      <c r="C619" t="s">
        <v>41</v>
      </c>
      <c r="D619">
        <v>64</v>
      </c>
      <c r="E619">
        <v>83</v>
      </c>
      <c r="F619">
        <v>433.33</v>
      </c>
      <c r="G619" t="s">
        <v>11</v>
      </c>
      <c r="H619" t="s">
        <v>9</v>
      </c>
      <c r="I619" t="str">
        <f t="shared" si="9"/>
        <v>Africa</v>
      </c>
    </row>
    <row r="620" spans="1:9" x14ac:dyDescent="0.3">
      <c r="A620" t="s">
        <v>638</v>
      </c>
      <c r="B620">
        <v>94</v>
      </c>
      <c r="C620" t="s">
        <v>45</v>
      </c>
      <c r="D620">
        <v>62</v>
      </c>
      <c r="E620">
        <v>78</v>
      </c>
      <c r="F620">
        <v>8.82</v>
      </c>
      <c r="G620" t="s">
        <v>18</v>
      </c>
      <c r="H620" t="s">
        <v>14</v>
      </c>
      <c r="I620" t="str">
        <f t="shared" si="9"/>
        <v>America</v>
      </c>
    </row>
    <row r="621" spans="1:9" x14ac:dyDescent="0.3">
      <c r="A621" t="s">
        <v>639</v>
      </c>
      <c r="B621">
        <v>94</v>
      </c>
      <c r="C621" t="s">
        <v>41</v>
      </c>
      <c r="D621">
        <v>62</v>
      </c>
      <c r="E621">
        <v>80</v>
      </c>
      <c r="F621">
        <v>353.33</v>
      </c>
      <c r="G621" t="s">
        <v>11</v>
      </c>
      <c r="H621" t="s">
        <v>5</v>
      </c>
      <c r="I621" t="str">
        <f t="shared" si="9"/>
        <v>America</v>
      </c>
    </row>
    <row r="622" spans="1:9" x14ac:dyDescent="0.3">
      <c r="A622" t="s">
        <v>640</v>
      </c>
      <c r="B622">
        <v>94</v>
      </c>
      <c r="C622" t="s">
        <v>41</v>
      </c>
      <c r="D622">
        <v>62</v>
      </c>
      <c r="E622">
        <v>80</v>
      </c>
      <c r="F622">
        <v>9.69</v>
      </c>
      <c r="G622" t="s">
        <v>18</v>
      </c>
      <c r="H622" t="s">
        <v>14</v>
      </c>
      <c r="I622" t="str">
        <f t="shared" si="9"/>
        <v>America</v>
      </c>
    </row>
    <row r="623" spans="1:9" x14ac:dyDescent="0.3">
      <c r="A623" t="s">
        <v>641</v>
      </c>
      <c r="B623">
        <v>94</v>
      </c>
      <c r="C623" t="s">
        <v>45</v>
      </c>
      <c r="D623">
        <v>62</v>
      </c>
      <c r="E623">
        <v>78</v>
      </c>
      <c r="F623">
        <v>64</v>
      </c>
      <c r="G623" t="s">
        <v>11</v>
      </c>
      <c r="H623" t="s">
        <v>9</v>
      </c>
      <c r="I623" t="str">
        <f t="shared" si="9"/>
        <v>Africa</v>
      </c>
    </row>
    <row r="624" spans="1:9" x14ac:dyDescent="0.3">
      <c r="A624" t="s">
        <v>642</v>
      </c>
      <c r="B624">
        <v>94</v>
      </c>
      <c r="C624" t="s">
        <v>41</v>
      </c>
      <c r="D624">
        <v>64</v>
      </c>
      <c r="E624">
        <v>84</v>
      </c>
      <c r="F624">
        <v>498</v>
      </c>
      <c r="G624" t="s">
        <v>11</v>
      </c>
      <c r="H624" t="s">
        <v>10</v>
      </c>
      <c r="I624" t="str">
        <f t="shared" si="9"/>
        <v>America</v>
      </c>
    </row>
    <row r="625" spans="1:9" x14ac:dyDescent="0.3">
      <c r="A625" t="s">
        <v>54</v>
      </c>
      <c r="B625">
        <v>95</v>
      </c>
      <c r="C625" t="s">
        <v>45</v>
      </c>
      <c r="D625">
        <v>59</v>
      </c>
      <c r="E625">
        <v>81</v>
      </c>
      <c r="F625">
        <v>11.02</v>
      </c>
      <c r="G625" t="s">
        <v>18</v>
      </c>
      <c r="H625" t="s">
        <v>14</v>
      </c>
      <c r="I625" t="str">
        <f t="shared" si="9"/>
        <v>America</v>
      </c>
    </row>
    <row r="626" spans="1:9" x14ac:dyDescent="0.3">
      <c r="A626" t="s">
        <v>643</v>
      </c>
      <c r="B626">
        <v>95</v>
      </c>
      <c r="C626" t="s">
        <v>41</v>
      </c>
      <c r="D626">
        <v>62</v>
      </c>
      <c r="E626">
        <v>80</v>
      </c>
      <c r="F626">
        <v>26.01</v>
      </c>
      <c r="G626" t="s">
        <v>18</v>
      </c>
      <c r="H626" t="s">
        <v>14</v>
      </c>
      <c r="I626" t="str">
        <f t="shared" si="9"/>
        <v>America</v>
      </c>
    </row>
    <row r="627" spans="1:9" x14ac:dyDescent="0.3">
      <c r="A627" t="s">
        <v>644</v>
      </c>
      <c r="B627">
        <v>94</v>
      </c>
      <c r="C627" t="s">
        <v>45</v>
      </c>
      <c r="D627">
        <v>60</v>
      </c>
      <c r="E627">
        <v>77</v>
      </c>
      <c r="F627">
        <v>6.03</v>
      </c>
      <c r="G627" t="s">
        <v>18</v>
      </c>
      <c r="H627" t="s">
        <v>9</v>
      </c>
      <c r="I627" t="str">
        <f t="shared" si="9"/>
        <v>Africa</v>
      </c>
    </row>
    <row r="628" spans="1:9" x14ac:dyDescent="0.3">
      <c r="A628" t="s">
        <v>645</v>
      </c>
      <c r="B628">
        <v>94</v>
      </c>
      <c r="C628" t="s">
        <v>41</v>
      </c>
      <c r="D628">
        <v>62</v>
      </c>
      <c r="E628">
        <v>80</v>
      </c>
      <c r="F628">
        <v>39.68</v>
      </c>
      <c r="G628" t="s">
        <v>18</v>
      </c>
      <c r="H628" t="s">
        <v>5</v>
      </c>
      <c r="I628" t="str">
        <f t="shared" si="9"/>
        <v>America</v>
      </c>
    </row>
    <row r="629" spans="1:9" x14ac:dyDescent="0.3">
      <c r="A629" t="s">
        <v>646</v>
      </c>
      <c r="B629">
        <v>94</v>
      </c>
      <c r="C629" t="s">
        <v>41</v>
      </c>
      <c r="D629">
        <v>64</v>
      </c>
      <c r="E629">
        <v>80</v>
      </c>
      <c r="F629">
        <v>20</v>
      </c>
      <c r="G629" t="s">
        <v>18</v>
      </c>
      <c r="H629" t="s">
        <v>5</v>
      </c>
      <c r="I629" t="str">
        <f t="shared" si="9"/>
        <v>America</v>
      </c>
    </row>
    <row r="630" spans="1:9" x14ac:dyDescent="0.3">
      <c r="A630" t="s">
        <v>647</v>
      </c>
      <c r="B630">
        <v>95</v>
      </c>
      <c r="C630" t="s">
        <v>41</v>
      </c>
      <c r="D630">
        <v>62</v>
      </c>
      <c r="E630">
        <v>81</v>
      </c>
      <c r="F630">
        <v>7.35</v>
      </c>
      <c r="G630" t="s">
        <v>18</v>
      </c>
      <c r="H630" t="s">
        <v>9</v>
      </c>
      <c r="I630" t="str">
        <f t="shared" si="9"/>
        <v>Africa</v>
      </c>
    </row>
    <row r="631" spans="1:9" x14ac:dyDescent="0.3">
      <c r="A631" t="s">
        <v>648</v>
      </c>
      <c r="B631">
        <v>95</v>
      </c>
      <c r="C631" t="s">
        <v>45</v>
      </c>
      <c r="D631">
        <v>61</v>
      </c>
      <c r="E631">
        <v>80</v>
      </c>
      <c r="F631">
        <v>11.76</v>
      </c>
      <c r="G631" t="s">
        <v>18</v>
      </c>
      <c r="H631" t="s">
        <v>9</v>
      </c>
      <c r="I631" t="str">
        <f t="shared" si="9"/>
        <v>Africa</v>
      </c>
    </row>
    <row r="632" spans="1:9" x14ac:dyDescent="0.3">
      <c r="A632" t="s">
        <v>649</v>
      </c>
      <c r="B632">
        <v>94</v>
      </c>
      <c r="C632" t="s">
        <v>41</v>
      </c>
      <c r="D632">
        <v>62</v>
      </c>
      <c r="E632">
        <v>80</v>
      </c>
      <c r="F632">
        <v>11.76</v>
      </c>
      <c r="G632" t="s">
        <v>18</v>
      </c>
      <c r="H632" t="s">
        <v>10</v>
      </c>
      <c r="I632" t="str">
        <f t="shared" si="9"/>
        <v>America</v>
      </c>
    </row>
    <row r="633" spans="1:9" x14ac:dyDescent="0.3">
      <c r="A633" t="s">
        <v>409</v>
      </c>
      <c r="B633">
        <v>94</v>
      </c>
      <c r="C633" t="s">
        <v>45</v>
      </c>
      <c r="D633">
        <v>60</v>
      </c>
      <c r="E633">
        <v>76</v>
      </c>
      <c r="F633">
        <v>6.91</v>
      </c>
      <c r="G633" t="s">
        <v>18</v>
      </c>
      <c r="H633" t="s">
        <v>9</v>
      </c>
      <c r="I633" t="str">
        <f t="shared" si="9"/>
        <v>Africa</v>
      </c>
    </row>
    <row r="634" spans="1:9" x14ac:dyDescent="0.3">
      <c r="A634" t="s">
        <v>650</v>
      </c>
      <c r="B634">
        <v>94</v>
      </c>
      <c r="C634" t="s">
        <v>41</v>
      </c>
      <c r="D634">
        <v>62</v>
      </c>
      <c r="E634">
        <v>80</v>
      </c>
      <c r="F634">
        <v>14.11</v>
      </c>
      <c r="G634" t="s">
        <v>18</v>
      </c>
      <c r="H634" t="s">
        <v>9</v>
      </c>
      <c r="I634" t="str">
        <f t="shared" si="9"/>
        <v>Africa</v>
      </c>
    </row>
    <row r="635" spans="1:9" x14ac:dyDescent="0.3">
      <c r="A635" t="s">
        <v>651</v>
      </c>
      <c r="B635">
        <v>94</v>
      </c>
      <c r="C635" t="s">
        <v>45</v>
      </c>
      <c r="D635">
        <v>60</v>
      </c>
      <c r="E635">
        <v>77</v>
      </c>
      <c r="F635">
        <v>7.05</v>
      </c>
      <c r="G635" t="s">
        <v>18</v>
      </c>
      <c r="H635" t="s">
        <v>9</v>
      </c>
      <c r="I635" t="str">
        <f t="shared" si="9"/>
        <v>Africa</v>
      </c>
    </row>
    <row r="636" spans="1:9" x14ac:dyDescent="0.3">
      <c r="A636" t="s">
        <v>652</v>
      </c>
      <c r="B636">
        <v>94</v>
      </c>
      <c r="C636" t="s">
        <v>41</v>
      </c>
      <c r="D636">
        <v>64</v>
      </c>
      <c r="E636">
        <v>83</v>
      </c>
      <c r="F636">
        <v>12.35</v>
      </c>
      <c r="G636" t="s">
        <v>18</v>
      </c>
      <c r="H636" t="s">
        <v>9</v>
      </c>
      <c r="I636" t="str">
        <f t="shared" si="9"/>
        <v>Africa</v>
      </c>
    </row>
    <row r="637" spans="1:9" x14ac:dyDescent="0.3">
      <c r="A637" t="s">
        <v>653</v>
      </c>
      <c r="B637">
        <v>96</v>
      </c>
      <c r="C637" t="s">
        <v>45</v>
      </c>
      <c r="D637">
        <v>60</v>
      </c>
      <c r="E637">
        <v>77</v>
      </c>
      <c r="F637">
        <v>6.16</v>
      </c>
      <c r="G637" t="s">
        <v>18</v>
      </c>
      <c r="H637" t="s">
        <v>9</v>
      </c>
      <c r="I637" t="str">
        <f t="shared" si="9"/>
        <v>Africa</v>
      </c>
    </row>
    <row r="638" spans="1:9" x14ac:dyDescent="0.3">
      <c r="A638" t="s">
        <v>654</v>
      </c>
      <c r="B638">
        <v>96</v>
      </c>
      <c r="C638" t="s">
        <v>41</v>
      </c>
      <c r="D638">
        <v>63</v>
      </c>
      <c r="E638">
        <v>81</v>
      </c>
      <c r="F638">
        <v>17.5</v>
      </c>
      <c r="G638" t="s">
        <v>18</v>
      </c>
      <c r="H638" t="s">
        <v>9</v>
      </c>
      <c r="I638" t="str">
        <f t="shared" si="9"/>
        <v>Africa</v>
      </c>
    </row>
    <row r="639" spans="1:9" x14ac:dyDescent="0.3">
      <c r="A639" t="s">
        <v>655</v>
      </c>
      <c r="B639">
        <v>96</v>
      </c>
      <c r="C639" t="s">
        <v>45</v>
      </c>
      <c r="D639">
        <v>58</v>
      </c>
      <c r="E639">
        <v>78</v>
      </c>
      <c r="F639">
        <v>165.34</v>
      </c>
      <c r="G639" t="s">
        <v>2</v>
      </c>
      <c r="H639" t="s">
        <v>9</v>
      </c>
      <c r="I639" t="str">
        <f t="shared" si="9"/>
        <v>Africa</v>
      </c>
    </row>
    <row r="640" spans="1:9" x14ac:dyDescent="0.3">
      <c r="A640" t="s">
        <v>656</v>
      </c>
      <c r="B640">
        <v>94</v>
      </c>
      <c r="C640" t="s">
        <v>45</v>
      </c>
      <c r="D640">
        <v>60</v>
      </c>
      <c r="E640">
        <v>77</v>
      </c>
      <c r="F640">
        <v>10.86</v>
      </c>
      <c r="G640" t="s">
        <v>18</v>
      </c>
      <c r="H640" t="s">
        <v>22</v>
      </c>
      <c r="I640" t="str">
        <f t="shared" si="9"/>
        <v>America</v>
      </c>
    </row>
    <row r="641" spans="1:9" x14ac:dyDescent="0.3">
      <c r="A641" t="s">
        <v>657</v>
      </c>
      <c r="B641">
        <v>95</v>
      </c>
      <c r="C641" t="s">
        <v>41</v>
      </c>
      <c r="D641">
        <v>62</v>
      </c>
      <c r="E641">
        <v>80</v>
      </c>
      <c r="F641">
        <v>149.91</v>
      </c>
      <c r="G641" t="s">
        <v>2</v>
      </c>
      <c r="H641" t="s">
        <v>12</v>
      </c>
      <c r="I641" t="str">
        <f t="shared" si="9"/>
        <v>Africa</v>
      </c>
    </row>
    <row r="642" spans="1:9" x14ac:dyDescent="0.3">
      <c r="A642" t="s">
        <v>658</v>
      </c>
      <c r="B642">
        <v>95</v>
      </c>
      <c r="C642" t="s">
        <v>45</v>
      </c>
      <c r="D642">
        <v>58</v>
      </c>
      <c r="E642">
        <v>77</v>
      </c>
      <c r="F642">
        <v>793.65</v>
      </c>
      <c r="G642" t="s">
        <v>2</v>
      </c>
      <c r="H642" t="s">
        <v>8</v>
      </c>
      <c r="I642" t="str">
        <f t="shared" si="9"/>
        <v>Africa</v>
      </c>
    </row>
    <row r="643" spans="1:9" x14ac:dyDescent="0.3">
      <c r="A643" t="s">
        <v>659</v>
      </c>
      <c r="B643">
        <v>95</v>
      </c>
      <c r="C643" t="s">
        <v>41</v>
      </c>
      <c r="D643">
        <v>64</v>
      </c>
      <c r="E643">
        <v>81</v>
      </c>
      <c r="F643">
        <v>176.37</v>
      </c>
      <c r="G643" t="s">
        <v>2</v>
      </c>
      <c r="H643" t="s">
        <v>9</v>
      </c>
      <c r="I643" t="str">
        <f t="shared" ref="I643:I706" si="10">_xlfn.XLOOKUP(H643, $M$2:$M$50, $N$2:$N$50, "Other")</f>
        <v>Africa</v>
      </c>
    </row>
    <row r="644" spans="1:9" x14ac:dyDescent="0.3">
      <c r="A644" t="s">
        <v>660</v>
      </c>
      <c r="B644">
        <v>94</v>
      </c>
      <c r="C644" t="s">
        <v>41</v>
      </c>
      <c r="D644">
        <v>62</v>
      </c>
      <c r="E644">
        <v>80</v>
      </c>
      <c r="F644">
        <v>202.38</v>
      </c>
      <c r="G644" t="s">
        <v>2</v>
      </c>
      <c r="H644" t="s">
        <v>9</v>
      </c>
      <c r="I644" t="str">
        <f t="shared" si="10"/>
        <v>Africa</v>
      </c>
    </row>
    <row r="645" spans="1:9" x14ac:dyDescent="0.3">
      <c r="A645" t="s">
        <v>661</v>
      </c>
      <c r="B645">
        <v>94</v>
      </c>
      <c r="C645" t="s">
        <v>45</v>
      </c>
      <c r="D645">
        <v>60</v>
      </c>
      <c r="E645">
        <v>78</v>
      </c>
      <c r="F645">
        <v>154.32</v>
      </c>
      <c r="G645" t="s">
        <v>2</v>
      </c>
      <c r="H645" t="s">
        <v>9</v>
      </c>
      <c r="I645" t="str">
        <f t="shared" si="10"/>
        <v>Africa</v>
      </c>
    </row>
    <row r="646" spans="1:9" x14ac:dyDescent="0.3">
      <c r="A646" t="s">
        <v>662</v>
      </c>
      <c r="B646">
        <v>94</v>
      </c>
      <c r="C646" t="s">
        <v>45</v>
      </c>
      <c r="D646">
        <v>59</v>
      </c>
      <c r="E646">
        <v>78</v>
      </c>
      <c r="F646">
        <v>5.88</v>
      </c>
      <c r="G646" t="s">
        <v>18</v>
      </c>
      <c r="H646" t="s">
        <v>9</v>
      </c>
      <c r="I646" t="str">
        <f t="shared" si="10"/>
        <v>Africa</v>
      </c>
    </row>
    <row r="647" spans="1:9" x14ac:dyDescent="0.3">
      <c r="A647" t="s">
        <v>663</v>
      </c>
      <c r="B647">
        <v>94</v>
      </c>
      <c r="C647" t="s">
        <v>45</v>
      </c>
      <c r="D647">
        <v>58</v>
      </c>
      <c r="E647">
        <v>74</v>
      </c>
      <c r="F647">
        <v>12.93</v>
      </c>
      <c r="G647" t="s">
        <v>18</v>
      </c>
      <c r="H647" t="s">
        <v>7</v>
      </c>
      <c r="I647" t="str">
        <f t="shared" si="10"/>
        <v>America</v>
      </c>
    </row>
    <row r="648" spans="1:9" x14ac:dyDescent="0.3">
      <c r="A648" t="s">
        <v>638</v>
      </c>
      <c r="B648">
        <v>95</v>
      </c>
      <c r="C648" t="s">
        <v>41</v>
      </c>
      <c r="D648">
        <v>62</v>
      </c>
      <c r="E648">
        <v>80</v>
      </c>
      <c r="F648">
        <v>13.23</v>
      </c>
      <c r="G648" t="s">
        <v>18</v>
      </c>
      <c r="H648" t="s">
        <v>14</v>
      </c>
      <c r="I648" t="str">
        <f t="shared" si="10"/>
        <v>America</v>
      </c>
    </row>
    <row r="649" spans="1:9" x14ac:dyDescent="0.3">
      <c r="A649" t="s">
        <v>664</v>
      </c>
      <c r="B649">
        <v>94</v>
      </c>
      <c r="C649" t="s">
        <v>41</v>
      </c>
      <c r="D649">
        <v>64</v>
      </c>
      <c r="E649">
        <v>84</v>
      </c>
      <c r="F649">
        <v>8.11</v>
      </c>
      <c r="G649" t="s">
        <v>18</v>
      </c>
      <c r="H649" t="s">
        <v>14</v>
      </c>
      <c r="I649" t="str">
        <f t="shared" si="10"/>
        <v>America</v>
      </c>
    </row>
    <row r="650" spans="1:9" x14ac:dyDescent="0.3">
      <c r="A650" t="s">
        <v>665</v>
      </c>
      <c r="B650">
        <v>94</v>
      </c>
      <c r="C650" t="s">
        <v>45</v>
      </c>
      <c r="D650">
        <v>58</v>
      </c>
      <c r="E650">
        <v>74</v>
      </c>
      <c r="F650">
        <v>7.64</v>
      </c>
      <c r="G650" t="s">
        <v>18</v>
      </c>
      <c r="H650" t="s">
        <v>17</v>
      </c>
      <c r="I650" t="str">
        <f t="shared" si="10"/>
        <v>Africa</v>
      </c>
    </row>
    <row r="651" spans="1:9" x14ac:dyDescent="0.3">
      <c r="A651" t="s">
        <v>666</v>
      </c>
      <c r="B651">
        <v>94</v>
      </c>
      <c r="C651" t="s">
        <v>45</v>
      </c>
      <c r="D651">
        <v>54</v>
      </c>
      <c r="E651">
        <v>78</v>
      </c>
      <c r="F651">
        <v>5.88</v>
      </c>
      <c r="G651" t="s">
        <v>7</v>
      </c>
      <c r="H651" t="s">
        <v>7</v>
      </c>
      <c r="I651" t="str">
        <f t="shared" si="10"/>
        <v>America</v>
      </c>
    </row>
    <row r="652" spans="1:9" x14ac:dyDescent="0.3">
      <c r="A652" t="s">
        <v>667</v>
      </c>
      <c r="B652">
        <v>94</v>
      </c>
      <c r="C652" t="s">
        <v>45</v>
      </c>
      <c r="D652">
        <v>58</v>
      </c>
      <c r="E652">
        <v>76</v>
      </c>
      <c r="F652">
        <v>3.82</v>
      </c>
      <c r="G652" t="s">
        <v>7</v>
      </c>
      <c r="H652" t="s">
        <v>7</v>
      </c>
      <c r="I652" t="str">
        <f t="shared" si="10"/>
        <v>America</v>
      </c>
    </row>
    <row r="653" spans="1:9" x14ac:dyDescent="0.3">
      <c r="A653" t="s">
        <v>668</v>
      </c>
      <c r="B653">
        <v>95</v>
      </c>
      <c r="C653" t="s">
        <v>45</v>
      </c>
      <c r="D653">
        <v>58</v>
      </c>
      <c r="E653">
        <v>78</v>
      </c>
      <c r="F653">
        <v>11.02</v>
      </c>
      <c r="G653" t="s">
        <v>18</v>
      </c>
      <c r="H653" t="s">
        <v>14</v>
      </c>
      <c r="I653" t="str">
        <f t="shared" si="10"/>
        <v>America</v>
      </c>
    </row>
    <row r="654" spans="1:9" x14ac:dyDescent="0.3">
      <c r="A654" t="s">
        <v>669</v>
      </c>
      <c r="B654">
        <v>94</v>
      </c>
      <c r="C654" t="s">
        <v>45</v>
      </c>
      <c r="D654">
        <v>61</v>
      </c>
      <c r="E654">
        <v>78</v>
      </c>
      <c r="F654">
        <v>11.02</v>
      </c>
      <c r="G654" t="s">
        <v>18</v>
      </c>
      <c r="H654" t="s">
        <v>14</v>
      </c>
      <c r="I654" t="str">
        <f t="shared" si="10"/>
        <v>America</v>
      </c>
    </row>
    <row r="655" spans="1:9" x14ac:dyDescent="0.3">
      <c r="A655" t="s">
        <v>670</v>
      </c>
      <c r="B655">
        <v>94</v>
      </c>
      <c r="C655" t="s">
        <v>45</v>
      </c>
      <c r="D655">
        <v>60</v>
      </c>
      <c r="E655">
        <v>77</v>
      </c>
      <c r="F655">
        <v>11.02</v>
      </c>
      <c r="G655" t="s">
        <v>18</v>
      </c>
      <c r="H655" t="s">
        <v>14</v>
      </c>
      <c r="I655" t="str">
        <f t="shared" si="10"/>
        <v>America</v>
      </c>
    </row>
    <row r="656" spans="1:9" x14ac:dyDescent="0.3">
      <c r="A656" t="s">
        <v>671</v>
      </c>
      <c r="B656">
        <v>95</v>
      </c>
      <c r="C656" t="s">
        <v>82</v>
      </c>
      <c r="D656">
        <v>48</v>
      </c>
      <c r="E656">
        <v>64</v>
      </c>
      <c r="F656">
        <v>275</v>
      </c>
      <c r="G656" t="s">
        <v>2</v>
      </c>
      <c r="H656" t="s">
        <v>15</v>
      </c>
      <c r="I656" t="str">
        <f t="shared" si="10"/>
        <v>America</v>
      </c>
    </row>
    <row r="657" spans="1:9" x14ac:dyDescent="0.3">
      <c r="A657" t="s">
        <v>672</v>
      </c>
      <c r="B657">
        <v>95</v>
      </c>
      <c r="C657" t="s">
        <v>41</v>
      </c>
      <c r="D657">
        <v>62</v>
      </c>
      <c r="E657">
        <v>80</v>
      </c>
      <c r="F657">
        <v>8.82</v>
      </c>
      <c r="G657" t="s">
        <v>2</v>
      </c>
      <c r="H657" t="s">
        <v>9</v>
      </c>
      <c r="I657" t="str">
        <f t="shared" si="10"/>
        <v>Africa</v>
      </c>
    </row>
    <row r="658" spans="1:9" x14ac:dyDescent="0.3">
      <c r="A658" t="s">
        <v>673</v>
      </c>
      <c r="B658">
        <v>94</v>
      </c>
      <c r="C658" t="s">
        <v>41</v>
      </c>
      <c r="D658">
        <v>65</v>
      </c>
      <c r="E658">
        <v>81</v>
      </c>
      <c r="F658">
        <v>440.92</v>
      </c>
      <c r="G658" t="s">
        <v>2</v>
      </c>
      <c r="H658" t="s">
        <v>14</v>
      </c>
      <c r="I658" t="str">
        <f t="shared" si="10"/>
        <v>America</v>
      </c>
    </row>
    <row r="659" spans="1:9" x14ac:dyDescent="0.3">
      <c r="A659" t="s">
        <v>674</v>
      </c>
      <c r="B659">
        <v>95</v>
      </c>
      <c r="C659" t="s">
        <v>45</v>
      </c>
      <c r="D659">
        <v>58</v>
      </c>
      <c r="E659">
        <v>74</v>
      </c>
      <c r="F659">
        <v>13.52</v>
      </c>
      <c r="G659" t="s">
        <v>18</v>
      </c>
      <c r="H659" t="s">
        <v>18</v>
      </c>
      <c r="I659" t="str">
        <f t="shared" si="10"/>
        <v>America</v>
      </c>
    </row>
    <row r="660" spans="1:9" x14ac:dyDescent="0.3">
      <c r="A660" t="s">
        <v>384</v>
      </c>
      <c r="B660">
        <v>94</v>
      </c>
      <c r="C660" t="s">
        <v>45</v>
      </c>
      <c r="D660">
        <v>57</v>
      </c>
      <c r="E660">
        <v>76</v>
      </c>
      <c r="F660">
        <v>5.57</v>
      </c>
      <c r="G660" t="s">
        <v>18</v>
      </c>
      <c r="H660" t="s">
        <v>15</v>
      </c>
      <c r="I660" t="str">
        <f t="shared" si="10"/>
        <v>America</v>
      </c>
    </row>
    <row r="661" spans="1:9" x14ac:dyDescent="0.3">
      <c r="A661" t="s">
        <v>675</v>
      </c>
      <c r="B661">
        <v>96</v>
      </c>
      <c r="C661" t="s">
        <v>41</v>
      </c>
      <c r="D661">
        <v>62</v>
      </c>
      <c r="E661">
        <v>80</v>
      </c>
      <c r="F661">
        <v>4000</v>
      </c>
      <c r="G661" t="s">
        <v>2</v>
      </c>
      <c r="H661" t="s">
        <v>4</v>
      </c>
      <c r="I661" t="str">
        <f t="shared" si="10"/>
        <v>America</v>
      </c>
    </row>
    <row r="662" spans="1:9" x14ac:dyDescent="0.3">
      <c r="A662" t="s">
        <v>676</v>
      </c>
      <c r="B662">
        <v>95</v>
      </c>
      <c r="C662" t="s">
        <v>41</v>
      </c>
      <c r="D662">
        <v>64</v>
      </c>
      <c r="E662">
        <v>86</v>
      </c>
      <c r="F662">
        <v>202.82</v>
      </c>
      <c r="G662" t="s">
        <v>2</v>
      </c>
      <c r="H662" t="s">
        <v>9</v>
      </c>
      <c r="I662" t="str">
        <f t="shared" si="10"/>
        <v>Africa</v>
      </c>
    </row>
    <row r="663" spans="1:9" x14ac:dyDescent="0.3">
      <c r="A663" t="s">
        <v>677</v>
      </c>
      <c r="B663">
        <v>94</v>
      </c>
      <c r="C663" t="s">
        <v>45</v>
      </c>
      <c r="D663">
        <v>52</v>
      </c>
      <c r="E663">
        <v>70</v>
      </c>
      <c r="F663">
        <v>121.15</v>
      </c>
      <c r="G663" t="s">
        <v>2</v>
      </c>
      <c r="H663" t="s">
        <v>9</v>
      </c>
      <c r="I663" t="str">
        <f t="shared" si="10"/>
        <v>Africa</v>
      </c>
    </row>
    <row r="664" spans="1:9" x14ac:dyDescent="0.3">
      <c r="A664" t="s">
        <v>678</v>
      </c>
      <c r="B664">
        <v>94</v>
      </c>
      <c r="C664" t="s">
        <v>45</v>
      </c>
      <c r="D664">
        <v>57</v>
      </c>
      <c r="E664">
        <v>77</v>
      </c>
      <c r="F664">
        <v>242.29</v>
      </c>
      <c r="G664" t="s">
        <v>2</v>
      </c>
      <c r="H664" t="s">
        <v>19</v>
      </c>
      <c r="I664" t="str">
        <f t="shared" si="10"/>
        <v>Asia-Pacific</v>
      </c>
    </row>
    <row r="665" spans="1:9" x14ac:dyDescent="0.3">
      <c r="A665" t="s">
        <v>679</v>
      </c>
      <c r="B665">
        <v>95</v>
      </c>
      <c r="C665" t="s">
        <v>45</v>
      </c>
      <c r="D665">
        <v>60</v>
      </c>
      <c r="E665">
        <v>77</v>
      </c>
      <c r="F665">
        <v>220.26</v>
      </c>
      <c r="G665" t="s">
        <v>2</v>
      </c>
      <c r="H665" t="s">
        <v>12</v>
      </c>
      <c r="I665" t="str">
        <f t="shared" si="10"/>
        <v>Africa</v>
      </c>
    </row>
    <row r="666" spans="1:9" x14ac:dyDescent="0.3">
      <c r="A666" t="s">
        <v>680</v>
      </c>
      <c r="B666">
        <v>94</v>
      </c>
      <c r="C666" t="s">
        <v>41</v>
      </c>
      <c r="D666">
        <v>64</v>
      </c>
      <c r="E666">
        <v>82</v>
      </c>
      <c r="F666">
        <v>175.93</v>
      </c>
      <c r="G666" t="s">
        <v>2</v>
      </c>
      <c r="H666" t="s">
        <v>14</v>
      </c>
      <c r="I666" t="str">
        <f t="shared" si="10"/>
        <v>America</v>
      </c>
    </row>
    <row r="667" spans="1:9" x14ac:dyDescent="0.3">
      <c r="A667" t="s">
        <v>681</v>
      </c>
      <c r="B667">
        <v>95</v>
      </c>
      <c r="C667" t="s">
        <v>45</v>
      </c>
      <c r="D667">
        <v>60</v>
      </c>
      <c r="E667">
        <v>78</v>
      </c>
      <c r="F667">
        <v>6.47</v>
      </c>
      <c r="G667" t="s">
        <v>18</v>
      </c>
      <c r="H667" t="s">
        <v>9</v>
      </c>
      <c r="I667" t="str">
        <f t="shared" si="10"/>
        <v>Africa</v>
      </c>
    </row>
    <row r="668" spans="1:9" x14ac:dyDescent="0.3">
      <c r="A668" t="s">
        <v>682</v>
      </c>
      <c r="B668">
        <v>95</v>
      </c>
      <c r="C668" t="s">
        <v>45</v>
      </c>
      <c r="D668">
        <v>60</v>
      </c>
      <c r="E668">
        <v>78</v>
      </c>
      <c r="F668">
        <v>424.6</v>
      </c>
      <c r="G668" t="s">
        <v>2</v>
      </c>
      <c r="H668" t="s">
        <v>14</v>
      </c>
      <c r="I668" t="str">
        <f t="shared" si="10"/>
        <v>America</v>
      </c>
    </row>
    <row r="669" spans="1:9" x14ac:dyDescent="0.3">
      <c r="A669" t="s">
        <v>683</v>
      </c>
      <c r="B669">
        <v>94</v>
      </c>
      <c r="C669" t="s">
        <v>45</v>
      </c>
      <c r="D669">
        <v>59</v>
      </c>
      <c r="E669">
        <v>78</v>
      </c>
      <c r="F669">
        <v>8.82</v>
      </c>
      <c r="G669" t="s">
        <v>18</v>
      </c>
      <c r="H669" t="s">
        <v>15</v>
      </c>
      <c r="I669" t="str">
        <f t="shared" si="10"/>
        <v>America</v>
      </c>
    </row>
    <row r="670" spans="1:9" x14ac:dyDescent="0.3">
      <c r="A670" t="s">
        <v>684</v>
      </c>
      <c r="B670">
        <v>96</v>
      </c>
      <c r="C670" t="s">
        <v>41</v>
      </c>
      <c r="D670">
        <v>61</v>
      </c>
      <c r="E670">
        <v>81</v>
      </c>
      <c r="F670">
        <v>1058.2</v>
      </c>
      <c r="G670" t="s">
        <v>2</v>
      </c>
      <c r="H670" t="s">
        <v>7</v>
      </c>
      <c r="I670" t="str">
        <f t="shared" si="10"/>
        <v>America</v>
      </c>
    </row>
    <row r="671" spans="1:9" x14ac:dyDescent="0.3">
      <c r="A671" t="s">
        <v>685</v>
      </c>
      <c r="B671">
        <v>95</v>
      </c>
      <c r="C671" t="s">
        <v>45</v>
      </c>
      <c r="D671">
        <v>60</v>
      </c>
      <c r="E671">
        <v>78</v>
      </c>
      <c r="F671">
        <v>1200</v>
      </c>
      <c r="G671" t="s">
        <v>2</v>
      </c>
      <c r="H671" t="s">
        <v>2</v>
      </c>
      <c r="I671" t="str">
        <f t="shared" si="10"/>
        <v>Asia-Pacific</v>
      </c>
    </row>
    <row r="672" spans="1:9" x14ac:dyDescent="0.3">
      <c r="A672" t="s">
        <v>686</v>
      </c>
      <c r="B672">
        <v>95</v>
      </c>
      <c r="C672" t="s">
        <v>41</v>
      </c>
      <c r="D672">
        <v>63</v>
      </c>
      <c r="E672">
        <v>85</v>
      </c>
      <c r="F672">
        <v>143.30000000000001</v>
      </c>
      <c r="G672" t="s">
        <v>2</v>
      </c>
      <c r="H672" t="s">
        <v>9</v>
      </c>
      <c r="I672" t="str">
        <f t="shared" si="10"/>
        <v>Africa</v>
      </c>
    </row>
    <row r="673" spans="1:9" x14ac:dyDescent="0.3">
      <c r="A673" t="s">
        <v>687</v>
      </c>
      <c r="B673">
        <v>94</v>
      </c>
      <c r="C673" t="s">
        <v>45</v>
      </c>
      <c r="D673">
        <v>58</v>
      </c>
      <c r="E673">
        <v>76</v>
      </c>
      <c r="F673">
        <v>5.6</v>
      </c>
      <c r="G673" t="s">
        <v>18</v>
      </c>
      <c r="H673" t="s">
        <v>12</v>
      </c>
      <c r="I673" t="str">
        <f t="shared" si="10"/>
        <v>Africa</v>
      </c>
    </row>
    <row r="674" spans="1:9" x14ac:dyDescent="0.3">
      <c r="A674" t="s">
        <v>688</v>
      </c>
      <c r="B674">
        <v>95</v>
      </c>
      <c r="C674" t="s">
        <v>41</v>
      </c>
      <c r="D674">
        <v>72</v>
      </c>
      <c r="E674">
        <v>90</v>
      </c>
      <c r="F674">
        <v>12.5</v>
      </c>
      <c r="G674" t="s">
        <v>27</v>
      </c>
      <c r="H674" t="s">
        <v>9</v>
      </c>
      <c r="I674" t="str">
        <f t="shared" si="10"/>
        <v>Africa</v>
      </c>
    </row>
    <row r="675" spans="1:9" x14ac:dyDescent="0.3">
      <c r="A675" t="s">
        <v>689</v>
      </c>
      <c r="B675">
        <v>94</v>
      </c>
      <c r="C675" t="s">
        <v>41</v>
      </c>
      <c r="D675">
        <v>64</v>
      </c>
      <c r="E675">
        <v>86</v>
      </c>
      <c r="F675">
        <v>12</v>
      </c>
      <c r="G675" t="s">
        <v>31</v>
      </c>
      <c r="H675" t="s">
        <v>14</v>
      </c>
      <c r="I675" t="str">
        <f t="shared" si="10"/>
        <v>America</v>
      </c>
    </row>
    <row r="676" spans="1:9" x14ac:dyDescent="0.3">
      <c r="A676" t="s">
        <v>690</v>
      </c>
      <c r="B676">
        <v>94</v>
      </c>
      <c r="C676" t="s">
        <v>45</v>
      </c>
      <c r="D676">
        <v>60</v>
      </c>
      <c r="E676">
        <v>77</v>
      </c>
      <c r="F676">
        <v>7.64</v>
      </c>
      <c r="G676" t="s">
        <v>18</v>
      </c>
      <c r="H676" t="s">
        <v>14</v>
      </c>
      <c r="I676" t="str">
        <f t="shared" si="10"/>
        <v>America</v>
      </c>
    </row>
    <row r="677" spans="1:9" x14ac:dyDescent="0.3">
      <c r="A677" t="s">
        <v>691</v>
      </c>
      <c r="B677">
        <v>94</v>
      </c>
      <c r="C677" t="s">
        <v>45</v>
      </c>
      <c r="D677">
        <v>58</v>
      </c>
      <c r="E677">
        <v>78</v>
      </c>
      <c r="F677">
        <v>7.64</v>
      </c>
      <c r="G677" t="s">
        <v>18</v>
      </c>
      <c r="H677" t="s">
        <v>6</v>
      </c>
      <c r="I677" t="str">
        <f t="shared" si="10"/>
        <v>America</v>
      </c>
    </row>
    <row r="678" spans="1:9" x14ac:dyDescent="0.3">
      <c r="A678" t="s">
        <v>692</v>
      </c>
      <c r="B678">
        <v>94</v>
      </c>
      <c r="C678" t="s">
        <v>45</v>
      </c>
      <c r="D678">
        <v>58</v>
      </c>
      <c r="E678">
        <v>74</v>
      </c>
      <c r="F678">
        <v>5.88</v>
      </c>
      <c r="G678" t="s">
        <v>18</v>
      </c>
      <c r="H678" t="s">
        <v>4</v>
      </c>
      <c r="I678" t="str">
        <f t="shared" si="10"/>
        <v>America</v>
      </c>
    </row>
    <row r="679" spans="1:9" x14ac:dyDescent="0.3">
      <c r="A679" t="s">
        <v>693</v>
      </c>
      <c r="B679">
        <v>95</v>
      </c>
      <c r="C679" t="s">
        <v>41</v>
      </c>
      <c r="D679">
        <v>65</v>
      </c>
      <c r="E679">
        <v>82</v>
      </c>
      <c r="F679">
        <v>275</v>
      </c>
      <c r="G679" t="s">
        <v>2</v>
      </c>
      <c r="H679" t="s">
        <v>9</v>
      </c>
      <c r="I679" t="str">
        <f t="shared" si="10"/>
        <v>Africa</v>
      </c>
    </row>
    <row r="680" spans="1:9" x14ac:dyDescent="0.3">
      <c r="A680" t="s">
        <v>694</v>
      </c>
      <c r="B680">
        <v>94</v>
      </c>
      <c r="C680" t="s">
        <v>45</v>
      </c>
      <c r="D680">
        <v>62</v>
      </c>
      <c r="E680">
        <v>77</v>
      </c>
      <c r="F680">
        <v>275</v>
      </c>
      <c r="G680" t="s">
        <v>2</v>
      </c>
      <c r="H680" t="s">
        <v>9</v>
      </c>
      <c r="I680" t="str">
        <f t="shared" si="10"/>
        <v>Africa</v>
      </c>
    </row>
    <row r="681" spans="1:9" x14ac:dyDescent="0.3">
      <c r="A681" t="s">
        <v>340</v>
      </c>
      <c r="B681">
        <v>94</v>
      </c>
      <c r="C681" t="s">
        <v>45</v>
      </c>
      <c r="D681">
        <v>60</v>
      </c>
      <c r="E681">
        <v>78</v>
      </c>
      <c r="F681">
        <v>6.45</v>
      </c>
      <c r="G681" t="s">
        <v>18</v>
      </c>
      <c r="H681" t="s">
        <v>12</v>
      </c>
      <c r="I681" t="str">
        <f t="shared" si="10"/>
        <v>Africa</v>
      </c>
    </row>
    <row r="682" spans="1:9" x14ac:dyDescent="0.3">
      <c r="A682" t="s">
        <v>695</v>
      </c>
      <c r="B682">
        <v>94</v>
      </c>
      <c r="C682" t="s">
        <v>45</v>
      </c>
      <c r="D682">
        <v>60</v>
      </c>
      <c r="E682">
        <v>77</v>
      </c>
      <c r="F682">
        <v>176.37</v>
      </c>
      <c r="G682" t="s">
        <v>2</v>
      </c>
      <c r="H682" t="s">
        <v>12</v>
      </c>
      <c r="I682" t="str">
        <f t="shared" si="10"/>
        <v>Africa</v>
      </c>
    </row>
    <row r="683" spans="1:9" x14ac:dyDescent="0.3">
      <c r="A683" t="s">
        <v>696</v>
      </c>
      <c r="B683">
        <v>96</v>
      </c>
      <c r="C683" t="s">
        <v>45</v>
      </c>
      <c r="D683">
        <v>56</v>
      </c>
      <c r="E683">
        <v>74</v>
      </c>
      <c r="F683">
        <v>21.14</v>
      </c>
      <c r="G683" t="s">
        <v>18</v>
      </c>
      <c r="H683" t="s">
        <v>150</v>
      </c>
      <c r="I683" t="str">
        <f t="shared" si="10"/>
        <v>NULL</v>
      </c>
    </row>
    <row r="684" spans="1:9" x14ac:dyDescent="0.3">
      <c r="A684" t="s">
        <v>697</v>
      </c>
      <c r="B684">
        <v>94</v>
      </c>
      <c r="C684" t="s">
        <v>45</v>
      </c>
      <c r="D684">
        <v>58</v>
      </c>
      <c r="E684">
        <v>77</v>
      </c>
      <c r="F684">
        <v>6.8</v>
      </c>
      <c r="G684" t="s">
        <v>18</v>
      </c>
      <c r="H684" t="s">
        <v>12</v>
      </c>
      <c r="I684" t="str">
        <f t="shared" si="10"/>
        <v>Africa</v>
      </c>
    </row>
    <row r="685" spans="1:9" x14ac:dyDescent="0.3">
      <c r="A685" t="s">
        <v>698</v>
      </c>
      <c r="B685">
        <v>94</v>
      </c>
      <c r="C685" t="s">
        <v>82</v>
      </c>
      <c r="D685">
        <v>48</v>
      </c>
      <c r="E685">
        <v>67</v>
      </c>
      <c r="F685">
        <v>1000</v>
      </c>
      <c r="G685" t="s">
        <v>2</v>
      </c>
      <c r="H685" t="s">
        <v>2</v>
      </c>
      <c r="I685" t="str">
        <f t="shared" si="10"/>
        <v>Asia-Pacific</v>
      </c>
    </row>
    <row r="686" spans="1:9" x14ac:dyDescent="0.3">
      <c r="A686" t="s">
        <v>699</v>
      </c>
      <c r="B686">
        <v>94</v>
      </c>
      <c r="C686" t="s">
        <v>41</v>
      </c>
      <c r="D686">
        <v>62</v>
      </c>
      <c r="E686">
        <v>84</v>
      </c>
      <c r="F686">
        <v>6.88</v>
      </c>
      <c r="G686" t="s">
        <v>18</v>
      </c>
      <c r="H686" t="s">
        <v>9</v>
      </c>
      <c r="I686" t="str">
        <f t="shared" si="10"/>
        <v>Africa</v>
      </c>
    </row>
    <row r="687" spans="1:9" x14ac:dyDescent="0.3">
      <c r="A687" t="s">
        <v>700</v>
      </c>
      <c r="B687">
        <v>94</v>
      </c>
      <c r="C687" t="s">
        <v>45</v>
      </c>
      <c r="D687">
        <v>60</v>
      </c>
      <c r="E687">
        <v>77</v>
      </c>
      <c r="F687">
        <v>6.8</v>
      </c>
      <c r="G687" t="s">
        <v>18</v>
      </c>
      <c r="H687" t="s">
        <v>12</v>
      </c>
      <c r="I687" t="str">
        <f t="shared" si="10"/>
        <v>Africa</v>
      </c>
    </row>
    <row r="688" spans="1:9" x14ac:dyDescent="0.3">
      <c r="A688" t="s">
        <v>701</v>
      </c>
      <c r="B688">
        <v>94</v>
      </c>
      <c r="C688" t="s">
        <v>41</v>
      </c>
      <c r="D688">
        <v>64</v>
      </c>
      <c r="E688">
        <v>84</v>
      </c>
      <c r="F688">
        <v>326.08999999999997</v>
      </c>
      <c r="G688" t="s">
        <v>2</v>
      </c>
      <c r="H688" t="s">
        <v>12</v>
      </c>
      <c r="I688" t="str">
        <f t="shared" si="10"/>
        <v>Africa</v>
      </c>
    </row>
    <row r="689" spans="1:9" x14ac:dyDescent="0.3">
      <c r="A689" t="s">
        <v>397</v>
      </c>
      <c r="B689">
        <v>94</v>
      </c>
      <c r="C689" t="s">
        <v>41</v>
      </c>
      <c r="D689">
        <v>62</v>
      </c>
      <c r="E689">
        <v>80</v>
      </c>
      <c r="F689">
        <v>25.57</v>
      </c>
      <c r="G689" t="s">
        <v>18</v>
      </c>
      <c r="H689" t="s">
        <v>18</v>
      </c>
      <c r="I689" t="str">
        <f t="shared" si="10"/>
        <v>America</v>
      </c>
    </row>
    <row r="690" spans="1:9" x14ac:dyDescent="0.3">
      <c r="A690" t="s">
        <v>702</v>
      </c>
      <c r="B690">
        <v>94</v>
      </c>
      <c r="C690" t="s">
        <v>45</v>
      </c>
      <c r="D690">
        <v>60</v>
      </c>
      <c r="E690">
        <v>78</v>
      </c>
      <c r="F690">
        <v>17.28</v>
      </c>
      <c r="G690" t="s">
        <v>18</v>
      </c>
      <c r="H690" t="s">
        <v>18</v>
      </c>
      <c r="I690" t="str">
        <f t="shared" si="10"/>
        <v>America</v>
      </c>
    </row>
    <row r="691" spans="1:9" x14ac:dyDescent="0.3">
      <c r="A691" t="s">
        <v>703</v>
      </c>
      <c r="B691">
        <v>96</v>
      </c>
      <c r="C691" t="s">
        <v>45</v>
      </c>
      <c r="D691">
        <v>60</v>
      </c>
      <c r="E691">
        <v>77</v>
      </c>
      <c r="F691">
        <v>171.96</v>
      </c>
      <c r="G691" t="s">
        <v>2</v>
      </c>
      <c r="H691" t="s">
        <v>12</v>
      </c>
      <c r="I691" t="str">
        <f t="shared" si="10"/>
        <v>Africa</v>
      </c>
    </row>
    <row r="692" spans="1:9" x14ac:dyDescent="0.3">
      <c r="A692" t="s">
        <v>704</v>
      </c>
      <c r="B692">
        <v>95</v>
      </c>
      <c r="C692" t="s">
        <v>41</v>
      </c>
      <c r="D692">
        <v>62</v>
      </c>
      <c r="E692">
        <v>80</v>
      </c>
      <c r="F692">
        <v>7.5</v>
      </c>
      <c r="G692" t="s">
        <v>18</v>
      </c>
      <c r="H692" t="s">
        <v>9</v>
      </c>
      <c r="I692" t="str">
        <f t="shared" si="10"/>
        <v>Africa</v>
      </c>
    </row>
    <row r="693" spans="1:9" x14ac:dyDescent="0.3">
      <c r="A693" t="s">
        <v>705</v>
      </c>
      <c r="B693">
        <v>95</v>
      </c>
      <c r="C693" t="s">
        <v>41</v>
      </c>
      <c r="D693">
        <v>62</v>
      </c>
      <c r="E693">
        <v>80</v>
      </c>
      <c r="F693">
        <v>264.55</v>
      </c>
      <c r="G693" t="s">
        <v>2</v>
      </c>
      <c r="H693" t="s">
        <v>9</v>
      </c>
      <c r="I693" t="str">
        <f t="shared" si="10"/>
        <v>Africa</v>
      </c>
    </row>
    <row r="694" spans="1:9" x14ac:dyDescent="0.3">
      <c r="A694" t="s">
        <v>706</v>
      </c>
      <c r="B694">
        <v>95</v>
      </c>
      <c r="C694" t="s">
        <v>41</v>
      </c>
      <c r="D694">
        <v>64</v>
      </c>
      <c r="E694">
        <v>84</v>
      </c>
      <c r="F694">
        <v>308.64</v>
      </c>
      <c r="G694" t="s">
        <v>2</v>
      </c>
      <c r="H694" t="s">
        <v>9</v>
      </c>
      <c r="I694" t="str">
        <f t="shared" si="10"/>
        <v>Africa</v>
      </c>
    </row>
    <row r="695" spans="1:9" x14ac:dyDescent="0.3">
      <c r="A695" t="s">
        <v>707</v>
      </c>
      <c r="B695">
        <v>94</v>
      </c>
      <c r="C695" t="s">
        <v>45</v>
      </c>
      <c r="D695">
        <v>56</v>
      </c>
      <c r="E695">
        <v>72</v>
      </c>
      <c r="F695">
        <v>6.47</v>
      </c>
      <c r="G695" t="s">
        <v>18</v>
      </c>
      <c r="H695" t="s">
        <v>17</v>
      </c>
      <c r="I695" t="str">
        <f t="shared" si="10"/>
        <v>Africa</v>
      </c>
    </row>
    <row r="696" spans="1:9" x14ac:dyDescent="0.3">
      <c r="A696" t="s">
        <v>708</v>
      </c>
      <c r="B696">
        <v>94</v>
      </c>
      <c r="C696" t="s">
        <v>45</v>
      </c>
      <c r="D696">
        <v>56</v>
      </c>
      <c r="E696">
        <v>74</v>
      </c>
      <c r="F696">
        <v>105.82</v>
      </c>
      <c r="G696" t="s">
        <v>2</v>
      </c>
      <c r="H696" t="s">
        <v>7</v>
      </c>
      <c r="I696" t="str">
        <f t="shared" si="10"/>
        <v>America</v>
      </c>
    </row>
    <row r="697" spans="1:9" x14ac:dyDescent="0.3">
      <c r="A697" t="s">
        <v>709</v>
      </c>
      <c r="B697">
        <v>94</v>
      </c>
      <c r="C697" t="s">
        <v>45</v>
      </c>
      <c r="D697">
        <v>58</v>
      </c>
      <c r="E697">
        <v>78</v>
      </c>
      <c r="F697">
        <v>154.32</v>
      </c>
      <c r="G697" t="s">
        <v>2</v>
      </c>
      <c r="H697" t="s">
        <v>7</v>
      </c>
      <c r="I697" t="str">
        <f t="shared" si="10"/>
        <v>America</v>
      </c>
    </row>
    <row r="698" spans="1:9" x14ac:dyDescent="0.3">
      <c r="A698" t="s">
        <v>710</v>
      </c>
      <c r="B698">
        <v>94</v>
      </c>
      <c r="C698" t="s">
        <v>45</v>
      </c>
      <c r="D698">
        <v>61</v>
      </c>
      <c r="E698">
        <v>79</v>
      </c>
      <c r="F698">
        <v>14.22</v>
      </c>
      <c r="G698" t="s">
        <v>18</v>
      </c>
      <c r="H698" t="s">
        <v>10</v>
      </c>
      <c r="I698" t="str">
        <f t="shared" si="10"/>
        <v>America</v>
      </c>
    </row>
    <row r="699" spans="1:9" x14ac:dyDescent="0.3">
      <c r="A699" t="s">
        <v>711</v>
      </c>
      <c r="B699">
        <v>96</v>
      </c>
      <c r="C699" t="s">
        <v>45</v>
      </c>
      <c r="D699">
        <v>59</v>
      </c>
      <c r="E699">
        <v>77</v>
      </c>
      <c r="F699">
        <v>7.05</v>
      </c>
      <c r="G699" t="s">
        <v>18</v>
      </c>
      <c r="H699" t="s">
        <v>12</v>
      </c>
      <c r="I699" t="str">
        <f t="shared" si="10"/>
        <v>Africa</v>
      </c>
    </row>
    <row r="700" spans="1:9" x14ac:dyDescent="0.3">
      <c r="A700" t="s">
        <v>712</v>
      </c>
      <c r="B700">
        <v>94</v>
      </c>
      <c r="C700" t="s">
        <v>45</v>
      </c>
      <c r="D700">
        <v>58</v>
      </c>
      <c r="E700">
        <v>78</v>
      </c>
      <c r="F700">
        <v>11.61</v>
      </c>
      <c r="G700" t="s">
        <v>18</v>
      </c>
      <c r="H700" t="s">
        <v>14</v>
      </c>
      <c r="I700" t="str">
        <f t="shared" si="10"/>
        <v>America</v>
      </c>
    </row>
    <row r="701" spans="1:9" x14ac:dyDescent="0.3">
      <c r="A701" t="s">
        <v>713</v>
      </c>
      <c r="B701">
        <v>95</v>
      </c>
      <c r="C701" t="s">
        <v>41</v>
      </c>
      <c r="D701">
        <v>64</v>
      </c>
      <c r="E701">
        <v>82</v>
      </c>
      <c r="F701">
        <v>35.270000000000003</v>
      </c>
      <c r="G701" t="s">
        <v>18</v>
      </c>
      <c r="H701" t="s">
        <v>14</v>
      </c>
      <c r="I701" t="str">
        <f t="shared" si="10"/>
        <v>America</v>
      </c>
    </row>
    <row r="702" spans="1:9" x14ac:dyDescent="0.3">
      <c r="A702" t="s">
        <v>714</v>
      </c>
      <c r="B702">
        <v>94</v>
      </c>
      <c r="C702" t="s">
        <v>45</v>
      </c>
      <c r="D702">
        <v>58</v>
      </c>
      <c r="E702">
        <v>76</v>
      </c>
      <c r="F702">
        <v>5</v>
      </c>
      <c r="G702" t="s">
        <v>18</v>
      </c>
      <c r="H702" t="s">
        <v>6</v>
      </c>
      <c r="I702" t="str">
        <f t="shared" si="10"/>
        <v>America</v>
      </c>
    </row>
    <row r="703" spans="1:9" x14ac:dyDescent="0.3">
      <c r="A703" t="s">
        <v>715</v>
      </c>
      <c r="B703">
        <v>95</v>
      </c>
      <c r="C703" t="s">
        <v>41</v>
      </c>
      <c r="D703">
        <v>65</v>
      </c>
      <c r="E703">
        <v>85</v>
      </c>
      <c r="F703">
        <v>275</v>
      </c>
      <c r="G703" t="s">
        <v>2</v>
      </c>
      <c r="H703" t="s">
        <v>9</v>
      </c>
      <c r="I703" t="str">
        <f t="shared" si="10"/>
        <v>Africa</v>
      </c>
    </row>
    <row r="704" spans="1:9" x14ac:dyDescent="0.3">
      <c r="A704" t="s">
        <v>716</v>
      </c>
      <c r="B704">
        <v>95</v>
      </c>
      <c r="C704" t="s">
        <v>41</v>
      </c>
      <c r="D704">
        <v>64</v>
      </c>
      <c r="E704">
        <v>82</v>
      </c>
      <c r="F704">
        <v>9.17</v>
      </c>
      <c r="G704" t="s">
        <v>18</v>
      </c>
      <c r="H704" t="s">
        <v>14</v>
      </c>
      <c r="I704" t="str">
        <f t="shared" si="10"/>
        <v>America</v>
      </c>
    </row>
    <row r="705" spans="1:9" x14ac:dyDescent="0.3">
      <c r="A705" t="s">
        <v>130</v>
      </c>
      <c r="B705">
        <v>94</v>
      </c>
      <c r="C705" t="s">
        <v>45</v>
      </c>
      <c r="D705">
        <v>60</v>
      </c>
      <c r="E705">
        <v>78</v>
      </c>
      <c r="F705">
        <v>5.88</v>
      </c>
      <c r="G705" t="s">
        <v>18</v>
      </c>
      <c r="H705" t="s">
        <v>9</v>
      </c>
      <c r="I705" t="str">
        <f t="shared" si="10"/>
        <v>Africa</v>
      </c>
    </row>
    <row r="706" spans="1:9" x14ac:dyDescent="0.3">
      <c r="A706" t="s">
        <v>12</v>
      </c>
      <c r="B706">
        <v>95</v>
      </c>
      <c r="C706" t="s">
        <v>45</v>
      </c>
      <c r="D706">
        <v>62</v>
      </c>
      <c r="E706">
        <v>77</v>
      </c>
      <c r="F706">
        <v>264.32</v>
      </c>
      <c r="G706" t="s">
        <v>2</v>
      </c>
      <c r="H706" t="s">
        <v>12</v>
      </c>
      <c r="I706" t="str">
        <f t="shared" si="10"/>
        <v>Africa</v>
      </c>
    </row>
    <row r="707" spans="1:9" x14ac:dyDescent="0.3">
      <c r="A707" t="s">
        <v>439</v>
      </c>
      <c r="B707">
        <v>96</v>
      </c>
      <c r="C707" t="s">
        <v>45</v>
      </c>
      <c r="D707">
        <v>58</v>
      </c>
      <c r="E707">
        <v>78</v>
      </c>
      <c r="F707">
        <v>24.23</v>
      </c>
      <c r="G707" t="s">
        <v>18</v>
      </c>
      <c r="H707" t="s">
        <v>18</v>
      </c>
      <c r="I707" t="str">
        <f t="shared" ref="I707:I770" si="11">_xlfn.XLOOKUP(H707, $M$2:$M$50, $N$2:$N$50, "Other")</f>
        <v>America</v>
      </c>
    </row>
    <row r="708" spans="1:9" x14ac:dyDescent="0.3">
      <c r="A708" t="s">
        <v>202</v>
      </c>
      <c r="B708">
        <v>95</v>
      </c>
      <c r="C708" t="s">
        <v>45</v>
      </c>
      <c r="D708">
        <v>60</v>
      </c>
      <c r="E708">
        <v>78</v>
      </c>
      <c r="F708">
        <v>6.47</v>
      </c>
      <c r="G708" t="s">
        <v>18</v>
      </c>
      <c r="H708" t="s">
        <v>9</v>
      </c>
      <c r="I708" t="str">
        <f t="shared" si="11"/>
        <v>Africa</v>
      </c>
    </row>
    <row r="709" spans="1:9" x14ac:dyDescent="0.3">
      <c r="A709" t="s">
        <v>717</v>
      </c>
      <c r="B709">
        <v>94</v>
      </c>
      <c r="C709" t="s">
        <v>45</v>
      </c>
      <c r="D709">
        <v>58</v>
      </c>
      <c r="E709">
        <v>76</v>
      </c>
      <c r="F709">
        <v>10.58</v>
      </c>
      <c r="G709" t="s">
        <v>18</v>
      </c>
      <c r="H709" t="s">
        <v>14</v>
      </c>
      <c r="I709" t="str">
        <f t="shared" si="11"/>
        <v>America</v>
      </c>
    </row>
    <row r="710" spans="1:9" x14ac:dyDescent="0.3">
      <c r="A710" t="s">
        <v>718</v>
      </c>
      <c r="B710">
        <v>95</v>
      </c>
      <c r="C710" t="s">
        <v>45</v>
      </c>
      <c r="D710">
        <v>60</v>
      </c>
      <c r="E710">
        <v>78</v>
      </c>
      <c r="F710">
        <v>8.3800000000000008</v>
      </c>
      <c r="G710" t="s">
        <v>18</v>
      </c>
      <c r="H710" t="s">
        <v>14</v>
      </c>
      <c r="I710" t="str">
        <f t="shared" si="11"/>
        <v>America</v>
      </c>
    </row>
    <row r="711" spans="1:9" x14ac:dyDescent="0.3">
      <c r="A711" t="s">
        <v>719</v>
      </c>
      <c r="B711">
        <v>94</v>
      </c>
      <c r="C711" t="s">
        <v>41</v>
      </c>
      <c r="D711">
        <v>62</v>
      </c>
      <c r="E711">
        <v>80</v>
      </c>
      <c r="F711">
        <v>5.44</v>
      </c>
      <c r="G711" t="s">
        <v>18</v>
      </c>
      <c r="H711" t="s">
        <v>14</v>
      </c>
      <c r="I711" t="str">
        <f t="shared" si="11"/>
        <v>America</v>
      </c>
    </row>
    <row r="712" spans="1:9" x14ac:dyDescent="0.3">
      <c r="A712" t="s">
        <v>720</v>
      </c>
      <c r="B712">
        <v>95</v>
      </c>
      <c r="C712" t="s">
        <v>41</v>
      </c>
      <c r="D712">
        <v>68</v>
      </c>
      <c r="E712">
        <v>92</v>
      </c>
      <c r="F712">
        <v>7.05</v>
      </c>
      <c r="G712" t="s">
        <v>18</v>
      </c>
      <c r="H712" t="s">
        <v>9</v>
      </c>
      <c r="I712" t="str">
        <f t="shared" si="11"/>
        <v>Africa</v>
      </c>
    </row>
    <row r="713" spans="1:9" x14ac:dyDescent="0.3">
      <c r="A713" t="s">
        <v>118</v>
      </c>
      <c r="B713">
        <v>94</v>
      </c>
      <c r="C713" t="s">
        <v>45</v>
      </c>
      <c r="D713">
        <v>58</v>
      </c>
      <c r="E713">
        <v>76</v>
      </c>
      <c r="F713">
        <v>6.17</v>
      </c>
      <c r="G713" t="s">
        <v>18</v>
      </c>
      <c r="H713" t="s">
        <v>16</v>
      </c>
      <c r="I713" t="str">
        <f t="shared" si="11"/>
        <v>Asia-Pacific</v>
      </c>
    </row>
    <row r="714" spans="1:9" x14ac:dyDescent="0.3">
      <c r="A714" t="s">
        <v>721</v>
      </c>
      <c r="B714">
        <v>94</v>
      </c>
      <c r="C714" t="s">
        <v>41</v>
      </c>
      <c r="D714">
        <v>62</v>
      </c>
      <c r="E714">
        <v>80</v>
      </c>
      <c r="F714">
        <v>4.74</v>
      </c>
      <c r="G714" t="s">
        <v>18</v>
      </c>
      <c r="H714" t="s">
        <v>16</v>
      </c>
      <c r="I714" t="str">
        <f t="shared" si="11"/>
        <v>Asia-Pacific</v>
      </c>
    </row>
    <row r="715" spans="1:9" x14ac:dyDescent="0.3">
      <c r="A715" t="s">
        <v>722</v>
      </c>
      <c r="B715">
        <v>95</v>
      </c>
      <c r="C715" t="s">
        <v>45</v>
      </c>
      <c r="D715">
        <v>58</v>
      </c>
      <c r="E715">
        <v>78</v>
      </c>
      <c r="F715">
        <v>5.59</v>
      </c>
      <c r="G715" t="s">
        <v>18</v>
      </c>
      <c r="H715" t="s">
        <v>9</v>
      </c>
      <c r="I715" t="str">
        <f t="shared" si="11"/>
        <v>Africa</v>
      </c>
    </row>
    <row r="716" spans="1:9" x14ac:dyDescent="0.3">
      <c r="A716" t="s">
        <v>723</v>
      </c>
      <c r="B716">
        <v>95</v>
      </c>
      <c r="C716" t="s">
        <v>45</v>
      </c>
      <c r="D716">
        <v>60</v>
      </c>
      <c r="E716">
        <v>78</v>
      </c>
      <c r="F716">
        <v>44.09</v>
      </c>
      <c r="G716" t="s">
        <v>18</v>
      </c>
      <c r="H716" t="s">
        <v>5</v>
      </c>
      <c r="I716" t="str">
        <f t="shared" si="11"/>
        <v>America</v>
      </c>
    </row>
    <row r="717" spans="1:9" x14ac:dyDescent="0.3">
      <c r="A717" t="s">
        <v>724</v>
      </c>
      <c r="B717">
        <v>94</v>
      </c>
      <c r="C717" t="s">
        <v>45</v>
      </c>
      <c r="D717">
        <v>58</v>
      </c>
      <c r="E717">
        <v>76</v>
      </c>
      <c r="F717">
        <v>7.94</v>
      </c>
      <c r="G717" t="s">
        <v>18</v>
      </c>
      <c r="H717" t="s">
        <v>14</v>
      </c>
      <c r="I717" t="str">
        <f t="shared" si="11"/>
        <v>America</v>
      </c>
    </row>
    <row r="718" spans="1:9" x14ac:dyDescent="0.3">
      <c r="A718" t="s">
        <v>725</v>
      </c>
      <c r="B718">
        <v>94</v>
      </c>
      <c r="C718" t="s">
        <v>45</v>
      </c>
      <c r="D718">
        <v>60</v>
      </c>
      <c r="E718">
        <v>78</v>
      </c>
      <c r="F718">
        <v>44.09</v>
      </c>
      <c r="G718" t="s">
        <v>18</v>
      </c>
      <c r="H718" t="s">
        <v>5</v>
      </c>
      <c r="I718" t="str">
        <f t="shared" si="11"/>
        <v>America</v>
      </c>
    </row>
    <row r="719" spans="1:9" x14ac:dyDescent="0.3">
      <c r="A719" t="s">
        <v>726</v>
      </c>
      <c r="B719">
        <v>94</v>
      </c>
      <c r="C719" t="s">
        <v>45</v>
      </c>
      <c r="D719">
        <v>57</v>
      </c>
      <c r="E719">
        <v>75</v>
      </c>
      <c r="F719">
        <v>11.02</v>
      </c>
      <c r="G719" t="s">
        <v>18</v>
      </c>
      <c r="H719" t="s">
        <v>4</v>
      </c>
      <c r="I719" t="str">
        <f t="shared" si="11"/>
        <v>America</v>
      </c>
    </row>
    <row r="720" spans="1:9" x14ac:dyDescent="0.3">
      <c r="A720" t="s">
        <v>727</v>
      </c>
      <c r="B720">
        <v>95</v>
      </c>
      <c r="C720" t="s">
        <v>41</v>
      </c>
      <c r="D720">
        <v>64</v>
      </c>
      <c r="E720">
        <v>84</v>
      </c>
      <c r="F720">
        <v>40</v>
      </c>
      <c r="G720" t="s">
        <v>18</v>
      </c>
      <c r="H720" t="s">
        <v>5</v>
      </c>
      <c r="I720" t="str">
        <f t="shared" si="11"/>
        <v>America</v>
      </c>
    </row>
    <row r="721" spans="1:9" x14ac:dyDescent="0.3">
      <c r="A721" t="s">
        <v>728</v>
      </c>
      <c r="B721">
        <v>94</v>
      </c>
      <c r="C721" t="s">
        <v>45</v>
      </c>
      <c r="D721">
        <v>62</v>
      </c>
      <c r="E721">
        <v>78</v>
      </c>
      <c r="F721">
        <v>6.09</v>
      </c>
      <c r="G721" t="s">
        <v>2</v>
      </c>
      <c r="H721" t="s">
        <v>21</v>
      </c>
      <c r="I721" t="str">
        <f t="shared" si="11"/>
        <v>America</v>
      </c>
    </row>
    <row r="722" spans="1:9" x14ac:dyDescent="0.3">
      <c r="A722" t="s">
        <v>729</v>
      </c>
      <c r="B722">
        <v>95</v>
      </c>
      <c r="C722" t="s">
        <v>45</v>
      </c>
      <c r="D722">
        <v>60</v>
      </c>
      <c r="E722">
        <v>77</v>
      </c>
      <c r="F722">
        <v>2083.33</v>
      </c>
      <c r="G722" t="s">
        <v>2</v>
      </c>
      <c r="H722" t="s">
        <v>5</v>
      </c>
      <c r="I722" t="str">
        <f t="shared" si="11"/>
        <v>America</v>
      </c>
    </row>
    <row r="723" spans="1:9" x14ac:dyDescent="0.3">
      <c r="A723" t="s">
        <v>730</v>
      </c>
      <c r="B723">
        <v>94</v>
      </c>
      <c r="C723" t="s">
        <v>45</v>
      </c>
      <c r="D723">
        <v>56</v>
      </c>
      <c r="E723">
        <v>72</v>
      </c>
      <c r="F723">
        <v>250</v>
      </c>
      <c r="G723" t="s">
        <v>2</v>
      </c>
      <c r="H723" t="s">
        <v>5</v>
      </c>
      <c r="I723" t="str">
        <f t="shared" si="11"/>
        <v>America</v>
      </c>
    </row>
    <row r="724" spans="1:9" x14ac:dyDescent="0.3">
      <c r="A724" t="s">
        <v>731</v>
      </c>
      <c r="B724">
        <v>94</v>
      </c>
      <c r="C724" t="s">
        <v>45</v>
      </c>
      <c r="D724">
        <v>60</v>
      </c>
      <c r="E724">
        <v>76</v>
      </c>
      <c r="F724">
        <v>440</v>
      </c>
      <c r="G724" t="s">
        <v>2</v>
      </c>
      <c r="H724" t="s">
        <v>9</v>
      </c>
      <c r="I724" t="str">
        <f t="shared" si="11"/>
        <v>Africa</v>
      </c>
    </row>
    <row r="725" spans="1:9" x14ac:dyDescent="0.3">
      <c r="A725" t="s">
        <v>732</v>
      </c>
      <c r="B725">
        <v>95</v>
      </c>
      <c r="C725" t="s">
        <v>45</v>
      </c>
      <c r="D725">
        <v>60</v>
      </c>
      <c r="E725">
        <v>80</v>
      </c>
      <c r="F725">
        <v>154.32</v>
      </c>
      <c r="G725" t="s">
        <v>2</v>
      </c>
      <c r="H725" t="s">
        <v>9</v>
      </c>
      <c r="I725" t="str">
        <f t="shared" si="11"/>
        <v>Africa</v>
      </c>
    </row>
    <row r="726" spans="1:9" x14ac:dyDescent="0.3">
      <c r="A726" t="s">
        <v>733</v>
      </c>
      <c r="B726">
        <v>94</v>
      </c>
      <c r="C726" t="s">
        <v>45</v>
      </c>
      <c r="D726">
        <v>58</v>
      </c>
      <c r="E726">
        <v>76</v>
      </c>
      <c r="F726">
        <v>485.01</v>
      </c>
      <c r="G726" t="s">
        <v>2</v>
      </c>
      <c r="H726" t="s">
        <v>2</v>
      </c>
      <c r="I726" t="str">
        <f t="shared" si="11"/>
        <v>Asia-Pacific</v>
      </c>
    </row>
    <row r="727" spans="1:9" x14ac:dyDescent="0.3">
      <c r="A727" t="s">
        <v>734</v>
      </c>
      <c r="B727">
        <v>95</v>
      </c>
      <c r="C727" t="s">
        <v>45</v>
      </c>
      <c r="D727">
        <v>57</v>
      </c>
      <c r="E727">
        <v>74</v>
      </c>
      <c r="F727">
        <v>26.46</v>
      </c>
      <c r="G727" t="s">
        <v>18</v>
      </c>
      <c r="H727" t="s">
        <v>18</v>
      </c>
      <c r="I727" t="str">
        <f t="shared" si="11"/>
        <v>America</v>
      </c>
    </row>
    <row r="728" spans="1:9" x14ac:dyDescent="0.3">
      <c r="A728" t="s">
        <v>735</v>
      </c>
      <c r="B728">
        <v>94</v>
      </c>
      <c r="C728" t="s">
        <v>45</v>
      </c>
      <c r="D728">
        <v>58</v>
      </c>
      <c r="E728">
        <v>78</v>
      </c>
      <c r="F728">
        <v>5.59</v>
      </c>
      <c r="G728" t="s">
        <v>18</v>
      </c>
      <c r="H728" t="s">
        <v>9</v>
      </c>
      <c r="I728" t="str">
        <f t="shared" si="11"/>
        <v>Africa</v>
      </c>
    </row>
    <row r="729" spans="1:9" x14ac:dyDescent="0.3">
      <c r="A729" t="s">
        <v>736</v>
      </c>
      <c r="B729">
        <v>94</v>
      </c>
      <c r="C729" t="s">
        <v>41</v>
      </c>
      <c r="D729">
        <v>62</v>
      </c>
      <c r="E729">
        <v>80</v>
      </c>
      <c r="F729">
        <v>11.17</v>
      </c>
      <c r="G729" t="s">
        <v>18</v>
      </c>
      <c r="H729" t="s">
        <v>14</v>
      </c>
      <c r="I729" t="str">
        <f t="shared" si="11"/>
        <v>America</v>
      </c>
    </row>
    <row r="730" spans="1:9" x14ac:dyDescent="0.3">
      <c r="A730" t="s">
        <v>737</v>
      </c>
      <c r="B730">
        <v>94</v>
      </c>
      <c r="C730" t="s">
        <v>45</v>
      </c>
      <c r="D730">
        <v>57</v>
      </c>
      <c r="E730">
        <v>73</v>
      </c>
      <c r="F730">
        <v>5.14</v>
      </c>
      <c r="G730" t="s">
        <v>18</v>
      </c>
      <c r="H730" t="s">
        <v>15</v>
      </c>
      <c r="I730" t="str">
        <f t="shared" si="11"/>
        <v>America</v>
      </c>
    </row>
    <row r="731" spans="1:9" x14ac:dyDescent="0.3">
      <c r="A731" t="s">
        <v>738</v>
      </c>
      <c r="B731">
        <v>95</v>
      </c>
      <c r="C731" t="s">
        <v>45</v>
      </c>
      <c r="D731">
        <v>56</v>
      </c>
      <c r="E731">
        <v>74</v>
      </c>
      <c r="F731">
        <v>5.48</v>
      </c>
      <c r="G731" t="s">
        <v>18</v>
      </c>
      <c r="H731" t="s">
        <v>21</v>
      </c>
      <c r="I731" t="str">
        <f t="shared" si="11"/>
        <v>America</v>
      </c>
    </row>
    <row r="732" spans="1:9" x14ac:dyDescent="0.3">
      <c r="A732" t="s">
        <v>739</v>
      </c>
      <c r="B732">
        <v>95</v>
      </c>
      <c r="C732" t="s">
        <v>45</v>
      </c>
      <c r="D732">
        <v>58</v>
      </c>
      <c r="E732">
        <v>78</v>
      </c>
      <c r="F732">
        <v>28.66</v>
      </c>
      <c r="G732" t="s">
        <v>18</v>
      </c>
      <c r="H732" t="s">
        <v>14</v>
      </c>
      <c r="I732" t="str">
        <f t="shared" si="11"/>
        <v>America</v>
      </c>
    </row>
    <row r="733" spans="1:9" x14ac:dyDescent="0.3">
      <c r="A733" t="s">
        <v>740</v>
      </c>
      <c r="B733">
        <v>94</v>
      </c>
      <c r="C733" t="s">
        <v>45</v>
      </c>
      <c r="D733">
        <v>56</v>
      </c>
      <c r="E733">
        <v>74</v>
      </c>
      <c r="F733">
        <v>6.47</v>
      </c>
      <c r="G733" t="s">
        <v>18</v>
      </c>
      <c r="H733" t="s">
        <v>9</v>
      </c>
      <c r="I733" t="str">
        <f t="shared" si="11"/>
        <v>Africa</v>
      </c>
    </row>
    <row r="734" spans="1:9" x14ac:dyDescent="0.3">
      <c r="A734" t="s">
        <v>741</v>
      </c>
      <c r="B734">
        <v>94</v>
      </c>
      <c r="C734" t="s">
        <v>45</v>
      </c>
      <c r="D734">
        <v>60</v>
      </c>
      <c r="E734">
        <v>78</v>
      </c>
      <c r="F734">
        <v>11.6</v>
      </c>
      <c r="G734" t="s">
        <v>18</v>
      </c>
      <c r="H734" t="s">
        <v>15</v>
      </c>
      <c r="I734" t="str">
        <f t="shared" si="11"/>
        <v>America</v>
      </c>
    </row>
    <row r="735" spans="1:9" x14ac:dyDescent="0.3">
      <c r="A735" t="s">
        <v>742</v>
      </c>
      <c r="B735">
        <v>95</v>
      </c>
      <c r="C735" t="s">
        <v>45</v>
      </c>
      <c r="D735">
        <v>58</v>
      </c>
      <c r="E735">
        <v>77</v>
      </c>
      <c r="F735">
        <v>13.23</v>
      </c>
      <c r="G735" t="s">
        <v>18</v>
      </c>
      <c r="H735" t="s">
        <v>5</v>
      </c>
      <c r="I735" t="str">
        <f t="shared" si="11"/>
        <v>America</v>
      </c>
    </row>
    <row r="736" spans="1:9" x14ac:dyDescent="0.3">
      <c r="A736" t="s">
        <v>743</v>
      </c>
      <c r="B736">
        <v>95</v>
      </c>
      <c r="C736" t="s">
        <v>41</v>
      </c>
      <c r="D736">
        <v>60</v>
      </c>
      <c r="E736">
        <v>82</v>
      </c>
      <c r="F736">
        <v>3000</v>
      </c>
      <c r="G736" t="s">
        <v>2</v>
      </c>
      <c r="H736" t="s">
        <v>5</v>
      </c>
      <c r="I736" t="str">
        <f t="shared" si="11"/>
        <v>America</v>
      </c>
    </row>
    <row r="737" spans="1:9" x14ac:dyDescent="0.3">
      <c r="A737" t="s">
        <v>744</v>
      </c>
      <c r="B737">
        <v>94</v>
      </c>
      <c r="C737" t="s">
        <v>45</v>
      </c>
      <c r="D737">
        <v>58</v>
      </c>
      <c r="E737">
        <v>76</v>
      </c>
      <c r="F737">
        <v>300</v>
      </c>
      <c r="G737" t="s">
        <v>2</v>
      </c>
      <c r="H737" t="s">
        <v>15</v>
      </c>
      <c r="I737" t="str">
        <f t="shared" si="11"/>
        <v>America</v>
      </c>
    </row>
    <row r="738" spans="1:9" x14ac:dyDescent="0.3">
      <c r="A738" t="s">
        <v>745</v>
      </c>
      <c r="B738">
        <v>94</v>
      </c>
      <c r="C738" t="s">
        <v>45</v>
      </c>
      <c r="D738">
        <v>57</v>
      </c>
      <c r="E738">
        <v>74</v>
      </c>
      <c r="F738">
        <v>6.17</v>
      </c>
      <c r="G738" t="s">
        <v>18</v>
      </c>
      <c r="H738" t="s">
        <v>24</v>
      </c>
      <c r="I738" t="str">
        <f t="shared" si="11"/>
        <v>Africa</v>
      </c>
    </row>
    <row r="739" spans="1:9" x14ac:dyDescent="0.3">
      <c r="A739" t="s">
        <v>551</v>
      </c>
      <c r="B739">
        <v>95</v>
      </c>
      <c r="C739" t="s">
        <v>45</v>
      </c>
      <c r="D739">
        <v>58</v>
      </c>
      <c r="E739">
        <v>76</v>
      </c>
      <c r="F739">
        <v>7.35</v>
      </c>
      <c r="G739" t="s">
        <v>18</v>
      </c>
      <c r="H739" t="s">
        <v>4</v>
      </c>
      <c r="I739" t="str">
        <f t="shared" si="11"/>
        <v>America</v>
      </c>
    </row>
    <row r="740" spans="1:9" x14ac:dyDescent="0.3">
      <c r="A740" t="s">
        <v>746</v>
      </c>
      <c r="B740">
        <v>95</v>
      </c>
      <c r="C740" t="s">
        <v>45</v>
      </c>
      <c r="D740">
        <v>60</v>
      </c>
      <c r="E740">
        <v>77</v>
      </c>
      <c r="F740">
        <v>28.66</v>
      </c>
      <c r="G740" t="s">
        <v>18</v>
      </c>
      <c r="H740" t="s">
        <v>5</v>
      </c>
      <c r="I740" t="str">
        <f t="shared" si="11"/>
        <v>America</v>
      </c>
    </row>
    <row r="741" spans="1:9" x14ac:dyDescent="0.3">
      <c r="A741" t="s">
        <v>747</v>
      </c>
      <c r="B741">
        <v>95</v>
      </c>
      <c r="C741" t="s">
        <v>45</v>
      </c>
      <c r="D741">
        <v>58</v>
      </c>
      <c r="E741">
        <v>76</v>
      </c>
      <c r="F741">
        <v>26.46</v>
      </c>
      <c r="G741" t="s">
        <v>18</v>
      </c>
      <c r="H741" t="s">
        <v>18</v>
      </c>
      <c r="I741" t="str">
        <f t="shared" si="11"/>
        <v>America</v>
      </c>
    </row>
    <row r="742" spans="1:9" x14ac:dyDescent="0.3">
      <c r="A742" t="s">
        <v>748</v>
      </c>
      <c r="B742">
        <v>94</v>
      </c>
      <c r="C742" t="s">
        <v>45</v>
      </c>
      <c r="D742">
        <v>60</v>
      </c>
      <c r="E742">
        <v>78</v>
      </c>
      <c r="F742">
        <v>5.58</v>
      </c>
      <c r="G742" t="s">
        <v>18</v>
      </c>
      <c r="H742" t="s">
        <v>9</v>
      </c>
      <c r="I742" t="str">
        <f t="shared" si="11"/>
        <v>Africa</v>
      </c>
    </row>
    <row r="743" spans="1:9" x14ac:dyDescent="0.3">
      <c r="A743" t="s">
        <v>749</v>
      </c>
      <c r="B743">
        <v>95</v>
      </c>
      <c r="C743" t="s">
        <v>45</v>
      </c>
      <c r="D743">
        <v>58</v>
      </c>
      <c r="E743">
        <v>76</v>
      </c>
      <c r="F743">
        <v>5.51</v>
      </c>
      <c r="G743" t="s">
        <v>18</v>
      </c>
      <c r="H743" t="s">
        <v>20</v>
      </c>
      <c r="I743" t="str">
        <f t="shared" si="11"/>
        <v>Africa</v>
      </c>
    </row>
    <row r="744" spans="1:9" x14ac:dyDescent="0.3">
      <c r="A744" t="s">
        <v>750</v>
      </c>
      <c r="B744">
        <v>94</v>
      </c>
      <c r="C744" t="s">
        <v>45</v>
      </c>
      <c r="D744">
        <v>60</v>
      </c>
      <c r="E744">
        <v>78</v>
      </c>
      <c r="F744">
        <v>6.76</v>
      </c>
      <c r="G744" t="s">
        <v>18</v>
      </c>
      <c r="H744" t="s">
        <v>15</v>
      </c>
      <c r="I744" t="str">
        <f t="shared" si="11"/>
        <v>America</v>
      </c>
    </row>
    <row r="745" spans="1:9" x14ac:dyDescent="0.3">
      <c r="A745" t="s">
        <v>287</v>
      </c>
      <c r="B745">
        <v>95</v>
      </c>
      <c r="C745" t="s">
        <v>45</v>
      </c>
      <c r="D745">
        <v>60</v>
      </c>
      <c r="E745">
        <v>77</v>
      </c>
      <c r="F745">
        <v>15.71</v>
      </c>
      <c r="G745" t="s">
        <v>18</v>
      </c>
      <c r="H745" t="s">
        <v>14</v>
      </c>
      <c r="I745" t="str">
        <f t="shared" si="11"/>
        <v>America</v>
      </c>
    </row>
    <row r="746" spans="1:9" x14ac:dyDescent="0.3">
      <c r="A746" t="s">
        <v>751</v>
      </c>
      <c r="B746">
        <v>94</v>
      </c>
      <c r="C746" t="s">
        <v>45</v>
      </c>
      <c r="D746">
        <v>59</v>
      </c>
      <c r="E746">
        <v>79</v>
      </c>
      <c r="F746">
        <v>153.88</v>
      </c>
      <c r="G746" t="s">
        <v>2</v>
      </c>
      <c r="H746" t="s">
        <v>12</v>
      </c>
      <c r="I746" t="str">
        <f t="shared" si="11"/>
        <v>Africa</v>
      </c>
    </row>
    <row r="747" spans="1:9" x14ac:dyDescent="0.3">
      <c r="A747" t="s">
        <v>752</v>
      </c>
      <c r="B747">
        <v>94</v>
      </c>
      <c r="C747" t="s">
        <v>45</v>
      </c>
      <c r="D747">
        <v>60</v>
      </c>
      <c r="E747">
        <v>78</v>
      </c>
      <c r="F747">
        <v>4.12</v>
      </c>
      <c r="G747" t="s">
        <v>18</v>
      </c>
      <c r="H747" t="s">
        <v>15</v>
      </c>
      <c r="I747" t="str">
        <f t="shared" si="11"/>
        <v>America</v>
      </c>
    </row>
    <row r="748" spans="1:9" x14ac:dyDescent="0.3">
      <c r="A748" t="s">
        <v>753</v>
      </c>
      <c r="B748">
        <v>94</v>
      </c>
      <c r="C748" t="s">
        <v>41</v>
      </c>
      <c r="D748">
        <v>62</v>
      </c>
      <c r="E748">
        <v>80</v>
      </c>
      <c r="F748">
        <v>11.46</v>
      </c>
      <c r="G748" t="s">
        <v>18</v>
      </c>
      <c r="H748" t="s">
        <v>14</v>
      </c>
      <c r="I748" t="str">
        <f t="shared" si="11"/>
        <v>America</v>
      </c>
    </row>
    <row r="749" spans="1:9" x14ac:dyDescent="0.3">
      <c r="A749" t="s">
        <v>754</v>
      </c>
      <c r="B749">
        <v>96</v>
      </c>
      <c r="C749" t="s">
        <v>45</v>
      </c>
      <c r="D749">
        <v>54</v>
      </c>
      <c r="E749">
        <v>72</v>
      </c>
      <c r="F749">
        <v>176.37</v>
      </c>
      <c r="G749" t="s">
        <v>2</v>
      </c>
      <c r="H749" t="s">
        <v>12</v>
      </c>
      <c r="I749" t="str">
        <f t="shared" si="11"/>
        <v>Africa</v>
      </c>
    </row>
    <row r="750" spans="1:9" x14ac:dyDescent="0.3">
      <c r="A750" t="s">
        <v>755</v>
      </c>
      <c r="B750">
        <v>95</v>
      </c>
      <c r="C750" t="s">
        <v>45</v>
      </c>
      <c r="D750">
        <v>58</v>
      </c>
      <c r="E750">
        <v>76</v>
      </c>
      <c r="F750">
        <v>6.76</v>
      </c>
      <c r="G750" t="s">
        <v>18</v>
      </c>
      <c r="H750" t="s">
        <v>12</v>
      </c>
      <c r="I750" t="str">
        <f t="shared" si="11"/>
        <v>Africa</v>
      </c>
    </row>
    <row r="751" spans="1:9" x14ac:dyDescent="0.3">
      <c r="A751" t="s">
        <v>756</v>
      </c>
      <c r="B751">
        <v>94</v>
      </c>
      <c r="C751" t="s">
        <v>45</v>
      </c>
      <c r="D751">
        <v>60</v>
      </c>
      <c r="E751">
        <v>78</v>
      </c>
      <c r="F751">
        <v>5.59</v>
      </c>
      <c r="G751" t="s">
        <v>18</v>
      </c>
      <c r="H751" t="s">
        <v>9</v>
      </c>
      <c r="I751" t="str">
        <f t="shared" si="11"/>
        <v>Africa</v>
      </c>
    </row>
    <row r="752" spans="1:9" x14ac:dyDescent="0.3">
      <c r="A752" t="s">
        <v>757</v>
      </c>
      <c r="B752">
        <v>95</v>
      </c>
      <c r="C752" t="s">
        <v>45</v>
      </c>
      <c r="D752">
        <v>54</v>
      </c>
      <c r="E752">
        <v>76</v>
      </c>
      <c r="F752">
        <v>143.30000000000001</v>
      </c>
      <c r="G752" t="s">
        <v>2</v>
      </c>
      <c r="H752" t="s">
        <v>9</v>
      </c>
      <c r="I752" t="str">
        <f t="shared" si="11"/>
        <v>Africa</v>
      </c>
    </row>
    <row r="753" spans="1:9" x14ac:dyDescent="0.3">
      <c r="A753" t="s">
        <v>758</v>
      </c>
      <c r="B753">
        <v>95</v>
      </c>
      <c r="C753" t="s">
        <v>45</v>
      </c>
      <c r="D753">
        <v>58</v>
      </c>
      <c r="E753">
        <v>78</v>
      </c>
      <c r="F753">
        <v>143.30000000000001</v>
      </c>
      <c r="G753" t="s">
        <v>2</v>
      </c>
      <c r="H753" t="s">
        <v>9</v>
      </c>
      <c r="I753" t="str">
        <f t="shared" si="11"/>
        <v>Africa</v>
      </c>
    </row>
    <row r="754" spans="1:9" x14ac:dyDescent="0.3">
      <c r="A754" t="s">
        <v>759</v>
      </c>
      <c r="B754">
        <v>95</v>
      </c>
      <c r="C754" t="s">
        <v>82</v>
      </c>
      <c r="D754">
        <v>45</v>
      </c>
      <c r="E754">
        <v>70</v>
      </c>
      <c r="F754">
        <v>286.60000000000002</v>
      </c>
      <c r="G754" t="s">
        <v>2</v>
      </c>
      <c r="H754" t="s">
        <v>15</v>
      </c>
      <c r="I754" t="str">
        <f t="shared" si="11"/>
        <v>America</v>
      </c>
    </row>
    <row r="755" spans="1:9" x14ac:dyDescent="0.3">
      <c r="A755" t="s">
        <v>760</v>
      </c>
      <c r="B755">
        <v>94</v>
      </c>
      <c r="C755" t="s">
        <v>45</v>
      </c>
      <c r="D755">
        <v>60</v>
      </c>
      <c r="E755">
        <v>78</v>
      </c>
      <c r="F755">
        <v>8.82</v>
      </c>
      <c r="G755" t="s">
        <v>18</v>
      </c>
      <c r="H755" t="s">
        <v>14</v>
      </c>
      <c r="I755" t="str">
        <f t="shared" si="11"/>
        <v>America</v>
      </c>
    </row>
    <row r="756" spans="1:9" x14ac:dyDescent="0.3">
      <c r="A756" t="s">
        <v>761</v>
      </c>
      <c r="B756">
        <v>94</v>
      </c>
      <c r="C756" t="s">
        <v>45</v>
      </c>
      <c r="D756">
        <v>58</v>
      </c>
      <c r="E756">
        <v>76</v>
      </c>
      <c r="F756">
        <v>7.35</v>
      </c>
      <c r="G756" t="s">
        <v>18</v>
      </c>
      <c r="H756" t="s">
        <v>14</v>
      </c>
      <c r="I756" t="str">
        <f t="shared" si="11"/>
        <v>America</v>
      </c>
    </row>
    <row r="757" spans="1:9" x14ac:dyDescent="0.3">
      <c r="A757" t="s">
        <v>762</v>
      </c>
      <c r="B757">
        <v>94</v>
      </c>
      <c r="C757" t="s">
        <v>45</v>
      </c>
      <c r="D757">
        <v>58</v>
      </c>
      <c r="E757">
        <v>74</v>
      </c>
      <c r="F757">
        <v>500</v>
      </c>
      <c r="G757" t="s">
        <v>2</v>
      </c>
      <c r="H757" t="s">
        <v>14</v>
      </c>
      <c r="I757" t="str">
        <f t="shared" si="11"/>
        <v>America</v>
      </c>
    </row>
    <row r="758" spans="1:9" x14ac:dyDescent="0.3">
      <c r="A758" t="s">
        <v>763</v>
      </c>
      <c r="B758">
        <v>94</v>
      </c>
      <c r="C758" t="s">
        <v>45</v>
      </c>
      <c r="D758">
        <v>58</v>
      </c>
      <c r="E758">
        <v>78</v>
      </c>
      <c r="F758">
        <v>121.25</v>
      </c>
      <c r="G758" t="s">
        <v>2</v>
      </c>
      <c r="H758" t="s">
        <v>13</v>
      </c>
      <c r="I758" t="str">
        <f t="shared" si="11"/>
        <v>America</v>
      </c>
    </row>
    <row r="759" spans="1:9" x14ac:dyDescent="0.3">
      <c r="A759" t="s">
        <v>764</v>
      </c>
      <c r="B759">
        <v>95</v>
      </c>
      <c r="C759" t="s">
        <v>82</v>
      </c>
      <c r="D759">
        <v>48</v>
      </c>
      <c r="E759">
        <v>64</v>
      </c>
      <c r="F759">
        <v>352.73</v>
      </c>
      <c r="G759" t="s">
        <v>2</v>
      </c>
      <c r="H759" t="s">
        <v>9</v>
      </c>
      <c r="I759" t="str">
        <f t="shared" si="11"/>
        <v>Africa</v>
      </c>
    </row>
    <row r="760" spans="1:9" x14ac:dyDescent="0.3">
      <c r="A760" t="s">
        <v>765</v>
      </c>
      <c r="B760">
        <v>95</v>
      </c>
      <c r="C760" t="s">
        <v>45</v>
      </c>
      <c r="D760">
        <v>56</v>
      </c>
      <c r="E760">
        <v>74</v>
      </c>
      <c r="F760">
        <v>5.42</v>
      </c>
      <c r="G760" t="s">
        <v>18</v>
      </c>
      <c r="H760" t="s">
        <v>9</v>
      </c>
      <c r="I760" t="str">
        <f t="shared" si="11"/>
        <v>Africa</v>
      </c>
    </row>
    <row r="761" spans="1:9" x14ac:dyDescent="0.3">
      <c r="A761" t="s">
        <v>766</v>
      </c>
      <c r="B761">
        <v>95</v>
      </c>
      <c r="C761" t="s">
        <v>45</v>
      </c>
      <c r="D761">
        <v>58</v>
      </c>
      <c r="E761">
        <v>77</v>
      </c>
      <c r="F761">
        <v>158.72999999999999</v>
      </c>
      <c r="G761" t="s">
        <v>2</v>
      </c>
      <c r="H761" t="s">
        <v>9</v>
      </c>
      <c r="I761" t="str">
        <f t="shared" si="11"/>
        <v>Africa</v>
      </c>
    </row>
    <row r="762" spans="1:9" x14ac:dyDescent="0.3">
      <c r="A762" t="s">
        <v>767</v>
      </c>
      <c r="B762">
        <v>95</v>
      </c>
      <c r="C762" t="s">
        <v>45</v>
      </c>
      <c r="D762">
        <v>57</v>
      </c>
      <c r="E762">
        <v>77</v>
      </c>
      <c r="F762">
        <v>27.76</v>
      </c>
      <c r="G762" t="s">
        <v>18</v>
      </c>
      <c r="H762" t="s">
        <v>18</v>
      </c>
      <c r="I762" t="str">
        <f t="shared" si="11"/>
        <v>America</v>
      </c>
    </row>
    <row r="763" spans="1:9" x14ac:dyDescent="0.3">
      <c r="A763" t="s">
        <v>664</v>
      </c>
      <c r="B763">
        <v>95</v>
      </c>
      <c r="C763" t="s">
        <v>45</v>
      </c>
      <c r="D763">
        <v>60</v>
      </c>
      <c r="E763">
        <v>76</v>
      </c>
      <c r="F763">
        <v>7.94</v>
      </c>
      <c r="G763" t="s">
        <v>18</v>
      </c>
      <c r="H763" t="s">
        <v>14</v>
      </c>
      <c r="I763" t="str">
        <f t="shared" si="11"/>
        <v>America</v>
      </c>
    </row>
    <row r="764" spans="1:9" x14ac:dyDescent="0.3">
      <c r="A764" t="s">
        <v>760</v>
      </c>
      <c r="B764">
        <v>94</v>
      </c>
      <c r="C764" t="s">
        <v>45</v>
      </c>
      <c r="D764">
        <v>61</v>
      </c>
      <c r="E764">
        <v>79</v>
      </c>
      <c r="F764">
        <v>8.82</v>
      </c>
      <c r="G764" t="s">
        <v>18</v>
      </c>
      <c r="H764" t="s">
        <v>14</v>
      </c>
      <c r="I764" t="str">
        <f t="shared" si="11"/>
        <v>America</v>
      </c>
    </row>
    <row r="765" spans="1:9" x14ac:dyDescent="0.3">
      <c r="A765" t="s">
        <v>603</v>
      </c>
      <c r="B765">
        <v>94</v>
      </c>
      <c r="C765" t="s">
        <v>45</v>
      </c>
      <c r="D765">
        <v>60</v>
      </c>
      <c r="E765">
        <v>77</v>
      </c>
      <c r="F765">
        <v>11.17</v>
      </c>
      <c r="G765" t="s">
        <v>18</v>
      </c>
      <c r="H765" t="s">
        <v>14</v>
      </c>
      <c r="I765" t="str">
        <f t="shared" si="11"/>
        <v>America</v>
      </c>
    </row>
    <row r="766" spans="1:9" x14ac:dyDescent="0.3">
      <c r="A766" t="s">
        <v>768</v>
      </c>
      <c r="B766">
        <v>94</v>
      </c>
      <c r="C766" t="s">
        <v>45</v>
      </c>
      <c r="D766">
        <v>60</v>
      </c>
      <c r="E766">
        <v>77</v>
      </c>
      <c r="F766">
        <v>8.82</v>
      </c>
      <c r="G766" t="s">
        <v>18</v>
      </c>
      <c r="H766" t="s">
        <v>6</v>
      </c>
      <c r="I766" t="str">
        <f t="shared" si="11"/>
        <v>America</v>
      </c>
    </row>
    <row r="767" spans="1:9" x14ac:dyDescent="0.3">
      <c r="A767" t="s">
        <v>769</v>
      </c>
      <c r="B767">
        <v>95</v>
      </c>
      <c r="C767" t="s">
        <v>41</v>
      </c>
      <c r="D767">
        <v>64</v>
      </c>
      <c r="E767">
        <v>84</v>
      </c>
      <c r="F767">
        <v>292.04000000000002</v>
      </c>
      <c r="G767" t="s">
        <v>2</v>
      </c>
      <c r="H767" t="s">
        <v>4</v>
      </c>
      <c r="I767" t="str">
        <f t="shared" si="11"/>
        <v>America</v>
      </c>
    </row>
    <row r="768" spans="1:9" x14ac:dyDescent="0.3">
      <c r="A768" t="s">
        <v>770</v>
      </c>
      <c r="B768">
        <v>95</v>
      </c>
      <c r="C768" t="s">
        <v>41</v>
      </c>
      <c r="D768">
        <v>62</v>
      </c>
      <c r="E768">
        <v>80</v>
      </c>
      <c r="F768">
        <v>474.29</v>
      </c>
      <c r="G768" t="s">
        <v>11</v>
      </c>
      <c r="H768" t="s">
        <v>5</v>
      </c>
      <c r="I768" t="str">
        <f t="shared" si="11"/>
        <v>America</v>
      </c>
    </row>
    <row r="769" spans="1:9" x14ac:dyDescent="0.3">
      <c r="A769" t="s">
        <v>771</v>
      </c>
      <c r="B769">
        <v>94</v>
      </c>
      <c r="C769" t="s">
        <v>45</v>
      </c>
      <c r="D769">
        <v>54</v>
      </c>
      <c r="E769">
        <v>74</v>
      </c>
      <c r="F769">
        <v>5.29</v>
      </c>
      <c r="G769" t="s">
        <v>18</v>
      </c>
      <c r="H769" t="s">
        <v>14</v>
      </c>
      <c r="I769" t="str">
        <f t="shared" si="11"/>
        <v>America</v>
      </c>
    </row>
    <row r="770" spans="1:9" x14ac:dyDescent="0.3">
      <c r="A770" t="s">
        <v>772</v>
      </c>
      <c r="B770">
        <v>94</v>
      </c>
      <c r="C770" t="s">
        <v>45</v>
      </c>
      <c r="D770">
        <v>58</v>
      </c>
      <c r="E770">
        <v>77</v>
      </c>
      <c r="F770">
        <v>620</v>
      </c>
      <c r="G770" t="s">
        <v>2</v>
      </c>
      <c r="H770" t="s">
        <v>9</v>
      </c>
      <c r="I770" t="str">
        <f t="shared" si="11"/>
        <v>Africa</v>
      </c>
    </row>
    <row r="771" spans="1:9" x14ac:dyDescent="0.3">
      <c r="A771" t="s">
        <v>773</v>
      </c>
      <c r="B771">
        <v>94</v>
      </c>
      <c r="C771" t="s">
        <v>45</v>
      </c>
      <c r="D771">
        <v>57</v>
      </c>
      <c r="E771">
        <v>78</v>
      </c>
      <c r="F771">
        <v>204.55</v>
      </c>
      <c r="G771" t="s">
        <v>2</v>
      </c>
      <c r="H771" t="s">
        <v>12</v>
      </c>
      <c r="I771" t="str">
        <f t="shared" ref="I771:I834" si="12">_xlfn.XLOOKUP(H771, $M$2:$M$50, $N$2:$N$50, "Other")</f>
        <v>Africa</v>
      </c>
    </row>
    <row r="772" spans="1:9" x14ac:dyDescent="0.3">
      <c r="A772" t="s">
        <v>774</v>
      </c>
      <c r="B772">
        <v>95</v>
      </c>
      <c r="C772" t="s">
        <v>41</v>
      </c>
      <c r="D772">
        <v>75</v>
      </c>
      <c r="E772">
        <v>93</v>
      </c>
      <c r="F772">
        <v>16.5</v>
      </c>
      <c r="G772" t="s">
        <v>27</v>
      </c>
      <c r="H772" t="s">
        <v>14</v>
      </c>
      <c r="I772" t="str">
        <f t="shared" si="12"/>
        <v>America</v>
      </c>
    </row>
    <row r="773" spans="1:9" x14ac:dyDescent="0.3">
      <c r="A773" t="s">
        <v>775</v>
      </c>
      <c r="B773">
        <v>94</v>
      </c>
      <c r="C773" t="s">
        <v>45</v>
      </c>
      <c r="D773">
        <v>58</v>
      </c>
      <c r="E773">
        <v>80</v>
      </c>
      <c r="F773">
        <v>6.47</v>
      </c>
      <c r="G773" t="s">
        <v>18</v>
      </c>
      <c r="H773" t="s">
        <v>17</v>
      </c>
      <c r="I773" t="str">
        <f t="shared" si="12"/>
        <v>Africa</v>
      </c>
    </row>
    <row r="774" spans="1:9" x14ac:dyDescent="0.3">
      <c r="A774" t="s">
        <v>776</v>
      </c>
      <c r="B774">
        <v>94</v>
      </c>
      <c r="C774" t="s">
        <v>45</v>
      </c>
      <c r="D774">
        <v>60</v>
      </c>
      <c r="E774">
        <v>77</v>
      </c>
      <c r="F774">
        <v>6.76</v>
      </c>
      <c r="G774" t="s">
        <v>18</v>
      </c>
      <c r="H774" t="s">
        <v>15</v>
      </c>
      <c r="I774" t="str">
        <f t="shared" si="12"/>
        <v>America</v>
      </c>
    </row>
    <row r="775" spans="1:9" x14ac:dyDescent="0.3">
      <c r="A775" t="s">
        <v>777</v>
      </c>
      <c r="B775">
        <v>94</v>
      </c>
      <c r="C775" t="s">
        <v>45</v>
      </c>
      <c r="D775">
        <v>59</v>
      </c>
      <c r="E775">
        <v>77</v>
      </c>
      <c r="F775">
        <v>176.37</v>
      </c>
      <c r="G775" t="s">
        <v>2</v>
      </c>
      <c r="H775" t="s">
        <v>9</v>
      </c>
      <c r="I775" t="str">
        <f t="shared" si="12"/>
        <v>Africa</v>
      </c>
    </row>
    <row r="776" spans="1:9" x14ac:dyDescent="0.3">
      <c r="A776" t="s">
        <v>778</v>
      </c>
      <c r="B776">
        <v>97</v>
      </c>
      <c r="C776" t="s">
        <v>45</v>
      </c>
      <c r="D776">
        <v>58</v>
      </c>
      <c r="E776">
        <v>76</v>
      </c>
      <c r="F776">
        <v>15.43</v>
      </c>
      <c r="G776" t="s">
        <v>18</v>
      </c>
      <c r="H776" t="s">
        <v>8</v>
      </c>
      <c r="I776" t="str">
        <f t="shared" si="12"/>
        <v>Africa</v>
      </c>
    </row>
    <row r="777" spans="1:9" x14ac:dyDescent="0.3">
      <c r="A777" t="s">
        <v>779</v>
      </c>
      <c r="B777">
        <v>95</v>
      </c>
      <c r="C777" t="s">
        <v>45</v>
      </c>
      <c r="D777">
        <v>58</v>
      </c>
      <c r="E777">
        <v>76</v>
      </c>
      <c r="F777">
        <v>264.55</v>
      </c>
      <c r="G777" t="s">
        <v>2</v>
      </c>
      <c r="H777" t="s">
        <v>3</v>
      </c>
      <c r="I777" t="str">
        <f t="shared" si="12"/>
        <v>America</v>
      </c>
    </row>
    <row r="778" spans="1:9" x14ac:dyDescent="0.3">
      <c r="A778" t="s">
        <v>780</v>
      </c>
      <c r="B778">
        <v>94</v>
      </c>
      <c r="C778" t="s">
        <v>45</v>
      </c>
      <c r="D778">
        <v>60</v>
      </c>
      <c r="E778">
        <v>77</v>
      </c>
      <c r="F778">
        <v>242.29</v>
      </c>
      <c r="G778" t="s">
        <v>2</v>
      </c>
      <c r="H778" t="s">
        <v>15</v>
      </c>
      <c r="I778" t="str">
        <f t="shared" si="12"/>
        <v>America</v>
      </c>
    </row>
    <row r="779" spans="1:9" x14ac:dyDescent="0.3">
      <c r="A779" t="s">
        <v>781</v>
      </c>
      <c r="B779">
        <v>95</v>
      </c>
      <c r="C779" t="s">
        <v>41</v>
      </c>
      <c r="D779">
        <v>64</v>
      </c>
      <c r="E779">
        <v>80</v>
      </c>
      <c r="F779">
        <v>418.5</v>
      </c>
      <c r="G779" t="s">
        <v>2</v>
      </c>
      <c r="H779" t="s">
        <v>6</v>
      </c>
      <c r="I779" t="str">
        <f t="shared" si="12"/>
        <v>America</v>
      </c>
    </row>
    <row r="780" spans="1:9" x14ac:dyDescent="0.3">
      <c r="A780" t="s">
        <v>782</v>
      </c>
      <c r="B780">
        <v>95</v>
      </c>
      <c r="C780" t="s">
        <v>41</v>
      </c>
      <c r="D780">
        <v>60</v>
      </c>
      <c r="E780">
        <v>82</v>
      </c>
      <c r="F780">
        <v>5.57</v>
      </c>
      <c r="G780" t="s">
        <v>18</v>
      </c>
      <c r="H780" t="s">
        <v>9</v>
      </c>
      <c r="I780" t="str">
        <f t="shared" si="12"/>
        <v>Africa</v>
      </c>
    </row>
    <row r="781" spans="1:9" x14ac:dyDescent="0.3">
      <c r="A781" t="s">
        <v>783</v>
      </c>
      <c r="B781">
        <v>94</v>
      </c>
      <c r="C781" t="s">
        <v>45</v>
      </c>
      <c r="D781">
        <v>54</v>
      </c>
      <c r="E781">
        <v>72</v>
      </c>
      <c r="F781">
        <v>7.05</v>
      </c>
      <c r="G781" t="s">
        <v>18</v>
      </c>
      <c r="H781" t="s">
        <v>16</v>
      </c>
      <c r="I781" t="str">
        <f t="shared" si="12"/>
        <v>Asia-Pacific</v>
      </c>
    </row>
    <row r="782" spans="1:9" x14ac:dyDescent="0.3">
      <c r="A782" t="s">
        <v>784</v>
      </c>
      <c r="B782">
        <v>94</v>
      </c>
      <c r="C782" t="s">
        <v>45</v>
      </c>
      <c r="D782">
        <v>58</v>
      </c>
      <c r="E782">
        <v>74</v>
      </c>
      <c r="F782">
        <v>22.05</v>
      </c>
      <c r="G782" t="s">
        <v>18</v>
      </c>
      <c r="H782" t="s">
        <v>18</v>
      </c>
      <c r="I782" t="str">
        <f t="shared" si="12"/>
        <v>America</v>
      </c>
    </row>
    <row r="783" spans="1:9" x14ac:dyDescent="0.3">
      <c r="A783" t="s">
        <v>785</v>
      </c>
      <c r="B783">
        <v>95</v>
      </c>
      <c r="C783" t="s">
        <v>82</v>
      </c>
      <c r="D783">
        <v>45</v>
      </c>
      <c r="E783">
        <v>58</v>
      </c>
      <c r="F783">
        <v>275</v>
      </c>
      <c r="G783" t="s">
        <v>2</v>
      </c>
      <c r="H783" t="s">
        <v>12</v>
      </c>
      <c r="I783" t="str">
        <f t="shared" si="12"/>
        <v>Africa</v>
      </c>
    </row>
    <row r="784" spans="1:9" x14ac:dyDescent="0.3">
      <c r="A784" t="s">
        <v>786</v>
      </c>
      <c r="B784">
        <v>95</v>
      </c>
      <c r="C784" t="s">
        <v>45</v>
      </c>
      <c r="D784">
        <v>58</v>
      </c>
      <c r="E784">
        <v>76</v>
      </c>
      <c r="F784">
        <v>5.73</v>
      </c>
      <c r="G784" t="s">
        <v>18</v>
      </c>
      <c r="H784" t="s">
        <v>9</v>
      </c>
      <c r="I784" t="str">
        <f t="shared" si="12"/>
        <v>Africa</v>
      </c>
    </row>
    <row r="785" spans="1:9" x14ac:dyDescent="0.3">
      <c r="A785" t="s">
        <v>747</v>
      </c>
      <c r="B785">
        <v>94</v>
      </c>
      <c r="C785" t="s">
        <v>45</v>
      </c>
      <c r="D785">
        <v>57</v>
      </c>
      <c r="E785">
        <v>74</v>
      </c>
      <c r="F785">
        <v>26.46</v>
      </c>
      <c r="G785" t="s">
        <v>18</v>
      </c>
      <c r="H785" t="s">
        <v>18</v>
      </c>
      <c r="I785" t="str">
        <f t="shared" si="12"/>
        <v>America</v>
      </c>
    </row>
    <row r="786" spans="1:9" x14ac:dyDescent="0.3">
      <c r="A786" t="s">
        <v>787</v>
      </c>
      <c r="B786">
        <v>95</v>
      </c>
      <c r="C786" t="s">
        <v>45</v>
      </c>
      <c r="D786">
        <v>58</v>
      </c>
      <c r="E786">
        <v>74</v>
      </c>
      <c r="F786">
        <v>26.46</v>
      </c>
      <c r="G786" t="s">
        <v>18</v>
      </c>
      <c r="H786" t="s">
        <v>8</v>
      </c>
      <c r="I786" t="str">
        <f t="shared" si="12"/>
        <v>Africa</v>
      </c>
    </row>
    <row r="787" spans="1:9" x14ac:dyDescent="0.3">
      <c r="A787" t="s">
        <v>788</v>
      </c>
      <c r="B787">
        <v>95</v>
      </c>
      <c r="C787" t="s">
        <v>45</v>
      </c>
      <c r="D787">
        <v>60</v>
      </c>
      <c r="E787">
        <v>77</v>
      </c>
      <c r="F787">
        <v>26.46</v>
      </c>
      <c r="G787" t="s">
        <v>18</v>
      </c>
      <c r="H787" t="s">
        <v>18</v>
      </c>
      <c r="I787" t="str">
        <f t="shared" si="12"/>
        <v>America</v>
      </c>
    </row>
    <row r="788" spans="1:9" x14ac:dyDescent="0.3">
      <c r="A788" t="s">
        <v>789</v>
      </c>
      <c r="B788">
        <v>94</v>
      </c>
      <c r="C788" t="s">
        <v>41</v>
      </c>
      <c r="D788">
        <v>62</v>
      </c>
      <c r="E788">
        <v>80</v>
      </c>
      <c r="F788">
        <v>14.11</v>
      </c>
      <c r="G788" t="s">
        <v>18</v>
      </c>
      <c r="H788" t="s">
        <v>14</v>
      </c>
      <c r="I788" t="str">
        <f t="shared" si="12"/>
        <v>America</v>
      </c>
    </row>
    <row r="789" spans="1:9" x14ac:dyDescent="0.3">
      <c r="A789" t="s">
        <v>790</v>
      </c>
      <c r="B789">
        <v>94</v>
      </c>
      <c r="C789" t="s">
        <v>45</v>
      </c>
      <c r="D789">
        <v>58</v>
      </c>
      <c r="E789">
        <v>74</v>
      </c>
      <c r="F789">
        <v>154.19</v>
      </c>
      <c r="G789" t="s">
        <v>2</v>
      </c>
      <c r="H789" t="s">
        <v>9</v>
      </c>
      <c r="I789" t="str">
        <f t="shared" si="12"/>
        <v>Africa</v>
      </c>
    </row>
    <row r="790" spans="1:9" x14ac:dyDescent="0.3">
      <c r="A790" t="s">
        <v>791</v>
      </c>
      <c r="B790">
        <v>95</v>
      </c>
      <c r="C790" t="s">
        <v>82</v>
      </c>
      <c r="D790">
        <v>50</v>
      </c>
      <c r="E790">
        <v>64</v>
      </c>
      <c r="F790">
        <v>220.26</v>
      </c>
      <c r="G790" t="s">
        <v>2</v>
      </c>
      <c r="H790" t="s">
        <v>9</v>
      </c>
      <c r="I790" t="str">
        <f t="shared" si="12"/>
        <v>Africa</v>
      </c>
    </row>
    <row r="791" spans="1:9" x14ac:dyDescent="0.3">
      <c r="A791" t="s">
        <v>792</v>
      </c>
      <c r="B791">
        <v>94</v>
      </c>
      <c r="C791" t="s">
        <v>45</v>
      </c>
      <c r="D791">
        <v>62</v>
      </c>
      <c r="E791">
        <v>76</v>
      </c>
      <c r="F791">
        <v>176.21</v>
      </c>
      <c r="G791" t="s">
        <v>2</v>
      </c>
      <c r="H791" t="s">
        <v>15</v>
      </c>
      <c r="I791" t="str">
        <f t="shared" si="12"/>
        <v>America</v>
      </c>
    </row>
    <row r="792" spans="1:9" x14ac:dyDescent="0.3">
      <c r="A792" t="s">
        <v>793</v>
      </c>
      <c r="B792">
        <v>94</v>
      </c>
      <c r="C792" t="s">
        <v>45</v>
      </c>
      <c r="D792">
        <v>62</v>
      </c>
      <c r="E792">
        <v>76</v>
      </c>
      <c r="F792">
        <v>154.19</v>
      </c>
      <c r="G792" t="s">
        <v>2</v>
      </c>
      <c r="H792" t="s">
        <v>9</v>
      </c>
      <c r="I792" t="str">
        <f t="shared" si="12"/>
        <v>Africa</v>
      </c>
    </row>
    <row r="793" spans="1:9" x14ac:dyDescent="0.3">
      <c r="A793" t="s">
        <v>794</v>
      </c>
      <c r="B793">
        <v>96</v>
      </c>
      <c r="C793" t="s">
        <v>45</v>
      </c>
      <c r="D793">
        <v>58</v>
      </c>
      <c r="E793">
        <v>77</v>
      </c>
      <c r="F793">
        <v>617.28</v>
      </c>
      <c r="G793" t="s">
        <v>2</v>
      </c>
      <c r="H793" t="s">
        <v>6</v>
      </c>
      <c r="I793" t="str">
        <f t="shared" si="12"/>
        <v>America</v>
      </c>
    </row>
    <row r="794" spans="1:9" x14ac:dyDescent="0.3">
      <c r="A794" t="s">
        <v>795</v>
      </c>
      <c r="B794">
        <v>94</v>
      </c>
      <c r="C794" t="s">
        <v>45</v>
      </c>
      <c r="D794">
        <v>56</v>
      </c>
      <c r="E794">
        <v>74</v>
      </c>
      <c r="F794">
        <v>352.73</v>
      </c>
      <c r="G794" t="s">
        <v>2</v>
      </c>
      <c r="H794" t="s">
        <v>2</v>
      </c>
      <c r="I794" t="str">
        <f t="shared" si="12"/>
        <v>Asia-Pacific</v>
      </c>
    </row>
    <row r="795" spans="1:9" x14ac:dyDescent="0.3">
      <c r="A795" t="s">
        <v>796</v>
      </c>
      <c r="B795">
        <v>94</v>
      </c>
      <c r="C795" t="s">
        <v>45</v>
      </c>
      <c r="D795">
        <v>60</v>
      </c>
      <c r="E795">
        <v>76</v>
      </c>
      <c r="F795">
        <v>5.29</v>
      </c>
      <c r="G795" t="s">
        <v>18</v>
      </c>
      <c r="H795" t="s">
        <v>9</v>
      </c>
      <c r="I795" t="str">
        <f t="shared" si="12"/>
        <v>Africa</v>
      </c>
    </row>
    <row r="796" spans="1:9" x14ac:dyDescent="0.3">
      <c r="A796" t="s">
        <v>797</v>
      </c>
      <c r="B796">
        <v>95</v>
      </c>
      <c r="C796" t="s">
        <v>41</v>
      </c>
      <c r="D796">
        <v>62</v>
      </c>
      <c r="E796">
        <v>80</v>
      </c>
      <c r="F796">
        <v>7.64</v>
      </c>
      <c r="G796" t="s">
        <v>18</v>
      </c>
      <c r="H796" t="s">
        <v>9</v>
      </c>
      <c r="I796" t="str">
        <f t="shared" si="12"/>
        <v>Africa</v>
      </c>
    </row>
    <row r="797" spans="1:9" x14ac:dyDescent="0.3">
      <c r="A797" t="s">
        <v>798</v>
      </c>
      <c r="B797">
        <v>94</v>
      </c>
      <c r="C797" t="s">
        <v>45</v>
      </c>
      <c r="D797">
        <v>56</v>
      </c>
      <c r="E797">
        <v>74</v>
      </c>
      <c r="F797">
        <v>5.59</v>
      </c>
      <c r="G797" t="s">
        <v>18</v>
      </c>
      <c r="H797" t="s">
        <v>9</v>
      </c>
      <c r="I797" t="str">
        <f t="shared" si="12"/>
        <v>Africa</v>
      </c>
    </row>
    <row r="798" spans="1:9" x14ac:dyDescent="0.3">
      <c r="A798" t="s">
        <v>799</v>
      </c>
      <c r="B798">
        <v>94</v>
      </c>
      <c r="C798" t="s">
        <v>45</v>
      </c>
      <c r="D798">
        <v>54</v>
      </c>
      <c r="E798">
        <v>74</v>
      </c>
      <c r="F798">
        <v>14.99</v>
      </c>
      <c r="G798" t="s">
        <v>18</v>
      </c>
      <c r="H798" t="s">
        <v>18</v>
      </c>
      <c r="I798" t="str">
        <f t="shared" si="12"/>
        <v>America</v>
      </c>
    </row>
    <row r="799" spans="1:9" x14ac:dyDescent="0.3">
      <c r="A799" t="s">
        <v>800</v>
      </c>
      <c r="B799">
        <v>94</v>
      </c>
      <c r="C799" t="s">
        <v>41</v>
      </c>
      <c r="D799">
        <v>64</v>
      </c>
      <c r="E799">
        <v>80</v>
      </c>
      <c r="F799">
        <v>7.64</v>
      </c>
      <c r="G799" t="s">
        <v>18</v>
      </c>
      <c r="H799" t="s">
        <v>14</v>
      </c>
      <c r="I799" t="str">
        <f t="shared" si="12"/>
        <v>America</v>
      </c>
    </row>
    <row r="800" spans="1:9" x14ac:dyDescent="0.3">
      <c r="A800" t="s">
        <v>801</v>
      </c>
      <c r="B800">
        <v>94</v>
      </c>
      <c r="C800" t="s">
        <v>45</v>
      </c>
      <c r="D800">
        <v>60</v>
      </c>
      <c r="E800">
        <v>76</v>
      </c>
      <c r="F800">
        <v>6.91</v>
      </c>
      <c r="G800" t="s">
        <v>12</v>
      </c>
      <c r="H800" t="s">
        <v>12</v>
      </c>
      <c r="I800" t="str">
        <f t="shared" si="12"/>
        <v>Africa</v>
      </c>
    </row>
    <row r="801" spans="1:9" x14ac:dyDescent="0.3">
      <c r="A801" t="s">
        <v>802</v>
      </c>
      <c r="B801">
        <v>96</v>
      </c>
      <c r="C801" t="s">
        <v>45</v>
      </c>
      <c r="D801">
        <v>60</v>
      </c>
      <c r="E801">
        <v>77</v>
      </c>
      <c r="F801">
        <v>123.46</v>
      </c>
      <c r="G801" t="s">
        <v>18</v>
      </c>
      <c r="H801" t="s">
        <v>4</v>
      </c>
      <c r="I801" t="str">
        <f t="shared" si="12"/>
        <v>America</v>
      </c>
    </row>
    <row r="802" spans="1:9" x14ac:dyDescent="0.3">
      <c r="A802" t="s">
        <v>803</v>
      </c>
      <c r="B802">
        <v>95</v>
      </c>
      <c r="C802" t="s">
        <v>45</v>
      </c>
      <c r="D802">
        <v>57</v>
      </c>
      <c r="E802">
        <v>74</v>
      </c>
      <c r="F802">
        <v>26.46</v>
      </c>
      <c r="G802" t="s">
        <v>18</v>
      </c>
      <c r="H802" t="s">
        <v>18</v>
      </c>
      <c r="I802" t="str">
        <f t="shared" si="12"/>
        <v>America</v>
      </c>
    </row>
    <row r="803" spans="1:9" x14ac:dyDescent="0.3">
      <c r="A803" t="s">
        <v>508</v>
      </c>
      <c r="B803">
        <v>95</v>
      </c>
      <c r="C803" t="s">
        <v>82</v>
      </c>
      <c r="D803">
        <v>46</v>
      </c>
      <c r="E803">
        <v>60</v>
      </c>
      <c r="F803">
        <v>800</v>
      </c>
      <c r="G803" t="s">
        <v>2</v>
      </c>
      <c r="H803" t="s">
        <v>5</v>
      </c>
      <c r="I803" t="str">
        <f t="shared" si="12"/>
        <v>America</v>
      </c>
    </row>
    <row r="804" spans="1:9" x14ac:dyDescent="0.3">
      <c r="A804" t="s">
        <v>804</v>
      </c>
      <c r="B804">
        <v>94</v>
      </c>
      <c r="C804" t="s">
        <v>45</v>
      </c>
      <c r="D804">
        <v>62</v>
      </c>
      <c r="E804">
        <v>78</v>
      </c>
      <c r="F804">
        <v>700</v>
      </c>
      <c r="G804" t="s">
        <v>2</v>
      </c>
      <c r="H804" t="s">
        <v>6</v>
      </c>
      <c r="I804" t="str">
        <f t="shared" si="12"/>
        <v>America</v>
      </c>
    </row>
    <row r="805" spans="1:9" x14ac:dyDescent="0.3">
      <c r="A805" t="s">
        <v>805</v>
      </c>
      <c r="B805">
        <v>95</v>
      </c>
      <c r="C805" t="s">
        <v>82</v>
      </c>
      <c r="D805">
        <v>46</v>
      </c>
      <c r="E805">
        <v>60</v>
      </c>
      <c r="F805">
        <v>29.08</v>
      </c>
      <c r="G805" t="s">
        <v>18</v>
      </c>
      <c r="H805" t="s">
        <v>150</v>
      </c>
      <c r="I805" t="str">
        <f t="shared" si="12"/>
        <v>NULL</v>
      </c>
    </row>
    <row r="806" spans="1:9" x14ac:dyDescent="0.3">
      <c r="A806" t="s">
        <v>806</v>
      </c>
      <c r="B806">
        <v>95</v>
      </c>
      <c r="C806" t="s">
        <v>541</v>
      </c>
      <c r="D806">
        <v>40</v>
      </c>
      <c r="E806">
        <v>54</v>
      </c>
      <c r="F806">
        <v>3600</v>
      </c>
      <c r="G806" t="s">
        <v>2</v>
      </c>
      <c r="H806" t="s">
        <v>4</v>
      </c>
      <c r="I806" t="str">
        <f t="shared" si="12"/>
        <v>America</v>
      </c>
    </row>
    <row r="807" spans="1:9" x14ac:dyDescent="0.3">
      <c r="A807" t="s">
        <v>807</v>
      </c>
      <c r="B807">
        <v>94</v>
      </c>
      <c r="C807" t="s">
        <v>541</v>
      </c>
      <c r="D807">
        <v>40</v>
      </c>
      <c r="E807">
        <v>50</v>
      </c>
      <c r="F807">
        <v>8.82</v>
      </c>
      <c r="G807" t="s">
        <v>18</v>
      </c>
      <c r="H807" t="s">
        <v>16</v>
      </c>
      <c r="I807" t="str">
        <f t="shared" si="12"/>
        <v>Asia-Pacific</v>
      </c>
    </row>
    <row r="808" spans="1:9" x14ac:dyDescent="0.3">
      <c r="A808" t="s">
        <v>808</v>
      </c>
      <c r="B808">
        <v>94</v>
      </c>
      <c r="C808" t="s">
        <v>82</v>
      </c>
      <c r="D808">
        <v>47</v>
      </c>
      <c r="E808">
        <v>60</v>
      </c>
      <c r="F808">
        <v>7.2</v>
      </c>
      <c r="G808" t="s">
        <v>18</v>
      </c>
      <c r="H808" t="s">
        <v>16</v>
      </c>
      <c r="I808" t="str">
        <f t="shared" si="12"/>
        <v>Asia-Pacific</v>
      </c>
    </row>
    <row r="809" spans="1:9" x14ac:dyDescent="0.3">
      <c r="A809" t="s">
        <v>809</v>
      </c>
      <c r="B809">
        <v>94</v>
      </c>
      <c r="C809" t="s">
        <v>82</v>
      </c>
      <c r="D809">
        <v>47</v>
      </c>
      <c r="E809">
        <v>61</v>
      </c>
      <c r="F809">
        <v>10.050000000000001</v>
      </c>
      <c r="G809" t="s">
        <v>18</v>
      </c>
      <c r="H809" t="s">
        <v>18</v>
      </c>
      <c r="I809" t="str">
        <f t="shared" si="12"/>
        <v>America</v>
      </c>
    </row>
    <row r="810" spans="1:9" x14ac:dyDescent="0.3">
      <c r="A810" t="s">
        <v>810</v>
      </c>
      <c r="B810">
        <v>95</v>
      </c>
      <c r="C810" t="s">
        <v>45</v>
      </c>
      <c r="D810">
        <v>57</v>
      </c>
      <c r="E810">
        <v>79</v>
      </c>
      <c r="F810">
        <v>6.17</v>
      </c>
      <c r="G810" t="s">
        <v>18</v>
      </c>
      <c r="H810" t="s">
        <v>16</v>
      </c>
      <c r="I810" t="str">
        <f t="shared" si="12"/>
        <v>Asia-Pacific</v>
      </c>
    </row>
    <row r="811" spans="1:9" x14ac:dyDescent="0.3">
      <c r="A811" t="s">
        <v>811</v>
      </c>
      <c r="B811">
        <v>95</v>
      </c>
      <c r="C811" t="s">
        <v>45</v>
      </c>
      <c r="D811">
        <v>58</v>
      </c>
      <c r="E811">
        <v>80</v>
      </c>
      <c r="F811">
        <v>5.59</v>
      </c>
      <c r="G811" t="s">
        <v>18</v>
      </c>
      <c r="H811" t="s">
        <v>16</v>
      </c>
      <c r="I811" t="str">
        <f t="shared" si="12"/>
        <v>Asia-Pacific</v>
      </c>
    </row>
    <row r="812" spans="1:9" x14ac:dyDescent="0.3">
      <c r="A812" t="s">
        <v>812</v>
      </c>
      <c r="B812">
        <v>96</v>
      </c>
      <c r="C812" t="s">
        <v>41</v>
      </c>
      <c r="D812">
        <v>64</v>
      </c>
      <c r="E812">
        <v>82</v>
      </c>
      <c r="F812">
        <v>14.11</v>
      </c>
      <c r="G812" t="s">
        <v>18</v>
      </c>
      <c r="H812" t="s">
        <v>14</v>
      </c>
      <c r="I812" t="str">
        <f t="shared" si="12"/>
        <v>America</v>
      </c>
    </row>
    <row r="813" spans="1:9" x14ac:dyDescent="0.3">
      <c r="A813" t="s">
        <v>813</v>
      </c>
      <c r="B813">
        <v>95</v>
      </c>
      <c r="C813" t="s">
        <v>45</v>
      </c>
      <c r="D813">
        <v>58</v>
      </c>
      <c r="E813">
        <v>78</v>
      </c>
      <c r="F813">
        <v>154.32</v>
      </c>
      <c r="G813" t="s">
        <v>2</v>
      </c>
      <c r="H813" t="s">
        <v>9</v>
      </c>
      <c r="I813" t="str">
        <f t="shared" si="12"/>
        <v>Africa</v>
      </c>
    </row>
    <row r="814" spans="1:9" x14ac:dyDescent="0.3">
      <c r="A814" t="s">
        <v>814</v>
      </c>
      <c r="B814">
        <v>94</v>
      </c>
      <c r="C814" t="s">
        <v>45</v>
      </c>
      <c r="D814">
        <v>58</v>
      </c>
      <c r="E814">
        <v>80</v>
      </c>
      <c r="F814">
        <v>5.88</v>
      </c>
      <c r="G814" t="s">
        <v>18</v>
      </c>
      <c r="H814" t="s">
        <v>9</v>
      </c>
      <c r="I814" t="str">
        <f t="shared" si="12"/>
        <v>Africa</v>
      </c>
    </row>
    <row r="815" spans="1:9" x14ac:dyDescent="0.3">
      <c r="A815" t="s">
        <v>815</v>
      </c>
      <c r="B815">
        <v>94</v>
      </c>
      <c r="C815" t="s">
        <v>41</v>
      </c>
      <c r="D815">
        <v>64</v>
      </c>
      <c r="E815">
        <v>86</v>
      </c>
      <c r="F815">
        <v>7.64</v>
      </c>
      <c r="G815" t="s">
        <v>18</v>
      </c>
      <c r="H815" t="s">
        <v>9</v>
      </c>
      <c r="I815" t="str">
        <f t="shared" si="12"/>
        <v>Africa</v>
      </c>
    </row>
    <row r="816" spans="1:9" x14ac:dyDescent="0.3">
      <c r="A816" t="s">
        <v>720</v>
      </c>
      <c r="B816">
        <v>94</v>
      </c>
      <c r="C816" t="s">
        <v>45</v>
      </c>
      <c r="D816">
        <v>58</v>
      </c>
      <c r="E816">
        <v>78</v>
      </c>
      <c r="F816">
        <v>5.59</v>
      </c>
      <c r="G816" t="s">
        <v>18</v>
      </c>
      <c r="H816" t="s">
        <v>9</v>
      </c>
      <c r="I816" t="str">
        <f t="shared" si="12"/>
        <v>Africa</v>
      </c>
    </row>
    <row r="817" spans="1:9" x14ac:dyDescent="0.3">
      <c r="A817" t="s">
        <v>816</v>
      </c>
      <c r="B817">
        <v>94</v>
      </c>
      <c r="C817" t="s">
        <v>45</v>
      </c>
      <c r="D817">
        <v>60</v>
      </c>
      <c r="E817">
        <v>78</v>
      </c>
      <c r="F817">
        <v>5.88</v>
      </c>
      <c r="G817" t="s">
        <v>18</v>
      </c>
      <c r="H817" t="s">
        <v>9</v>
      </c>
      <c r="I817" t="str">
        <f t="shared" si="12"/>
        <v>Africa</v>
      </c>
    </row>
    <row r="818" spans="1:9" x14ac:dyDescent="0.3">
      <c r="A818" t="s">
        <v>817</v>
      </c>
      <c r="B818">
        <v>94</v>
      </c>
      <c r="C818" t="s">
        <v>41</v>
      </c>
      <c r="D818">
        <v>62</v>
      </c>
      <c r="E818">
        <v>80</v>
      </c>
      <c r="F818">
        <v>154.32</v>
      </c>
      <c r="G818" t="s">
        <v>2</v>
      </c>
      <c r="H818" t="s">
        <v>16</v>
      </c>
      <c r="I818" t="str">
        <f t="shared" si="12"/>
        <v>Asia-Pacific</v>
      </c>
    </row>
    <row r="819" spans="1:9" x14ac:dyDescent="0.3">
      <c r="A819" t="s">
        <v>818</v>
      </c>
      <c r="B819">
        <v>94</v>
      </c>
      <c r="C819" t="s">
        <v>45</v>
      </c>
      <c r="D819">
        <v>57</v>
      </c>
      <c r="E819">
        <v>77</v>
      </c>
      <c r="F819">
        <v>158.72999999999999</v>
      </c>
      <c r="G819" t="s">
        <v>2</v>
      </c>
      <c r="H819" t="s">
        <v>12</v>
      </c>
      <c r="I819" t="str">
        <f t="shared" si="12"/>
        <v>Africa</v>
      </c>
    </row>
    <row r="820" spans="1:9" x14ac:dyDescent="0.3">
      <c r="A820" t="s">
        <v>819</v>
      </c>
      <c r="B820">
        <v>95</v>
      </c>
      <c r="C820" t="s">
        <v>45</v>
      </c>
      <c r="D820">
        <v>57</v>
      </c>
      <c r="E820">
        <v>77</v>
      </c>
      <c r="F820">
        <v>330.4</v>
      </c>
      <c r="G820" t="s">
        <v>2</v>
      </c>
      <c r="H820" t="s">
        <v>12</v>
      </c>
      <c r="I820" t="str">
        <f t="shared" si="12"/>
        <v>Africa</v>
      </c>
    </row>
    <row r="821" spans="1:9" x14ac:dyDescent="0.3">
      <c r="A821" t="s">
        <v>820</v>
      </c>
      <c r="B821">
        <v>95</v>
      </c>
      <c r="C821" t="s">
        <v>45</v>
      </c>
      <c r="D821">
        <v>60</v>
      </c>
      <c r="E821">
        <v>80</v>
      </c>
      <c r="F821">
        <v>7.94</v>
      </c>
      <c r="G821" t="s">
        <v>18</v>
      </c>
      <c r="H821" t="s">
        <v>4</v>
      </c>
      <c r="I821" t="str">
        <f t="shared" si="12"/>
        <v>America</v>
      </c>
    </row>
    <row r="822" spans="1:9" x14ac:dyDescent="0.3">
      <c r="A822" t="s">
        <v>821</v>
      </c>
      <c r="B822">
        <v>94</v>
      </c>
      <c r="C822" t="s">
        <v>45</v>
      </c>
      <c r="D822">
        <v>55</v>
      </c>
      <c r="E822">
        <v>73</v>
      </c>
      <c r="F822">
        <v>7.05</v>
      </c>
      <c r="G822" t="s">
        <v>18</v>
      </c>
      <c r="H822" t="s">
        <v>14</v>
      </c>
      <c r="I822" t="str">
        <f t="shared" si="12"/>
        <v>America</v>
      </c>
    </row>
    <row r="823" spans="1:9" x14ac:dyDescent="0.3">
      <c r="A823" t="s">
        <v>822</v>
      </c>
      <c r="B823">
        <v>94</v>
      </c>
      <c r="C823" t="s">
        <v>45</v>
      </c>
      <c r="D823">
        <v>60</v>
      </c>
      <c r="E823">
        <v>78</v>
      </c>
      <c r="F823">
        <v>7.94</v>
      </c>
      <c r="G823" t="s">
        <v>18</v>
      </c>
      <c r="H823" t="s">
        <v>14</v>
      </c>
      <c r="I823" t="str">
        <f t="shared" si="12"/>
        <v>America</v>
      </c>
    </row>
    <row r="824" spans="1:9" x14ac:dyDescent="0.3">
      <c r="A824" t="s">
        <v>823</v>
      </c>
      <c r="B824">
        <v>94</v>
      </c>
      <c r="C824" t="s">
        <v>45</v>
      </c>
      <c r="D824">
        <v>58</v>
      </c>
      <c r="E824">
        <v>78</v>
      </c>
      <c r="F824">
        <v>11.02</v>
      </c>
      <c r="G824" t="s">
        <v>18</v>
      </c>
      <c r="H824" t="s">
        <v>8</v>
      </c>
      <c r="I824" t="str">
        <f t="shared" si="12"/>
        <v>Africa</v>
      </c>
    </row>
    <row r="825" spans="1:9" x14ac:dyDescent="0.3">
      <c r="A825" t="s">
        <v>824</v>
      </c>
      <c r="B825">
        <v>94</v>
      </c>
      <c r="C825" t="s">
        <v>41</v>
      </c>
      <c r="D825">
        <v>60</v>
      </c>
      <c r="E825">
        <v>82</v>
      </c>
      <c r="F825">
        <v>6.47</v>
      </c>
      <c r="G825" t="s">
        <v>18</v>
      </c>
      <c r="H825" t="s">
        <v>21</v>
      </c>
      <c r="I825" t="str">
        <f t="shared" si="12"/>
        <v>America</v>
      </c>
    </row>
    <row r="826" spans="1:9" x14ac:dyDescent="0.3">
      <c r="A826" t="s">
        <v>825</v>
      </c>
      <c r="B826">
        <v>96</v>
      </c>
      <c r="C826" t="s">
        <v>41</v>
      </c>
      <c r="D826">
        <v>62</v>
      </c>
      <c r="E826">
        <v>80</v>
      </c>
      <c r="F826">
        <v>40.56</v>
      </c>
      <c r="G826" t="s">
        <v>18</v>
      </c>
      <c r="H826" t="s">
        <v>14</v>
      </c>
      <c r="I826" t="str">
        <f t="shared" si="12"/>
        <v>America</v>
      </c>
    </row>
    <row r="827" spans="1:9" x14ac:dyDescent="0.3">
      <c r="A827" t="s">
        <v>826</v>
      </c>
      <c r="B827">
        <v>97</v>
      </c>
      <c r="C827" t="s">
        <v>41</v>
      </c>
      <c r="D827">
        <v>64</v>
      </c>
      <c r="E827">
        <v>84</v>
      </c>
      <c r="F827">
        <v>35.270000000000003</v>
      </c>
      <c r="G827" t="s">
        <v>18</v>
      </c>
      <c r="H827" t="s">
        <v>14</v>
      </c>
      <c r="I827" t="str">
        <f t="shared" si="12"/>
        <v>America</v>
      </c>
    </row>
    <row r="828" spans="1:9" x14ac:dyDescent="0.3">
      <c r="A828" t="s">
        <v>827</v>
      </c>
      <c r="B828">
        <v>94</v>
      </c>
      <c r="C828" t="s">
        <v>45</v>
      </c>
      <c r="D828">
        <v>60</v>
      </c>
      <c r="E828">
        <v>80</v>
      </c>
      <c r="F828">
        <v>36.11</v>
      </c>
      <c r="G828" t="s">
        <v>18</v>
      </c>
      <c r="H828" t="s">
        <v>150</v>
      </c>
      <c r="I828" t="str">
        <f t="shared" si="12"/>
        <v>NULL</v>
      </c>
    </row>
    <row r="829" spans="1:9" x14ac:dyDescent="0.3">
      <c r="A829" t="s">
        <v>828</v>
      </c>
      <c r="B829">
        <v>94</v>
      </c>
      <c r="C829" t="s">
        <v>45</v>
      </c>
      <c r="D829">
        <v>56</v>
      </c>
      <c r="E829">
        <v>72</v>
      </c>
      <c r="F829">
        <v>35.270000000000003</v>
      </c>
      <c r="G829" t="s">
        <v>18</v>
      </c>
      <c r="H829" t="s">
        <v>18</v>
      </c>
      <c r="I829" t="str">
        <f t="shared" si="12"/>
        <v>America</v>
      </c>
    </row>
    <row r="830" spans="1:9" x14ac:dyDescent="0.3">
      <c r="A830" t="s">
        <v>829</v>
      </c>
      <c r="B830">
        <v>95</v>
      </c>
      <c r="C830" t="s">
        <v>45</v>
      </c>
      <c r="D830">
        <v>58</v>
      </c>
      <c r="E830">
        <v>78</v>
      </c>
      <c r="F830">
        <v>22.05</v>
      </c>
      <c r="G830" t="s">
        <v>18</v>
      </c>
      <c r="H830" t="s">
        <v>18</v>
      </c>
      <c r="I830" t="str">
        <f t="shared" si="12"/>
        <v>America</v>
      </c>
    </row>
    <row r="831" spans="1:9" x14ac:dyDescent="0.3">
      <c r="A831" t="s">
        <v>830</v>
      </c>
      <c r="B831">
        <v>95</v>
      </c>
      <c r="C831" t="s">
        <v>41</v>
      </c>
      <c r="D831">
        <v>64</v>
      </c>
      <c r="E831">
        <v>80</v>
      </c>
      <c r="F831">
        <v>10.58</v>
      </c>
      <c r="G831" t="s">
        <v>18</v>
      </c>
      <c r="H831" t="s">
        <v>4</v>
      </c>
      <c r="I831" t="str">
        <f t="shared" si="12"/>
        <v>America</v>
      </c>
    </row>
    <row r="832" spans="1:9" x14ac:dyDescent="0.3">
      <c r="A832" t="s">
        <v>831</v>
      </c>
      <c r="B832">
        <v>94</v>
      </c>
      <c r="C832" t="s">
        <v>45</v>
      </c>
      <c r="D832">
        <v>58</v>
      </c>
      <c r="E832">
        <v>76</v>
      </c>
      <c r="F832">
        <v>5.59</v>
      </c>
      <c r="G832" t="s">
        <v>18</v>
      </c>
      <c r="H832" t="s">
        <v>9</v>
      </c>
      <c r="I832" t="str">
        <f t="shared" si="12"/>
        <v>Africa</v>
      </c>
    </row>
    <row r="833" spans="1:9" x14ac:dyDescent="0.3">
      <c r="A833" t="s">
        <v>832</v>
      </c>
      <c r="B833">
        <v>94</v>
      </c>
      <c r="C833" t="s">
        <v>45</v>
      </c>
      <c r="D833">
        <v>58</v>
      </c>
      <c r="E833">
        <v>76</v>
      </c>
      <c r="F833">
        <v>15.87</v>
      </c>
      <c r="G833" t="s">
        <v>18</v>
      </c>
      <c r="H833" t="s">
        <v>14</v>
      </c>
      <c r="I833" t="str">
        <f t="shared" si="12"/>
        <v>America</v>
      </c>
    </row>
    <row r="834" spans="1:9" x14ac:dyDescent="0.3">
      <c r="A834" t="s">
        <v>833</v>
      </c>
      <c r="B834">
        <v>94</v>
      </c>
      <c r="C834" t="s">
        <v>45</v>
      </c>
      <c r="D834">
        <v>60</v>
      </c>
      <c r="E834">
        <v>78</v>
      </c>
      <c r="F834">
        <v>208.89</v>
      </c>
      <c r="G834" t="s">
        <v>2</v>
      </c>
      <c r="H834" t="s">
        <v>5</v>
      </c>
      <c r="I834" t="str">
        <f t="shared" si="12"/>
        <v>America</v>
      </c>
    </row>
    <row r="835" spans="1:9" x14ac:dyDescent="0.3">
      <c r="A835" t="s">
        <v>834</v>
      </c>
      <c r="B835">
        <v>95</v>
      </c>
      <c r="C835" t="s">
        <v>45</v>
      </c>
      <c r="D835">
        <v>56</v>
      </c>
      <c r="E835">
        <v>76</v>
      </c>
      <c r="F835">
        <v>22.02</v>
      </c>
      <c r="G835" t="s">
        <v>18</v>
      </c>
      <c r="H835" t="s">
        <v>18</v>
      </c>
      <c r="I835" t="str">
        <f t="shared" ref="I835:I898" si="13">_xlfn.XLOOKUP(H835, $M$2:$M$50, $N$2:$N$50, "Other")</f>
        <v>America</v>
      </c>
    </row>
    <row r="836" spans="1:9" x14ac:dyDescent="0.3">
      <c r="A836" t="s">
        <v>835</v>
      </c>
      <c r="B836">
        <v>95</v>
      </c>
      <c r="C836" t="s">
        <v>45</v>
      </c>
      <c r="D836">
        <v>60</v>
      </c>
      <c r="E836">
        <v>78</v>
      </c>
      <c r="F836">
        <v>7.35</v>
      </c>
      <c r="G836" t="s">
        <v>18</v>
      </c>
      <c r="H836" t="s">
        <v>21</v>
      </c>
      <c r="I836" t="str">
        <f t="shared" si="13"/>
        <v>America</v>
      </c>
    </row>
    <row r="837" spans="1:9" x14ac:dyDescent="0.3">
      <c r="A837" t="s">
        <v>836</v>
      </c>
      <c r="B837">
        <v>94</v>
      </c>
      <c r="C837" t="s">
        <v>45</v>
      </c>
      <c r="D837">
        <v>58</v>
      </c>
      <c r="E837">
        <v>78</v>
      </c>
      <c r="F837">
        <v>5.58</v>
      </c>
      <c r="G837" t="s">
        <v>18</v>
      </c>
      <c r="H837" t="s">
        <v>21</v>
      </c>
      <c r="I837" t="str">
        <f t="shared" si="13"/>
        <v>America</v>
      </c>
    </row>
    <row r="838" spans="1:9" x14ac:dyDescent="0.3">
      <c r="A838" t="s">
        <v>837</v>
      </c>
      <c r="B838">
        <v>94</v>
      </c>
      <c r="C838" t="s">
        <v>45</v>
      </c>
      <c r="D838">
        <v>58</v>
      </c>
      <c r="E838">
        <v>78</v>
      </c>
      <c r="F838">
        <v>176.21</v>
      </c>
      <c r="G838" t="s">
        <v>2</v>
      </c>
      <c r="H838" t="s">
        <v>15</v>
      </c>
      <c r="I838" t="str">
        <f t="shared" si="13"/>
        <v>America</v>
      </c>
    </row>
    <row r="839" spans="1:9" x14ac:dyDescent="0.3">
      <c r="A839" t="s">
        <v>838</v>
      </c>
      <c r="B839">
        <v>94</v>
      </c>
      <c r="C839" t="s">
        <v>41</v>
      </c>
      <c r="D839">
        <v>64</v>
      </c>
      <c r="E839">
        <v>88</v>
      </c>
      <c r="F839">
        <v>53.4</v>
      </c>
      <c r="G839" t="s">
        <v>2</v>
      </c>
      <c r="H839" t="s">
        <v>9</v>
      </c>
      <c r="I839" t="str">
        <f t="shared" si="13"/>
        <v>Africa</v>
      </c>
    </row>
    <row r="840" spans="1:9" x14ac:dyDescent="0.3">
      <c r="A840" t="s">
        <v>839</v>
      </c>
      <c r="B840">
        <v>94</v>
      </c>
      <c r="C840" t="s">
        <v>41</v>
      </c>
      <c r="D840">
        <v>62</v>
      </c>
      <c r="E840">
        <v>80</v>
      </c>
      <c r="F840">
        <v>3.95</v>
      </c>
      <c r="G840" t="s">
        <v>18</v>
      </c>
      <c r="H840" t="s">
        <v>150</v>
      </c>
      <c r="I840" t="str">
        <f t="shared" si="13"/>
        <v>NULL</v>
      </c>
    </row>
    <row r="841" spans="1:9" x14ac:dyDescent="0.3">
      <c r="A841" t="s">
        <v>840</v>
      </c>
      <c r="B841">
        <v>94</v>
      </c>
      <c r="C841" t="s">
        <v>45</v>
      </c>
      <c r="D841">
        <v>58</v>
      </c>
      <c r="E841">
        <v>76</v>
      </c>
      <c r="F841">
        <v>5.29</v>
      </c>
      <c r="G841" t="s">
        <v>18</v>
      </c>
      <c r="H841" t="s">
        <v>9</v>
      </c>
      <c r="I841" t="str">
        <f t="shared" si="13"/>
        <v>Africa</v>
      </c>
    </row>
    <row r="842" spans="1:9" x14ac:dyDescent="0.3">
      <c r="A842" t="s">
        <v>841</v>
      </c>
      <c r="B842">
        <v>94</v>
      </c>
      <c r="C842" t="s">
        <v>45</v>
      </c>
      <c r="D842">
        <v>57</v>
      </c>
      <c r="E842">
        <v>74</v>
      </c>
      <c r="F842">
        <v>326.67</v>
      </c>
      <c r="G842" t="s">
        <v>2</v>
      </c>
      <c r="H842" t="s">
        <v>14</v>
      </c>
      <c r="I842" t="str">
        <f t="shared" si="13"/>
        <v>America</v>
      </c>
    </row>
    <row r="843" spans="1:9" x14ac:dyDescent="0.3">
      <c r="A843" t="s">
        <v>842</v>
      </c>
      <c r="B843">
        <v>94</v>
      </c>
      <c r="C843" t="s">
        <v>45</v>
      </c>
      <c r="D843">
        <v>58</v>
      </c>
      <c r="E843">
        <v>78</v>
      </c>
      <c r="F843">
        <v>6.47</v>
      </c>
      <c r="G843" t="s">
        <v>18</v>
      </c>
      <c r="H843" t="s">
        <v>12</v>
      </c>
      <c r="I843" t="str">
        <f t="shared" si="13"/>
        <v>Africa</v>
      </c>
    </row>
    <row r="844" spans="1:9" x14ac:dyDescent="0.3">
      <c r="A844" t="s">
        <v>843</v>
      </c>
      <c r="B844">
        <v>94</v>
      </c>
      <c r="C844" t="s">
        <v>45</v>
      </c>
      <c r="D844">
        <v>60</v>
      </c>
      <c r="E844">
        <v>76</v>
      </c>
      <c r="F844">
        <v>15.41</v>
      </c>
      <c r="G844" t="s">
        <v>18</v>
      </c>
      <c r="H844" t="s">
        <v>14</v>
      </c>
      <c r="I844" t="str">
        <f t="shared" si="13"/>
        <v>America</v>
      </c>
    </row>
    <row r="845" spans="1:9" x14ac:dyDescent="0.3">
      <c r="A845" t="s">
        <v>844</v>
      </c>
      <c r="B845">
        <v>94</v>
      </c>
      <c r="C845" t="s">
        <v>45</v>
      </c>
      <c r="D845">
        <v>54</v>
      </c>
      <c r="E845">
        <v>72</v>
      </c>
      <c r="F845">
        <v>4.7</v>
      </c>
      <c r="G845" t="s">
        <v>18</v>
      </c>
      <c r="H845" t="s">
        <v>21</v>
      </c>
      <c r="I845" t="str">
        <f t="shared" si="13"/>
        <v>America</v>
      </c>
    </row>
    <row r="846" spans="1:9" x14ac:dyDescent="0.3">
      <c r="A846" t="s">
        <v>845</v>
      </c>
      <c r="B846">
        <v>94</v>
      </c>
      <c r="C846" t="s">
        <v>45</v>
      </c>
      <c r="D846">
        <v>56</v>
      </c>
      <c r="E846">
        <v>76</v>
      </c>
      <c r="F846">
        <v>5.59</v>
      </c>
      <c r="G846" t="s">
        <v>18</v>
      </c>
      <c r="H846" t="s">
        <v>7</v>
      </c>
      <c r="I846" t="str">
        <f t="shared" si="13"/>
        <v>America</v>
      </c>
    </row>
    <row r="847" spans="1:9" x14ac:dyDescent="0.3">
      <c r="A847" t="s">
        <v>609</v>
      </c>
      <c r="B847">
        <v>95</v>
      </c>
      <c r="C847" t="s">
        <v>41</v>
      </c>
      <c r="D847">
        <v>60</v>
      </c>
      <c r="E847">
        <v>82</v>
      </c>
      <c r="F847">
        <v>5.29</v>
      </c>
      <c r="G847" t="s">
        <v>18</v>
      </c>
      <c r="H847" t="s">
        <v>19</v>
      </c>
      <c r="I847" t="str">
        <f t="shared" si="13"/>
        <v>Asia-Pacific</v>
      </c>
    </row>
    <row r="848" spans="1:9" x14ac:dyDescent="0.3">
      <c r="A848" t="s">
        <v>846</v>
      </c>
      <c r="B848">
        <v>96</v>
      </c>
      <c r="C848" t="s">
        <v>45</v>
      </c>
      <c r="D848">
        <v>60</v>
      </c>
      <c r="E848">
        <v>78</v>
      </c>
      <c r="F848">
        <v>352.73</v>
      </c>
      <c r="G848" t="s">
        <v>2</v>
      </c>
      <c r="H848" t="s">
        <v>9</v>
      </c>
      <c r="I848" t="str">
        <f t="shared" si="13"/>
        <v>Africa</v>
      </c>
    </row>
    <row r="849" spans="1:9" x14ac:dyDescent="0.3">
      <c r="A849" t="s">
        <v>847</v>
      </c>
      <c r="B849">
        <v>95</v>
      </c>
      <c r="C849" t="s">
        <v>45</v>
      </c>
      <c r="D849">
        <v>60</v>
      </c>
      <c r="E849">
        <v>76</v>
      </c>
      <c r="F849">
        <v>5.88</v>
      </c>
      <c r="G849" t="s">
        <v>18</v>
      </c>
      <c r="H849" t="s">
        <v>150</v>
      </c>
      <c r="I849" t="str">
        <f t="shared" si="13"/>
        <v>NULL</v>
      </c>
    </row>
    <row r="850" spans="1:9" x14ac:dyDescent="0.3">
      <c r="A850" t="s">
        <v>848</v>
      </c>
      <c r="B850">
        <v>95</v>
      </c>
      <c r="C850" t="s">
        <v>45</v>
      </c>
      <c r="D850">
        <v>57</v>
      </c>
      <c r="E850">
        <v>77</v>
      </c>
      <c r="F850">
        <v>92.59</v>
      </c>
      <c r="G850" t="s">
        <v>2</v>
      </c>
      <c r="H850" t="s">
        <v>9</v>
      </c>
      <c r="I850" t="str">
        <f t="shared" si="13"/>
        <v>Africa</v>
      </c>
    </row>
    <row r="851" spans="1:9" x14ac:dyDescent="0.3">
      <c r="A851" t="s">
        <v>849</v>
      </c>
      <c r="B851">
        <v>94</v>
      </c>
      <c r="C851" t="s">
        <v>45</v>
      </c>
      <c r="D851">
        <v>58</v>
      </c>
      <c r="E851">
        <v>80</v>
      </c>
      <c r="F851">
        <v>7.94</v>
      </c>
      <c r="G851" t="s">
        <v>18</v>
      </c>
      <c r="H851" t="s">
        <v>15</v>
      </c>
      <c r="I851" t="str">
        <f t="shared" si="13"/>
        <v>America</v>
      </c>
    </row>
    <row r="852" spans="1:9" x14ac:dyDescent="0.3">
      <c r="A852" t="s">
        <v>850</v>
      </c>
      <c r="B852">
        <v>95</v>
      </c>
      <c r="C852" t="s">
        <v>41</v>
      </c>
      <c r="D852">
        <v>64</v>
      </c>
      <c r="E852">
        <v>82</v>
      </c>
      <c r="F852">
        <v>420.35</v>
      </c>
      <c r="G852" t="s">
        <v>2</v>
      </c>
      <c r="H852" t="s">
        <v>9</v>
      </c>
      <c r="I852" t="str">
        <f t="shared" si="13"/>
        <v>Africa</v>
      </c>
    </row>
    <row r="853" spans="1:9" x14ac:dyDescent="0.3">
      <c r="A853" t="s">
        <v>851</v>
      </c>
      <c r="B853">
        <v>94</v>
      </c>
      <c r="C853" t="s">
        <v>45</v>
      </c>
      <c r="D853">
        <v>54</v>
      </c>
      <c r="E853">
        <v>72</v>
      </c>
      <c r="F853">
        <v>7.35</v>
      </c>
      <c r="G853" t="s">
        <v>18</v>
      </c>
      <c r="H853" t="s">
        <v>16</v>
      </c>
      <c r="I853" t="str">
        <f t="shared" si="13"/>
        <v>Asia-Pacific</v>
      </c>
    </row>
    <row r="854" spans="1:9" x14ac:dyDescent="0.3">
      <c r="A854" t="s">
        <v>852</v>
      </c>
      <c r="B854">
        <v>94</v>
      </c>
      <c r="C854" t="s">
        <v>45</v>
      </c>
      <c r="D854">
        <v>57</v>
      </c>
      <c r="E854">
        <v>73</v>
      </c>
      <c r="F854">
        <v>12.3</v>
      </c>
      <c r="G854" t="s">
        <v>18</v>
      </c>
      <c r="H854" t="s">
        <v>8</v>
      </c>
      <c r="I854" t="str">
        <f t="shared" si="13"/>
        <v>Africa</v>
      </c>
    </row>
    <row r="855" spans="1:9" x14ac:dyDescent="0.3">
      <c r="A855" t="s">
        <v>853</v>
      </c>
      <c r="B855">
        <v>94</v>
      </c>
      <c r="C855" t="s">
        <v>45</v>
      </c>
      <c r="D855">
        <v>58</v>
      </c>
      <c r="E855">
        <v>76</v>
      </c>
      <c r="F855">
        <v>4.9800000000000004</v>
      </c>
      <c r="G855" t="s">
        <v>18</v>
      </c>
      <c r="H855" t="s">
        <v>12</v>
      </c>
      <c r="I855" t="str">
        <f t="shared" si="13"/>
        <v>Africa</v>
      </c>
    </row>
    <row r="856" spans="1:9" x14ac:dyDescent="0.3">
      <c r="A856" t="s">
        <v>854</v>
      </c>
      <c r="B856">
        <v>95</v>
      </c>
      <c r="C856" t="s">
        <v>41</v>
      </c>
      <c r="D856">
        <v>62</v>
      </c>
      <c r="E856">
        <v>80</v>
      </c>
      <c r="F856">
        <v>11.02</v>
      </c>
      <c r="G856" t="s">
        <v>18</v>
      </c>
      <c r="H856" t="s">
        <v>5</v>
      </c>
      <c r="I856" t="str">
        <f t="shared" si="13"/>
        <v>America</v>
      </c>
    </row>
    <row r="857" spans="1:9" x14ac:dyDescent="0.3">
      <c r="A857" t="s">
        <v>855</v>
      </c>
      <c r="B857">
        <v>94</v>
      </c>
      <c r="C857" t="s">
        <v>45</v>
      </c>
      <c r="D857">
        <v>60</v>
      </c>
      <c r="E857">
        <v>78</v>
      </c>
      <c r="F857">
        <v>5.59</v>
      </c>
      <c r="G857" t="s">
        <v>18</v>
      </c>
      <c r="H857" t="s">
        <v>9</v>
      </c>
      <c r="I857" t="str">
        <f t="shared" si="13"/>
        <v>Africa</v>
      </c>
    </row>
    <row r="858" spans="1:9" x14ac:dyDescent="0.3">
      <c r="A858" t="s">
        <v>856</v>
      </c>
      <c r="B858">
        <v>94</v>
      </c>
      <c r="C858" t="s">
        <v>45</v>
      </c>
      <c r="D858">
        <v>59</v>
      </c>
      <c r="E858">
        <v>77</v>
      </c>
      <c r="F858">
        <v>11.02</v>
      </c>
      <c r="G858" t="s">
        <v>18</v>
      </c>
      <c r="H858" t="s">
        <v>9</v>
      </c>
      <c r="I858" t="str">
        <f t="shared" si="13"/>
        <v>Africa</v>
      </c>
    </row>
    <row r="859" spans="1:9" x14ac:dyDescent="0.3">
      <c r="A859" t="s">
        <v>857</v>
      </c>
      <c r="B859">
        <v>94</v>
      </c>
      <c r="C859" t="s">
        <v>45</v>
      </c>
      <c r="D859">
        <v>54</v>
      </c>
      <c r="E859">
        <v>72</v>
      </c>
      <c r="F859">
        <v>152.16999999999999</v>
      </c>
      <c r="G859" t="s">
        <v>2</v>
      </c>
      <c r="H859" t="s">
        <v>15</v>
      </c>
      <c r="I859" t="str">
        <f t="shared" si="13"/>
        <v>America</v>
      </c>
    </row>
    <row r="860" spans="1:9" x14ac:dyDescent="0.3">
      <c r="A860" t="s">
        <v>858</v>
      </c>
      <c r="B860">
        <v>95</v>
      </c>
      <c r="C860" t="s">
        <v>45</v>
      </c>
      <c r="D860">
        <v>62</v>
      </c>
      <c r="E860">
        <v>78</v>
      </c>
      <c r="F860">
        <v>130.07</v>
      </c>
      <c r="G860" t="s">
        <v>2</v>
      </c>
      <c r="H860" t="s">
        <v>9</v>
      </c>
      <c r="I860" t="str">
        <f t="shared" si="13"/>
        <v>Africa</v>
      </c>
    </row>
    <row r="861" spans="1:9" x14ac:dyDescent="0.3">
      <c r="A861" t="s">
        <v>859</v>
      </c>
      <c r="B861">
        <v>96</v>
      </c>
      <c r="C861" t="s">
        <v>82</v>
      </c>
      <c r="D861">
        <v>44</v>
      </c>
      <c r="E861">
        <v>60</v>
      </c>
      <c r="F861">
        <v>374.78</v>
      </c>
      <c r="G861" t="s">
        <v>2</v>
      </c>
      <c r="H861" t="s">
        <v>9</v>
      </c>
      <c r="I861" t="str">
        <f t="shared" si="13"/>
        <v>Africa</v>
      </c>
    </row>
    <row r="862" spans="1:9" x14ac:dyDescent="0.3">
      <c r="A862" t="s">
        <v>107</v>
      </c>
      <c r="B862">
        <v>94</v>
      </c>
      <c r="C862" t="s">
        <v>45</v>
      </c>
      <c r="D862">
        <v>60</v>
      </c>
      <c r="E862">
        <v>76</v>
      </c>
      <c r="F862">
        <v>22.05</v>
      </c>
      <c r="G862" t="s">
        <v>18</v>
      </c>
      <c r="H862" t="s">
        <v>18</v>
      </c>
      <c r="I862" t="str">
        <f t="shared" si="13"/>
        <v>America</v>
      </c>
    </row>
    <row r="863" spans="1:9" x14ac:dyDescent="0.3">
      <c r="A863" t="s">
        <v>860</v>
      </c>
      <c r="B863">
        <v>94</v>
      </c>
      <c r="C863" t="s">
        <v>45</v>
      </c>
      <c r="D863">
        <v>58</v>
      </c>
      <c r="E863">
        <v>76</v>
      </c>
      <c r="F863">
        <v>26.46</v>
      </c>
      <c r="G863" t="s">
        <v>18</v>
      </c>
      <c r="H863" t="s">
        <v>18</v>
      </c>
      <c r="I863" t="str">
        <f t="shared" si="13"/>
        <v>America</v>
      </c>
    </row>
    <row r="864" spans="1:9" x14ac:dyDescent="0.3">
      <c r="A864" t="s">
        <v>861</v>
      </c>
      <c r="B864">
        <v>95</v>
      </c>
      <c r="C864" t="s">
        <v>45</v>
      </c>
      <c r="D864">
        <v>58</v>
      </c>
      <c r="E864">
        <v>80</v>
      </c>
      <c r="F864">
        <v>13.23</v>
      </c>
      <c r="G864" t="s">
        <v>18</v>
      </c>
      <c r="H864" t="s">
        <v>14</v>
      </c>
      <c r="I864" t="str">
        <f t="shared" si="13"/>
        <v>America</v>
      </c>
    </row>
    <row r="865" spans="1:9" x14ac:dyDescent="0.3">
      <c r="A865" t="s">
        <v>862</v>
      </c>
      <c r="B865">
        <v>95</v>
      </c>
      <c r="C865" t="s">
        <v>41</v>
      </c>
      <c r="D865">
        <v>64</v>
      </c>
      <c r="E865">
        <v>88</v>
      </c>
      <c r="F865">
        <v>44.09</v>
      </c>
      <c r="G865" t="s">
        <v>18</v>
      </c>
      <c r="H865" t="s">
        <v>5</v>
      </c>
      <c r="I865" t="str">
        <f t="shared" si="13"/>
        <v>America</v>
      </c>
    </row>
    <row r="866" spans="1:9" x14ac:dyDescent="0.3">
      <c r="A866" t="s">
        <v>863</v>
      </c>
      <c r="B866">
        <v>95</v>
      </c>
      <c r="C866" t="s">
        <v>45</v>
      </c>
      <c r="D866">
        <v>57</v>
      </c>
      <c r="E866">
        <v>79</v>
      </c>
      <c r="F866">
        <v>7.35</v>
      </c>
      <c r="G866" t="s">
        <v>18</v>
      </c>
      <c r="H866" t="s">
        <v>9</v>
      </c>
      <c r="I866" t="str">
        <f t="shared" si="13"/>
        <v>Africa</v>
      </c>
    </row>
    <row r="867" spans="1:9" x14ac:dyDescent="0.3">
      <c r="A867" t="s">
        <v>864</v>
      </c>
      <c r="B867">
        <v>95</v>
      </c>
      <c r="C867" t="s">
        <v>45</v>
      </c>
      <c r="D867">
        <v>60</v>
      </c>
      <c r="E867">
        <v>74</v>
      </c>
      <c r="F867">
        <v>7.64</v>
      </c>
      <c r="G867" t="s">
        <v>18</v>
      </c>
      <c r="H867" t="s">
        <v>7</v>
      </c>
      <c r="I867" t="str">
        <f t="shared" si="13"/>
        <v>America</v>
      </c>
    </row>
    <row r="868" spans="1:9" x14ac:dyDescent="0.3">
      <c r="A868" t="s">
        <v>580</v>
      </c>
      <c r="B868">
        <v>94</v>
      </c>
      <c r="C868" t="s">
        <v>41</v>
      </c>
      <c r="D868">
        <v>62</v>
      </c>
      <c r="E868">
        <v>80</v>
      </c>
      <c r="F868">
        <v>10.58</v>
      </c>
      <c r="G868" t="s">
        <v>18</v>
      </c>
      <c r="H868" t="s">
        <v>7</v>
      </c>
      <c r="I868" t="str">
        <f t="shared" si="13"/>
        <v>America</v>
      </c>
    </row>
    <row r="869" spans="1:9" x14ac:dyDescent="0.3">
      <c r="A869" t="s">
        <v>109</v>
      </c>
      <c r="B869">
        <v>94</v>
      </c>
      <c r="C869" t="s">
        <v>45</v>
      </c>
      <c r="D869">
        <v>60</v>
      </c>
      <c r="E869">
        <v>80</v>
      </c>
      <c r="F869">
        <v>176.37</v>
      </c>
      <c r="G869" t="s">
        <v>2</v>
      </c>
      <c r="H869" t="s">
        <v>12</v>
      </c>
      <c r="I869" t="str">
        <f t="shared" si="13"/>
        <v>Africa</v>
      </c>
    </row>
    <row r="870" spans="1:9" x14ac:dyDescent="0.3">
      <c r="A870" t="s">
        <v>865</v>
      </c>
      <c r="B870">
        <v>96</v>
      </c>
      <c r="C870" t="s">
        <v>45</v>
      </c>
      <c r="D870">
        <v>59</v>
      </c>
      <c r="E870">
        <v>77</v>
      </c>
      <c r="F870">
        <v>66.67</v>
      </c>
      <c r="G870" t="s">
        <v>28</v>
      </c>
      <c r="H870" t="s">
        <v>5</v>
      </c>
      <c r="I870" t="str">
        <f t="shared" si="13"/>
        <v>America</v>
      </c>
    </row>
    <row r="871" spans="1:9" x14ac:dyDescent="0.3">
      <c r="A871" t="s">
        <v>866</v>
      </c>
      <c r="B871">
        <v>94</v>
      </c>
      <c r="C871" t="s">
        <v>45</v>
      </c>
      <c r="D871">
        <v>57</v>
      </c>
      <c r="E871">
        <v>77</v>
      </c>
      <c r="F871">
        <v>5.29</v>
      </c>
      <c r="G871" t="s">
        <v>18</v>
      </c>
      <c r="H871" t="s">
        <v>12</v>
      </c>
      <c r="I871" t="str">
        <f t="shared" si="13"/>
        <v>Africa</v>
      </c>
    </row>
    <row r="872" spans="1:9" x14ac:dyDescent="0.3">
      <c r="A872" t="s">
        <v>867</v>
      </c>
      <c r="B872">
        <v>94</v>
      </c>
      <c r="C872" t="s">
        <v>41</v>
      </c>
      <c r="D872">
        <v>62</v>
      </c>
      <c r="E872">
        <v>80</v>
      </c>
      <c r="F872">
        <v>242.5</v>
      </c>
      <c r="G872" t="s">
        <v>2</v>
      </c>
      <c r="H872" t="s">
        <v>9</v>
      </c>
      <c r="I872" t="str">
        <f t="shared" si="13"/>
        <v>Africa</v>
      </c>
    </row>
    <row r="873" spans="1:9" x14ac:dyDescent="0.3">
      <c r="A873" t="s">
        <v>868</v>
      </c>
      <c r="B873">
        <v>94</v>
      </c>
      <c r="C873" t="s">
        <v>41</v>
      </c>
      <c r="D873">
        <v>64</v>
      </c>
      <c r="E873">
        <v>84</v>
      </c>
      <c r="F873">
        <v>29.39</v>
      </c>
      <c r="G873" t="s">
        <v>18</v>
      </c>
      <c r="H873" t="s">
        <v>5</v>
      </c>
      <c r="I873" t="str">
        <f t="shared" si="13"/>
        <v>America</v>
      </c>
    </row>
    <row r="874" spans="1:9" x14ac:dyDescent="0.3">
      <c r="A874" t="s">
        <v>869</v>
      </c>
      <c r="B874">
        <v>94</v>
      </c>
      <c r="C874" t="s">
        <v>45</v>
      </c>
      <c r="D874">
        <v>62</v>
      </c>
      <c r="E874">
        <v>78</v>
      </c>
      <c r="F874">
        <v>16.75</v>
      </c>
      <c r="G874" t="s">
        <v>18</v>
      </c>
      <c r="H874" t="s">
        <v>18</v>
      </c>
      <c r="I874" t="str">
        <f t="shared" si="13"/>
        <v>America</v>
      </c>
    </row>
    <row r="875" spans="1:9" x14ac:dyDescent="0.3">
      <c r="A875" t="s">
        <v>870</v>
      </c>
      <c r="B875">
        <v>95</v>
      </c>
      <c r="C875" t="s">
        <v>45</v>
      </c>
      <c r="D875">
        <v>58</v>
      </c>
      <c r="E875">
        <v>76</v>
      </c>
      <c r="F875">
        <v>6.47</v>
      </c>
      <c r="G875" t="s">
        <v>18</v>
      </c>
      <c r="H875" t="s">
        <v>15</v>
      </c>
      <c r="I875" t="str">
        <f t="shared" si="13"/>
        <v>America</v>
      </c>
    </row>
    <row r="876" spans="1:9" x14ac:dyDescent="0.3">
      <c r="A876" t="s">
        <v>871</v>
      </c>
      <c r="B876">
        <v>96</v>
      </c>
      <c r="C876" t="s">
        <v>45</v>
      </c>
      <c r="D876">
        <v>60</v>
      </c>
      <c r="E876">
        <v>78</v>
      </c>
      <c r="F876">
        <v>6.46</v>
      </c>
      <c r="G876" t="s">
        <v>18</v>
      </c>
      <c r="H876" t="s">
        <v>9</v>
      </c>
      <c r="I876" t="str">
        <f t="shared" si="13"/>
        <v>Africa</v>
      </c>
    </row>
    <row r="877" spans="1:9" x14ac:dyDescent="0.3">
      <c r="A877" t="s">
        <v>872</v>
      </c>
      <c r="B877">
        <v>94</v>
      </c>
      <c r="C877" t="s">
        <v>45</v>
      </c>
      <c r="D877">
        <v>58</v>
      </c>
      <c r="E877">
        <v>76</v>
      </c>
      <c r="F877">
        <v>6.17</v>
      </c>
      <c r="G877" t="s">
        <v>18</v>
      </c>
      <c r="H877" t="s">
        <v>9</v>
      </c>
      <c r="I877" t="str">
        <f t="shared" si="13"/>
        <v>Africa</v>
      </c>
    </row>
    <row r="878" spans="1:9" x14ac:dyDescent="0.3">
      <c r="A878" t="s">
        <v>873</v>
      </c>
      <c r="B878">
        <v>94</v>
      </c>
      <c r="C878" t="s">
        <v>41</v>
      </c>
      <c r="D878">
        <v>60</v>
      </c>
      <c r="E878">
        <v>82</v>
      </c>
      <c r="F878">
        <v>165.34</v>
      </c>
      <c r="G878" t="s">
        <v>2</v>
      </c>
      <c r="H878" t="s">
        <v>9</v>
      </c>
      <c r="I878" t="str">
        <f t="shared" si="13"/>
        <v>Africa</v>
      </c>
    </row>
    <row r="879" spans="1:9" x14ac:dyDescent="0.3">
      <c r="A879" t="s">
        <v>874</v>
      </c>
      <c r="B879">
        <v>95</v>
      </c>
      <c r="C879" t="s">
        <v>45</v>
      </c>
      <c r="D879">
        <v>58</v>
      </c>
      <c r="E879">
        <v>80</v>
      </c>
      <c r="F879">
        <v>22.05</v>
      </c>
      <c r="G879" t="s">
        <v>18</v>
      </c>
      <c r="H879" t="s">
        <v>5</v>
      </c>
      <c r="I879" t="str">
        <f t="shared" si="13"/>
        <v>America</v>
      </c>
    </row>
    <row r="880" spans="1:9" x14ac:dyDescent="0.3">
      <c r="A880" t="s">
        <v>875</v>
      </c>
      <c r="B880">
        <v>96</v>
      </c>
      <c r="C880" t="s">
        <v>45</v>
      </c>
      <c r="D880">
        <v>59</v>
      </c>
      <c r="E880">
        <v>81</v>
      </c>
      <c r="F880">
        <v>1102.29</v>
      </c>
      <c r="G880" t="s">
        <v>2</v>
      </c>
      <c r="H880" t="s">
        <v>5</v>
      </c>
      <c r="I880" t="str">
        <f t="shared" si="13"/>
        <v>America</v>
      </c>
    </row>
    <row r="881" spans="1:9" x14ac:dyDescent="0.3">
      <c r="A881" t="s">
        <v>876</v>
      </c>
      <c r="B881">
        <v>95</v>
      </c>
      <c r="C881" t="s">
        <v>45</v>
      </c>
      <c r="D881">
        <v>58</v>
      </c>
      <c r="E881">
        <v>77</v>
      </c>
      <c r="F881">
        <v>0.88</v>
      </c>
      <c r="G881" t="s">
        <v>2</v>
      </c>
      <c r="H881" t="s">
        <v>5</v>
      </c>
      <c r="I881" t="str">
        <f t="shared" si="13"/>
        <v>America</v>
      </c>
    </row>
    <row r="882" spans="1:9" x14ac:dyDescent="0.3">
      <c r="A882" t="s">
        <v>877</v>
      </c>
      <c r="B882">
        <v>94</v>
      </c>
      <c r="C882" t="s">
        <v>41</v>
      </c>
      <c r="D882">
        <v>60</v>
      </c>
      <c r="E882">
        <v>84</v>
      </c>
      <c r="F882">
        <v>0.88</v>
      </c>
      <c r="G882" t="s">
        <v>2</v>
      </c>
      <c r="H882" t="s">
        <v>5</v>
      </c>
      <c r="I882" t="str">
        <f t="shared" si="13"/>
        <v>America</v>
      </c>
    </row>
    <row r="883" spans="1:9" x14ac:dyDescent="0.3">
      <c r="A883" t="s">
        <v>878</v>
      </c>
      <c r="B883">
        <v>94</v>
      </c>
      <c r="C883" t="s">
        <v>45</v>
      </c>
      <c r="D883">
        <v>58</v>
      </c>
      <c r="E883">
        <v>78</v>
      </c>
      <c r="F883">
        <v>87.94</v>
      </c>
      <c r="G883" t="s">
        <v>11</v>
      </c>
      <c r="H883" t="s">
        <v>14</v>
      </c>
      <c r="I883" t="str">
        <f t="shared" si="13"/>
        <v>America</v>
      </c>
    </row>
    <row r="884" spans="1:9" x14ac:dyDescent="0.3">
      <c r="A884" t="s">
        <v>879</v>
      </c>
      <c r="B884">
        <v>95</v>
      </c>
      <c r="C884" t="s">
        <v>45</v>
      </c>
      <c r="D884">
        <v>58</v>
      </c>
      <c r="E884">
        <v>82</v>
      </c>
      <c r="F884">
        <v>560</v>
      </c>
      <c r="G884" t="s">
        <v>11</v>
      </c>
      <c r="H884" t="s">
        <v>5</v>
      </c>
      <c r="I884" t="str">
        <f t="shared" si="13"/>
        <v>America</v>
      </c>
    </row>
    <row r="885" spans="1:9" x14ac:dyDescent="0.3">
      <c r="A885" t="s">
        <v>880</v>
      </c>
      <c r="B885">
        <v>94</v>
      </c>
      <c r="C885" t="s">
        <v>45</v>
      </c>
      <c r="D885">
        <v>56</v>
      </c>
      <c r="E885">
        <v>80</v>
      </c>
      <c r="F885">
        <v>27.76</v>
      </c>
      <c r="G885" t="s">
        <v>18</v>
      </c>
      <c r="H885" t="s">
        <v>150</v>
      </c>
      <c r="I885" t="str">
        <f t="shared" si="13"/>
        <v>NULL</v>
      </c>
    </row>
    <row r="886" spans="1:9" x14ac:dyDescent="0.3">
      <c r="A886" t="s">
        <v>881</v>
      </c>
      <c r="B886">
        <v>94</v>
      </c>
      <c r="C886" t="s">
        <v>45</v>
      </c>
      <c r="D886">
        <v>58</v>
      </c>
      <c r="E886">
        <v>76</v>
      </c>
      <c r="F886">
        <v>6.6</v>
      </c>
      <c r="G886" t="s">
        <v>18</v>
      </c>
      <c r="H886" t="s">
        <v>12</v>
      </c>
      <c r="I886" t="str">
        <f t="shared" si="13"/>
        <v>Africa</v>
      </c>
    </row>
    <row r="887" spans="1:9" x14ac:dyDescent="0.3">
      <c r="A887" t="s">
        <v>467</v>
      </c>
      <c r="B887">
        <v>95</v>
      </c>
      <c r="C887" t="s">
        <v>45</v>
      </c>
      <c r="D887">
        <v>57</v>
      </c>
      <c r="E887">
        <v>78</v>
      </c>
      <c r="F887">
        <v>39.659999999999997</v>
      </c>
      <c r="G887" t="s">
        <v>18</v>
      </c>
      <c r="H887" t="s">
        <v>18</v>
      </c>
      <c r="I887" t="str">
        <f t="shared" si="13"/>
        <v>America</v>
      </c>
    </row>
    <row r="888" spans="1:9" x14ac:dyDescent="0.3">
      <c r="A888" t="s">
        <v>439</v>
      </c>
      <c r="B888">
        <v>95</v>
      </c>
      <c r="C888" t="s">
        <v>45</v>
      </c>
      <c r="D888">
        <v>56</v>
      </c>
      <c r="E888">
        <v>78</v>
      </c>
      <c r="F888">
        <v>22.02</v>
      </c>
      <c r="G888" t="s">
        <v>18</v>
      </c>
      <c r="H888" t="s">
        <v>18</v>
      </c>
      <c r="I888" t="str">
        <f t="shared" si="13"/>
        <v>America</v>
      </c>
    </row>
    <row r="889" spans="1:9" x14ac:dyDescent="0.3">
      <c r="A889" t="s">
        <v>882</v>
      </c>
      <c r="B889">
        <v>94</v>
      </c>
      <c r="C889" t="s">
        <v>45</v>
      </c>
      <c r="D889">
        <v>58</v>
      </c>
      <c r="E889">
        <v>80</v>
      </c>
      <c r="F889">
        <v>11.67</v>
      </c>
      <c r="G889" t="s">
        <v>18</v>
      </c>
      <c r="H889" t="s">
        <v>9</v>
      </c>
      <c r="I889" t="str">
        <f t="shared" si="13"/>
        <v>Africa</v>
      </c>
    </row>
    <row r="890" spans="1:9" x14ac:dyDescent="0.3">
      <c r="A890" t="s">
        <v>883</v>
      </c>
      <c r="B890">
        <v>94</v>
      </c>
      <c r="C890" t="s">
        <v>45</v>
      </c>
      <c r="D890">
        <v>58</v>
      </c>
      <c r="E890">
        <v>80</v>
      </c>
      <c r="F890">
        <v>154.19</v>
      </c>
      <c r="G890" t="s">
        <v>2</v>
      </c>
      <c r="H890" t="s">
        <v>9</v>
      </c>
      <c r="I890" t="str">
        <f t="shared" si="13"/>
        <v>Africa</v>
      </c>
    </row>
    <row r="891" spans="1:9" x14ac:dyDescent="0.3">
      <c r="A891" t="s">
        <v>884</v>
      </c>
      <c r="B891">
        <v>96</v>
      </c>
      <c r="C891" t="s">
        <v>41</v>
      </c>
      <c r="D891">
        <v>64</v>
      </c>
      <c r="E891">
        <v>82</v>
      </c>
      <c r="F891">
        <v>507.05</v>
      </c>
      <c r="G891" t="s">
        <v>2</v>
      </c>
      <c r="H891" t="s">
        <v>9</v>
      </c>
      <c r="I891" t="str">
        <f t="shared" si="13"/>
        <v>Africa</v>
      </c>
    </row>
    <row r="892" spans="1:9" x14ac:dyDescent="0.3">
      <c r="A892" t="s">
        <v>885</v>
      </c>
      <c r="B892">
        <v>94</v>
      </c>
      <c r="C892" t="s">
        <v>45</v>
      </c>
      <c r="D892">
        <v>56</v>
      </c>
      <c r="E892">
        <v>72</v>
      </c>
      <c r="F892">
        <v>154.19</v>
      </c>
      <c r="G892" t="s">
        <v>2</v>
      </c>
      <c r="H892" t="s">
        <v>13</v>
      </c>
      <c r="I892" t="str">
        <f t="shared" si="13"/>
        <v>America</v>
      </c>
    </row>
    <row r="893" spans="1:9" x14ac:dyDescent="0.3">
      <c r="A893" t="s">
        <v>490</v>
      </c>
      <c r="B893">
        <v>96</v>
      </c>
      <c r="C893" t="s">
        <v>45</v>
      </c>
      <c r="D893">
        <v>58</v>
      </c>
      <c r="E893">
        <v>80</v>
      </c>
      <c r="F893">
        <v>22.02</v>
      </c>
      <c r="G893" t="s">
        <v>18</v>
      </c>
      <c r="H893" t="s">
        <v>150</v>
      </c>
      <c r="I893" t="str">
        <f t="shared" si="13"/>
        <v>NULL</v>
      </c>
    </row>
    <row r="894" spans="1:9" x14ac:dyDescent="0.3">
      <c r="A894" t="s">
        <v>886</v>
      </c>
      <c r="B894">
        <v>97</v>
      </c>
      <c r="C894" t="s">
        <v>45</v>
      </c>
      <c r="D894">
        <v>57</v>
      </c>
      <c r="E894">
        <v>79</v>
      </c>
      <c r="F894">
        <v>132.28</v>
      </c>
      <c r="G894" t="s">
        <v>18</v>
      </c>
      <c r="H894" t="s">
        <v>5</v>
      </c>
      <c r="I894" t="str">
        <f t="shared" si="13"/>
        <v>America</v>
      </c>
    </row>
    <row r="895" spans="1:9" x14ac:dyDescent="0.3">
      <c r="A895" t="s">
        <v>887</v>
      </c>
      <c r="B895">
        <v>96</v>
      </c>
      <c r="C895" t="s">
        <v>41</v>
      </c>
      <c r="D895">
        <v>62</v>
      </c>
      <c r="E895">
        <v>80</v>
      </c>
      <c r="F895">
        <v>127.87</v>
      </c>
      <c r="G895" t="s">
        <v>18</v>
      </c>
      <c r="H895" t="s">
        <v>9</v>
      </c>
      <c r="I895" t="str">
        <f t="shared" si="13"/>
        <v>Africa</v>
      </c>
    </row>
    <row r="896" spans="1:9" x14ac:dyDescent="0.3">
      <c r="A896" t="s">
        <v>398</v>
      </c>
      <c r="B896">
        <v>96</v>
      </c>
      <c r="C896" t="s">
        <v>45</v>
      </c>
      <c r="D896">
        <v>60</v>
      </c>
      <c r="E896">
        <v>78</v>
      </c>
      <c r="F896">
        <v>27.76</v>
      </c>
      <c r="G896" t="s">
        <v>18</v>
      </c>
      <c r="H896" t="s">
        <v>150</v>
      </c>
      <c r="I896" t="str">
        <f t="shared" si="13"/>
        <v>NULL</v>
      </c>
    </row>
    <row r="897" spans="1:9" x14ac:dyDescent="0.3">
      <c r="A897" t="s">
        <v>888</v>
      </c>
      <c r="B897">
        <v>95</v>
      </c>
      <c r="C897" t="s">
        <v>41</v>
      </c>
      <c r="D897">
        <v>64</v>
      </c>
      <c r="E897">
        <v>80</v>
      </c>
      <c r="F897">
        <v>23.37</v>
      </c>
      <c r="G897" t="s">
        <v>18</v>
      </c>
      <c r="H897" t="s">
        <v>9</v>
      </c>
      <c r="I897" t="str">
        <f t="shared" si="13"/>
        <v>Africa</v>
      </c>
    </row>
    <row r="898" spans="1:9" x14ac:dyDescent="0.3">
      <c r="A898" t="s">
        <v>889</v>
      </c>
      <c r="B898">
        <v>95</v>
      </c>
      <c r="C898" t="s">
        <v>45</v>
      </c>
      <c r="D898">
        <v>60</v>
      </c>
      <c r="E898">
        <v>78</v>
      </c>
      <c r="F898">
        <v>26.46</v>
      </c>
      <c r="G898" t="s">
        <v>18</v>
      </c>
      <c r="H898" t="s">
        <v>150</v>
      </c>
      <c r="I898" t="str">
        <f t="shared" si="13"/>
        <v>NULL</v>
      </c>
    </row>
    <row r="899" spans="1:9" x14ac:dyDescent="0.3">
      <c r="A899" t="s">
        <v>890</v>
      </c>
      <c r="B899">
        <v>95</v>
      </c>
      <c r="C899" t="s">
        <v>45</v>
      </c>
      <c r="D899">
        <v>56</v>
      </c>
      <c r="E899">
        <v>78</v>
      </c>
      <c r="F899">
        <v>27.76</v>
      </c>
      <c r="G899" t="s">
        <v>18</v>
      </c>
      <c r="H899" t="s">
        <v>18</v>
      </c>
      <c r="I899" t="str">
        <f t="shared" ref="I899:I962" si="14">_xlfn.XLOOKUP(H899, $M$2:$M$50, $N$2:$N$50, "Other")</f>
        <v>America</v>
      </c>
    </row>
    <row r="900" spans="1:9" x14ac:dyDescent="0.3">
      <c r="A900" t="s">
        <v>891</v>
      </c>
      <c r="B900">
        <v>94</v>
      </c>
      <c r="C900" t="s">
        <v>45</v>
      </c>
      <c r="D900">
        <v>58</v>
      </c>
      <c r="E900">
        <v>78</v>
      </c>
      <c r="F900">
        <v>5.86</v>
      </c>
      <c r="G900" t="s">
        <v>18</v>
      </c>
      <c r="H900" t="s">
        <v>14</v>
      </c>
      <c r="I900" t="str">
        <f t="shared" si="14"/>
        <v>America</v>
      </c>
    </row>
    <row r="901" spans="1:9" x14ac:dyDescent="0.3">
      <c r="A901" t="s">
        <v>892</v>
      </c>
      <c r="B901">
        <v>95</v>
      </c>
      <c r="C901" t="s">
        <v>45</v>
      </c>
      <c r="D901">
        <v>60</v>
      </c>
      <c r="E901">
        <v>76</v>
      </c>
      <c r="F901">
        <v>6.47</v>
      </c>
      <c r="G901" t="s">
        <v>18</v>
      </c>
      <c r="H901" t="s">
        <v>9</v>
      </c>
      <c r="I901" t="str">
        <f t="shared" si="14"/>
        <v>Africa</v>
      </c>
    </row>
    <row r="902" spans="1:9" x14ac:dyDescent="0.3">
      <c r="A902" t="s">
        <v>893</v>
      </c>
      <c r="B902">
        <v>94</v>
      </c>
      <c r="C902" t="s">
        <v>41</v>
      </c>
      <c r="D902">
        <v>65</v>
      </c>
      <c r="E902">
        <v>83</v>
      </c>
      <c r="F902">
        <v>7.35</v>
      </c>
      <c r="G902" t="s">
        <v>18</v>
      </c>
      <c r="H902" t="s">
        <v>9</v>
      </c>
      <c r="I902" t="str">
        <f t="shared" si="14"/>
        <v>Africa</v>
      </c>
    </row>
    <row r="903" spans="1:9" x14ac:dyDescent="0.3">
      <c r="A903" t="s">
        <v>468</v>
      </c>
      <c r="B903">
        <v>94</v>
      </c>
      <c r="C903" t="s">
        <v>82</v>
      </c>
      <c r="D903">
        <v>56</v>
      </c>
      <c r="E903">
        <v>64</v>
      </c>
      <c r="F903">
        <v>4.7</v>
      </c>
      <c r="G903" t="s">
        <v>18</v>
      </c>
      <c r="H903" t="s">
        <v>9</v>
      </c>
      <c r="I903" t="str">
        <f t="shared" si="14"/>
        <v>Africa</v>
      </c>
    </row>
    <row r="904" spans="1:9" x14ac:dyDescent="0.3">
      <c r="A904" t="s">
        <v>894</v>
      </c>
      <c r="B904">
        <v>94</v>
      </c>
      <c r="C904" t="s">
        <v>41</v>
      </c>
      <c r="D904">
        <v>64</v>
      </c>
      <c r="E904">
        <v>80</v>
      </c>
      <c r="F904">
        <v>6.47</v>
      </c>
      <c r="G904" t="s">
        <v>18</v>
      </c>
      <c r="H904" t="s">
        <v>9</v>
      </c>
      <c r="I904" t="str">
        <f t="shared" si="14"/>
        <v>Africa</v>
      </c>
    </row>
    <row r="905" spans="1:9" x14ac:dyDescent="0.3">
      <c r="A905" t="s">
        <v>895</v>
      </c>
      <c r="B905">
        <v>96</v>
      </c>
      <c r="C905" t="s">
        <v>41</v>
      </c>
      <c r="D905">
        <v>76</v>
      </c>
      <c r="E905">
        <v>92</v>
      </c>
      <c r="F905">
        <v>1680</v>
      </c>
      <c r="G905" t="s">
        <v>27</v>
      </c>
      <c r="H905" t="s">
        <v>14</v>
      </c>
      <c r="I905" t="str">
        <f t="shared" si="14"/>
        <v>America</v>
      </c>
    </row>
    <row r="906" spans="1:9" x14ac:dyDescent="0.3">
      <c r="A906" t="s">
        <v>896</v>
      </c>
      <c r="B906">
        <v>94</v>
      </c>
      <c r="C906" t="s">
        <v>45</v>
      </c>
      <c r="D906">
        <v>57</v>
      </c>
      <c r="E906">
        <v>77</v>
      </c>
      <c r="F906">
        <v>7.35</v>
      </c>
      <c r="G906" t="s">
        <v>18</v>
      </c>
      <c r="H906" t="s">
        <v>14</v>
      </c>
      <c r="I906" t="str">
        <f t="shared" si="14"/>
        <v>America</v>
      </c>
    </row>
    <row r="907" spans="1:9" x14ac:dyDescent="0.3">
      <c r="A907" t="s">
        <v>897</v>
      </c>
      <c r="B907">
        <v>96</v>
      </c>
      <c r="C907" t="s">
        <v>45</v>
      </c>
      <c r="D907">
        <v>60</v>
      </c>
      <c r="E907">
        <v>78</v>
      </c>
      <c r="F907">
        <v>83.77</v>
      </c>
      <c r="G907" t="s">
        <v>18</v>
      </c>
      <c r="H907" t="s">
        <v>14</v>
      </c>
      <c r="I907" t="str">
        <f t="shared" si="14"/>
        <v>America</v>
      </c>
    </row>
    <row r="908" spans="1:9" x14ac:dyDescent="0.3">
      <c r="A908" t="s">
        <v>898</v>
      </c>
      <c r="B908">
        <v>96</v>
      </c>
      <c r="C908" t="s">
        <v>41</v>
      </c>
      <c r="D908">
        <v>62</v>
      </c>
      <c r="E908">
        <v>88</v>
      </c>
      <c r="F908">
        <v>330.69</v>
      </c>
      <c r="G908" t="s">
        <v>2</v>
      </c>
      <c r="H908" t="s">
        <v>7</v>
      </c>
      <c r="I908" t="str">
        <f t="shared" si="14"/>
        <v>America</v>
      </c>
    </row>
    <row r="909" spans="1:9" x14ac:dyDescent="0.3">
      <c r="A909" t="s">
        <v>899</v>
      </c>
      <c r="B909">
        <v>95</v>
      </c>
      <c r="C909" t="s">
        <v>41</v>
      </c>
      <c r="D909">
        <v>62</v>
      </c>
      <c r="E909">
        <v>80</v>
      </c>
      <c r="F909">
        <v>26.46</v>
      </c>
      <c r="G909" t="s">
        <v>18</v>
      </c>
      <c r="H909" t="s">
        <v>14</v>
      </c>
      <c r="I909" t="str">
        <f t="shared" si="14"/>
        <v>America</v>
      </c>
    </row>
    <row r="910" spans="1:9" x14ac:dyDescent="0.3">
      <c r="A910" t="s">
        <v>900</v>
      </c>
      <c r="B910">
        <v>95</v>
      </c>
      <c r="C910" t="s">
        <v>45</v>
      </c>
      <c r="D910">
        <v>62</v>
      </c>
      <c r="E910">
        <v>78</v>
      </c>
      <c r="F910">
        <v>70.55</v>
      </c>
      <c r="G910" t="s">
        <v>18</v>
      </c>
      <c r="H910" t="s">
        <v>20</v>
      </c>
      <c r="I910" t="str">
        <f t="shared" si="14"/>
        <v>Africa</v>
      </c>
    </row>
    <row r="911" spans="1:9" x14ac:dyDescent="0.3">
      <c r="A911" t="s">
        <v>901</v>
      </c>
      <c r="B911">
        <v>94</v>
      </c>
      <c r="C911" t="s">
        <v>45</v>
      </c>
      <c r="D911">
        <v>56</v>
      </c>
      <c r="E911">
        <v>72</v>
      </c>
      <c r="F911">
        <v>35.270000000000003</v>
      </c>
      <c r="G911" t="s">
        <v>18</v>
      </c>
      <c r="H911" t="s">
        <v>14</v>
      </c>
      <c r="I911" t="str">
        <f t="shared" si="14"/>
        <v>America</v>
      </c>
    </row>
    <row r="912" spans="1:9" x14ac:dyDescent="0.3">
      <c r="A912" t="s">
        <v>902</v>
      </c>
      <c r="B912">
        <v>94</v>
      </c>
      <c r="C912" t="s">
        <v>45</v>
      </c>
      <c r="D912">
        <v>59</v>
      </c>
      <c r="E912">
        <v>77</v>
      </c>
      <c r="F912">
        <v>800</v>
      </c>
      <c r="G912" t="s">
        <v>2</v>
      </c>
      <c r="H912" t="s">
        <v>6</v>
      </c>
      <c r="I912" t="str">
        <f t="shared" si="14"/>
        <v>America</v>
      </c>
    </row>
    <row r="913" spans="1:9" x14ac:dyDescent="0.3">
      <c r="A913" t="s">
        <v>903</v>
      </c>
      <c r="B913">
        <v>94</v>
      </c>
      <c r="C913" t="s">
        <v>41</v>
      </c>
      <c r="D913">
        <v>62</v>
      </c>
      <c r="E913">
        <v>80</v>
      </c>
      <c r="F913">
        <v>500</v>
      </c>
      <c r="G913" t="s">
        <v>2</v>
      </c>
      <c r="H913" t="s">
        <v>7</v>
      </c>
      <c r="I913" t="str">
        <f t="shared" si="14"/>
        <v>America</v>
      </c>
    </row>
    <row r="914" spans="1:9" x14ac:dyDescent="0.3">
      <c r="A914" t="s">
        <v>904</v>
      </c>
      <c r="B914">
        <v>94</v>
      </c>
      <c r="C914" t="s">
        <v>45</v>
      </c>
      <c r="D914">
        <v>58</v>
      </c>
      <c r="E914">
        <v>80</v>
      </c>
      <c r="F914">
        <v>11.02</v>
      </c>
      <c r="G914" t="s">
        <v>18</v>
      </c>
      <c r="H914" t="s">
        <v>15</v>
      </c>
      <c r="I914" t="str">
        <f t="shared" si="14"/>
        <v>America</v>
      </c>
    </row>
    <row r="915" spans="1:9" x14ac:dyDescent="0.3">
      <c r="A915" t="s">
        <v>905</v>
      </c>
      <c r="B915">
        <v>95</v>
      </c>
      <c r="C915" t="s">
        <v>45</v>
      </c>
      <c r="D915">
        <v>58</v>
      </c>
      <c r="E915">
        <v>80</v>
      </c>
      <c r="F915">
        <v>5.59</v>
      </c>
      <c r="G915" t="s">
        <v>18</v>
      </c>
      <c r="H915" t="s">
        <v>9</v>
      </c>
      <c r="I915" t="str">
        <f t="shared" si="14"/>
        <v>Africa</v>
      </c>
    </row>
    <row r="916" spans="1:9" x14ac:dyDescent="0.3">
      <c r="A916" t="s">
        <v>906</v>
      </c>
      <c r="B916">
        <v>95</v>
      </c>
      <c r="C916" t="s">
        <v>45</v>
      </c>
      <c r="D916">
        <v>60</v>
      </c>
      <c r="E916">
        <v>77</v>
      </c>
      <c r="F916">
        <v>6.17</v>
      </c>
      <c r="G916" t="s">
        <v>18</v>
      </c>
      <c r="H916" t="s">
        <v>21</v>
      </c>
      <c r="I916" t="str">
        <f t="shared" si="14"/>
        <v>America</v>
      </c>
    </row>
    <row r="917" spans="1:9" x14ac:dyDescent="0.3">
      <c r="A917" t="s">
        <v>907</v>
      </c>
      <c r="B917">
        <v>94</v>
      </c>
      <c r="C917" t="s">
        <v>41</v>
      </c>
      <c r="D917">
        <v>62</v>
      </c>
      <c r="E917">
        <v>80</v>
      </c>
      <c r="F917">
        <v>5.57</v>
      </c>
      <c r="G917" t="s">
        <v>18</v>
      </c>
      <c r="H917" t="s">
        <v>9</v>
      </c>
      <c r="I917" t="str">
        <f t="shared" si="14"/>
        <v>Africa</v>
      </c>
    </row>
    <row r="918" spans="1:9" x14ac:dyDescent="0.3">
      <c r="A918" t="s">
        <v>908</v>
      </c>
      <c r="B918">
        <v>95</v>
      </c>
      <c r="C918" t="s">
        <v>45</v>
      </c>
      <c r="D918">
        <v>58</v>
      </c>
      <c r="E918">
        <v>78</v>
      </c>
      <c r="F918">
        <v>7.94</v>
      </c>
      <c r="G918" t="s">
        <v>18</v>
      </c>
      <c r="H918" t="s">
        <v>9</v>
      </c>
      <c r="I918" t="str">
        <f t="shared" si="14"/>
        <v>Africa</v>
      </c>
    </row>
    <row r="919" spans="1:9" x14ac:dyDescent="0.3">
      <c r="A919" t="s">
        <v>909</v>
      </c>
      <c r="B919">
        <v>94</v>
      </c>
      <c r="C919" t="s">
        <v>45</v>
      </c>
      <c r="D919">
        <v>58</v>
      </c>
      <c r="E919">
        <v>76</v>
      </c>
      <c r="F919">
        <v>10.57</v>
      </c>
      <c r="G919" t="s">
        <v>18</v>
      </c>
      <c r="H919" t="s">
        <v>14</v>
      </c>
      <c r="I919" t="str">
        <f t="shared" si="14"/>
        <v>America</v>
      </c>
    </row>
    <row r="920" spans="1:9" x14ac:dyDescent="0.3">
      <c r="A920" t="s">
        <v>910</v>
      </c>
      <c r="B920">
        <v>94</v>
      </c>
      <c r="C920" t="s">
        <v>45</v>
      </c>
      <c r="D920">
        <v>62</v>
      </c>
      <c r="E920">
        <v>78</v>
      </c>
      <c r="F920">
        <v>5.29</v>
      </c>
      <c r="G920" t="s">
        <v>18</v>
      </c>
      <c r="H920" t="s">
        <v>9</v>
      </c>
      <c r="I920" t="str">
        <f t="shared" si="14"/>
        <v>Africa</v>
      </c>
    </row>
    <row r="921" spans="1:9" x14ac:dyDescent="0.3">
      <c r="A921" t="s">
        <v>911</v>
      </c>
      <c r="B921">
        <v>94</v>
      </c>
      <c r="C921" t="s">
        <v>41</v>
      </c>
      <c r="D921">
        <v>64</v>
      </c>
      <c r="E921">
        <v>82</v>
      </c>
      <c r="F921">
        <v>220</v>
      </c>
      <c r="G921" t="s">
        <v>2</v>
      </c>
      <c r="H921" t="s">
        <v>9</v>
      </c>
      <c r="I921" t="str">
        <f t="shared" si="14"/>
        <v>Africa</v>
      </c>
    </row>
    <row r="922" spans="1:9" x14ac:dyDescent="0.3">
      <c r="A922" t="s">
        <v>912</v>
      </c>
      <c r="B922">
        <v>95</v>
      </c>
      <c r="C922" t="s">
        <v>45</v>
      </c>
      <c r="D922">
        <v>52</v>
      </c>
      <c r="E922">
        <v>76</v>
      </c>
      <c r="F922">
        <v>333.33</v>
      </c>
      <c r="G922" t="s">
        <v>2</v>
      </c>
      <c r="H922" t="s">
        <v>12</v>
      </c>
      <c r="I922" t="str">
        <f t="shared" si="14"/>
        <v>Africa</v>
      </c>
    </row>
    <row r="923" spans="1:9" x14ac:dyDescent="0.3">
      <c r="A923" t="s">
        <v>913</v>
      </c>
      <c r="B923">
        <v>94</v>
      </c>
      <c r="C923" t="s">
        <v>45</v>
      </c>
      <c r="D923">
        <v>60</v>
      </c>
      <c r="E923">
        <v>76</v>
      </c>
      <c r="F923">
        <v>264.55</v>
      </c>
      <c r="G923" t="s">
        <v>2</v>
      </c>
      <c r="H923" t="s">
        <v>7</v>
      </c>
      <c r="I923" t="str">
        <f t="shared" si="14"/>
        <v>America</v>
      </c>
    </row>
    <row r="924" spans="1:9" x14ac:dyDescent="0.3">
      <c r="A924" t="s">
        <v>914</v>
      </c>
      <c r="B924">
        <v>94</v>
      </c>
      <c r="C924" t="s">
        <v>45</v>
      </c>
      <c r="D924">
        <v>58</v>
      </c>
      <c r="E924">
        <v>78</v>
      </c>
      <c r="F924">
        <v>165.34</v>
      </c>
      <c r="G924" t="s">
        <v>2</v>
      </c>
      <c r="H924" t="s">
        <v>7</v>
      </c>
      <c r="I924" t="str">
        <f t="shared" si="14"/>
        <v>America</v>
      </c>
    </row>
    <row r="925" spans="1:9" x14ac:dyDescent="0.3">
      <c r="A925" t="s">
        <v>915</v>
      </c>
      <c r="B925">
        <v>94</v>
      </c>
      <c r="C925" t="s">
        <v>45</v>
      </c>
      <c r="D925">
        <v>58</v>
      </c>
      <c r="E925">
        <v>80</v>
      </c>
      <c r="F925">
        <v>121.25</v>
      </c>
      <c r="G925" t="s">
        <v>2</v>
      </c>
      <c r="H925" t="s">
        <v>9</v>
      </c>
      <c r="I925" t="str">
        <f t="shared" si="14"/>
        <v>Africa</v>
      </c>
    </row>
    <row r="926" spans="1:9" x14ac:dyDescent="0.3">
      <c r="A926" t="s">
        <v>916</v>
      </c>
      <c r="B926">
        <v>94</v>
      </c>
      <c r="C926" t="s">
        <v>45</v>
      </c>
      <c r="D926">
        <v>58</v>
      </c>
      <c r="E926">
        <v>76</v>
      </c>
      <c r="F926">
        <v>123.46</v>
      </c>
      <c r="G926" t="s">
        <v>2</v>
      </c>
      <c r="H926" t="s">
        <v>9</v>
      </c>
      <c r="I926" t="str">
        <f t="shared" si="14"/>
        <v>Africa</v>
      </c>
    </row>
    <row r="927" spans="1:9" x14ac:dyDescent="0.3">
      <c r="A927" t="s">
        <v>917</v>
      </c>
      <c r="B927">
        <v>94</v>
      </c>
      <c r="C927" t="s">
        <v>45</v>
      </c>
      <c r="D927">
        <v>52</v>
      </c>
      <c r="E927">
        <v>72</v>
      </c>
      <c r="F927">
        <v>99.21</v>
      </c>
      <c r="G927" t="s">
        <v>2</v>
      </c>
      <c r="H927" t="s">
        <v>7</v>
      </c>
      <c r="I927" t="str">
        <f t="shared" si="14"/>
        <v>America</v>
      </c>
    </row>
    <row r="928" spans="1:9" x14ac:dyDescent="0.3">
      <c r="A928" t="s">
        <v>918</v>
      </c>
      <c r="B928">
        <v>95</v>
      </c>
      <c r="C928" t="s">
        <v>41</v>
      </c>
      <c r="D928">
        <v>62</v>
      </c>
      <c r="E928">
        <v>80</v>
      </c>
      <c r="F928">
        <v>529.1</v>
      </c>
      <c r="G928" t="s">
        <v>2</v>
      </c>
      <c r="H928" t="s">
        <v>7</v>
      </c>
      <c r="I928" t="str">
        <f t="shared" si="14"/>
        <v>America</v>
      </c>
    </row>
    <row r="929" spans="1:9" x14ac:dyDescent="0.3">
      <c r="A929" t="s">
        <v>919</v>
      </c>
      <c r="B929">
        <v>96</v>
      </c>
      <c r="C929" t="s">
        <v>45</v>
      </c>
      <c r="D929">
        <v>60</v>
      </c>
      <c r="E929">
        <v>76</v>
      </c>
      <c r="F929">
        <v>6.61</v>
      </c>
      <c r="G929" t="s">
        <v>18</v>
      </c>
      <c r="H929" t="s">
        <v>12</v>
      </c>
      <c r="I929" t="str">
        <f t="shared" si="14"/>
        <v>Africa</v>
      </c>
    </row>
    <row r="930" spans="1:9" x14ac:dyDescent="0.3">
      <c r="A930" t="s">
        <v>920</v>
      </c>
      <c r="B930">
        <v>95</v>
      </c>
      <c r="C930" t="s">
        <v>41</v>
      </c>
      <c r="D930">
        <v>62</v>
      </c>
      <c r="E930">
        <v>80</v>
      </c>
      <c r="F930">
        <v>7.64</v>
      </c>
      <c r="G930" t="s">
        <v>18</v>
      </c>
      <c r="H930" t="s">
        <v>9</v>
      </c>
      <c r="I930" t="str">
        <f t="shared" si="14"/>
        <v>Africa</v>
      </c>
    </row>
    <row r="931" spans="1:9" x14ac:dyDescent="0.3">
      <c r="A931" t="s">
        <v>468</v>
      </c>
      <c r="B931">
        <v>94</v>
      </c>
      <c r="C931" t="s">
        <v>45</v>
      </c>
      <c r="D931">
        <v>59</v>
      </c>
      <c r="E931">
        <v>77</v>
      </c>
      <c r="F931">
        <v>5.73</v>
      </c>
      <c r="G931" t="s">
        <v>18</v>
      </c>
      <c r="H931" t="s">
        <v>9</v>
      </c>
      <c r="I931" t="str">
        <f t="shared" si="14"/>
        <v>Africa</v>
      </c>
    </row>
    <row r="932" spans="1:9" x14ac:dyDescent="0.3">
      <c r="A932" t="s">
        <v>921</v>
      </c>
      <c r="B932">
        <v>94</v>
      </c>
      <c r="C932" t="s">
        <v>82</v>
      </c>
      <c r="D932">
        <v>46</v>
      </c>
      <c r="E932">
        <v>60</v>
      </c>
      <c r="F932">
        <v>374.78</v>
      </c>
      <c r="G932" t="s">
        <v>2</v>
      </c>
      <c r="H932" t="s">
        <v>12</v>
      </c>
      <c r="I932" t="str">
        <f t="shared" si="14"/>
        <v>Africa</v>
      </c>
    </row>
    <row r="933" spans="1:9" x14ac:dyDescent="0.3">
      <c r="A933" t="s">
        <v>922</v>
      </c>
      <c r="B933">
        <v>94</v>
      </c>
      <c r="C933" t="s">
        <v>45</v>
      </c>
      <c r="D933">
        <v>54</v>
      </c>
      <c r="E933">
        <v>74</v>
      </c>
      <c r="F933">
        <v>12.35</v>
      </c>
      <c r="G933" t="s">
        <v>18</v>
      </c>
      <c r="H933" t="s">
        <v>14</v>
      </c>
      <c r="I933" t="str">
        <f t="shared" si="14"/>
        <v>America</v>
      </c>
    </row>
    <row r="934" spans="1:9" x14ac:dyDescent="0.3">
      <c r="A934" t="s">
        <v>923</v>
      </c>
      <c r="B934">
        <v>94</v>
      </c>
      <c r="C934" t="s">
        <v>41</v>
      </c>
      <c r="D934">
        <v>64</v>
      </c>
      <c r="E934">
        <v>86</v>
      </c>
      <c r="F934">
        <v>7.35</v>
      </c>
      <c r="G934" t="s">
        <v>18</v>
      </c>
      <c r="H934" t="s">
        <v>9</v>
      </c>
      <c r="I934" t="str">
        <f t="shared" si="14"/>
        <v>Africa</v>
      </c>
    </row>
    <row r="935" spans="1:9" x14ac:dyDescent="0.3">
      <c r="A935" t="s">
        <v>442</v>
      </c>
      <c r="B935">
        <v>95</v>
      </c>
      <c r="C935" t="s">
        <v>45</v>
      </c>
      <c r="D935">
        <v>60</v>
      </c>
      <c r="E935">
        <v>78</v>
      </c>
      <c r="F935">
        <v>7.33</v>
      </c>
      <c r="G935" t="s">
        <v>18</v>
      </c>
      <c r="H935" t="s">
        <v>12</v>
      </c>
      <c r="I935" t="str">
        <f t="shared" si="14"/>
        <v>Africa</v>
      </c>
    </row>
    <row r="936" spans="1:9" x14ac:dyDescent="0.3">
      <c r="A936" t="s">
        <v>924</v>
      </c>
      <c r="B936">
        <v>94</v>
      </c>
      <c r="C936" t="s">
        <v>41</v>
      </c>
      <c r="D936">
        <v>64</v>
      </c>
      <c r="E936">
        <v>84</v>
      </c>
      <c r="F936">
        <v>176.21</v>
      </c>
      <c r="G936" t="s">
        <v>2</v>
      </c>
      <c r="H936" t="s">
        <v>9</v>
      </c>
      <c r="I936" t="str">
        <f t="shared" si="14"/>
        <v>Africa</v>
      </c>
    </row>
    <row r="937" spans="1:9" x14ac:dyDescent="0.3">
      <c r="A937" t="s">
        <v>925</v>
      </c>
      <c r="B937">
        <v>94</v>
      </c>
      <c r="C937" t="s">
        <v>45</v>
      </c>
      <c r="D937">
        <v>55</v>
      </c>
      <c r="E937">
        <v>71</v>
      </c>
      <c r="F937">
        <v>6.61</v>
      </c>
      <c r="G937" t="s">
        <v>18</v>
      </c>
      <c r="H937" t="s">
        <v>5</v>
      </c>
      <c r="I937" t="str">
        <f t="shared" si="14"/>
        <v>America</v>
      </c>
    </row>
    <row r="938" spans="1:9" x14ac:dyDescent="0.3">
      <c r="A938" t="s">
        <v>926</v>
      </c>
      <c r="B938">
        <v>94</v>
      </c>
      <c r="C938" t="s">
        <v>45</v>
      </c>
      <c r="D938">
        <v>57</v>
      </c>
      <c r="E938">
        <v>75</v>
      </c>
      <c r="F938">
        <v>8.82</v>
      </c>
      <c r="G938" t="s">
        <v>18</v>
      </c>
      <c r="H938" t="s">
        <v>5</v>
      </c>
      <c r="I938" t="str">
        <f t="shared" si="14"/>
        <v>America</v>
      </c>
    </row>
    <row r="939" spans="1:9" x14ac:dyDescent="0.3">
      <c r="A939" t="s">
        <v>927</v>
      </c>
      <c r="B939">
        <v>95</v>
      </c>
      <c r="C939" t="s">
        <v>45</v>
      </c>
      <c r="D939">
        <v>56</v>
      </c>
      <c r="E939">
        <v>78</v>
      </c>
      <c r="F939">
        <v>440.92</v>
      </c>
      <c r="G939" t="s">
        <v>2</v>
      </c>
      <c r="H939" t="s">
        <v>8</v>
      </c>
      <c r="I939" t="str">
        <f t="shared" si="14"/>
        <v>Africa</v>
      </c>
    </row>
    <row r="940" spans="1:9" x14ac:dyDescent="0.3">
      <c r="A940" t="s">
        <v>928</v>
      </c>
      <c r="B940">
        <v>94</v>
      </c>
      <c r="C940" t="s">
        <v>45</v>
      </c>
      <c r="D940">
        <v>58</v>
      </c>
      <c r="E940">
        <v>76</v>
      </c>
      <c r="F940">
        <v>21.16</v>
      </c>
      <c r="G940" t="s">
        <v>18</v>
      </c>
      <c r="H940" t="s">
        <v>8</v>
      </c>
      <c r="I940" t="str">
        <f t="shared" si="14"/>
        <v>Africa</v>
      </c>
    </row>
    <row r="941" spans="1:9" x14ac:dyDescent="0.3">
      <c r="A941" t="s">
        <v>929</v>
      </c>
      <c r="B941">
        <v>94</v>
      </c>
      <c r="C941" t="s">
        <v>45</v>
      </c>
      <c r="D941">
        <v>57</v>
      </c>
      <c r="E941">
        <v>73</v>
      </c>
      <c r="F941">
        <v>5.57</v>
      </c>
      <c r="G941" t="s">
        <v>18</v>
      </c>
      <c r="H941" t="s">
        <v>14</v>
      </c>
      <c r="I941" t="str">
        <f t="shared" si="14"/>
        <v>America</v>
      </c>
    </row>
    <row r="942" spans="1:9" x14ac:dyDescent="0.3">
      <c r="A942" t="s">
        <v>930</v>
      </c>
      <c r="B942">
        <v>95</v>
      </c>
      <c r="C942" t="s">
        <v>41</v>
      </c>
      <c r="D942">
        <v>62</v>
      </c>
      <c r="E942">
        <v>82</v>
      </c>
      <c r="F942">
        <v>22</v>
      </c>
      <c r="G942" t="s">
        <v>18</v>
      </c>
      <c r="H942" t="s">
        <v>5</v>
      </c>
      <c r="I942" t="str">
        <f t="shared" si="14"/>
        <v>America</v>
      </c>
    </row>
    <row r="943" spans="1:9" x14ac:dyDescent="0.3">
      <c r="A943" t="s">
        <v>931</v>
      </c>
      <c r="B943">
        <v>94</v>
      </c>
      <c r="C943" t="s">
        <v>45</v>
      </c>
      <c r="D943">
        <v>56</v>
      </c>
      <c r="E943">
        <v>82</v>
      </c>
      <c r="F943">
        <v>7.33</v>
      </c>
      <c r="G943" t="s">
        <v>18</v>
      </c>
      <c r="H943" t="s">
        <v>9</v>
      </c>
      <c r="I943" t="str">
        <f t="shared" si="14"/>
        <v>Africa</v>
      </c>
    </row>
    <row r="944" spans="1:9" x14ac:dyDescent="0.3">
      <c r="A944" t="s">
        <v>932</v>
      </c>
      <c r="B944">
        <v>94</v>
      </c>
      <c r="C944" t="s">
        <v>45</v>
      </c>
      <c r="D944">
        <v>56</v>
      </c>
      <c r="E944">
        <v>76</v>
      </c>
      <c r="F944">
        <v>22</v>
      </c>
      <c r="G944" t="s">
        <v>18</v>
      </c>
      <c r="H944" t="s">
        <v>18</v>
      </c>
      <c r="I944" t="str">
        <f t="shared" si="14"/>
        <v>America</v>
      </c>
    </row>
    <row r="945" spans="1:9" x14ac:dyDescent="0.3">
      <c r="A945" t="s">
        <v>933</v>
      </c>
      <c r="B945">
        <v>95</v>
      </c>
      <c r="C945" t="s">
        <v>41</v>
      </c>
      <c r="D945">
        <v>62</v>
      </c>
      <c r="E945">
        <v>80</v>
      </c>
      <c r="F945">
        <v>9.48</v>
      </c>
      <c r="G945" t="s">
        <v>18</v>
      </c>
      <c r="H945" t="s">
        <v>15</v>
      </c>
      <c r="I945" t="str">
        <f t="shared" si="14"/>
        <v>America</v>
      </c>
    </row>
    <row r="946" spans="1:9" x14ac:dyDescent="0.3">
      <c r="A946" t="s">
        <v>934</v>
      </c>
      <c r="B946">
        <v>95</v>
      </c>
      <c r="C946" t="s">
        <v>45</v>
      </c>
      <c r="D946">
        <v>58</v>
      </c>
      <c r="E946">
        <v>80</v>
      </c>
      <c r="F946">
        <v>6.17</v>
      </c>
      <c r="G946" t="s">
        <v>18</v>
      </c>
      <c r="H946" t="s">
        <v>12</v>
      </c>
      <c r="I946" t="str">
        <f t="shared" si="14"/>
        <v>Africa</v>
      </c>
    </row>
    <row r="947" spans="1:9" x14ac:dyDescent="0.3">
      <c r="A947" t="s">
        <v>935</v>
      </c>
      <c r="B947">
        <v>95</v>
      </c>
      <c r="C947" t="s">
        <v>41</v>
      </c>
      <c r="D947">
        <v>64</v>
      </c>
      <c r="E947">
        <v>86</v>
      </c>
      <c r="F947">
        <v>5.59</v>
      </c>
      <c r="G947" t="s">
        <v>18</v>
      </c>
      <c r="H947" t="s">
        <v>9</v>
      </c>
      <c r="I947" t="str">
        <f t="shared" si="14"/>
        <v>Africa</v>
      </c>
    </row>
    <row r="948" spans="1:9" x14ac:dyDescent="0.3">
      <c r="A948" t="s">
        <v>936</v>
      </c>
      <c r="B948">
        <v>94</v>
      </c>
      <c r="C948" t="s">
        <v>45</v>
      </c>
      <c r="D948">
        <v>60</v>
      </c>
      <c r="E948">
        <v>77</v>
      </c>
      <c r="F948">
        <v>7.94</v>
      </c>
      <c r="G948" t="s">
        <v>18</v>
      </c>
      <c r="H948" t="s">
        <v>14</v>
      </c>
      <c r="I948" t="str">
        <f t="shared" si="14"/>
        <v>America</v>
      </c>
    </row>
    <row r="949" spans="1:9" x14ac:dyDescent="0.3">
      <c r="A949" t="s">
        <v>937</v>
      </c>
      <c r="B949">
        <v>94</v>
      </c>
      <c r="C949" t="s">
        <v>45</v>
      </c>
      <c r="D949">
        <v>60</v>
      </c>
      <c r="E949">
        <v>78</v>
      </c>
      <c r="F949">
        <v>5.86</v>
      </c>
      <c r="G949" t="s">
        <v>18</v>
      </c>
      <c r="H949" t="s">
        <v>9</v>
      </c>
      <c r="I949" t="str">
        <f t="shared" si="14"/>
        <v>Africa</v>
      </c>
    </row>
    <row r="950" spans="1:9" x14ac:dyDescent="0.3">
      <c r="A950" t="s">
        <v>938</v>
      </c>
      <c r="B950">
        <v>95</v>
      </c>
      <c r="C950" t="s">
        <v>41</v>
      </c>
      <c r="D950">
        <v>62</v>
      </c>
      <c r="E950">
        <v>80</v>
      </c>
      <c r="F950">
        <v>7.64</v>
      </c>
      <c r="G950" t="s">
        <v>18</v>
      </c>
      <c r="H950" t="s">
        <v>9</v>
      </c>
      <c r="I950" t="str">
        <f t="shared" si="14"/>
        <v>Africa</v>
      </c>
    </row>
    <row r="951" spans="1:9" x14ac:dyDescent="0.3">
      <c r="A951" t="s">
        <v>886</v>
      </c>
      <c r="B951">
        <v>95</v>
      </c>
      <c r="C951" t="s">
        <v>45</v>
      </c>
      <c r="D951">
        <v>54</v>
      </c>
      <c r="E951">
        <v>72</v>
      </c>
      <c r="F951">
        <v>23.52</v>
      </c>
      <c r="G951" t="s">
        <v>18</v>
      </c>
      <c r="H951" t="s">
        <v>5</v>
      </c>
      <c r="I951" t="str">
        <f t="shared" si="14"/>
        <v>America</v>
      </c>
    </row>
    <row r="952" spans="1:9" x14ac:dyDescent="0.3">
      <c r="A952" t="s">
        <v>939</v>
      </c>
      <c r="B952">
        <v>94</v>
      </c>
      <c r="C952" t="s">
        <v>45</v>
      </c>
      <c r="D952">
        <v>56</v>
      </c>
      <c r="E952">
        <v>74</v>
      </c>
      <c r="F952">
        <v>6.91</v>
      </c>
      <c r="G952" t="s">
        <v>18</v>
      </c>
      <c r="H952" t="s">
        <v>12</v>
      </c>
      <c r="I952" t="str">
        <f t="shared" si="14"/>
        <v>Africa</v>
      </c>
    </row>
    <row r="953" spans="1:9" x14ac:dyDescent="0.3">
      <c r="A953" t="s">
        <v>940</v>
      </c>
      <c r="B953">
        <v>94</v>
      </c>
      <c r="C953" t="s">
        <v>45</v>
      </c>
      <c r="D953">
        <v>58</v>
      </c>
      <c r="E953">
        <v>77</v>
      </c>
      <c r="F953">
        <v>6.03</v>
      </c>
      <c r="G953" t="s">
        <v>18</v>
      </c>
      <c r="H953" t="s">
        <v>21</v>
      </c>
      <c r="I953" t="str">
        <f t="shared" si="14"/>
        <v>America</v>
      </c>
    </row>
    <row r="954" spans="1:9" x14ac:dyDescent="0.3">
      <c r="A954" t="s">
        <v>941</v>
      </c>
      <c r="B954">
        <v>94</v>
      </c>
      <c r="C954" t="s">
        <v>41</v>
      </c>
      <c r="D954">
        <v>62</v>
      </c>
      <c r="E954">
        <v>82</v>
      </c>
      <c r="F954">
        <v>712</v>
      </c>
      <c r="G954" t="s">
        <v>2</v>
      </c>
      <c r="H954" t="s">
        <v>5</v>
      </c>
      <c r="I954" t="str">
        <f t="shared" si="14"/>
        <v>America</v>
      </c>
    </row>
    <row r="955" spans="1:9" x14ac:dyDescent="0.3">
      <c r="A955" t="s">
        <v>942</v>
      </c>
      <c r="B955">
        <v>96</v>
      </c>
      <c r="C955" t="s">
        <v>45</v>
      </c>
      <c r="D955">
        <v>60</v>
      </c>
      <c r="E955">
        <v>80</v>
      </c>
      <c r="F955">
        <v>600</v>
      </c>
      <c r="G955" t="s">
        <v>2</v>
      </c>
      <c r="H955" t="s">
        <v>7</v>
      </c>
      <c r="I955" t="str">
        <f t="shared" si="14"/>
        <v>America</v>
      </c>
    </row>
    <row r="956" spans="1:9" x14ac:dyDescent="0.3">
      <c r="A956" t="s">
        <v>943</v>
      </c>
      <c r="B956">
        <v>94</v>
      </c>
      <c r="C956" t="s">
        <v>45</v>
      </c>
      <c r="D956">
        <v>58</v>
      </c>
      <c r="E956">
        <v>76</v>
      </c>
      <c r="F956">
        <v>6.17</v>
      </c>
      <c r="G956" t="s">
        <v>18</v>
      </c>
      <c r="H956" t="s">
        <v>7</v>
      </c>
      <c r="I956" t="str">
        <f t="shared" si="14"/>
        <v>America</v>
      </c>
    </row>
    <row r="957" spans="1:9" x14ac:dyDescent="0.3">
      <c r="A957" t="s">
        <v>944</v>
      </c>
      <c r="B957">
        <v>94</v>
      </c>
      <c r="C957" t="s">
        <v>45</v>
      </c>
      <c r="D957">
        <v>59</v>
      </c>
      <c r="E957">
        <v>77</v>
      </c>
      <c r="F957">
        <v>17.64</v>
      </c>
      <c r="G957" t="s">
        <v>11</v>
      </c>
      <c r="H957" t="s">
        <v>14</v>
      </c>
      <c r="I957" t="str">
        <f t="shared" si="14"/>
        <v>America</v>
      </c>
    </row>
    <row r="958" spans="1:9" x14ac:dyDescent="0.3">
      <c r="A958" t="s">
        <v>945</v>
      </c>
      <c r="B958">
        <v>95</v>
      </c>
      <c r="C958" t="s">
        <v>41</v>
      </c>
      <c r="D958">
        <v>64</v>
      </c>
      <c r="E958">
        <v>84</v>
      </c>
      <c r="F958">
        <v>7.33</v>
      </c>
      <c r="G958" t="s">
        <v>18</v>
      </c>
      <c r="H958" t="s">
        <v>9</v>
      </c>
      <c r="I958" t="str">
        <f t="shared" si="14"/>
        <v>Africa</v>
      </c>
    </row>
    <row r="959" spans="1:9" x14ac:dyDescent="0.3">
      <c r="A959" t="s">
        <v>946</v>
      </c>
      <c r="B959">
        <v>95</v>
      </c>
      <c r="C959" t="s">
        <v>45</v>
      </c>
      <c r="D959">
        <v>58</v>
      </c>
      <c r="E959">
        <v>80</v>
      </c>
      <c r="F959">
        <v>25.71</v>
      </c>
      <c r="G959" t="s">
        <v>18</v>
      </c>
      <c r="H959" t="s">
        <v>14</v>
      </c>
      <c r="I959" t="str">
        <f t="shared" si="14"/>
        <v>America</v>
      </c>
    </row>
    <row r="960" spans="1:9" x14ac:dyDescent="0.3">
      <c r="A960" t="s">
        <v>581</v>
      </c>
      <c r="B960">
        <v>94</v>
      </c>
      <c r="C960" t="s">
        <v>45</v>
      </c>
      <c r="D960">
        <v>56</v>
      </c>
      <c r="E960">
        <v>76</v>
      </c>
      <c r="F960">
        <v>7.05</v>
      </c>
      <c r="G960" t="s">
        <v>18</v>
      </c>
      <c r="H960" t="s">
        <v>12</v>
      </c>
      <c r="I960" t="str">
        <f t="shared" si="14"/>
        <v>Africa</v>
      </c>
    </row>
    <row r="961" spans="1:9" x14ac:dyDescent="0.3">
      <c r="A961" t="s">
        <v>947</v>
      </c>
      <c r="B961">
        <v>94</v>
      </c>
      <c r="C961" t="s">
        <v>41</v>
      </c>
      <c r="D961">
        <v>64</v>
      </c>
      <c r="E961">
        <v>86</v>
      </c>
      <c r="F961">
        <v>8.7899999999999991</v>
      </c>
      <c r="G961" t="s">
        <v>18</v>
      </c>
      <c r="H961" t="s">
        <v>22</v>
      </c>
      <c r="I961" t="str">
        <f t="shared" si="14"/>
        <v>America</v>
      </c>
    </row>
    <row r="962" spans="1:9" x14ac:dyDescent="0.3">
      <c r="A962" t="s">
        <v>948</v>
      </c>
      <c r="B962">
        <v>94</v>
      </c>
      <c r="C962" t="s">
        <v>45</v>
      </c>
      <c r="D962">
        <v>60</v>
      </c>
      <c r="E962">
        <v>76</v>
      </c>
      <c r="F962">
        <v>22</v>
      </c>
      <c r="G962" t="s">
        <v>18</v>
      </c>
      <c r="H962" t="s">
        <v>18</v>
      </c>
      <c r="I962" t="str">
        <f t="shared" si="14"/>
        <v>America</v>
      </c>
    </row>
    <row r="963" spans="1:9" x14ac:dyDescent="0.3">
      <c r="A963" t="s">
        <v>949</v>
      </c>
      <c r="B963">
        <v>95</v>
      </c>
      <c r="C963" t="s">
        <v>45</v>
      </c>
      <c r="D963">
        <v>58</v>
      </c>
      <c r="E963">
        <v>78</v>
      </c>
      <c r="F963">
        <v>7.05</v>
      </c>
      <c r="G963" t="s">
        <v>18</v>
      </c>
      <c r="H963" t="s">
        <v>12</v>
      </c>
      <c r="I963" t="str">
        <f t="shared" ref="I963:I1026" si="15">_xlfn.XLOOKUP(H963, $M$2:$M$50, $N$2:$N$50, "Other")</f>
        <v>Africa</v>
      </c>
    </row>
    <row r="964" spans="1:9" x14ac:dyDescent="0.3">
      <c r="A964" t="s">
        <v>950</v>
      </c>
      <c r="B964">
        <v>94</v>
      </c>
      <c r="C964" t="s">
        <v>41</v>
      </c>
      <c r="D964">
        <v>64</v>
      </c>
      <c r="E964">
        <v>86</v>
      </c>
      <c r="F964">
        <v>668.14</v>
      </c>
      <c r="G964" t="s">
        <v>2</v>
      </c>
      <c r="H964" t="s">
        <v>9</v>
      </c>
      <c r="I964" t="str">
        <f t="shared" si="15"/>
        <v>Africa</v>
      </c>
    </row>
    <row r="965" spans="1:9" x14ac:dyDescent="0.3">
      <c r="A965" t="s">
        <v>951</v>
      </c>
      <c r="B965">
        <v>94</v>
      </c>
      <c r="C965" t="s">
        <v>45</v>
      </c>
      <c r="D965">
        <v>59</v>
      </c>
      <c r="E965">
        <v>79</v>
      </c>
      <c r="F965">
        <v>141.09</v>
      </c>
      <c r="G965" t="s">
        <v>2</v>
      </c>
      <c r="H965" t="s">
        <v>9</v>
      </c>
      <c r="I965" t="str">
        <f t="shared" si="15"/>
        <v>Africa</v>
      </c>
    </row>
    <row r="966" spans="1:9" x14ac:dyDescent="0.3">
      <c r="A966" t="s">
        <v>952</v>
      </c>
      <c r="B966">
        <v>95</v>
      </c>
      <c r="C966" t="s">
        <v>45</v>
      </c>
      <c r="D966">
        <v>57</v>
      </c>
      <c r="E966">
        <v>74</v>
      </c>
      <c r="F966">
        <v>13.23</v>
      </c>
      <c r="G966" t="s">
        <v>18</v>
      </c>
      <c r="H966" t="s">
        <v>14</v>
      </c>
      <c r="I966" t="str">
        <f t="shared" si="15"/>
        <v>America</v>
      </c>
    </row>
    <row r="967" spans="1:9" x14ac:dyDescent="0.3">
      <c r="A967" t="s">
        <v>953</v>
      </c>
      <c r="B967">
        <v>97</v>
      </c>
      <c r="C967" t="s">
        <v>41</v>
      </c>
      <c r="D967">
        <v>64</v>
      </c>
      <c r="E967">
        <v>86</v>
      </c>
      <c r="F967">
        <v>16.149999999999999</v>
      </c>
      <c r="G967" t="s">
        <v>18</v>
      </c>
      <c r="H967" t="s">
        <v>9</v>
      </c>
      <c r="I967" t="str">
        <f t="shared" si="15"/>
        <v>Africa</v>
      </c>
    </row>
    <row r="968" spans="1:9" x14ac:dyDescent="0.3">
      <c r="A968" t="s">
        <v>954</v>
      </c>
      <c r="B968">
        <v>94</v>
      </c>
      <c r="C968" t="s">
        <v>45</v>
      </c>
      <c r="D968">
        <v>58</v>
      </c>
      <c r="E968">
        <v>78</v>
      </c>
      <c r="F968">
        <v>5.59</v>
      </c>
      <c r="G968" t="s">
        <v>18</v>
      </c>
      <c r="H968" t="s">
        <v>14</v>
      </c>
      <c r="I968" t="str">
        <f t="shared" si="15"/>
        <v>America</v>
      </c>
    </row>
    <row r="969" spans="1:9" x14ac:dyDescent="0.3">
      <c r="A969" t="s">
        <v>798</v>
      </c>
      <c r="B969">
        <v>94</v>
      </c>
      <c r="C969" t="s">
        <v>41</v>
      </c>
      <c r="D969">
        <v>62</v>
      </c>
      <c r="E969">
        <v>80</v>
      </c>
      <c r="F969">
        <v>5.29</v>
      </c>
      <c r="G969" t="s">
        <v>18</v>
      </c>
      <c r="H969" t="s">
        <v>9</v>
      </c>
      <c r="I969" t="str">
        <f t="shared" si="15"/>
        <v>Africa</v>
      </c>
    </row>
    <row r="970" spans="1:9" x14ac:dyDescent="0.3">
      <c r="A970" t="s">
        <v>955</v>
      </c>
      <c r="B970">
        <v>94</v>
      </c>
      <c r="C970" t="s">
        <v>82</v>
      </c>
      <c r="D970">
        <v>51</v>
      </c>
      <c r="E970">
        <v>64</v>
      </c>
      <c r="F970">
        <v>200</v>
      </c>
      <c r="G970" t="s">
        <v>2</v>
      </c>
      <c r="H970" t="s">
        <v>150</v>
      </c>
      <c r="I970" t="str">
        <f t="shared" si="15"/>
        <v>NULL</v>
      </c>
    </row>
    <row r="971" spans="1:9" x14ac:dyDescent="0.3">
      <c r="A971" t="s">
        <v>956</v>
      </c>
      <c r="B971">
        <v>94</v>
      </c>
      <c r="C971" t="s">
        <v>541</v>
      </c>
      <c r="D971">
        <v>36</v>
      </c>
      <c r="E971">
        <v>48</v>
      </c>
      <c r="F971">
        <v>200</v>
      </c>
      <c r="G971" t="s">
        <v>2</v>
      </c>
      <c r="H971" t="s">
        <v>14</v>
      </c>
      <c r="I971" t="str">
        <f t="shared" si="15"/>
        <v>America</v>
      </c>
    </row>
    <row r="972" spans="1:9" x14ac:dyDescent="0.3">
      <c r="A972" t="s">
        <v>957</v>
      </c>
      <c r="B972">
        <v>94</v>
      </c>
      <c r="C972" t="s">
        <v>541</v>
      </c>
      <c r="D972">
        <v>39</v>
      </c>
      <c r="E972">
        <v>53</v>
      </c>
      <c r="F972">
        <v>133.33000000000001</v>
      </c>
      <c r="G972" t="s">
        <v>2</v>
      </c>
      <c r="H972" t="s">
        <v>14</v>
      </c>
      <c r="I972" t="str">
        <f t="shared" si="15"/>
        <v>America</v>
      </c>
    </row>
    <row r="973" spans="1:9" x14ac:dyDescent="0.3">
      <c r="A973" t="s">
        <v>958</v>
      </c>
      <c r="B973">
        <v>95</v>
      </c>
      <c r="C973" t="s">
        <v>82</v>
      </c>
      <c r="D973">
        <v>50</v>
      </c>
      <c r="E973">
        <v>67</v>
      </c>
      <c r="F973">
        <v>92.59</v>
      </c>
      <c r="G973" t="s">
        <v>2</v>
      </c>
      <c r="H973" t="s">
        <v>9</v>
      </c>
      <c r="I973" t="str">
        <f t="shared" si="15"/>
        <v>Africa</v>
      </c>
    </row>
    <row r="974" spans="1:9" x14ac:dyDescent="0.3">
      <c r="A974" t="s">
        <v>959</v>
      </c>
      <c r="B974">
        <v>96</v>
      </c>
      <c r="C974" t="s">
        <v>541</v>
      </c>
      <c r="D974">
        <v>35</v>
      </c>
      <c r="E974">
        <v>48</v>
      </c>
      <c r="F974">
        <v>242.5</v>
      </c>
      <c r="G974" t="s">
        <v>2</v>
      </c>
      <c r="H974" t="s">
        <v>9</v>
      </c>
      <c r="I974" t="str">
        <f t="shared" si="15"/>
        <v>Africa</v>
      </c>
    </row>
    <row r="975" spans="1:9" x14ac:dyDescent="0.3">
      <c r="A975" t="s">
        <v>960</v>
      </c>
      <c r="B975">
        <v>95</v>
      </c>
      <c r="C975" t="s">
        <v>41</v>
      </c>
      <c r="D975">
        <v>62</v>
      </c>
      <c r="E975">
        <v>80</v>
      </c>
      <c r="F975">
        <v>66.09</v>
      </c>
      <c r="G975" t="s">
        <v>18</v>
      </c>
      <c r="H975" t="s">
        <v>20</v>
      </c>
      <c r="I975" t="str">
        <f t="shared" si="15"/>
        <v>Africa</v>
      </c>
    </row>
    <row r="976" spans="1:9" x14ac:dyDescent="0.3">
      <c r="A976" t="s">
        <v>961</v>
      </c>
      <c r="B976">
        <v>95</v>
      </c>
      <c r="C976" t="s">
        <v>41</v>
      </c>
      <c r="D976">
        <v>64</v>
      </c>
      <c r="E976">
        <v>84</v>
      </c>
      <c r="F976">
        <v>165.34</v>
      </c>
      <c r="G976" t="s">
        <v>2</v>
      </c>
      <c r="H976" t="s">
        <v>9</v>
      </c>
      <c r="I976" t="str">
        <f t="shared" si="15"/>
        <v>Africa</v>
      </c>
    </row>
    <row r="977" spans="1:9" x14ac:dyDescent="0.3">
      <c r="A977" t="s">
        <v>962</v>
      </c>
      <c r="B977">
        <v>95</v>
      </c>
      <c r="C977" t="s">
        <v>41</v>
      </c>
      <c r="D977">
        <v>62</v>
      </c>
      <c r="E977">
        <v>80</v>
      </c>
      <c r="F977">
        <v>180.78</v>
      </c>
      <c r="G977" t="s">
        <v>2</v>
      </c>
      <c r="H977" t="s">
        <v>9</v>
      </c>
      <c r="I977" t="str">
        <f t="shared" si="15"/>
        <v>Africa</v>
      </c>
    </row>
    <row r="978" spans="1:9" x14ac:dyDescent="0.3">
      <c r="A978" t="s">
        <v>963</v>
      </c>
      <c r="B978">
        <v>94</v>
      </c>
      <c r="C978" t="s">
        <v>45</v>
      </c>
      <c r="D978">
        <v>58</v>
      </c>
      <c r="E978">
        <v>76</v>
      </c>
      <c r="F978">
        <v>121.25</v>
      </c>
      <c r="G978" t="s">
        <v>2</v>
      </c>
      <c r="H978" t="s">
        <v>15</v>
      </c>
      <c r="I978" t="str">
        <f t="shared" si="15"/>
        <v>America</v>
      </c>
    </row>
    <row r="979" spans="1:9" x14ac:dyDescent="0.3">
      <c r="A979" t="s">
        <v>964</v>
      </c>
      <c r="B979">
        <v>94</v>
      </c>
      <c r="C979" t="s">
        <v>45</v>
      </c>
      <c r="D979">
        <v>58</v>
      </c>
      <c r="E979">
        <v>76</v>
      </c>
      <c r="F979">
        <v>280</v>
      </c>
      <c r="G979" t="s">
        <v>2</v>
      </c>
      <c r="H979" t="s">
        <v>9</v>
      </c>
      <c r="I979" t="str">
        <f t="shared" si="15"/>
        <v>Africa</v>
      </c>
    </row>
    <row r="980" spans="1:9" x14ac:dyDescent="0.3">
      <c r="A980" t="s">
        <v>965</v>
      </c>
      <c r="B980">
        <v>94</v>
      </c>
      <c r="C980" t="s">
        <v>41</v>
      </c>
      <c r="D980">
        <v>64</v>
      </c>
      <c r="E980">
        <v>80</v>
      </c>
      <c r="F980">
        <v>220.26</v>
      </c>
      <c r="G980" t="s">
        <v>2</v>
      </c>
      <c r="H980" t="s">
        <v>9</v>
      </c>
      <c r="I980" t="str">
        <f t="shared" si="15"/>
        <v>Africa</v>
      </c>
    </row>
    <row r="981" spans="1:9" x14ac:dyDescent="0.3">
      <c r="A981" t="s">
        <v>966</v>
      </c>
      <c r="B981">
        <v>95</v>
      </c>
      <c r="C981" t="s">
        <v>45</v>
      </c>
      <c r="D981">
        <v>54</v>
      </c>
      <c r="E981">
        <v>78</v>
      </c>
      <c r="F981">
        <v>132.28</v>
      </c>
      <c r="G981" t="s">
        <v>2</v>
      </c>
      <c r="H981" t="s">
        <v>15</v>
      </c>
      <c r="I981" t="str">
        <f t="shared" si="15"/>
        <v>America</v>
      </c>
    </row>
    <row r="982" spans="1:9" x14ac:dyDescent="0.3">
      <c r="A982" t="s">
        <v>967</v>
      </c>
      <c r="B982">
        <v>94</v>
      </c>
      <c r="C982" t="s">
        <v>45</v>
      </c>
      <c r="D982">
        <v>60</v>
      </c>
      <c r="E982">
        <v>80</v>
      </c>
      <c r="F982">
        <v>127.87</v>
      </c>
      <c r="G982" t="s">
        <v>2</v>
      </c>
      <c r="H982" t="s">
        <v>9</v>
      </c>
      <c r="I982" t="str">
        <f t="shared" si="15"/>
        <v>Africa</v>
      </c>
    </row>
    <row r="983" spans="1:9" x14ac:dyDescent="0.3">
      <c r="A983" t="s">
        <v>968</v>
      </c>
      <c r="B983">
        <v>94</v>
      </c>
      <c r="C983" t="s">
        <v>45</v>
      </c>
      <c r="D983">
        <v>60</v>
      </c>
      <c r="E983">
        <v>78</v>
      </c>
      <c r="F983">
        <v>299.56</v>
      </c>
      <c r="G983" t="s">
        <v>2</v>
      </c>
      <c r="H983" t="s">
        <v>8</v>
      </c>
      <c r="I983" t="str">
        <f t="shared" si="15"/>
        <v>Africa</v>
      </c>
    </row>
    <row r="984" spans="1:9" x14ac:dyDescent="0.3">
      <c r="A984" t="s">
        <v>969</v>
      </c>
      <c r="B984">
        <v>94</v>
      </c>
      <c r="C984" t="s">
        <v>41</v>
      </c>
      <c r="D984">
        <v>64</v>
      </c>
      <c r="E984">
        <v>84</v>
      </c>
      <c r="F984">
        <v>22.02</v>
      </c>
      <c r="G984" t="s">
        <v>18</v>
      </c>
      <c r="H984" t="s">
        <v>5</v>
      </c>
      <c r="I984" t="str">
        <f t="shared" si="15"/>
        <v>America</v>
      </c>
    </row>
    <row r="985" spans="1:9" x14ac:dyDescent="0.3">
      <c r="A985" t="s">
        <v>609</v>
      </c>
      <c r="B985">
        <v>94</v>
      </c>
      <c r="C985" t="s">
        <v>41</v>
      </c>
      <c r="D985">
        <v>60</v>
      </c>
      <c r="E985">
        <v>82</v>
      </c>
      <c r="F985">
        <v>4.7</v>
      </c>
      <c r="G985" t="s">
        <v>18</v>
      </c>
      <c r="H985" t="s">
        <v>19</v>
      </c>
      <c r="I985" t="str">
        <f t="shared" si="15"/>
        <v>Asia-Pacific</v>
      </c>
    </row>
    <row r="986" spans="1:9" x14ac:dyDescent="0.3">
      <c r="A986" t="s">
        <v>970</v>
      </c>
      <c r="B986">
        <v>94</v>
      </c>
      <c r="C986" t="s">
        <v>45</v>
      </c>
      <c r="D986">
        <v>60</v>
      </c>
      <c r="E986">
        <v>78</v>
      </c>
      <c r="F986">
        <v>154.19</v>
      </c>
      <c r="G986" t="s">
        <v>2</v>
      </c>
      <c r="H986" t="s">
        <v>9</v>
      </c>
      <c r="I986" t="str">
        <f t="shared" si="15"/>
        <v>Africa</v>
      </c>
    </row>
    <row r="987" spans="1:9" x14ac:dyDescent="0.3">
      <c r="A987" t="s">
        <v>971</v>
      </c>
      <c r="B987">
        <v>95</v>
      </c>
      <c r="C987" t="s">
        <v>45</v>
      </c>
      <c r="D987">
        <v>58</v>
      </c>
      <c r="E987">
        <v>78</v>
      </c>
      <c r="F987">
        <v>5.29</v>
      </c>
      <c r="G987" t="s">
        <v>18</v>
      </c>
      <c r="H987" t="s">
        <v>14</v>
      </c>
      <c r="I987" t="str">
        <f t="shared" si="15"/>
        <v>America</v>
      </c>
    </row>
    <row r="988" spans="1:9" x14ac:dyDescent="0.3">
      <c r="A988" t="s">
        <v>972</v>
      </c>
      <c r="B988">
        <v>94</v>
      </c>
      <c r="C988" t="s">
        <v>41</v>
      </c>
      <c r="D988">
        <v>63</v>
      </c>
      <c r="E988">
        <v>83</v>
      </c>
      <c r="F988">
        <v>15.43</v>
      </c>
      <c r="G988" t="s">
        <v>18</v>
      </c>
      <c r="H988" t="s">
        <v>8</v>
      </c>
      <c r="I988" t="str">
        <f t="shared" si="15"/>
        <v>Africa</v>
      </c>
    </row>
    <row r="989" spans="1:9" x14ac:dyDescent="0.3">
      <c r="A989" t="s">
        <v>973</v>
      </c>
      <c r="B989">
        <v>94</v>
      </c>
      <c r="C989" t="s">
        <v>41</v>
      </c>
      <c r="D989">
        <v>62</v>
      </c>
      <c r="E989">
        <v>80</v>
      </c>
      <c r="F989">
        <v>300</v>
      </c>
      <c r="G989" t="s">
        <v>2</v>
      </c>
      <c r="H989" t="s">
        <v>15</v>
      </c>
      <c r="I989" t="str">
        <f t="shared" si="15"/>
        <v>America</v>
      </c>
    </row>
    <row r="990" spans="1:9" x14ac:dyDescent="0.3">
      <c r="A990" t="s">
        <v>974</v>
      </c>
      <c r="B990">
        <v>94</v>
      </c>
      <c r="C990" t="s">
        <v>82</v>
      </c>
      <c r="D990">
        <v>56</v>
      </c>
      <c r="E990">
        <v>64</v>
      </c>
      <c r="F990">
        <v>7.94</v>
      </c>
      <c r="G990" t="s">
        <v>18</v>
      </c>
      <c r="H990" t="s">
        <v>14</v>
      </c>
      <c r="I990" t="str">
        <f t="shared" si="15"/>
        <v>America</v>
      </c>
    </row>
    <row r="991" spans="1:9" x14ac:dyDescent="0.3">
      <c r="A991" t="s">
        <v>975</v>
      </c>
      <c r="B991">
        <v>94</v>
      </c>
      <c r="C991" t="s">
        <v>41</v>
      </c>
      <c r="D991">
        <v>82</v>
      </c>
      <c r="E991">
        <v>104</v>
      </c>
      <c r="F991">
        <v>2980</v>
      </c>
      <c r="G991" t="s">
        <v>27</v>
      </c>
      <c r="H991" t="s">
        <v>3</v>
      </c>
      <c r="I991" t="str">
        <f t="shared" si="15"/>
        <v>America</v>
      </c>
    </row>
    <row r="992" spans="1:9" x14ac:dyDescent="0.3">
      <c r="A992" t="s">
        <v>976</v>
      </c>
      <c r="B992">
        <v>94</v>
      </c>
      <c r="C992" t="s">
        <v>541</v>
      </c>
      <c r="D992">
        <v>42</v>
      </c>
      <c r="E992">
        <v>58</v>
      </c>
      <c r="F992">
        <v>352.73</v>
      </c>
      <c r="G992" t="s">
        <v>2</v>
      </c>
      <c r="H992" t="s">
        <v>17</v>
      </c>
      <c r="I992" t="str">
        <f t="shared" si="15"/>
        <v>Africa</v>
      </c>
    </row>
    <row r="993" spans="1:9" x14ac:dyDescent="0.3">
      <c r="A993" t="s">
        <v>977</v>
      </c>
      <c r="B993">
        <v>95</v>
      </c>
      <c r="C993" t="s">
        <v>45</v>
      </c>
      <c r="D993">
        <v>58</v>
      </c>
      <c r="E993">
        <v>78</v>
      </c>
      <c r="F993">
        <v>5.29</v>
      </c>
      <c r="G993" t="s">
        <v>18</v>
      </c>
      <c r="H993" t="s">
        <v>9</v>
      </c>
      <c r="I993" t="str">
        <f t="shared" si="15"/>
        <v>Africa</v>
      </c>
    </row>
    <row r="994" spans="1:9" x14ac:dyDescent="0.3">
      <c r="A994" t="s">
        <v>978</v>
      </c>
      <c r="B994">
        <v>95</v>
      </c>
      <c r="C994" t="s">
        <v>45</v>
      </c>
      <c r="D994">
        <v>60</v>
      </c>
      <c r="E994">
        <v>78</v>
      </c>
      <c r="F994">
        <v>7.05</v>
      </c>
      <c r="G994" t="s">
        <v>18</v>
      </c>
      <c r="H994" t="s">
        <v>15</v>
      </c>
      <c r="I994" t="str">
        <f t="shared" si="15"/>
        <v>America</v>
      </c>
    </row>
    <row r="995" spans="1:9" x14ac:dyDescent="0.3">
      <c r="A995" t="s">
        <v>979</v>
      </c>
      <c r="B995">
        <v>94</v>
      </c>
      <c r="C995" t="s">
        <v>45</v>
      </c>
      <c r="D995">
        <v>60</v>
      </c>
      <c r="E995">
        <v>78</v>
      </c>
      <c r="F995">
        <v>25.57</v>
      </c>
      <c r="G995" t="s">
        <v>18</v>
      </c>
      <c r="H995" t="s">
        <v>5</v>
      </c>
      <c r="I995" t="str">
        <f t="shared" si="15"/>
        <v>America</v>
      </c>
    </row>
    <row r="996" spans="1:9" x14ac:dyDescent="0.3">
      <c r="A996" t="s">
        <v>980</v>
      </c>
      <c r="B996">
        <v>94</v>
      </c>
      <c r="C996" t="s">
        <v>45</v>
      </c>
      <c r="D996">
        <v>60</v>
      </c>
      <c r="E996">
        <v>77</v>
      </c>
      <c r="F996">
        <v>8.23</v>
      </c>
      <c r="G996" t="s">
        <v>18</v>
      </c>
      <c r="H996" t="s">
        <v>14</v>
      </c>
      <c r="I996" t="str">
        <f t="shared" si="15"/>
        <v>America</v>
      </c>
    </row>
    <row r="997" spans="1:9" x14ac:dyDescent="0.3">
      <c r="A997" t="s">
        <v>981</v>
      </c>
      <c r="B997">
        <v>95</v>
      </c>
      <c r="C997" t="s">
        <v>45</v>
      </c>
      <c r="D997">
        <v>58</v>
      </c>
      <c r="E997">
        <v>80</v>
      </c>
      <c r="F997">
        <v>22.05</v>
      </c>
      <c r="G997" t="s">
        <v>18</v>
      </c>
      <c r="H997" t="s">
        <v>18</v>
      </c>
      <c r="I997" t="str">
        <f t="shared" si="15"/>
        <v>America</v>
      </c>
    </row>
    <row r="998" spans="1:9" x14ac:dyDescent="0.3">
      <c r="A998" t="s">
        <v>982</v>
      </c>
      <c r="B998">
        <v>94</v>
      </c>
      <c r="C998" t="s">
        <v>41</v>
      </c>
      <c r="D998">
        <v>62</v>
      </c>
      <c r="E998">
        <v>80</v>
      </c>
      <c r="F998">
        <v>13.23</v>
      </c>
      <c r="G998" t="s">
        <v>18</v>
      </c>
      <c r="H998" t="s">
        <v>4</v>
      </c>
      <c r="I998" t="str">
        <f t="shared" si="15"/>
        <v>America</v>
      </c>
    </row>
    <row r="999" spans="1:9" x14ac:dyDescent="0.3">
      <c r="A999" t="s">
        <v>276</v>
      </c>
      <c r="B999">
        <v>95</v>
      </c>
      <c r="C999" t="s">
        <v>45</v>
      </c>
      <c r="D999">
        <v>58</v>
      </c>
      <c r="E999">
        <v>80</v>
      </c>
      <c r="F999">
        <v>6.03</v>
      </c>
      <c r="G999" t="s">
        <v>18</v>
      </c>
      <c r="H999" t="s">
        <v>12</v>
      </c>
      <c r="I999" t="str">
        <f t="shared" si="15"/>
        <v>Africa</v>
      </c>
    </row>
    <row r="1000" spans="1:9" x14ac:dyDescent="0.3">
      <c r="A1000" t="s">
        <v>983</v>
      </c>
      <c r="B1000">
        <v>95</v>
      </c>
      <c r="C1000" t="s">
        <v>45</v>
      </c>
      <c r="D1000">
        <v>56</v>
      </c>
      <c r="E1000">
        <v>76</v>
      </c>
      <c r="F1000">
        <v>6.17</v>
      </c>
      <c r="G1000" t="s">
        <v>18</v>
      </c>
      <c r="H1000" t="s">
        <v>4</v>
      </c>
      <c r="I1000" t="str">
        <f t="shared" si="15"/>
        <v>America</v>
      </c>
    </row>
    <row r="1001" spans="1:9" x14ac:dyDescent="0.3">
      <c r="A1001" t="s">
        <v>118</v>
      </c>
      <c r="B1001">
        <v>94</v>
      </c>
      <c r="C1001" t="s">
        <v>45</v>
      </c>
      <c r="D1001">
        <v>56</v>
      </c>
      <c r="E1001">
        <v>74</v>
      </c>
      <c r="F1001">
        <v>5.26</v>
      </c>
      <c r="G1001" t="s">
        <v>18</v>
      </c>
      <c r="H1001" t="s">
        <v>16</v>
      </c>
      <c r="I1001" t="str">
        <f t="shared" si="15"/>
        <v>Asia-Pacific</v>
      </c>
    </row>
    <row r="1002" spans="1:9" x14ac:dyDescent="0.3">
      <c r="A1002" t="s">
        <v>984</v>
      </c>
      <c r="B1002">
        <v>94</v>
      </c>
      <c r="C1002" t="s">
        <v>45</v>
      </c>
      <c r="D1002">
        <v>58</v>
      </c>
      <c r="E1002">
        <v>78</v>
      </c>
      <c r="F1002">
        <v>5.88</v>
      </c>
      <c r="G1002" t="s">
        <v>18</v>
      </c>
      <c r="H1002" t="s">
        <v>14</v>
      </c>
      <c r="I1002" t="str">
        <f t="shared" si="15"/>
        <v>America</v>
      </c>
    </row>
    <row r="1003" spans="1:9" x14ac:dyDescent="0.3">
      <c r="A1003" t="s">
        <v>985</v>
      </c>
      <c r="B1003">
        <v>94</v>
      </c>
      <c r="C1003" t="s">
        <v>41</v>
      </c>
      <c r="D1003">
        <v>62</v>
      </c>
      <c r="E1003">
        <v>80</v>
      </c>
      <c r="F1003">
        <v>26.41</v>
      </c>
      <c r="G1003" t="s">
        <v>18</v>
      </c>
      <c r="H1003" t="s">
        <v>22</v>
      </c>
      <c r="I1003" t="str">
        <f t="shared" si="15"/>
        <v>America</v>
      </c>
    </row>
    <row r="1004" spans="1:9" x14ac:dyDescent="0.3">
      <c r="A1004" t="s">
        <v>986</v>
      </c>
      <c r="B1004">
        <v>95</v>
      </c>
      <c r="C1004" t="s">
        <v>45</v>
      </c>
      <c r="D1004">
        <v>52</v>
      </c>
      <c r="E1004">
        <v>70</v>
      </c>
      <c r="F1004">
        <v>7.05</v>
      </c>
      <c r="G1004" t="s">
        <v>2</v>
      </c>
      <c r="H1004" t="s">
        <v>9</v>
      </c>
      <c r="I1004" t="str">
        <f t="shared" si="15"/>
        <v>Africa</v>
      </c>
    </row>
    <row r="1005" spans="1:9" x14ac:dyDescent="0.3">
      <c r="A1005" t="s">
        <v>987</v>
      </c>
      <c r="B1005">
        <v>94</v>
      </c>
      <c r="C1005" t="s">
        <v>41</v>
      </c>
      <c r="D1005">
        <v>62</v>
      </c>
      <c r="E1005">
        <v>80</v>
      </c>
      <c r="F1005">
        <v>5.88</v>
      </c>
      <c r="G1005" t="s">
        <v>2</v>
      </c>
      <c r="H1005" t="s">
        <v>9</v>
      </c>
      <c r="I1005" t="str">
        <f t="shared" si="15"/>
        <v>Africa</v>
      </c>
    </row>
    <row r="1006" spans="1:9" x14ac:dyDescent="0.3">
      <c r="A1006" t="s">
        <v>988</v>
      </c>
      <c r="B1006">
        <v>94</v>
      </c>
      <c r="C1006" t="s">
        <v>45</v>
      </c>
      <c r="D1006">
        <v>56</v>
      </c>
      <c r="E1006">
        <v>74</v>
      </c>
      <c r="F1006">
        <v>5.88</v>
      </c>
      <c r="G1006" t="s">
        <v>18</v>
      </c>
      <c r="H1006" t="s">
        <v>23</v>
      </c>
      <c r="I1006" t="str">
        <f t="shared" si="15"/>
        <v>Africa</v>
      </c>
    </row>
    <row r="1007" spans="1:9" x14ac:dyDescent="0.3">
      <c r="A1007" t="s">
        <v>989</v>
      </c>
      <c r="B1007">
        <v>94</v>
      </c>
      <c r="C1007" t="s">
        <v>45</v>
      </c>
      <c r="D1007">
        <v>60</v>
      </c>
      <c r="E1007">
        <v>78</v>
      </c>
      <c r="F1007">
        <v>5</v>
      </c>
      <c r="G1007" t="s">
        <v>18</v>
      </c>
      <c r="H1007" t="s">
        <v>17</v>
      </c>
      <c r="I1007" t="str">
        <f t="shared" si="15"/>
        <v>Africa</v>
      </c>
    </row>
    <row r="1008" spans="1:9" x14ac:dyDescent="0.3">
      <c r="A1008" t="s">
        <v>990</v>
      </c>
      <c r="B1008">
        <v>94</v>
      </c>
      <c r="C1008" t="s">
        <v>45</v>
      </c>
      <c r="D1008">
        <v>58</v>
      </c>
      <c r="E1008">
        <v>78</v>
      </c>
      <c r="F1008">
        <v>4.9800000000000004</v>
      </c>
      <c r="G1008" t="s">
        <v>18</v>
      </c>
      <c r="H1008" t="s">
        <v>20</v>
      </c>
      <c r="I1008" t="str">
        <f t="shared" si="15"/>
        <v>Africa</v>
      </c>
    </row>
    <row r="1009" spans="1:9" x14ac:dyDescent="0.3">
      <c r="A1009" t="s">
        <v>991</v>
      </c>
      <c r="B1009">
        <v>94</v>
      </c>
      <c r="C1009" t="s">
        <v>45</v>
      </c>
      <c r="D1009">
        <v>58</v>
      </c>
      <c r="E1009">
        <v>78</v>
      </c>
      <c r="F1009">
        <v>6.32</v>
      </c>
      <c r="G1009" t="s">
        <v>18</v>
      </c>
      <c r="H1009" t="s">
        <v>17</v>
      </c>
      <c r="I1009" t="str">
        <f t="shared" si="15"/>
        <v>Africa</v>
      </c>
    </row>
    <row r="1010" spans="1:9" x14ac:dyDescent="0.3">
      <c r="A1010" t="s">
        <v>992</v>
      </c>
      <c r="B1010">
        <v>94</v>
      </c>
      <c r="C1010" t="s">
        <v>45</v>
      </c>
      <c r="D1010">
        <v>53</v>
      </c>
      <c r="E1010">
        <v>71</v>
      </c>
      <c r="F1010">
        <v>3.97</v>
      </c>
      <c r="G1010" t="s">
        <v>18</v>
      </c>
      <c r="H1010" t="s">
        <v>20</v>
      </c>
      <c r="I1010" t="str">
        <f t="shared" si="15"/>
        <v>Africa</v>
      </c>
    </row>
    <row r="1011" spans="1:9" x14ac:dyDescent="0.3">
      <c r="A1011" t="s">
        <v>993</v>
      </c>
      <c r="B1011">
        <v>95</v>
      </c>
      <c r="C1011" t="s">
        <v>41</v>
      </c>
      <c r="D1011">
        <v>60</v>
      </c>
      <c r="E1011">
        <v>84</v>
      </c>
      <c r="F1011">
        <v>7.33</v>
      </c>
      <c r="G1011" t="s">
        <v>18</v>
      </c>
      <c r="H1011" t="s">
        <v>20</v>
      </c>
      <c r="I1011" t="str">
        <f t="shared" si="15"/>
        <v>Africa</v>
      </c>
    </row>
    <row r="1012" spans="1:9" x14ac:dyDescent="0.3">
      <c r="A1012" t="s">
        <v>994</v>
      </c>
      <c r="B1012">
        <v>96</v>
      </c>
      <c r="C1012" t="s">
        <v>45</v>
      </c>
      <c r="D1012">
        <v>60</v>
      </c>
      <c r="E1012">
        <v>78</v>
      </c>
      <c r="F1012">
        <v>127.87</v>
      </c>
      <c r="G1012" t="s">
        <v>2</v>
      </c>
      <c r="H1012" t="s">
        <v>9</v>
      </c>
      <c r="I1012" t="str">
        <f t="shared" si="15"/>
        <v>Africa</v>
      </c>
    </row>
    <row r="1013" spans="1:9" x14ac:dyDescent="0.3">
      <c r="A1013" t="s">
        <v>995</v>
      </c>
      <c r="B1013">
        <v>95</v>
      </c>
      <c r="C1013" t="s">
        <v>45</v>
      </c>
      <c r="D1013">
        <v>58</v>
      </c>
      <c r="E1013">
        <v>78</v>
      </c>
      <c r="F1013">
        <v>6.02</v>
      </c>
      <c r="G1013" t="s">
        <v>18</v>
      </c>
      <c r="H1013" t="s">
        <v>9</v>
      </c>
      <c r="I1013" t="str">
        <f t="shared" si="15"/>
        <v>Africa</v>
      </c>
    </row>
    <row r="1014" spans="1:9" x14ac:dyDescent="0.3">
      <c r="A1014" t="s">
        <v>996</v>
      </c>
      <c r="B1014">
        <v>95</v>
      </c>
      <c r="C1014" t="s">
        <v>45</v>
      </c>
      <c r="D1014">
        <v>58</v>
      </c>
      <c r="E1014">
        <v>78</v>
      </c>
      <c r="F1014">
        <v>617.28</v>
      </c>
      <c r="G1014" t="s">
        <v>2</v>
      </c>
      <c r="H1014" t="s">
        <v>2</v>
      </c>
      <c r="I1014" t="str">
        <f t="shared" si="15"/>
        <v>Asia-Pacific</v>
      </c>
    </row>
    <row r="1015" spans="1:9" x14ac:dyDescent="0.3">
      <c r="A1015" t="s">
        <v>997</v>
      </c>
      <c r="B1015">
        <v>95</v>
      </c>
      <c r="C1015" t="s">
        <v>41</v>
      </c>
      <c r="D1015">
        <v>60</v>
      </c>
      <c r="E1015">
        <v>82</v>
      </c>
      <c r="F1015">
        <v>143.30000000000001</v>
      </c>
      <c r="G1015" t="s">
        <v>2</v>
      </c>
      <c r="H1015" t="s">
        <v>9</v>
      </c>
      <c r="I1015" t="str">
        <f t="shared" si="15"/>
        <v>Africa</v>
      </c>
    </row>
    <row r="1016" spans="1:9" x14ac:dyDescent="0.3">
      <c r="A1016" t="s">
        <v>998</v>
      </c>
      <c r="B1016">
        <v>94</v>
      </c>
      <c r="C1016" t="s">
        <v>45</v>
      </c>
      <c r="D1016">
        <v>58</v>
      </c>
      <c r="E1016">
        <v>76</v>
      </c>
      <c r="F1016">
        <v>143.30000000000001</v>
      </c>
      <c r="G1016" t="s">
        <v>2</v>
      </c>
      <c r="H1016" t="s">
        <v>12</v>
      </c>
      <c r="I1016" t="str">
        <f t="shared" si="15"/>
        <v>Africa</v>
      </c>
    </row>
    <row r="1017" spans="1:9" x14ac:dyDescent="0.3">
      <c r="A1017" t="s">
        <v>999</v>
      </c>
      <c r="B1017">
        <v>95</v>
      </c>
      <c r="C1017" t="s">
        <v>45</v>
      </c>
      <c r="D1017">
        <v>60</v>
      </c>
      <c r="E1017">
        <v>78</v>
      </c>
      <c r="F1017">
        <v>250</v>
      </c>
      <c r="G1017" t="s">
        <v>2</v>
      </c>
      <c r="H1017" t="s">
        <v>9</v>
      </c>
      <c r="I1017" t="str">
        <f t="shared" si="15"/>
        <v>Africa</v>
      </c>
    </row>
    <row r="1018" spans="1:9" x14ac:dyDescent="0.3">
      <c r="A1018" t="s">
        <v>1000</v>
      </c>
      <c r="B1018">
        <v>94</v>
      </c>
      <c r="C1018" t="s">
        <v>45</v>
      </c>
      <c r="D1018">
        <v>58</v>
      </c>
      <c r="E1018">
        <v>76</v>
      </c>
      <c r="F1018">
        <v>275</v>
      </c>
      <c r="G1018" t="s">
        <v>2</v>
      </c>
      <c r="H1018" t="s">
        <v>12</v>
      </c>
      <c r="I1018" t="str">
        <f t="shared" si="15"/>
        <v>Africa</v>
      </c>
    </row>
    <row r="1019" spans="1:9" x14ac:dyDescent="0.3">
      <c r="A1019" t="s">
        <v>1001</v>
      </c>
      <c r="B1019">
        <v>94</v>
      </c>
      <c r="C1019" t="s">
        <v>45</v>
      </c>
      <c r="D1019">
        <v>56</v>
      </c>
      <c r="E1019">
        <v>76</v>
      </c>
      <c r="F1019">
        <v>225</v>
      </c>
      <c r="G1019" t="s">
        <v>2</v>
      </c>
      <c r="H1019" t="s">
        <v>9</v>
      </c>
      <c r="I1019" t="str">
        <f t="shared" si="15"/>
        <v>Africa</v>
      </c>
    </row>
    <row r="1020" spans="1:9" x14ac:dyDescent="0.3">
      <c r="A1020" t="s">
        <v>1002</v>
      </c>
      <c r="B1020">
        <v>94</v>
      </c>
      <c r="C1020" t="s">
        <v>45</v>
      </c>
      <c r="D1020">
        <v>60</v>
      </c>
      <c r="E1020">
        <v>77</v>
      </c>
      <c r="F1020">
        <v>10</v>
      </c>
      <c r="G1020" t="s">
        <v>18</v>
      </c>
      <c r="H1020" t="s">
        <v>9</v>
      </c>
      <c r="I1020" t="str">
        <f t="shared" si="15"/>
        <v>Africa</v>
      </c>
    </row>
    <row r="1021" spans="1:9" x14ac:dyDescent="0.3">
      <c r="A1021" t="s">
        <v>1003</v>
      </c>
      <c r="B1021">
        <v>94</v>
      </c>
      <c r="C1021" t="s">
        <v>45</v>
      </c>
      <c r="D1021">
        <v>58</v>
      </c>
      <c r="E1021">
        <v>78</v>
      </c>
      <c r="F1021">
        <v>5.28</v>
      </c>
      <c r="G1021" t="s">
        <v>18</v>
      </c>
      <c r="H1021" t="s">
        <v>9</v>
      </c>
      <c r="I1021" t="str">
        <f t="shared" si="15"/>
        <v>Africa</v>
      </c>
    </row>
    <row r="1022" spans="1:9" x14ac:dyDescent="0.3">
      <c r="A1022" t="s">
        <v>1004</v>
      </c>
      <c r="B1022">
        <v>95</v>
      </c>
      <c r="C1022" t="s">
        <v>45</v>
      </c>
      <c r="D1022">
        <v>56</v>
      </c>
      <c r="E1022">
        <v>76</v>
      </c>
      <c r="F1022">
        <v>6.47</v>
      </c>
      <c r="G1022" t="s">
        <v>18</v>
      </c>
      <c r="H1022" t="s">
        <v>12</v>
      </c>
      <c r="I1022" t="str">
        <f t="shared" si="15"/>
        <v>Africa</v>
      </c>
    </row>
    <row r="1023" spans="1:9" x14ac:dyDescent="0.3">
      <c r="A1023" t="s">
        <v>1005</v>
      </c>
      <c r="B1023">
        <v>94</v>
      </c>
      <c r="C1023" t="s">
        <v>41</v>
      </c>
      <c r="D1023">
        <v>62</v>
      </c>
      <c r="E1023">
        <v>80</v>
      </c>
      <c r="F1023">
        <v>7.35</v>
      </c>
      <c r="G1023" t="s">
        <v>18</v>
      </c>
      <c r="H1023" t="s">
        <v>14</v>
      </c>
      <c r="I1023" t="str">
        <f t="shared" si="15"/>
        <v>America</v>
      </c>
    </row>
    <row r="1024" spans="1:9" x14ac:dyDescent="0.3">
      <c r="A1024" t="s">
        <v>1006</v>
      </c>
      <c r="B1024">
        <v>94</v>
      </c>
      <c r="C1024" t="s">
        <v>45</v>
      </c>
      <c r="D1024">
        <v>57</v>
      </c>
      <c r="E1024">
        <v>73</v>
      </c>
      <c r="F1024">
        <v>7.35</v>
      </c>
      <c r="G1024" t="s">
        <v>18</v>
      </c>
      <c r="H1024" t="s">
        <v>9</v>
      </c>
      <c r="I1024" t="str">
        <f t="shared" si="15"/>
        <v>Africa</v>
      </c>
    </row>
    <row r="1025" spans="1:9" x14ac:dyDescent="0.3">
      <c r="A1025" t="s">
        <v>1007</v>
      </c>
      <c r="B1025">
        <v>94</v>
      </c>
      <c r="C1025" t="s">
        <v>45</v>
      </c>
      <c r="D1025">
        <v>56</v>
      </c>
      <c r="E1025">
        <v>72</v>
      </c>
      <c r="F1025">
        <v>7.35</v>
      </c>
      <c r="G1025" t="s">
        <v>14</v>
      </c>
      <c r="H1025" t="s">
        <v>14</v>
      </c>
      <c r="I1025" t="str">
        <f t="shared" si="15"/>
        <v>America</v>
      </c>
    </row>
    <row r="1026" spans="1:9" x14ac:dyDescent="0.3">
      <c r="A1026" t="s">
        <v>1008</v>
      </c>
      <c r="B1026">
        <v>94</v>
      </c>
      <c r="C1026" t="s">
        <v>45</v>
      </c>
      <c r="D1026">
        <v>58</v>
      </c>
      <c r="E1026">
        <v>80</v>
      </c>
      <c r="F1026">
        <v>7.94</v>
      </c>
      <c r="G1026" t="s">
        <v>18</v>
      </c>
      <c r="H1026" t="s">
        <v>14</v>
      </c>
      <c r="I1026" t="str">
        <f t="shared" si="15"/>
        <v>America</v>
      </c>
    </row>
    <row r="1027" spans="1:9" x14ac:dyDescent="0.3">
      <c r="A1027" t="s">
        <v>1009</v>
      </c>
      <c r="B1027">
        <v>94</v>
      </c>
      <c r="C1027" t="s">
        <v>45</v>
      </c>
      <c r="D1027">
        <v>57</v>
      </c>
      <c r="E1027">
        <v>77</v>
      </c>
      <c r="F1027">
        <v>7.35</v>
      </c>
      <c r="G1027" t="s">
        <v>18</v>
      </c>
      <c r="H1027" t="s">
        <v>14</v>
      </c>
      <c r="I1027" t="str">
        <f t="shared" ref="I1027:I1090" si="16">_xlfn.XLOOKUP(H1027, $M$2:$M$50, $N$2:$N$50, "Other")</f>
        <v>America</v>
      </c>
    </row>
    <row r="1028" spans="1:9" x14ac:dyDescent="0.3">
      <c r="A1028" t="s">
        <v>1010</v>
      </c>
      <c r="B1028">
        <v>96</v>
      </c>
      <c r="C1028" t="s">
        <v>45</v>
      </c>
      <c r="D1028">
        <v>58</v>
      </c>
      <c r="E1028">
        <v>80</v>
      </c>
      <c r="F1028">
        <v>220.26</v>
      </c>
      <c r="G1028" t="s">
        <v>2</v>
      </c>
      <c r="H1028" t="s">
        <v>15</v>
      </c>
      <c r="I1028" t="str">
        <f t="shared" si="16"/>
        <v>America</v>
      </c>
    </row>
    <row r="1029" spans="1:9" x14ac:dyDescent="0.3">
      <c r="A1029" t="s">
        <v>1011</v>
      </c>
      <c r="B1029">
        <v>95</v>
      </c>
      <c r="C1029" t="s">
        <v>45</v>
      </c>
      <c r="D1029">
        <v>54</v>
      </c>
      <c r="E1029">
        <v>74</v>
      </c>
      <c r="F1029">
        <v>210</v>
      </c>
      <c r="G1029" t="s">
        <v>2</v>
      </c>
      <c r="H1029" t="s">
        <v>10</v>
      </c>
      <c r="I1029" t="str">
        <f t="shared" si="16"/>
        <v>America</v>
      </c>
    </row>
    <row r="1030" spans="1:9" x14ac:dyDescent="0.3">
      <c r="A1030" t="s">
        <v>1012</v>
      </c>
      <c r="B1030">
        <v>94</v>
      </c>
      <c r="C1030" t="s">
        <v>45</v>
      </c>
      <c r="D1030">
        <v>60</v>
      </c>
      <c r="E1030">
        <v>78</v>
      </c>
      <c r="F1030">
        <v>396.48</v>
      </c>
      <c r="G1030" t="s">
        <v>2</v>
      </c>
      <c r="H1030" t="s">
        <v>9</v>
      </c>
      <c r="I1030" t="str">
        <f t="shared" si="16"/>
        <v>Africa</v>
      </c>
    </row>
    <row r="1031" spans="1:9" x14ac:dyDescent="0.3">
      <c r="A1031" t="s">
        <v>1013</v>
      </c>
      <c r="B1031">
        <v>95</v>
      </c>
      <c r="C1031" t="s">
        <v>45</v>
      </c>
      <c r="D1031">
        <v>59</v>
      </c>
      <c r="E1031">
        <v>77</v>
      </c>
      <c r="F1031">
        <v>20</v>
      </c>
      <c r="G1031" t="s">
        <v>18</v>
      </c>
      <c r="H1031" t="s">
        <v>14</v>
      </c>
      <c r="I1031" t="str">
        <f t="shared" si="16"/>
        <v>America</v>
      </c>
    </row>
    <row r="1032" spans="1:9" x14ac:dyDescent="0.3">
      <c r="A1032" t="s">
        <v>1014</v>
      </c>
      <c r="B1032">
        <v>95</v>
      </c>
      <c r="C1032" t="s">
        <v>45</v>
      </c>
      <c r="D1032">
        <v>57</v>
      </c>
      <c r="E1032">
        <v>77</v>
      </c>
      <c r="F1032">
        <v>246.7</v>
      </c>
      <c r="G1032" t="s">
        <v>2</v>
      </c>
      <c r="H1032" t="s">
        <v>9</v>
      </c>
      <c r="I1032" t="str">
        <f t="shared" si="16"/>
        <v>Africa</v>
      </c>
    </row>
    <row r="1033" spans="1:9" x14ac:dyDescent="0.3">
      <c r="A1033" t="s">
        <v>1015</v>
      </c>
      <c r="B1033">
        <v>95</v>
      </c>
      <c r="C1033" t="s">
        <v>45</v>
      </c>
      <c r="D1033">
        <v>58</v>
      </c>
      <c r="E1033">
        <v>77</v>
      </c>
      <c r="F1033">
        <v>7.33</v>
      </c>
      <c r="G1033" t="s">
        <v>18</v>
      </c>
      <c r="H1033" t="s">
        <v>9</v>
      </c>
      <c r="I1033" t="str">
        <f t="shared" si="16"/>
        <v>Africa</v>
      </c>
    </row>
    <row r="1034" spans="1:9" x14ac:dyDescent="0.3">
      <c r="A1034" t="s">
        <v>1016</v>
      </c>
      <c r="B1034">
        <v>94</v>
      </c>
      <c r="C1034" t="s">
        <v>45</v>
      </c>
      <c r="D1034">
        <v>60</v>
      </c>
      <c r="E1034">
        <v>78</v>
      </c>
      <c r="F1034">
        <v>7.35</v>
      </c>
      <c r="G1034" t="s">
        <v>18</v>
      </c>
      <c r="H1034" t="s">
        <v>14</v>
      </c>
      <c r="I1034" t="str">
        <f t="shared" si="16"/>
        <v>America</v>
      </c>
    </row>
    <row r="1035" spans="1:9" x14ac:dyDescent="0.3">
      <c r="A1035" t="s">
        <v>1017</v>
      </c>
      <c r="B1035">
        <v>94</v>
      </c>
      <c r="C1035" t="s">
        <v>45</v>
      </c>
      <c r="D1035">
        <v>58</v>
      </c>
      <c r="E1035">
        <v>76</v>
      </c>
      <c r="F1035">
        <v>7.27</v>
      </c>
      <c r="G1035" t="s">
        <v>18</v>
      </c>
      <c r="H1035" t="s">
        <v>5</v>
      </c>
      <c r="I1035" t="str">
        <f t="shared" si="16"/>
        <v>America</v>
      </c>
    </row>
    <row r="1036" spans="1:9" x14ac:dyDescent="0.3">
      <c r="A1036" t="s">
        <v>1018</v>
      </c>
      <c r="B1036">
        <v>94</v>
      </c>
      <c r="C1036" t="s">
        <v>45</v>
      </c>
      <c r="D1036">
        <v>56</v>
      </c>
      <c r="E1036">
        <v>76</v>
      </c>
      <c r="F1036">
        <v>198.24</v>
      </c>
      <c r="G1036" t="s">
        <v>2</v>
      </c>
      <c r="H1036" t="s">
        <v>9</v>
      </c>
      <c r="I1036" t="str">
        <f t="shared" si="16"/>
        <v>Africa</v>
      </c>
    </row>
    <row r="1037" spans="1:9" x14ac:dyDescent="0.3">
      <c r="A1037" t="s">
        <v>1019</v>
      </c>
      <c r="B1037">
        <v>96</v>
      </c>
      <c r="C1037" t="s">
        <v>45</v>
      </c>
      <c r="D1037">
        <v>59</v>
      </c>
      <c r="E1037">
        <v>77</v>
      </c>
      <c r="F1037">
        <v>40</v>
      </c>
      <c r="G1037" t="s">
        <v>18</v>
      </c>
      <c r="H1037" t="s">
        <v>5</v>
      </c>
      <c r="I1037" t="str">
        <f t="shared" si="16"/>
        <v>America</v>
      </c>
    </row>
    <row r="1038" spans="1:9" x14ac:dyDescent="0.3">
      <c r="A1038" t="s">
        <v>1020</v>
      </c>
      <c r="B1038">
        <v>94</v>
      </c>
      <c r="C1038" t="s">
        <v>45</v>
      </c>
      <c r="D1038">
        <v>58</v>
      </c>
      <c r="E1038">
        <v>82</v>
      </c>
      <c r="F1038">
        <v>26.41</v>
      </c>
      <c r="G1038" t="s">
        <v>18</v>
      </c>
      <c r="H1038" t="s">
        <v>18</v>
      </c>
      <c r="I1038" t="str">
        <f t="shared" si="16"/>
        <v>America</v>
      </c>
    </row>
    <row r="1039" spans="1:9" x14ac:dyDescent="0.3">
      <c r="A1039" t="s">
        <v>1021</v>
      </c>
      <c r="B1039">
        <v>95</v>
      </c>
      <c r="C1039" t="s">
        <v>45</v>
      </c>
      <c r="D1039">
        <v>56</v>
      </c>
      <c r="E1039">
        <v>78</v>
      </c>
      <c r="F1039">
        <v>92.59</v>
      </c>
      <c r="G1039" t="s">
        <v>2</v>
      </c>
      <c r="H1039" t="s">
        <v>12</v>
      </c>
      <c r="I1039" t="str">
        <f t="shared" si="16"/>
        <v>Africa</v>
      </c>
    </row>
    <row r="1040" spans="1:9" x14ac:dyDescent="0.3">
      <c r="A1040" t="s">
        <v>1022</v>
      </c>
      <c r="B1040">
        <v>95</v>
      </c>
      <c r="C1040" t="s">
        <v>41</v>
      </c>
      <c r="D1040">
        <v>62</v>
      </c>
      <c r="E1040">
        <v>84</v>
      </c>
      <c r="F1040">
        <v>165.34</v>
      </c>
      <c r="G1040" t="s">
        <v>2</v>
      </c>
      <c r="H1040" t="s">
        <v>9</v>
      </c>
      <c r="I1040" t="str">
        <f t="shared" si="16"/>
        <v>Africa</v>
      </c>
    </row>
    <row r="1041" spans="1:9" x14ac:dyDescent="0.3">
      <c r="A1041" t="s">
        <v>1023</v>
      </c>
      <c r="B1041">
        <v>94</v>
      </c>
      <c r="C1041" t="s">
        <v>45</v>
      </c>
      <c r="D1041">
        <v>59</v>
      </c>
      <c r="E1041">
        <v>77</v>
      </c>
      <c r="F1041">
        <v>160</v>
      </c>
      <c r="G1041" t="s">
        <v>2</v>
      </c>
      <c r="H1041" t="s">
        <v>9</v>
      </c>
      <c r="I1041" t="str">
        <f t="shared" si="16"/>
        <v>Africa</v>
      </c>
    </row>
    <row r="1042" spans="1:9" x14ac:dyDescent="0.3">
      <c r="A1042" t="s">
        <v>1024</v>
      </c>
      <c r="B1042">
        <v>94</v>
      </c>
      <c r="C1042" t="s">
        <v>45</v>
      </c>
      <c r="D1042">
        <v>56</v>
      </c>
      <c r="E1042">
        <v>76</v>
      </c>
      <c r="F1042">
        <v>92.59</v>
      </c>
      <c r="G1042" t="s">
        <v>2</v>
      </c>
      <c r="H1042" t="s">
        <v>9</v>
      </c>
      <c r="I1042" t="str">
        <f t="shared" si="16"/>
        <v>Africa</v>
      </c>
    </row>
    <row r="1043" spans="1:9" x14ac:dyDescent="0.3">
      <c r="A1043" t="s">
        <v>1025</v>
      </c>
      <c r="B1043">
        <v>94</v>
      </c>
      <c r="C1043" t="s">
        <v>45</v>
      </c>
      <c r="D1043">
        <v>52</v>
      </c>
      <c r="E1043">
        <v>70</v>
      </c>
      <c r="F1043">
        <v>110.23</v>
      </c>
      <c r="G1043" t="s">
        <v>2</v>
      </c>
      <c r="H1043" t="s">
        <v>15</v>
      </c>
      <c r="I1043" t="str">
        <f t="shared" si="16"/>
        <v>America</v>
      </c>
    </row>
    <row r="1044" spans="1:9" x14ac:dyDescent="0.3">
      <c r="A1044" t="s">
        <v>1026</v>
      </c>
      <c r="B1044">
        <v>94</v>
      </c>
      <c r="C1044" t="s">
        <v>41</v>
      </c>
      <c r="D1044">
        <v>62</v>
      </c>
      <c r="E1044">
        <v>80</v>
      </c>
      <c r="F1044">
        <v>155.56</v>
      </c>
      <c r="G1044" t="s">
        <v>2</v>
      </c>
      <c r="H1044" t="s">
        <v>9</v>
      </c>
      <c r="I1044" t="str">
        <f t="shared" si="16"/>
        <v>Africa</v>
      </c>
    </row>
    <row r="1045" spans="1:9" x14ac:dyDescent="0.3">
      <c r="A1045" t="s">
        <v>1027</v>
      </c>
      <c r="B1045">
        <v>94</v>
      </c>
      <c r="C1045" t="s">
        <v>45</v>
      </c>
      <c r="D1045">
        <v>60</v>
      </c>
      <c r="E1045">
        <v>78</v>
      </c>
      <c r="F1045">
        <v>171.96</v>
      </c>
      <c r="G1045" t="s">
        <v>2</v>
      </c>
      <c r="H1045" t="s">
        <v>12</v>
      </c>
      <c r="I1045" t="str">
        <f t="shared" si="16"/>
        <v>Africa</v>
      </c>
    </row>
    <row r="1046" spans="1:9" x14ac:dyDescent="0.3">
      <c r="A1046" t="s">
        <v>1028</v>
      </c>
      <c r="B1046">
        <v>95</v>
      </c>
      <c r="C1046" t="s">
        <v>45</v>
      </c>
      <c r="D1046">
        <v>60</v>
      </c>
      <c r="E1046">
        <v>80</v>
      </c>
      <c r="F1046">
        <v>8.52</v>
      </c>
      <c r="G1046" t="s">
        <v>18</v>
      </c>
      <c r="H1046" t="s">
        <v>14</v>
      </c>
      <c r="I1046" t="str">
        <f t="shared" si="16"/>
        <v>America</v>
      </c>
    </row>
    <row r="1047" spans="1:9" x14ac:dyDescent="0.3">
      <c r="A1047" t="s">
        <v>755</v>
      </c>
      <c r="B1047">
        <v>95</v>
      </c>
      <c r="C1047" t="s">
        <v>45</v>
      </c>
      <c r="D1047">
        <v>60</v>
      </c>
      <c r="E1047">
        <v>78</v>
      </c>
      <c r="F1047">
        <v>6.47</v>
      </c>
      <c r="G1047" t="s">
        <v>18</v>
      </c>
      <c r="H1047" t="s">
        <v>12</v>
      </c>
      <c r="I1047" t="str">
        <f t="shared" si="16"/>
        <v>Africa</v>
      </c>
    </row>
    <row r="1048" spans="1:9" x14ac:dyDescent="0.3">
      <c r="A1048" t="s">
        <v>861</v>
      </c>
      <c r="B1048">
        <v>95</v>
      </c>
      <c r="C1048" t="s">
        <v>41</v>
      </c>
      <c r="D1048">
        <v>62</v>
      </c>
      <c r="E1048">
        <v>80</v>
      </c>
      <c r="F1048">
        <v>12.35</v>
      </c>
      <c r="G1048" t="s">
        <v>18</v>
      </c>
      <c r="H1048" t="s">
        <v>14</v>
      </c>
      <c r="I1048" t="str">
        <f t="shared" si="16"/>
        <v>America</v>
      </c>
    </row>
    <row r="1049" spans="1:9" x14ac:dyDescent="0.3">
      <c r="A1049" t="s">
        <v>1029</v>
      </c>
      <c r="B1049">
        <v>94</v>
      </c>
      <c r="C1049" t="s">
        <v>45</v>
      </c>
      <c r="D1049">
        <v>58</v>
      </c>
      <c r="E1049">
        <v>80</v>
      </c>
      <c r="F1049">
        <v>25.17</v>
      </c>
      <c r="G1049" t="s">
        <v>18</v>
      </c>
      <c r="H1049" t="s">
        <v>18</v>
      </c>
      <c r="I1049" t="str">
        <f t="shared" si="16"/>
        <v>America</v>
      </c>
    </row>
    <row r="1050" spans="1:9" x14ac:dyDescent="0.3">
      <c r="A1050" t="s">
        <v>1030</v>
      </c>
      <c r="B1050">
        <v>95</v>
      </c>
      <c r="C1050" t="s">
        <v>45</v>
      </c>
      <c r="D1050">
        <v>58</v>
      </c>
      <c r="E1050">
        <v>82</v>
      </c>
      <c r="F1050">
        <v>7.72</v>
      </c>
      <c r="G1050" t="s">
        <v>18</v>
      </c>
      <c r="H1050" t="s">
        <v>8</v>
      </c>
      <c r="I1050" t="str">
        <f t="shared" si="16"/>
        <v>Africa</v>
      </c>
    </row>
    <row r="1051" spans="1:9" x14ac:dyDescent="0.3">
      <c r="A1051" t="s">
        <v>467</v>
      </c>
      <c r="B1051">
        <v>96</v>
      </c>
      <c r="C1051" t="s">
        <v>45</v>
      </c>
      <c r="D1051">
        <v>56</v>
      </c>
      <c r="E1051">
        <v>74</v>
      </c>
      <c r="F1051">
        <v>38.58</v>
      </c>
      <c r="G1051" t="s">
        <v>18</v>
      </c>
      <c r="H1051" t="s">
        <v>18</v>
      </c>
      <c r="I1051" t="str">
        <f t="shared" si="16"/>
        <v>America</v>
      </c>
    </row>
    <row r="1052" spans="1:9" x14ac:dyDescent="0.3">
      <c r="A1052" t="s">
        <v>1031</v>
      </c>
      <c r="B1052">
        <v>95</v>
      </c>
      <c r="C1052" t="s">
        <v>41</v>
      </c>
      <c r="D1052">
        <v>62</v>
      </c>
      <c r="E1052">
        <v>84</v>
      </c>
      <c r="F1052">
        <v>26.46</v>
      </c>
      <c r="G1052" t="s">
        <v>18</v>
      </c>
      <c r="H1052" t="s">
        <v>5</v>
      </c>
      <c r="I1052" t="str">
        <f t="shared" si="16"/>
        <v>America</v>
      </c>
    </row>
    <row r="1053" spans="1:9" x14ac:dyDescent="0.3">
      <c r="A1053" t="s">
        <v>1032</v>
      </c>
      <c r="B1053">
        <v>94</v>
      </c>
      <c r="C1053" t="s">
        <v>45</v>
      </c>
      <c r="D1053">
        <v>56</v>
      </c>
      <c r="E1053">
        <v>76</v>
      </c>
      <c r="F1053">
        <v>12.35</v>
      </c>
      <c r="G1053" t="s">
        <v>18</v>
      </c>
      <c r="H1053" t="s">
        <v>18</v>
      </c>
      <c r="I1053" t="str">
        <f t="shared" si="16"/>
        <v>America</v>
      </c>
    </row>
    <row r="1054" spans="1:9" x14ac:dyDescent="0.3">
      <c r="A1054" t="s">
        <v>1033</v>
      </c>
      <c r="B1054">
        <v>94</v>
      </c>
      <c r="C1054" t="s">
        <v>41</v>
      </c>
      <c r="D1054">
        <v>60</v>
      </c>
      <c r="E1054">
        <v>82</v>
      </c>
      <c r="F1054">
        <v>8.52</v>
      </c>
      <c r="G1054" t="s">
        <v>18</v>
      </c>
      <c r="H1054" t="s">
        <v>5</v>
      </c>
      <c r="I1054" t="str">
        <f t="shared" si="16"/>
        <v>America</v>
      </c>
    </row>
    <row r="1055" spans="1:9" x14ac:dyDescent="0.3">
      <c r="A1055" t="s">
        <v>1034</v>
      </c>
      <c r="B1055">
        <v>94</v>
      </c>
      <c r="C1055" t="s">
        <v>45</v>
      </c>
      <c r="D1055">
        <v>56</v>
      </c>
      <c r="E1055">
        <v>76</v>
      </c>
      <c r="F1055">
        <v>14.55</v>
      </c>
      <c r="G1055" t="s">
        <v>18</v>
      </c>
      <c r="H1055" t="s">
        <v>150</v>
      </c>
      <c r="I1055" t="str">
        <f t="shared" si="16"/>
        <v>NULL</v>
      </c>
    </row>
    <row r="1056" spans="1:9" x14ac:dyDescent="0.3">
      <c r="A1056" t="s">
        <v>1035</v>
      </c>
      <c r="B1056">
        <v>94</v>
      </c>
      <c r="C1056" t="s">
        <v>45</v>
      </c>
      <c r="D1056">
        <v>58</v>
      </c>
      <c r="E1056">
        <v>76</v>
      </c>
      <c r="F1056">
        <v>25.2</v>
      </c>
      <c r="G1056" t="s">
        <v>18</v>
      </c>
      <c r="H1056" t="s">
        <v>150</v>
      </c>
      <c r="I1056" t="str">
        <f t="shared" si="16"/>
        <v>NULL</v>
      </c>
    </row>
    <row r="1057" spans="1:9" x14ac:dyDescent="0.3">
      <c r="A1057" t="s">
        <v>1036</v>
      </c>
      <c r="B1057">
        <v>94</v>
      </c>
      <c r="C1057" t="s">
        <v>41</v>
      </c>
      <c r="D1057">
        <v>64</v>
      </c>
      <c r="E1057">
        <v>82</v>
      </c>
      <c r="F1057">
        <v>181.82</v>
      </c>
      <c r="G1057" t="s">
        <v>2</v>
      </c>
      <c r="H1057" t="s">
        <v>9</v>
      </c>
      <c r="I1057" t="str">
        <f t="shared" si="16"/>
        <v>Africa</v>
      </c>
    </row>
    <row r="1058" spans="1:9" x14ac:dyDescent="0.3">
      <c r="A1058" t="s">
        <v>787</v>
      </c>
      <c r="B1058">
        <v>94</v>
      </c>
      <c r="C1058" t="s">
        <v>45</v>
      </c>
      <c r="D1058">
        <v>58</v>
      </c>
      <c r="E1058">
        <v>78</v>
      </c>
      <c r="F1058">
        <v>22</v>
      </c>
      <c r="G1058" t="s">
        <v>18</v>
      </c>
      <c r="H1058" t="s">
        <v>8</v>
      </c>
      <c r="I1058" t="str">
        <f t="shared" si="16"/>
        <v>Africa</v>
      </c>
    </row>
    <row r="1059" spans="1:9" x14ac:dyDescent="0.3">
      <c r="A1059" t="s">
        <v>1037</v>
      </c>
      <c r="B1059">
        <v>95</v>
      </c>
      <c r="C1059" t="s">
        <v>45</v>
      </c>
      <c r="D1059">
        <v>58</v>
      </c>
      <c r="E1059">
        <v>74</v>
      </c>
      <c r="F1059">
        <v>5.58</v>
      </c>
      <c r="G1059" t="s">
        <v>18</v>
      </c>
      <c r="H1059" t="s">
        <v>150</v>
      </c>
      <c r="I1059" t="str">
        <f t="shared" si="16"/>
        <v>NULL</v>
      </c>
    </row>
    <row r="1060" spans="1:9" x14ac:dyDescent="0.3">
      <c r="A1060" t="s">
        <v>1038</v>
      </c>
      <c r="B1060">
        <v>96</v>
      </c>
      <c r="C1060" t="s">
        <v>45</v>
      </c>
      <c r="D1060">
        <v>54</v>
      </c>
      <c r="E1060">
        <v>76</v>
      </c>
      <c r="F1060">
        <v>220.46</v>
      </c>
      <c r="G1060" t="s">
        <v>2</v>
      </c>
      <c r="H1060" t="s">
        <v>5</v>
      </c>
      <c r="I1060" t="str">
        <f t="shared" si="16"/>
        <v>America</v>
      </c>
    </row>
    <row r="1061" spans="1:9" x14ac:dyDescent="0.3">
      <c r="A1061" t="s">
        <v>1039</v>
      </c>
      <c r="B1061">
        <v>94</v>
      </c>
      <c r="C1061" t="s">
        <v>41</v>
      </c>
      <c r="D1061">
        <v>62</v>
      </c>
      <c r="E1061">
        <v>84</v>
      </c>
      <c r="F1061">
        <v>5.29</v>
      </c>
      <c r="G1061" t="s">
        <v>18</v>
      </c>
      <c r="H1061" t="s">
        <v>9</v>
      </c>
      <c r="I1061" t="str">
        <f t="shared" si="16"/>
        <v>Africa</v>
      </c>
    </row>
    <row r="1062" spans="1:9" x14ac:dyDescent="0.3">
      <c r="A1062" t="s">
        <v>1040</v>
      </c>
      <c r="B1062">
        <v>94</v>
      </c>
      <c r="C1062" t="s">
        <v>41</v>
      </c>
      <c r="D1062">
        <v>64</v>
      </c>
      <c r="E1062">
        <v>82</v>
      </c>
      <c r="F1062">
        <v>8.81</v>
      </c>
      <c r="G1062" t="s">
        <v>18</v>
      </c>
      <c r="H1062" t="s">
        <v>14</v>
      </c>
      <c r="I1062" t="str">
        <f t="shared" si="16"/>
        <v>America</v>
      </c>
    </row>
    <row r="1063" spans="1:9" x14ac:dyDescent="0.3">
      <c r="A1063" t="s">
        <v>1041</v>
      </c>
      <c r="B1063">
        <v>94</v>
      </c>
      <c r="C1063" t="s">
        <v>41</v>
      </c>
      <c r="D1063">
        <v>64</v>
      </c>
      <c r="E1063">
        <v>84</v>
      </c>
      <c r="F1063">
        <v>6.96</v>
      </c>
      <c r="G1063" t="s">
        <v>2</v>
      </c>
      <c r="H1063" t="s">
        <v>9</v>
      </c>
      <c r="I1063" t="str">
        <f t="shared" si="16"/>
        <v>Africa</v>
      </c>
    </row>
    <row r="1064" spans="1:9" x14ac:dyDescent="0.3">
      <c r="A1064" t="s">
        <v>1042</v>
      </c>
      <c r="B1064">
        <v>94</v>
      </c>
      <c r="C1064" t="s">
        <v>45</v>
      </c>
      <c r="D1064">
        <v>52</v>
      </c>
      <c r="E1064">
        <v>70</v>
      </c>
      <c r="F1064">
        <v>119.05</v>
      </c>
      <c r="G1064" t="s">
        <v>2</v>
      </c>
      <c r="H1064" t="s">
        <v>15</v>
      </c>
      <c r="I1064" t="str">
        <f t="shared" si="16"/>
        <v>America</v>
      </c>
    </row>
    <row r="1065" spans="1:9" x14ac:dyDescent="0.3">
      <c r="A1065" t="s">
        <v>1043</v>
      </c>
      <c r="B1065">
        <v>94</v>
      </c>
      <c r="C1065" t="s">
        <v>45</v>
      </c>
      <c r="D1065">
        <v>54</v>
      </c>
      <c r="E1065">
        <v>74</v>
      </c>
      <c r="F1065">
        <v>4.63</v>
      </c>
      <c r="G1065" t="s">
        <v>18</v>
      </c>
      <c r="H1065" t="s">
        <v>150</v>
      </c>
      <c r="I1065" t="str">
        <f t="shared" si="16"/>
        <v>NULL</v>
      </c>
    </row>
    <row r="1066" spans="1:9" x14ac:dyDescent="0.3">
      <c r="A1066" t="s">
        <v>1044</v>
      </c>
      <c r="B1066">
        <v>94</v>
      </c>
      <c r="C1066" t="s">
        <v>82</v>
      </c>
      <c r="D1066">
        <v>45</v>
      </c>
      <c r="E1066">
        <v>63</v>
      </c>
      <c r="F1066">
        <v>5.57</v>
      </c>
      <c r="G1066" t="s">
        <v>18</v>
      </c>
      <c r="H1066" t="s">
        <v>16</v>
      </c>
      <c r="I1066" t="str">
        <f t="shared" si="16"/>
        <v>Asia-Pacific</v>
      </c>
    </row>
    <row r="1067" spans="1:9" x14ac:dyDescent="0.3">
      <c r="A1067" t="s">
        <v>1045</v>
      </c>
      <c r="B1067">
        <v>94</v>
      </c>
      <c r="C1067" t="s">
        <v>45</v>
      </c>
      <c r="D1067">
        <v>60</v>
      </c>
      <c r="E1067">
        <v>80</v>
      </c>
      <c r="F1067">
        <v>26.41</v>
      </c>
      <c r="G1067" t="s">
        <v>18</v>
      </c>
      <c r="H1067" t="s">
        <v>18</v>
      </c>
      <c r="I1067" t="str">
        <f t="shared" si="16"/>
        <v>America</v>
      </c>
    </row>
    <row r="1068" spans="1:9" x14ac:dyDescent="0.3">
      <c r="A1068" t="s">
        <v>1046</v>
      </c>
      <c r="B1068">
        <v>94</v>
      </c>
      <c r="C1068" t="s">
        <v>41</v>
      </c>
      <c r="D1068">
        <v>64</v>
      </c>
      <c r="E1068">
        <v>82</v>
      </c>
      <c r="F1068">
        <v>8.7899999999999991</v>
      </c>
      <c r="G1068" t="s">
        <v>18</v>
      </c>
      <c r="H1068" t="s">
        <v>14</v>
      </c>
      <c r="I1068" t="str">
        <f t="shared" si="16"/>
        <v>America</v>
      </c>
    </row>
    <row r="1069" spans="1:9" x14ac:dyDescent="0.3">
      <c r="A1069" t="s">
        <v>1047</v>
      </c>
      <c r="B1069">
        <v>94</v>
      </c>
      <c r="C1069" t="s">
        <v>45</v>
      </c>
      <c r="D1069">
        <v>58</v>
      </c>
      <c r="E1069">
        <v>78</v>
      </c>
      <c r="F1069">
        <v>5.88</v>
      </c>
      <c r="G1069" t="s">
        <v>18</v>
      </c>
      <c r="H1069" t="s">
        <v>9</v>
      </c>
      <c r="I1069" t="str">
        <f t="shared" si="16"/>
        <v>Africa</v>
      </c>
    </row>
    <row r="1070" spans="1:9" x14ac:dyDescent="0.3">
      <c r="A1070" t="s">
        <v>1048</v>
      </c>
      <c r="B1070">
        <v>94</v>
      </c>
      <c r="C1070" t="s">
        <v>45</v>
      </c>
      <c r="D1070">
        <v>60</v>
      </c>
      <c r="E1070">
        <v>78</v>
      </c>
      <c r="F1070">
        <v>11.9</v>
      </c>
      <c r="G1070" t="s">
        <v>18</v>
      </c>
      <c r="H1070" t="s">
        <v>6</v>
      </c>
      <c r="I1070" t="str">
        <f t="shared" si="16"/>
        <v>America</v>
      </c>
    </row>
    <row r="1071" spans="1:9" x14ac:dyDescent="0.3">
      <c r="A1071" t="s">
        <v>1049</v>
      </c>
      <c r="B1071">
        <v>94</v>
      </c>
      <c r="C1071" t="s">
        <v>45</v>
      </c>
      <c r="D1071">
        <v>60</v>
      </c>
      <c r="E1071">
        <v>78</v>
      </c>
      <c r="F1071">
        <v>5.88</v>
      </c>
      <c r="G1071" t="s">
        <v>18</v>
      </c>
      <c r="H1071" t="s">
        <v>5</v>
      </c>
      <c r="I1071" t="str">
        <f t="shared" si="16"/>
        <v>America</v>
      </c>
    </row>
    <row r="1072" spans="1:9" x14ac:dyDescent="0.3">
      <c r="A1072" t="s">
        <v>1050</v>
      </c>
      <c r="B1072">
        <v>94</v>
      </c>
      <c r="C1072" t="s">
        <v>45</v>
      </c>
      <c r="D1072">
        <v>58</v>
      </c>
      <c r="E1072">
        <v>78</v>
      </c>
      <c r="F1072">
        <v>160</v>
      </c>
      <c r="G1072" t="s">
        <v>2</v>
      </c>
      <c r="H1072" t="s">
        <v>7</v>
      </c>
      <c r="I1072" t="str">
        <f t="shared" si="16"/>
        <v>America</v>
      </c>
    </row>
    <row r="1073" spans="1:9" x14ac:dyDescent="0.3">
      <c r="A1073" t="s">
        <v>1051</v>
      </c>
      <c r="B1073">
        <v>94</v>
      </c>
      <c r="C1073" t="s">
        <v>45</v>
      </c>
      <c r="D1073">
        <v>58</v>
      </c>
      <c r="E1073">
        <v>78</v>
      </c>
      <c r="F1073">
        <v>5.59</v>
      </c>
      <c r="G1073" t="s">
        <v>18</v>
      </c>
      <c r="H1073" t="s">
        <v>9</v>
      </c>
      <c r="I1073" t="str">
        <f t="shared" si="16"/>
        <v>Africa</v>
      </c>
    </row>
    <row r="1074" spans="1:9" x14ac:dyDescent="0.3">
      <c r="A1074" t="s">
        <v>1052</v>
      </c>
      <c r="B1074">
        <v>96</v>
      </c>
      <c r="C1074" t="s">
        <v>41</v>
      </c>
      <c r="D1074">
        <v>85</v>
      </c>
      <c r="E1074">
        <v>105</v>
      </c>
      <c r="F1074">
        <v>1</v>
      </c>
      <c r="G1074" t="s">
        <v>27</v>
      </c>
      <c r="H1074" t="s">
        <v>14</v>
      </c>
      <c r="I1074" t="str">
        <f t="shared" si="16"/>
        <v>America</v>
      </c>
    </row>
    <row r="1075" spans="1:9" x14ac:dyDescent="0.3">
      <c r="A1075" t="s">
        <v>1053</v>
      </c>
      <c r="B1075">
        <v>94</v>
      </c>
      <c r="C1075" t="s">
        <v>41</v>
      </c>
      <c r="D1075">
        <v>79</v>
      </c>
      <c r="E1075">
        <v>92</v>
      </c>
      <c r="F1075">
        <v>4</v>
      </c>
      <c r="G1075" t="s">
        <v>27</v>
      </c>
      <c r="H1075" t="s">
        <v>2</v>
      </c>
      <c r="I1075" t="str">
        <f t="shared" si="16"/>
        <v>Asia-Pacific</v>
      </c>
    </row>
    <row r="1076" spans="1:9" x14ac:dyDescent="0.3">
      <c r="A1076" t="s">
        <v>1054</v>
      </c>
      <c r="B1076">
        <v>94</v>
      </c>
      <c r="C1076" t="s">
        <v>45</v>
      </c>
      <c r="D1076">
        <v>60</v>
      </c>
      <c r="E1076">
        <v>78</v>
      </c>
      <c r="F1076">
        <v>288.89</v>
      </c>
      <c r="G1076" t="s">
        <v>2</v>
      </c>
      <c r="H1076" t="s">
        <v>12</v>
      </c>
      <c r="I1076" t="str">
        <f t="shared" si="16"/>
        <v>Africa</v>
      </c>
    </row>
    <row r="1077" spans="1:9" x14ac:dyDescent="0.3">
      <c r="A1077" t="s">
        <v>1055</v>
      </c>
      <c r="B1077">
        <v>94</v>
      </c>
      <c r="C1077" t="s">
        <v>45</v>
      </c>
      <c r="D1077">
        <v>54</v>
      </c>
      <c r="E1077">
        <v>74</v>
      </c>
      <c r="F1077">
        <v>4.9800000000000004</v>
      </c>
      <c r="G1077" t="s">
        <v>18</v>
      </c>
      <c r="H1077" t="s">
        <v>12</v>
      </c>
      <c r="I1077" t="str">
        <f t="shared" si="16"/>
        <v>Africa</v>
      </c>
    </row>
    <row r="1078" spans="1:9" x14ac:dyDescent="0.3">
      <c r="A1078" t="s">
        <v>1056</v>
      </c>
      <c r="B1078">
        <v>94</v>
      </c>
      <c r="C1078" t="s">
        <v>45</v>
      </c>
      <c r="D1078">
        <v>54</v>
      </c>
      <c r="E1078">
        <v>74</v>
      </c>
      <c r="F1078">
        <v>5</v>
      </c>
      <c r="G1078" t="s">
        <v>18</v>
      </c>
      <c r="H1078" t="s">
        <v>16</v>
      </c>
      <c r="I1078" t="str">
        <f t="shared" si="16"/>
        <v>Asia-Pacific</v>
      </c>
    </row>
    <row r="1079" spans="1:9" x14ac:dyDescent="0.3">
      <c r="A1079" t="s">
        <v>1057</v>
      </c>
      <c r="B1079">
        <v>95</v>
      </c>
      <c r="C1079" t="s">
        <v>45</v>
      </c>
      <c r="D1079">
        <v>58</v>
      </c>
      <c r="E1079">
        <v>78</v>
      </c>
      <c r="F1079">
        <v>163.88</v>
      </c>
      <c r="G1079" t="s">
        <v>2</v>
      </c>
      <c r="H1079" t="s">
        <v>9</v>
      </c>
      <c r="I1079" t="str">
        <f t="shared" si="16"/>
        <v>Africa</v>
      </c>
    </row>
    <row r="1080" spans="1:9" x14ac:dyDescent="0.3">
      <c r="A1080" t="s">
        <v>1058</v>
      </c>
      <c r="B1080">
        <v>95</v>
      </c>
      <c r="C1080" t="s">
        <v>45</v>
      </c>
      <c r="D1080">
        <v>60</v>
      </c>
      <c r="E1080">
        <v>78</v>
      </c>
      <c r="F1080">
        <v>111.01</v>
      </c>
      <c r="G1080" t="s">
        <v>2</v>
      </c>
      <c r="H1080" t="s">
        <v>9</v>
      </c>
      <c r="I1080" t="str">
        <f t="shared" si="16"/>
        <v>Africa</v>
      </c>
    </row>
    <row r="1081" spans="1:9" x14ac:dyDescent="0.3">
      <c r="A1081" t="s">
        <v>1059</v>
      </c>
      <c r="B1081">
        <v>96</v>
      </c>
      <c r="C1081" t="s">
        <v>82</v>
      </c>
      <c r="D1081">
        <v>44</v>
      </c>
      <c r="E1081">
        <v>62</v>
      </c>
      <c r="F1081">
        <v>225</v>
      </c>
      <c r="G1081" t="s">
        <v>2</v>
      </c>
      <c r="H1081" t="s">
        <v>16</v>
      </c>
      <c r="I1081" t="str">
        <f t="shared" si="16"/>
        <v>Asia-Pacific</v>
      </c>
    </row>
    <row r="1082" spans="1:9" x14ac:dyDescent="0.3">
      <c r="A1082" t="s">
        <v>1060</v>
      </c>
      <c r="B1082">
        <v>95</v>
      </c>
      <c r="C1082" t="s">
        <v>45</v>
      </c>
      <c r="D1082">
        <v>54</v>
      </c>
      <c r="E1082">
        <v>72</v>
      </c>
      <c r="F1082">
        <v>6.61</v>
      </c>
      <c r="G1082" t="s">
        <v>18</v>
      </c>
      <c r="H1082" t="s">
        <v>12</v>
      </c>
      <c r="I1082" t="str">
        <f t="shared" si="16"/>
        <v>Africa</v>
      </c>
    </row>
    <row r="1083" spans="1:9" x14ac:dyDescent="0.3">
      <c r="A1083" t="s">
        <v>1061</v>
      </c>
      <c r="B1083">
        <v>94</v>
      </c>
      <c r="C1083" t="s">
        <v>45</v>
      </c>
      <c r="D1083">
        <v>52</v>
      </c>
      <c r="E1083">
        <v>72</v>
      </c>
      <c r="F1083">
        <v>5.59</v>
      </c>
      <c r="G1083" t="s">
        <v>18</v>
      </c>
      <c r="H1083" t="s">
        <v>9</v>
      </c>
      <c r="I1083" t="str">
        <f t="shared" si="16"/>
        <v>Africa</v>
      </c>
    </row>
    <row r="1084" spans="1:9" x14ac:dyDescent="0.3">
      <c r="A1084" t="s">
        <v>1062</v>
      </c>
      <c r="B1084">
        <v>94</v>
      </c>
      <c r="C1084" t="s">
        <v>45</v>
      </c>
      <c r="D1084">
        <v>58</v>
      </c>
      <c r="E1084">
        <v>80</v>
      </c>
      <c r="F1084">
        <v>5.59</v>
      </c>
      <c r="G1084" t="s">
        <v>18</v>
      </c>
      <c r="H1084" t="s">
        <v>9</v>
      </c>
      <c r="I1084" t="str">
        <f t="shared" si="16"/>
        <v>Africa</v>
      </c>
    </row>
    <row r="1085" spans="1:9" x14ac:dyDescent="0.3">
      <c r="A1085" t="s">
        <v>1063</v>
      </c>
      <c r="B1085">
        <v>94</v>
      </c>
      <c r="C1085" t="s">
        <v>45</v>
      </c>
      <c r="D1085">
        <v>52</v>
      </c>
      <c r="E1085">
        <v>70</v>
      </c>
      <c r="F1085">
        <v>25</v>
      </c>
      <c r="G1085" t="s">
        <v>31</v>
      </c>
      <c r="H1085" t="s">
        <v>5</v>
      </c>
      <c r="I1085" t="str">
        <f t="shared" si="16"/>
        <v>America</v>
      </c>
    </row>
    <row r="1086" spans="1:9" x14ac:dyDescent="0.3">
      <c r="A1086" t="s">
        <v>1064</v>
      </c>
      <c r="B1086">
        <v>94</v>
      </c>
      <c r="C1086" t="s">
        <v>41</v>
      </c>
      <c r="D1086">
        <v>64</v>
      </c>
      <c r="E1086">
        <v>84</v>
      </c>
      <c r="F1086">
        <v>22</v>
      </c>
      <c r="G1086" t="s">
        <v>18</v>
      </c>
      <c r="H1086" t="s">
        <v>18</v>
      </c>
      <c r="I1086" t="str">
        <f t="shared" si="16"/>
        <v>America</v>
      </c>
    </row>
    <row r="1087" spans="1:9" x14ac:dyDescent="0.3">
      <c r="A1087" t="s">
        <v>1065</v>
      </c>
      <c r="B1087">
        <v>94</v>
      </c>
      <c r="C1087" t="s">
        <v>41</v>
      </c>
      <c r="D1087">
        <v>64</v>
      </c>
      <c r="E1087">
        <v>86</v>
      </c>
      <c r="F1087">
        <v>26.41</v>
      </c>
      <c r="G1087" t="s">
        <v>18</v>
      </c>
      <c r="H1087" t="s">
        <v>18</v>
      </c>
      <c r="I1087" t="str">
        <f t="shared" si="16"/>
        <v>America</v>
      </c>
    </row>
    <row r="1088" spans="1:9" x14ac:dyDescent="0.3">
      <c r="A1088" t="s">
        <v>1066</v>
      </c>
      <c r="B1088">
        <v>95</v>
      </c>
      <c r="C1088" t="s">
        <v>45</v>
      </c>
      <c r="D1088">
        <v>54</v>
      </c>
      <c r="E1088">
        <v>72</v>
      </c>
      <c r="F1088">
        <v>132.28</v>
      </c>
      <c r="G1088" t="s">
        <v>2</v>
      </c>
      <c r="H1088" t="s">
        <v>16</v>
      </c>
      <c r="I1088" t="str">
        <f t="shared" si="16"/>
        <v>Asia-Pacific</v>
      </c>
    </row>
    <row r="1089" spans="1:9" x14ac:dyDescent="0.3">
      <c r="A1089" t="s">
        <v>1067</v>
      </c>
      <c r="B1089">
        <v>95</v>
      </c>
      <c r="C1089" t="s">
        <v>45</v>
      </c>
      <c r="D1089">
        <v>56</v>
      </c>
      <c r="E1089">
        <v>76</v>
      </c>
      <c r="F1089">
        <v>99.12</v>
      </c>
      <c r="G1089" t="s">
        <v>2</v>
      </c>
      <c r="H1089" t="s">
        <v>12</v>
      </c>
      <c r="I1089" t="str">
        <f t="shared" si="16"/>
        <v>Africa</v>
      </c>
    </row>
    <row r="1090" spans="1:9" x14ac:dyDescent="0.3">
      <c r="A1090" t="s">
        <v>1068</v>
      </c>
      <c r="B1090">
        <v>95</v>
      </c>
      <c r="C1090" t="s">
        <v>45</v>
      </c>
      <c r="D1090">
        <v>58</v>
      </c>
      <c r="E1090">
        <v>80</v>
      </c>
      <c r="F1090">
        <v>167.55</v>
      </c>
      <c r="G1090" t="s">
        <v>2</v>
      </c>
      <c r="H1090" t="s">
        <v>9</v>
      </c>
      <c r="I1090" t="str">
        <f t="shared" si="16"/>
        <v>Africa</v>
      </c>
    </row>
    <row r="1091" spans="1:9" x14ac:dyDescent="0.3">
      <c r="A1091" t="s">
        <v>871</v>
      </c>
      <c r="B1091">
        <v>95</v>
      </c>
      <c r="C1091" t="s">
        <v>41</v>
      </c>
      <c r="D1091">
        <v>64</v>
      </c>
      <c r="E1091">
        <v>82</v>
      </c>
      <c r="F1091">
        <v>6.46</v>
      </c>
      <c r="G1091" t="s">
        <v>18</v>
      </c>
      <c r="H1091" t="s">
        <v>9</v>
      </c>
      <c r="I1091" t="str">
        <f t="shared" ref="I1091:I1154" si="17">_xlfn.XLOOKUP(H1091, $M$2:$M$50, $N$2:$N$50, "Other")</f>
        <v>Africa</v>
      </c>
    </row>
    <row r="1092" spans="1:9" x14ac:dyDescent="0.3">
      <c r="A1092" t="s">
        <v>1069</v>
      </c>
      <c r="B1092">
        <v>96</v>
      </c>
      <c r="C1092" t="s">
        <v>41</v>
      </c>
      <c r="D1092">
        <v>64</v>
      </c>
      <c r="E1092">
        <v>84</v>
      </c>
      <c r="F1092">
        <v>8.3699999999999992</v>
      </c>
      <c r="G1092" t="s">
        <v>18</v>
      </c>
      <c r="H1092" t="s">
        <v>14</v>
      </c>
      <c r="I1092" t="str">
        <f t="shared" si="17"/>
        <v>America</v>
      </c>
    </row>
    <row r="1093" spans="1:9" x14ac:dyDescent="0.3">
      <c r="A1093" t="s">
        <v>1070</v>
      </c>
      <c r="B1093">
        <v>95</v>
      </c>
      <c r="C1093" t="s">
        <v>41</v>
      </c>
      <c r="D1093">
        <v>62</v>
      </c>
      <c r="E1093">
        <v>80</v>
      </c>
      <c r="F1093">
        <v>9.9600000000000009</v>
      </c>
      <c r="G1093" t="s">
        <v>18</v>
      </c>
      <c r="H1093" t="s">
        <v>14</v>
      </c>
      <c r="I1093" t="str">
        <f t="shared" si="17"/>
        <v>America</v>
      </c>
    </row>
    <row r="1094" spans="1:9" x14ac:dyDescent="0.3">
      <c r="A1094" t="s">
        <v>1071</v>
      </c>
      <c r="B1094">
        <v>95</v>
      </c>
      <c r="C1094" t="s">
        <v>45</v>
      </c>
      <c r="D1094">
        <v>60</v>
      </c>
      <c r="E1094">
        <v>80</v>
      </c>
      <c r="F1094">
        <v>136.68</v>
      </c>
      <c r="G1094" t="s">
        <v>2</v>
      </c>
      <c r="H1094" t="s">
        <v>14</v>
      </c>
      <c r="I1094" t="str">
        <f t="shared" si="17"/>
        <v>America</v>
      </c>
    </row>
    <row r="1095" spans="1:9" x14ac:dyDescent="0.3">
      <c r="A1095" t="s">
        <v>1072</v>
      </c>
      <c r="B1095">
        <v>94</v>
      </c>
      <c r="C1095" t="s">
        <v>41</v>
      </c>
      <c r="D1095">
        <v>64</v>
      </c>
      <c r="E1095">
        <v>84</v>
      </c>
      <c r="F1095">
        <v>273.37</v>
      </c>
      <c r="G1095" t="s">
        <v>2</v>
      </c>
      <c r="H1095" t="s">
        <v>14</v>
      </c>
      <c r="I1095" t="str">
        <f t="shared" si="17"/>
        <v>America</v>
      </c>
    </row>
    <row r="1096" spans="1:9" x14ac:dyDescent="0.3">
      <c r="A1096" t="s">
        <v>1073</v>
      </c>
      <c r="B1096">
        <v>94</v>
      </c>
      <c r="C1096" t="s">
        <v>45</v>
      </c>
      <c r="D1096">
        <v>58</v>
      </c>
      <c r="E1096">
        <v>76</v>
      </c>
      <c r="F1096">
        <v>14.7</v>
      </c>
      <c r="G1096" t="s">
        <v>11</v>
      </c>
      <c r="H1096" t="s">
        <v>14</v>
      </c>
      <c r="I1096" t="str">
        <f t="shared" si="17"/>
        <v>America</v>
      </c>
    </row>
    <row r="1097" spans="1:9" x14ac:dyDescent="0.3">
      <c r="A1097" t="s">
        <v>1074</v>
      </c>
      <c r="B1097">
        <v>94</v>
      </c>
      <c r="C1097" t="s">
        <v>45</v>
      </c>
      <c r="D1097">
        <v>58</v>
      </c>
      <c r="E1097">
        <v>80</v>
      </c>
      <c r="F1097">
        <v>8.82</v>
      </c>
      <c r="G1097" t="s">
        <v>18</v>
      </c>
      <c r="H1097" t="s">
        <v>14</v>
      </c>
      <c r="I1097" t="str">
        <f t="shared" si="17"/>
        <v>America</v>
      </c>
    </row>
    <row r="1098" spans="1:9" x14ac:dyDescent="0.3">
      <c r="A1098" t="s">
        <v>1075</v>
      </c>
      <c r="B1098">
        <v>94</v>
      </c>
      <c r="C1098" t="s">
        <v>41</v>
      </c>
      <c r="D1098">
        <v>62</v>
      </c>
      <c r="E1098">
        <v>80</v>
      </c>
      <c r="F1098">
        <v>1146.3800000000001</v>
      </c>
      <c r="G1098" t="s">
        <v>2</v>
      </c>
      <c r="H1098" t="s">
        <v>14</v>
      </c>
      <c r="I1098" t="str">
        <f t="shared" si="17"/>
        <v>America</v>
      </c>
    </row>
    <row r="1099" spans="1:9" x14ac:dyDescent="0.3">
      <c r="A1099" t="s">
        <v>1076</v>
      </c>
      <c r="B1099">
        <v>94</v>
      </c>
      <c r="C1099" t="s">
        <v>45</v>
      </c>
      <c r="D1099">
        <v>60</v>
      </c>
      <c r="E1099">
        <v>78</v>
      </c>
      <c r="F1099">
        <v>5.88</v>
      </c>
      <c r="G1099" t="s">
        <v>18</v>
      </c>
      <c r="H1099" t="s">
        <v>4</v>
      </c>
      <c r="I1099" t="str">
        <f t="shared" si="17"/>
        <v>America</v>
      </c>
    </row>
    <row r="1100" spans="1:9" x14ac:dyDescent="0.3">
      <c r="A1100" t="s">
        <v>1077</v>
      </c>
      <c r="B1100">
        <v>95</v>
      </c>
      <c r="C1100" t="s">
        <v>45</v>
      </c>
      <c r="D1100">
        <v>52</v>
      </c>
      <c r="E1100">
        <v>70</v>
      </c>
      <c r="F1100">
        <v>263.88</v>
      </c>
      <c r="G1100" t="s">
        <v>2</v>
      </c>
      <c r="H1100" t="s">
        <v>9</v>
      </c>
      <c r="I1100" t="str">
        <f t="shared" si="17"/>
        <v>Africa</v>
      </c>
    </row>
    <row r="1101" spans="1:9" x14ac:dyDescent="0.3">
      <c r="A1101" t="s">
        <v>135</v>
      </c>
      <c r="B1101">
        <v>95</v>
      </c>
      <c r="C1101" t="s">
        <v>41</v>
      </c>
      <c r="D1101">
        <v>64</v>
      </c>
      <c r="E1101">
        <v>84</v>
      </c>
      <c r="F1101">
        <v>66.09</v>
      </c>
      <c r="G1101" t="s">
        <v>18</v>
      </c>
      <c r="H1101" t="s">
        <v>18</v>
      </c>
      <c r="I1101" t="str">
        <f t="shared" si="17"/>
        <v>America</v>
      </c>
    </row>
    <row r="1102" spans="1:9" x14ac:dyDescent="0.3">
      <c r="A1102" t="s">
        <v>1078</v>
      </c>
      <c r="B1102">
        <v>95</v>
      </c>
      <c r="C1102" t="s">
        <v>41</v>
      </c>
      <c r="D1102">
        <v>64</v>
      </c>
      <c r="E1102">
        <v>84</v>
      </c>
      <c r="F1102">
        <v>6.32</v>
      </c>
      <c r="G1102" t="s">
        <v>18</v>
      </c>
      <c r="H1102" t="s">
        <v>9</v>
      </c>
      <c r="I1102" t="str">
        <f t="shared" si="17"/>
        <v>Africa</v>
      </c>
    </row>
    <row r="1103" spans="1:9" x14ac:dyDescent="0.3">
      <c r="A1103" t="s">
        <v>1079</v>
      </c>
      <c r="B1103">
        <v>95</v>
      </c>
      <c r="C1103" t="s">
        <v>41</v>
      </c>
      <c r="D1103">
        <v>64</v>
      </c>
      <c r="E1103">
        <v>84</v>
      </c>
      <c r="F1103">
        <v>149.91</v>
      </c>
      <c r="G1103" t="s">
        <v>2</v>
      </c>
      <c r="H1103" t="s">
        <v>9</v>
      </c>
      <c r="I1103" t="str">
        <f t="shared" si="17"/>
        <v>Africa</v>
      </c>
    </row>
    <row r="1104" spans="1:9" x14ac:dyDescent="0.3">
      <c r="A1104" t="s">
        <v>1080</v>
      </c>
      <c r="B1104">
        <v>94</v>
      </c>
      <c r="C1104" t="s">
        <v>45</v>
      </c>
      <c r="D1104">
        <v>60</v>
      </c>
      <c r="E1104">
        <v>78</v>
      </c>
      <c r="F1104">
        <v>11.64</v>
      </c>
      <c r="G1104" t="s">
        <v>18</v>
      </c>
      <c r="H1104" t="s">
        <v>18</v>
      </c>
      <c r="I1104" t="str">
        <f t="shared" si="17"/>
        <v>America</v>
      </c>
    </row>
    <row r="1105" spans="1:9" x14ac:dyDescent="0.3">
      <c r="A1105" t="s">
        <v>1081</v>
      </c>
      <c r="B1105">
        <v>95</v>
      </c>
      <c r="C1105" t="s">
        <v>45</v>
      </c>
      <c r="D1105">
        <v>58</v>
      </c>
      <c r="E1105">
        <v>76</v>
      </c>
      <c r="F1105">
        <v>136.68</v>
      </c>
      <c r="G1105" t="s">
        <v>2</v>
      </c>
      <c r="H1105" t="s">
        <v>9</v>
      </c>
      <c r="I1105" t="str">
        <f t="shared" si="17"/>
        <v>Africa</v>
      </c>
    </row>
    <row r="1106" spans="1:9" x14ac:dyDescent="0.3">
      <c r="A1106" t="s">
        <v>1082</v>
      </c>
      <c r="B1106">
        <v>94</v>
      </c>
      <c r="C1106" t="s">
        <v>45</v>
      </c>
      <c r="D1106">
        <v>58</v>
      </c>
      <c r="E1106">
        <v>76</v>
      </c>
      <c r="F1106">
        <v>5.88</v>
      </c>
      <c r="G1106" t="s">
        <v>18</v>
      </c>
      <c r="H1106" t="s">
        <v>17</v>
      </c>
      <c r="I1106" t="str">
        <f t="shared" si="17"/>
        <v>Africa</v>
      </c>
    </row>
    <row r="1107" spans="1:9" x14ac:dyDescent="0.3">
      <c r="A1107" t="s">
        <v>1083</v>
      </c>
      <c r="B1107">
        <v>94</v>
      </c>
      <c r="C1107" t="s">
        <v>45</v>
      </c>
      <c r="D1107">
        <v>58</v>
      </c>
      <c r="E1107">
        <v>78</v>
      </c>
      <c r="F1107">
        <v>165.34</v>
      </c>
      <c r="G1107" t="s">
        <v>2</v>
      </c>
      <c r="H1107" t="s">
        <v>9</v>
      </c>
      <c r="I1107" t="str">
        <f t="shared" si="17"/>
        <v>Africa</v>
      </c>
    </row>
    <row r="1108" spans="1:9" x14ac:dyDescent="0.3">
      <c r="A1108" t="s">
        <v>1084</v>
      </c>
      <c r="B1108">
        <v>94</v>
      </c>
      <c r="C1108" t="s">
        <v>41</v>
      </c>
      <c r="D1108">
        <v>62</v>
      </c>
      <c r="E1108">
        <v>80</v>
      </c>
      <c r="F1108">
        <v>154.32</v>
      </c>
      <c r="G1108" t="s">
        <v>2</v>
      </c>
      <c r="H1108" t="s">
        <v>12</v>
      </c>
      <c r="I1108" t="str">
        <f t="shared" si="17"/>
        <v>Africa</v>
      </c>
    </row>
    <row r="1109" spans="1:9" x14ac:dyDescent="0.3">
      <c r="A1109" t="s">
        <v>1085</v>
      </c>
      <c r="B1109">
        <v>95</v>
      </c>
      <c r="C1109" t="s">
        <v>45</v>
      </c>
      <c r="D1109">
        <v>56</v>
      </c>
      <c r="E1109">
        <v>74</v>
      </c>
      <c r="F1109">
        <v>59</v>
      </c>
      <c r="G1109" t="s">
        <v>11</v>
      </c>
      <c r="H1109" t="s">
        <v>12</v>
      </c>
      <c r="I1109" t="str">
        <f t="shared" si="17"/>
        <v>Africa</v>
      </c>
    </row>
    <row r="1110" spans="1:9" x14ac:dyDescent="0.3">
      <c r="A1110" t="s">
        <v>1086</v>
      </c>
      <c r="B1110">
        <v>94</v>
      </c>
      <c r="C1110" t="s">
        <v>45</v>
      </c>
      <c r="D1110">
        <v>56</v>
      </c>
      <c r="E1110">
        <v>76</v>
      </c>
      <c r="F1110">
        <v>300</v>
      </c>
      <c r="G1110" t="s">
        <v>2</v>
      </c>
      <c r="H1110" t="s">
        <v>9</v>
      </c>
      <c r="I1110" t="str">
        <f t="shared" si="17"/>
        <v>Africa</v>
      </c>
    </row>
    <row r="1111" spans="1:9" x14ac:dyDescent="0.3">
      <c r="A1111" t="s">
        <v>1087</v>
      </c>
      <c r="B1111">
        <v>94</v>
      </c>
      <c r="C1111" t="s">
        <v>45</v>
      </c>
      <c r="D1111">
        <v>57</v>
      </c>
      <c r="E1111">
        <v>73</v>
      </c>
      <c r="F1111">
        <v>5.57</v>
      </c>
      <c r="G1111" t="s">
        <v>18</v>
      </c>
      <c r="H1111" t="s">
        <v>9</v>
      </c>
      <c r="I1111" t="str">
        <f t="shared" si="17"/>
        <v>Africa</v>
      </c>
    </row>
    <row r="1112" spans="1:9" x14ac:dyDescent="0.3">
      <c r="A1112" t="s">
        <v>1088</v>
      </c>
      <c r="B1112">
        <v>94</v>
      </c>
      <c r="C1112" t="s">
        <v>41</v>
      </c>
      <c r="D1112">
        <v>64</v>
      </c>
      <c r="E1112">
        <v>80</v>
      </c>
      <c r="F1112">
        <v>546.74</v>
      </c>
      <c r="G1112" t="s">
        <v>2</v>
      </c>
      <c r="H1112" t="s">
        <v>7</v>
      </c>
      <c r="I1112" t="str">
        <f t="shared" si="17"/>
        <v>America</v>
      </c>
    </row>
    <row r="1113" spans="1:9" x14ac:dyDescent="0.3">
      <c r="A1113" t="s">
        <v>1089</v>
      </c>
      <c r="B1113">
        <v>94</v>
      </c>
      <c r="C1113" t="s">
        <v>45</v>
      </c>
      <c r="D1113">
        <v>58</v>
      </c>
      <c r="E1113">
        <v>78</v>
      </c>
      <c r="F1113">
        <v>4</v>
      </c>
      <c r="G1113" t="s">
        <v>6</v>
      </c>
      <c r="H1113" t="s">
        <v>6</v>
      </c>
      <c r="I1113" t="str">
        <f t="shared" si="17"/>
        <v>America</v>
      </c>
    </row>
    <row r="1114" spans="1:9" x14ac:dyDescent="0.3">
      <c r="A1114" t="s">
        <v>1090</v>
      </c>
      <c r="B1114">
        <v>95</v>
      </c>
      <c r="C1114" t="s">
        <v>41</v>
      </c>
      <c r="D1114">
        <v>64</v>
      </c>
      <c r="E1114">
        <v>82</v>
      </c>
      <c r="F1114">
        <v>198.41</v>
      </c>
      <c r="G1114" t="s">
        <v>2</v>
      </c>
      <c r="H1114" t="s">
        <v>9</v>
      </c>
      <c r="I1114" t="str">
        <f t="shared" si="17"/>
        <v>Africa</v>
      </c>
    </row>
    <row r="1115" spans="1:9" x14ac:dyDescent="0.3">
      <c r="A1115" t="s">
        <v>1091</v>
      </c>
      <c r="B1115">
        <v>94</v>
      </c>
      <c r="C1115" t="s">
        <v>45</v>
      </c>
      <c r="D1115">
        <v>60</v>
      </c>
      <c r="E1115">
        <v>80</v>
      </c>
      <c r="F1115">
        <v>132.28</v>
      </c>
      <c r="G1115" t="s">
        <v>2</v>
      </c>
      <c r="H1115" t="s">
        <v>9</v>
      </c>
      <c r="I1115" t="str">
        <f t="shared" si="17"/>
        <v>Africa</v>
      </c>
    </row>
    <row r="1116" spans="1:9" x14ac:dyDescent="0.3">
      <c r="A1116" t="s">
        <v>868</v>
      </c>
      <c r="B1116">
        <v>96</v>
      </c>
      <c r="C1116" t="s">
        <v>45</v>
      </c>
      <c r="D1116">
        <v>58</v>
      </c>
      <c r="E1116">
        <v>78</v>
      </c>
      <c r="F1116">
        <v>24.69</v>
      </c>
      <c r="G1116" t="s">
        <v>18</v>
      </c>
      <c r="H1116" t="s">
        <v>5</v>
      </c>
      <c r="I1116" t="str">
        <f t="shared" si="17"/>
        <v>America</v>
      </c>
    </row>
    <row r="1117" spans="1:9" x14ac:dyDescent="0.3">
      <c r="A1117" t="s">
        <v>1092</v>
      </c>
      <c r="B1117">
        <v>95</v>
      </c>
      <c r="C1117" t="s">
        <v>41</v>
      </c>
      <c r="D1117">
        <v>68</v>
      </c>
      <c r="E1117">
        <v>90</v>
      </c>
      <c r="F1117">
        <v>17.59</v>
      </c>
      <c r="G1117" t="s">
        <v>18</v>
      </c>
      <c r="H1117" t="s">
        <v>9</v>
      </c>
      <c r="I1117" t="str">
        <f t="shared" si="17"/>
        <v>Africa</v>
      </c>
    </row>
    <row r="1118" spans="1:9" x14ac:dyDescent="0.3">
      <c r="A1118" t="s">
        <v>1093</v>
      </c>
      <c r="B1118">
        <v>95</v>
      </c>
      <c r="C1118" t="s">
        <v>45</v>
      </c>
      <c r="D1118">
        <v>58</v>
      </c>
      <c r="E1118">
        <v>76</v>
      </c>
      <c r="F1118">
        <v>6.76</v>
      </c>
      <c r="G1118" t="s">
        <v>18</v>
      </c>
      <c r="H1118" t="s">
        <v>9</v>
      </c>
      <c r="I1118" t="str">
        <f t="shared" si="17"/>
        <v>Africa</v>
      </c>
    </row>
    <row r="1119" spans="1:9" x14ac:dyDescent="0.3">
      <c r="A1119" t="s">
        <v>1094</v>
      </c>
      <c r="B1119">
        <v>94</v>
      </c>
      <c r="C1119" t="s">
        <v>41</v>
      </c>
      <c r="D1119">
        <v>64</v>
      </c>
      <c r="E1119">
        <v>82</v>
      </c>
      <c r="F1119">
        <v>7.33</v>
      </c>
      <c r="G1119" t="s">
        <v>18</v>
      </c>
      <c r="H1119" t="s">
        <v>9</v>
      </c>
      <c r="I1119" t="str">
        <f t="shared" si="17"/>
        <v>Africa</v>
      </c>
    </row>
    <row r="1120" spans="1:9" x14ac:dyDescent="0.3">
      <c r="A1120" t="s">
        <v>1095</v>
      </c>
      <c r="B1120">
        <v>94</v>
      </c>
      <c r="C1120" t="s">
        <v>45</v>
      </c>
      <c r="D1120">
        <v>56</v>
      </c>
      <c r="E1120">
        <v>78</v>
      </c>
      <c r="F1120">
        <v>90.83</v>
      </c>
      <c r="G1120" t="s">
        <v>2</v>
      </c>
      <c r="H1120" t="s">
        <v>12</v>
      </c>
      <c r="I1120" t="str">
        <f t="shared" si="17"/>
        <v>Africa</v>
      </c>
    </row>
    <row r="1121" spans="1:9" x14ac:dyDescent="0.3">
      <c r="A1121" t="s">
        <v>1096</v>
      </c>
      <c r="B1121">
        <v>94</v>
      </c>
      <c r="C1121" t="s">
        <v>41</v>
      </c>
      <c r="D1121">
        <v>62</v>
      </c>
      <c r="E1121">
        <v>80</v>
      </c>
      <c r="F1121">
        <v>6.47</v>
      </c>
      <c r="G1121" t="s">
        <v>18</v>
      </c>
      <c r="H1121" t="s">
        <v>9</v>
      </c>
      <c r="I1121" t="str">
        <f t="shared" si="17"/>
        <v>Africa</v>
      </c>
    </row>
    <row r="1122" spans="1:9" x14ac:dyDescent="0.3">
      <c r="A1122" t="s">
        <v>1097</v>
      </c>
      <c r="B1122">
        <v>95</v>
      </c>
      <c r="C1122" t="s">
        <v>82</v>
      </c>
      <c r="D1122">
        <v>47</v>
      </c>
      <c r="E1122">
        <v>73</v>
      </c>
      <c r="F1122">
        <v>485.01</v>
      </c>
      <c r="G1122" t="s">
        <v>2</v>
      </c>
      <c r="H1122" t="s">
        <v>9</v>
      </c>
      <c r="I1122" t="str">
        <f t="shared" si="17"/>
        <v>Africa</v>
      </c>
    </row>
    <row r="1123" spans="1:9" x14ac:dyDescent="0.3">
      <c r="A1123" t="s">
        <v>1098</v>
      </c>
      <c r="B1123">
        <v>94</v>
      </c>
      <c r="C1123" t="s">
        <v>82</v>
      </c>
      <c r="D1123">
        <v>46</v>
      </c>
      <c r="E1123">
        <v>64</v>
      </c>
      <c r="F1123">
        <v>485.01</v>
      </c>
      <c r="G1123" t="s">
        <v>2</v>
      </c>
      <c r="H1123" t="s">
        <v>2</v>
      </c>
      <c r="I1123" t="str">
        <f t="shared" si="17"/>
        <v>Asia-Pacific</v>
      </c>
    </row>
    <row r="1124" spans="1:9" x14ac:dyDescent="0.3">
      <c r="A1124" t="s">
        <v>1099</v>
      </c>
      <c r="B1124">
        <v>94</v>
      </c>
      <c r="C1124" t="s">
        <v>45</v>
      </c>
      <c r="D1124">
        <v>60</v>
      </c>
      <c r="E1124">
        <v>78</v>
      </c>
      <c r="F1124">
        <v>24.25</v>
      </c>
      <c r="G1124" t="s">
        <v>18</v>
      </c>
      <c r="H1124" t="s">
        <v>9</v>
      </c>
      <c r="I1124" t="str">
        <f t="shared" si="17"/>
        <v>Africa</v>
      </c>
    </row>
    <row r="1125" spans="1:9" x14ac:dyDescent="0.3">
      <c r="A1125" t="s">
        <v>1100</v>
      </c>
      <c r="B1125">
        <v>94</v>
      </c>
      <c r="C1125" t="s">
        <v>41</v>
      </c>
      <c r="D1125">
        <v>62</v>
      </c>
      <c r="E1125">
        <v>80</v>
      </c>
      <c r="F1125">
        <v>40</v>
      </c>
      <c r="G1125" t="s">
        <v>18</v>
      </c>
      <c r="H1125" t="s">
        <v>5</v>
      </c>
      <c r="I1125" t="str">
        <f t="shared" si="17"/>
        <v>America</v>
      </c>
    </row>
    <row r="1126" spans="1:9" x14ac:dyDescent="0.3">
      <c r="A1126" t="s">
        <v>1101</v>
      </c>
      <c r="B1126">
        <v>94</v>
      </c>
      <c r="C1126" t="s">
        <v>45</v>
      </c>
      <c r="D1126">
        <v>61</v>
      </c>
      <c r="E1126">
        <v>79</v>
      </c>
      <c r="F1126">
        <v>0.44</v>
      </c>
      <c r="G1126" t="s">
        <v>2</v>
      </c>
      <c r="H1126" t="s">
        <v>6</v>
      </c>
      <c r="I1126" t="str">
        <f t="shared" si="17"/>
        <v>America</v>
      </c>
    </row>
    <row r="1127" spans="1:9" x14ac:dyDescent="0.3">
      <c r="A1127" t="s">
        <v>1102</v>
      </c>
      <c r="B1127">
        <v>95</v>
      </c>
      <c r="C1127" t="s">
        <v>45</v>
      </c>
      <c r="D1127">
        <v>58</v>
      </c>
      <c r="E1127">
        <v>76</v>
      </c>
      <c r="F1127">
        <v>198.24</v>
      </c>
      <c r="G1127" t="s">
        <v>2</v>
      </c>
      <c r="H1127" t="s">
        <v>9</v>
      </c>
      <c r="I1127" t="str">
        <f t="shared" si="17"/>
        <v>Africa</v>
      </c>
    </row>
    <row r="1128" spans="1:9" x14ac:dyDescent="0.3">
      <c r="A1128" t="s">
        <v>1054</v>
      </c>
      <c r="B1128">
        <v>94</v>
      </c>
      <c r="C1128" t="s">
        <v>45</v>
      </c>
      <c r="D1128">
        <v>57</v>
      </c>
      <c r="E1128">
        <v>77</v>
      </c>
      <c r="F1128">
        <v>200</v>
      </c>
      <c r="G1128" t="s">
        <v>2</v>
      </c>
      <c r="H1128" t="s">
        <v>12</v>
      </c>
      <c r="I1128" t="str">
        <f t="shared" si="17"/>
        <v>Africa</v>
      </c>
    </row>
    <row r="1129" spans="1:9" x14ac:dyDescent="0.3">
      <c r="A1129" t="s">
        <v>1103</v>
      </c>
      <c r="B1129">
        <v>95</v>
      </c>
      <c r="C1129" t="s">
        <v>45</v>
      </c>
      <c r="D1129">
        <v>58</v>
      </c>
      <c r="E1129">
        <v>74</v>
      </c>
      <c r="F1129">
        <v>26.41</v>
      </c>
      <c r="G1129" t="s">
        <v>18</v>
      </c>
      <c r="H1129" t="s">
        <v>18</v>
      </c>
      <c r="I1129" t="str">
        <f t="shared" si="17"/>
        <v>America</v>
      </c>
    </row>
    <row r="1130" spans="1:9" x14ac:dyDescent="0.3">
      <c r="A1130" t="s">
        <v>1104</v>
      </c>
      <c r="B1130">
        <v>95</v>
      </c>
      <c r="C1130" t="s">
        <v>41</v>
      </c>
      <c r="D1130">
        <v>60</v>
      </c>
      <c r="E1130">
        <v>82</v>
      </c>
      <c r="F1130">
        <v>6.17</v>
      </c>
      <c r="G1130" t="s">
        <v>18</v>
      </c>
      <c r="H1130" t="s">
        <v>9</v>
      </c>
      <c r="I1130" t="str">
        <f t="shared" si="17"/>
        <v>Africa</v>
      </c>
    </row>
    <row r="1131" spans="1:9" x14ac:dyDescent="0.3">
      <c r="A1131" t="s">
        <v>1105</v>
      </c>
      <c r="B1131">
        <v>95</v>
      </c>
      <c r="C1131" t="s">
        <v>45</v>
      </c>
      <c r="D1131">
        <v>56</v>
      </c>
      <c r="E1131">
        <v>74</v>
      </c>
      <c r="F1131">
        <v>16.53</v>
      </c>
      <c r="G1131" t="s">
        <v>18</v>
      </c>
      <c r="H1131" t="s">
        <v>150</v>
      </c>
      <c r="I1131" t="str">
        <f t="shared" si="17"/>
        <v>NULL</v>
      </c>
    </row>
    <row r="1132" spans="1:9" x14ac:dyDescent="0.3">
      <c r="A1132" t="s">
        <v>1106</v>
      </c>
      <c r="B1132">
        <v>94</v>
      </c>
      <c r="C1132" t="s">
        <v>45</v>
      </c>
      <c r="D1132">
        <v>55</v>
      </c>
      <c r="E1132">
        <v>71</v>
      </c>
      <c r="F1132">
        <v>14.55</v>
      </c>
      <c r="G1132" t="s">
        <v>18</v>
      </c>
      <c r="H1132" t="s">
        <v>150</v>
      </c>
      <c r="I1132" t="str">
        <f t="shared" si="17"/>
        <v>NULL</v>
      </c>
    </row>
    <row r="1133" spans="1:9" x14ac:dyDescent="0.3">
      <c r="A1133" t="s">
        <v>1107</v>
      </c>
      <c r="B1133">
        <v>96</v>
      </c>
      <c r="C1133" t="s">
        <v>45</v>
      </c>
      <c r="D1133">
        <v>58</v>
      </c>
      <c r="E1133">
        <v>76</v>
      </c>
      <c r="F1133">
        <v>1058.2</v>
      </c>
      <c r="G1133" t="s">
        <v>2</v>
      </c>
      <c r="H1133" t="s">
        <v>5</v>
      </c>
      <c r="I1133" t="str">
        <f t="shared" si="17"/>
        <v>America</v>
      </c>
    </row>
    <row r="1134" spans="1:9" x14ac:dyDescent="0.3">
      <c r="A1134" t="s">
        <v>1108</v>
      </c>
      <c r="B1134">
        <v>95</v>
      </c>
      <c r="C1134" t="s">
        <v>45</v>
      </c>
      <c r="D1134">
        <v>60</v>
      </c>
      <c r="E1134">
        <v>77</v>
      </c>
      <c r="F1134">
        <v>5.86</v>
      </c>
      <c r="G1134" t="s">
        <v>18</v>
      </c>
      <c r="H1134" t="s">
        <v>9</v>
      </c>
      <c r="I1134" t="str">
        <f t="shared" si="17"/>
        <v>Africa</v>
      </c>
    </row>
    <row r="1135" spans="1:9" x14ac:dyDescent="0.3">
      <c r="A1135" t="s">
        <v>1109</v>
      </c>
      <c r="B1135">
        <v>95</v>
      </c>
      <c r="C1135" t="s">
        <v>45</v>
      </c>
      <c r="D1135">
        <v>46</v>
      </c>
      <c r="E1135">
        <v>76</v>
      </c>
      <c r="F1135">
        <v>529.1</v>
      </c>
      <c r="G1135" t="s">
        <v>2</v>
      </c>
      <c r="H1135" t="s">
        <v>5</v>
      </c>
      <c r="I1135" t="str">
        <f t="shared" si="17"/>
        <v>America</v>
      </c>
    </row>
    <row r="1136" spans="1:9" x14ac:dyDescent="0.3">
      <c r="A1136" t="s">
        <v>1110</v>
      </c>
      <c r="B1136">
        <v>94</v>
      </c>
      <c r="C1136" t="s">
        <v>41</v>
      </c>
      <c r="D1136">
        <v>62</v>
      </c>
      <c r="E1136">
        <v>80</v>
      </c>
      <c r="F1136">
        <v>5.28</v>
      </c>
      <c r="G1136" t="s">
        <v>18</v>
      </c>
      <c r="H1136" t="s">
        <v>20</v>
      </c>
      <c r="I1136" t="str">
        <f t="shared" si="17"/>
        <v>Africa</v>
      </c>
    </row>
    <row r="1137" spans="1:9" x14ac:dyDescent="0.3">
      <c r="A1137" t="s">
        <v>1111</v>
      </c>
      <c r="B1137">
        <v>95</v>
      </c>
      <c r="C1137" t="s">
        <v>45</v>
      </c>
      <c r="D1137">
        <v>59</v>
      </c>
      <c r="E1137">
        <v>77</v>
      </c>
      <c r="F1137">
        <v>143.30000000000001</v>
      </c>
      <c r="G1137" t="s">
        <v>2</v>
      </c>
      <c r="H1137" t="s">
        <v>9</v>
      </c>
      <c r="I1137" t="str">
        <f t="shared" si="17"/>
        <v>Africa</v>
      </c>
    </row>
    <row r="1138" spans="1:9" x14ac:dyDescent="0.3">
      <c r="A1138" t="s">
        <v>1112</v>
      </c>
      <c r="B1138">
        <v>94</v>
      </c>
      <c r="C1138" t="s">
        <v>45</v>
      </c>
      <c r="D1138">
        <v>52</v>
      </c>
      <c r="E1138">
        <v>74</v>
      </c>
      <c r="F1138">
        <v>143.30000000000001</v>
      </c>
      <c r="G1138" t="s">
        <v>2</v>
      </c>
      <c r="H1138" t="s">
        <v>12</v>
      </c>
      <c r="I1138" t="str">
        <f t="shared" si="17"/>
        <v>Africa</v>
      </c>
    </row>
    <row r="1139" spans="1:9" x14ac:dyDescent="0.3">
      <c r="A1139" t="s">
        <v>1113</v>
      </c>
      <c r="B1139">
        <v>94</v>
      </c>
      <c r="C1139" t="s">
        <v>45</v>
      </c>
      <c r="D1139">
        <v>60</v>
      </c>
      <c r="E1139">
        <v>78</v>
      </c>
      <c r="F1139">
        <v>1750</v>
      </c>
      <c r="G1139" t="s">
        <v>2</v>
      </c>
      <c r="H1139" t="s">
        <v>9</v>
      </c>
      <c r="I1139" t="str">
        <f t="shared" si="17"/>
        <v>Africa</v>
      </c>
    </row>
    <row r="1140" spans="1:9" x14ac:dyDescent="0.3">
      <c r="A1140" t="s">
        <v>1114</v>
      </c>
      <c r="B1140">
        <v>94</v>
      </c>
      <c r="C1140" t="s">
        <v>45</v>
      </c>
      <c r="D1140">
        <v>60</v>
      </c>
      <c r="E1140">
        <v>80</v>
      </c>
      <c r="F1140">
        <v>136.68</v>
      </c>
      <c r="G1140" t="s">
        <v>2</v>
      </c>
      <c r="H1140" t="s">
        <v>9</v>
      </c>
      <c r="I1140" t="str">
        <f t="shared" si="17"/>
        <v>Africa</v>
      </c>
    </row>
    <row r="1141" spans="1:9" x14ac:dyDescent="0.3">
      <c r="A1141" t="s">
        <v>1115</v>
      </c>
      <c r="B1141">
        <v>98</v>
      </c>
      <c r="C1141" t="s">
        <v>45</v>
      </c>
      <c r="D1141">
        <v>58</v>
      </c>
      <c r="E1141">
        <v>76</v>
      </c>
      <c r="F1141">
        <v>44.09</v>
      </c>
      <c r="G1141" t="s">
        <v>18</v>
      </c>
      <c r="H1141" t="s">
        <v>5</v>
      </c>
      <c r="I1141" t="str">
        <f t="shared" si="17"/>
        <v>America</v>
      </c>
    </row>
    <row r="1142" spans="1:9" x14ac:dyDescent="0.3">
      <c r="A1142" t="s">
        <v>1116</v>
      </c>
      <c r="B1142">
        <v>95</v>
      </c>
      <c r="C1142" t="s">
        <v>45</v>
      </c>
      <c r="D1142">
        <v>53</v>
      </c>
      <c r="E1142">
        <v>73</v>
      </c>
      <c r="F1142">
        <v>49.97</v>
      </c>
      <c r="G1142" t="s">
        <v>18</v>
      </c>
      <c r="H1142" t="s">
        <v>14</v>
      </c>
      <c r="I1142" t="str">
        <f t="shared" si="17"/>
        <v>America</v>
      </c>
    </row>
    <row r="1143" spans="1:9" x14ac:dyDescent="0.3">
      <c r="A1143" t="s">
        <v>1117</v>
      </c>
      <c r="B1143">
        <v>94</v>
      </c>
      <c r="C1143" t="s">
        <v>41</v>
      </c>
      <c r="D1143">
        <v>62</v>
      </c>
      <c r="E1143">
        <v>80</v>
      </c>
      <c r="F1143">
        <v>5.59</v>
      </c>
      <c r="G1143" t="s">
        <v>18</v>
      </c>
      <c r="H1143" t="s">
        <v>9</v>
      </c>
      <c r="I1143" t="str">
        <f t="shared" si="17"/>
        <v>Africa</v>
      </c>
    </row>
    <row r="1144" spans="1:9" x14ac:dyDescent="0.3">
      <c r="A1144" t="s">
        <v>1118</v>
      </c>
      <c r="B1144">
        <v>94</v>
      </c>
      <c r="C1144" t="s">
        <v>45</v>
      </c>
      <c r="D1144">
        <v>60</v>
      </c>
      <c r="E1144">
        <v>77</v>
      </c>
      <c r="F1144">
        <v>165</v>
      </c>
      <c r="G1144" t="s">
        <v>2</v>
      </c>
      <c r="H1144" t="s">
        <v>12</v>
      </c>
      <c r="I1144" t="str">
        <f t="shared" si="17"/>
        <v>Africa</v>
      </c>
    </row>
    <row r="1145" spans="1:9" x14ac:dyDescent="0.3">
      <c r="A1145" t="s">
        <v>1119</v>
      </c>
      <c r="B1145">
        <v>97</v>
      </c>
      <c r="C1145" t="s">
        <v>45</v>
      </c>
      <c r="D1145">
        <v>57</v>
      </c>
      <c r="E1145">
        <v>77</v>
      </c>
      <c r="F1145">
        <v>15.43</v>
      </c>
      <c r="G1145" t="s">
        <v>18</v>
      </c>
      <c r="H1145" t="s">
        <v>9</v>
      </c>
      <c r="I1145" t="str">
        <f t="shared" si="17"/>
        <v>Africa</v>
      </c>
    </row>
    <row r="1146" spans="1:9" x14ac:dyDescent="0.3">
      <c r="A1146" t="s">
        <v>467</v>
      </c>
      <c r="B1146">
        <v>96</v>
      </c>
      <c r="C1146" t="s">
        <v>45</v>
      </c>
      <c r="D1146">
        <v>52</v>
      </c>
      <c r="E1146">
        <v>70</v>
      </c>
      <c r="F1146">
        <v>33.049999999999997</v>
      </c>
      <c r="G1146" t="s">
        <v>18</v>
      </c>
      <c r="H1146" t="s">
        <v>18</v>
      </c>
      <c r="I1146" t="str">
        <f t="shared" si="17"/>
        <v>America</v>
      </c>
    </row>
    <row r="1147" spans="1:9" x14ac:dyDescent="0.3">
      <c r="A1147" t="s">
        <v>490</v>
      </c>
      <c r="B1147">
        <v>94</v>
      </c>
      <c r="C1147" t="s">
        <v>45</v>
      </c>
      <c r="D1147">
        <v>54</v>
      </c>
      <c r="E1147">
        <v>74</v>
      </c>
      <c r="F1147">
        <v>17.61</v>
      </c>
      <c r="G1147" t="s">
        <v>18</v>
      </c>
      <c r="H1147" t="s">
        <v>150</v>
      </c>
      <c r="I1147" t="str">
        <f t="shared" si="17"/>
        <v>NULL</v>
      </c>
    </row>
    <row r="1148" spans="1:9" x14ac:dyDescent="0.3">
      <c r="A1148" t="s">
        <v>1120</v>
      </c>
      <c r="B1148">
        <v>94</v>
      </c>
      <c r="C1148" t="s">
        <v>45</v>
      </c>
      <c r="D1148">
        <v>60</v>
      </c>
      <c r="E1148">
        <v>78</v>
      </c>
      <c r="F1148">
        <v>5.58</v>
      </c>
      <c r="G1148" t="s">
        <v>18</v>
      </c>
      <c r="H1148" t="s">
        <v>9</v>
      </c>
      <c r="I1148" t="str">
        <f t="shared" si="17"/>
        <v>Africa</v>
      </c>
    </row>
    <row r="1149" spans="1:9" x14ac:dyDescent="0.3">
      <c r="A1149" t="s">
        <v>1121</v>
      </c>
      <c r="B1149">
        <v>96</v>
      </c>
      <c r="C1149" t="s">
        <v>82</v>
      </c>
      <c r="D1149">
        <v>44</v>
      </c>
      <c r="E1149">
        <v>60</v>
      </c>
      <c r="F1149">
        <v>396.83</v>
      </c>
      <c r="G1149" t="s">
        <v>2</v>
      </c>
      <c r="H1149" t="s">
        <v>12</v>
      </c>
      <c r="I1149" t="str">
        <f t="shared" si="17"/>
        <v>Africa</v>
      </c>
    </row>
    <row r="1150" spans="1:9" x14ac:dyDescent="0.3">
      <c r="A1150" t="s">
        <v>1122</v>
      </c>
      <c r="B1150">
        <v>98</v>
      </c>
      <c r="C1150" t="s">
        <v>45</v>
      </c>
      <c r="D1150">
        <v>58</v>
      </c>
      <c r="E1150">
        <v>76</v>
      </c>
      <c r="F1150">
        <v>25</v>
      </c>
      <c r="G1150" t="s">
        <v>2</v>
      </c>
      <c r="H1150" t="s">
        <v>5</v>
      </c>
      <c r="I1150" t="str">
        <f t="shared" si="17"/>
        <v>America</v>
      </c>
    </row>
    <row r="1151" spans="1:9" x14ac:dyDescent="0.3">
      <c r="A1151" t="s">
        <v>1123</v>
      </c>
      <c r="B1151">
        <v>94</v>
      </c>
      <c r="C1151" t="s">
        <v>45</v>
      </c>
      <c r="D1151">
        <v>54</v>
      </c>
      <c r="E1151">
        <v>70</v>
      </c>
      <c r="F1151">
        <v>4.9800000000000004</v>
      </c>
      <c r="G1151" t="s">
        <v>18</v>
      </c>
      <c r="H1151" t="s">
        <v>14</v>
      </c>
      <c r="I1151" t="str">
        <f t="shared" si="17"/>
        <v>America</v>
      </c>
    </row>
    <row r="1152" spans="1:9" x14ac:dyDescent="0.3">
      <c r="A1152" t="s">
        <v>1124</v>
      </c>
      <c r="B1152">
        <v>94</v>
      </c>
      <c r="C1152" t="s">
        <v>41</v>
      </c>
      <c r="D1152">
        <v>62</v>
      </c>
      <c r="E1152">
        <v>80</v>
      </c>
      <c r="F1152">
        <v>57.28</v>
      </c>
      <c r="G1152" t="s">
        <v>18</v>
      </c>
      <c r="H1152" t="s">
        <v>2</v>
      </c>
      <c r="I1152" t="str">
        <f t="shared" si="17"/>
        <v>Asia-Pacific</v>
      </c>
    </row>
    <row r="1153" spans="1:9" x14ac:dyDescent="0.3">
      <c r="A1153" t="s">
        <v>1125</v>
      </c>
      <c r="B1153">
        <v>95</v>
      </c>
      <c r="C1153" t="s">
        <v>45</v>
      </c>
      <c r="D1153">
        <v>60</v>
      </c>
      <c r="E1153">
        <v>78</v>
      </c>
      <c r="F1153">
        <v>49.97</v>
      </c>
      <c r="G1153" t="s">
        <v>18</v>
      </c>
      <c r="H1153" t="s">
        <v>5</v>
      </c>
      <c r="I1153" t="str">
        <f t="shared" si="17"/>
        <v>America</v>
      </c>
    </row>
    <row r="1154" spans="1:9" x14ac:dyDescent="0.3">
      <c r="A1154" t="s">
        <v>1126</v>
      </c>
      <c r="B1154">
        <v>95</v>
      </c>
      <c r="C1154" t="s">
        <v>45</v>
      </c>
      <c r="D1154">
        <v>54</v>
      </c>
      <c r="E1154">
        <v>70</v>
      </c>
      <c r="F1154">
        <v>28.66</v>
      </c>
      <c r="G1154" t="s">
        <v>18</v>
      </c>
      <c r="H1154" t="s">
        <v>5</v>
      </c>
      <c r="I1154" t="str">
        <f t="shared" si="17"/>
        <v>America</v>
      </c>
    </row>
    <row r="1155" spans="1:9" x14ac:dyDescent="0.3">
      <c r="A1155" t="s">
        <v>1127</v>
      </c>
      <c r="B1155">
        <v>94</v>
      </c>
      <c r="C1155" t="s">
        <v>45</v>
      </c>
      <c r="D1155">
        <v>58</v>
      </c>
      <c r="E1155">
        <v>78</v>
      </c>
      <c r="F1155">
        <v>12.79</v>
      </c>
      <c r="G1155" t="s">
        <v>2</v>
      </c>
      <c r="H1155" t="s">
        <v>9</v>
      </c>
      <c r="I1155" t="str">
        <f t="shared" ref="I1155:I1218" si="18">_xlfn.XLOOKUP(H1155, $M$2:$M$50, $N$2:$N$50, "Other")</f>
        <v>Africa</v>
      </c>
    </row>
    <row r="1156" spans="1:9" x14ac:dyDescent="0.3">
      <c r="A1156" t="s">
        <v>1128</v>
      </c>
      <c r="B1156">
        <v>94</v>
      </c>
      <c r="C1156" t="s">
        <v>45</v>
      </c>
      <c r="D1156">
        <v>59</v>
      </c>
      <c r="E1156">
        <v>74</v>
      </c>
      <c r="F1156">
        <v>7.35</v>
      </c>
      <c r="G1156" t="s">
        <v>2</v>
      </c>
      <c r="H1156" t="s">
        <v>9</v>
      </c>
      <c r="I1156" t="str">
        <f t="shared" si="18"/>
        <v>Africa</v>
      </c>
    </row>
    <row r="1157" spans="1:9" x14ac:dyDescent="0.3">
      <c r="A1157" t="s">
        <v>667</v>
      </c>
      <c r="B1157">
        <v>94</v>
      </c>
      <c r="C1157" t="s">
        <v>45</v>
      </c>
      <c r="D1157">
        <v>55</v>
      </c>
      <c r="E1157">
        <v>73</v>
      </c>
      <c r="F1157">
        <v>3.82</v>
      </c>
      <c r="G1157" t="s">
        <v>7</v>
      </c>
      <c r="H1157" t="s">
        <v>7</v>
      </c>
      <c r="I1157" t="str">
        <f t="shared" si="18"/>
        <v>America</v>
      </c>
    </row>
    <row r="1158" spans="1:9" x14ac:dyDescent="0.3">
      <c r="A1158" t="s">
        <v>1129</v>
      </c>
      <c r="B1158">
        <v>94</v>
      </c>
      <c r="C1158" t="s">
        <v>45</v>
      </c>
      <c r="D1158">
        <v>56</v>
      </c>
      <c r="E1158">
        <v>72</v>
      </c>
      <c r="F1158">
        <v>3.82</v>
      </c>
      <c r="G1158" t="s">
        <v>7</v>
      </c>
      <c r="H1158" t="s">
        <v>7</v>
      </c>
      <c r="I1158" t="str">
        <f t="shared" si="18"/>
        <v>America</v>
      </c>
    </row>
    <row r="1159" spans="1:9" x14ac:dyDescent="0.3">
      <c r="A1159" t="s">
        <v>1130</v>
      </c>
      <c r="B1159">
        <v>97</v>
      </c>
      <c r="C1159" t="s">
        <v>45</v>
      </c>
      <c r="D1159">
        <v>60</v>
      </c>
      <c r="E1159">
        <v>76</v>
      </c>
      <c r="F1159">
        <v>176.37</v>
      </c>
      <c r="G1159" t="s">
        <v>2</v>
      </c>
      <c r="H1159" t="s">
        <v>9</v>
      </c>
      <c r="I1159" t="str">
        <f t="shared" si="18"/>
        <v>Africa</v>
      </c>
    </row>
    <row r="1160" spans="1:9" x14ac:dyDescent="0.3">
      <c r="A1160" t="s">
        <v>1131</v>
      </c>
      <c r="B1160">
        <v>94</v>
      </c>
      <c r="C1160" t="s">
        <v>45</v>
      </c>
      <c r="D1160">
        <v>58</v>
      </c>
      <c r="E1160">
        <v>74</v>
      </c>
      <c r="F1160">
        <v>661.38</v>
      </c>
      <c r="G1160" t="s">
        <v>2</v>
      </c>
      <c r="H1160" t="s">
        <v>5</v>
      </c>
      <c r="I1160" t="str">
        <f t="shared" si="18"/>
        <v>America</v>
      </c>
    </row>
    <row r="1161" spans="1:9" x14ac:dyDescent="0.3">
      <c r="A1161" t="s">
        <v>1132</v>
      </c>
      <c r="B1161">
        <v>94</v>
      </c>
      <c r="C1161" t="s">
        <v>45</v>
      </c>
      <c r="D1161">
        <v>58</v>
      </c>
      <c r="E1161">
        <v>76</v>
      </c>
      <c r="F1161">
        <v>10.58</v>
      </c>
      <c r="G1161" t="s">
        <v>18</v>
      </c>
      <c r="H1161" t="s">
        <v>15</v>
      </c>
      <c r="I1161" t="str">
        <f t="shared" si="18"/>
        <v>America</v>
      </c>
    </row>
    <row r="1162" spans="1:9" x14ac:dyDescent="0.3">
      <c r="A1162" t="s">
        <v>1133</v>
      </c>
      <c r="B1162">
        <v>94</v>
      </c>
      <c r="C1162" t="s">
        <v>45</v>
      </c>
      <c r="D1162">
        <v>58</v>
      </c>
      <c r="E1162">
        <v>76</v>
      </c>
      <c r="F1162">
        <v>7.35</v>
      </c>
      <c r="G1162" t="s">
        <v>18</v>
      </c>
      <c r="H1162" t="s">
        <v>9</v>
      </c>
      <c r="I1162" t="str">
        <f t="shared" si="18"/>
        <v>Africa</v>
      </c>
    </row>
    <row r="1163" spans="1:9" x14ac:dyDescent="0.3">
      <c r="A1163" t="s">
        <v>1134</v>
      </c>
      <c r="B1163">
        <v>94</v>
      </c>
      <c r="C1163" t="s">
        <v>45</v>
      </c>
      <c r="D1163">
        <v>52</v>
      </c>
      <c r="E1163">
        <v>70</v>
      </c>
      <c r="F1163">
        <v>4.9800000000000004</v>
      </c>
      <c r="G1163" t="s">
        <v>18</v>
      </c>
      <c r="H1163" t="s">
        <v>9</v>
      </c>
      <c r="I1163" t="str">
        <f t="shared" si="18"/>
        <v>Africa</v>
      </c>
    </row>
    <row r="1164" spans="1:9" x14ac:dyDescent="0.3">
      <c r="A1164" t="s">
        <v>1135</v>
      </c>
      <c r="B1164">
        <v>95</v>
      </c>
      <c r="C1164" t="s">
        <v>41</v>
      </c>
      <c r="D1164">
        <v>64</v>
      </c>
      <c r="E1164">
        <v>84</v>
      </c>
      <c r="F1164">
        <v>17.59</v>
      </c>
      <c r="G1164" t="s">
        <v>18</v>
      </c>
      <c r="H1164" t="s">
        <v>7</v>
      </c>
      <c r="I1164" t="str">
        <f t="shared" si="18"/>
        <v>America</v>
      </c>
    </row>
    <row r="1165" spans="1:9" x14ac:dyDescent="0.3">
      <c r="A1165" t="s">
        <v>1136</v>
      </c>
      <c r="B1165">
        <v>94</v>
      </c>
      <c r="C1165" t="s">
        <v>45</v>
      </c>
      <c r="D1165">
        <v>58</v>
      </c>
      <c r="E1165">
        <v>76</v>
      </c>
      <c r="F1165">
        <v>17.59</v>
      </c>
      <c r="G1165" t="s">
        <v>18</v>
      </c>
      <c r="H1165" t="s">
        <v>18</v>
      </c>
      <c r="I1165" t="str">
        <f t="shared" si="18"/>
        <v>America</v>
      </c>
    </row>
    <row r="1166" spans="1:9" x14ac:dyDescent="0.3">
      <c r="A1166" t="s">
        <v>1137</v>
      </c>
      <c r="B1166">
        <v>94</v>
      </c>
      <c r="C1166" t="s">
        <v>45</v>
      </c>
      <c r="D1166">
        <v>62</v>
      </c>
      <c r="E1166">
        <v>78</v>
      </c>
      <c r="F1166">
        <v>5.88</v>
      </c>
      <c r="G1166" t="s">
        <v>31</v>
      </c>
      <c r="H1166" t="s">
        <v>14</v>
      </c>
      <c r="I1166" t="str">
        <f t="shared" si="18"/>
        <v>America</v>
      </c>
    </row>
    <row r="1167" spans="1:9" x14ac:dyDescent="0.3">
      <c r="A1167" t="s">
        <v>1138</v>
      </c>
      <c r="B1167">
        <v>94</v>
      </c>
      <c r="C1167" t="s">
        <v>45</v>
      </c>
      <c r="D1167">
        <v>58</v>
      </c>
      <c r="E1167">
        <v>78</v>
      </c>
      <c r="F1167">
        <v>121.25</v>
      </c>
      <c r="G1167" t="s">
        <v>2</v>
      </c>
      <c r="H1167" t="s">
        <v>9</v>
      </c>
      <c r="I1167" t="str">
        <f t="shared" si="18"/>
        <v>Africa</v>
      </c>
    </row>
    <row r="1168" spans="1:9" x14ac:dyDescent="0.3">
      <c r="A1168" t="s">
        <v>1139</v>
      </c>
      <c r="B1168">
        <v>94</v>
      </c>
      <c r="C1168" t="s">
        <v>45</v>
      </c>
      <c r="D1168">
        <v>52</v>
      </c>
      <c r="E1168">
        <v>70</v>
      </c>
      <c r="F1168">
        <v>110.23</v>
      </c>
      <c r="G1168" t="s">
        <v>2</v>
      </c>
      <c r="H1168" t="s">
        <v>15</v>
      </c>
      <c r="I1168" t="str">
        <f t="shared" si="18"/>
        <v>America</v>
      </c>
    </row>
    <row r="1169" spans="1:9" x14ac:dyDescent="0.3">
      <c r="A1169" t="s">
        <v>1140</v>
      </c>
      <c r="B1169">
        <v>95</v>
      </c>
      <c r="C1169" t="s">
        <v>45</v>
      </c>
      <c r="D1169">
        <v>55</v>
      </c>
      <c r="E1169">
        <v>75</v>
      </c>
      <c r="F1169">
        <v>5.26</v>
      </c>
      <c r="G1169" t="s">
        <v>18</v>
      </c>
      <c r="H1169" t="s">
        <v>15</v>
      </c>
      <c r="I1169" t="str">
        <f t="shared" si="18"/>
        <v>America</v>
      </c>
    </row>
    <row r="1170" spans="1:9" x14ac:dyDescent="0.3">
      <c r="A1170" t="s">
        <v>1141</v>
      </c>
      <c r="B1170">
        <v>94</v>
      </c>
      <c r="C1170" t="s">
        <v>45</v>
      </c>
      <c r="D1170">
        <v>60</v>
      </c>
      <c r="E1170">
        <v>78</v>
      </c>
      <c r="F1170">
        <v>5.51</v>
      </c>
      <c r="G1170" t="s">
        <v>18</v>
      </c>
      <c r="H1170" t="s">
        <v>9</v>
      </c>
      <c r="I1170" t="str">
        <f t="shared" si="18"/>
        <v>Africa</v>
      </c>
    </row>
    <row r="1171" spans="1:9" x14ac:dyDescent="0.3">
      <c r="A1171" t="s">
        <v>1142</v>
      </c>
      <c r="B1171">
        <v>94</v>
      </c>
      <c r="C1171" t="s">
        <v>45</v>
      </c>
      <c r="D1171">
        <v>58</v>
      </c>
      <c r="E1171">
        <v>74</v>
      </c>
      <c r="F1171">
        <v>12.35</v>
      </c>
      <c r="G1171" t="s">
        <v>18</v>
      </c>
      <c r="H1171" t="s">
        <v>14</v>
      </c>
      <c r="I1171" t="str">
        <f t="shared" si="18"/>
        <v>America</v>
      </c>
    </row>
    <row r="1172" spans="1:9" x14ac:dyDescent="0.3">
      <c r="A1172" t="s">
        <v>1143</v>
      </c>
      <c r="B1172">
        <v>95</v>
      </c>
      <c r="C1172" t="s">
        <v>82</v>
      </c>
      <c r="D1172">
        <v>48</v>
      </c>
      <c r="E1172">
        <v>66</v>
      </c>
      <c r="F1172">
        <v>6.47</v>
      </c>
      <c r="G1172" t="s">
        <v>18</v>
      </c>
      <c r="H1172" t="s">
        <v>12</v>
      </c>
      <c r="I1172" t="str">
        <f t="shared" si="18"/>
        <v>Africa</v>
      </c>
    </row>
    <row r="1173" spans="1:9" x14ac:dyDescent="0.3">
      <c r="A1173" t="s">
        <v>1144</v>
      </c>
      <c r="B1173">
        <v>95</v>
      </c>
      <c r="C1173" t="s">
        <v>45</v>
      </c>
      <c r="D1173">
        <v>60</v>
      </c>
      <c r="E1173">
        <v>80</v>
      </c>
      <c r="F1173">
        <v>5</v>
      </c>
      <c r="G1173" t="s">
        <v>18</v>
      </c>
      <c r="H1173" t="s">
        <v>12</v>
      </c>
      <c r="I1173" t="str">
        <f t="shared" si="18"/>
        <v>Africa</v>
      </c>
    </row>
    <row r="1174" spans="1:9" x14ac:dyDescent="0.3">
      <c r="A1174" t="s">
        <v>1145</v>
      </c>
      <c r="B1174">
        <v>95</v>
      </c>
      <c r="C1174" t="s">
        <v>45</v>
      </c>
      <c r="D1174">
        <v>54</v>
      </c>
      <c r="E1174">
        <v>74</v>
      </c>
      <c r="F1174">
        <v>330.43</v>
      </c>
      <c r="G1174" t="s">
        <v>2</v>
      </c>
      <c r="H1174" t="s">
        <v>12</v>
      </c>
      <c r="I1174" t="str">
        <f t="shared" si="18"/>
        <v>Africa</v>
      </c>
    </row>
    <row r="1175" spans="1:9" x14ac:dyDescent="0.3">
      <c r="A1175" t="s">
        <v>1146</v>
      </c>
      <c r="B1175">
        <v>95</v>
      </c>
      <c r="C1175" t="s">
        <v>45</v>
      </c>
      <c r="D1175">
        <v>58</v>
      </c>
      <c r="E1175">
        <v>74</v>
      </c>
      <c r="F1175">
        <v>244.44</v>
      </c>
      <c r="G1175" t="s">
        <v>2</v>
      </c>
      <c r="H1175" t="s">
        <v>12</v>
      </c>
      <c r="I1175" t="str">
        <f t="shared" si="18"/>
        <v>Africa</v>
      </c>
    </row>
    <row r="1176" spans="1:9" x14ac:dyDescent="0.3">
      <c r="A1176" t="s">
        <v>1147</v>
      </c>
      <c r="B1176">
        <v>94</v>
      </c>
      <c r="C1176" t="s">
        <v>45</v>
      </c>
      <c r="D1176">
        <v>54</v>
      </c>
      <c r="E1176">
        <v>72</v>
      </c>
      <c r="F1176">
        <v>198.24</v>
      </c>
      <c r="G1176" t="s">
        <v>2</v>
      </c>
      <c r="H1176" t="s">
        <v>12</v>
      </c>
      <c r="I1176" t="str">
        <f t="shared" si="18"/>
        <v>Africa</v>
      </c>
    </row>
    <row r="1177" spans="1:9" x14ac:dyDescent="0.3">
      <c r="A1177" t="s">
        <v>1148</v>
      </c>
      <c r="B1177">
        <v>94</v>
      </c>
      <c r="C1177" t="s">
        <v>45</v>
      </c>
      <c r="D1177">
        <v>60</v>
      </c>
      <c r="E1177">
        <v>78</v>
      </c>
      <c r="F1177">
        <v>143.30000000000001</v>
      </c>
      <c r="G1177" t="s">
        <v>2</v>
      </c>
      <c r="H1177" t="s">
        <v>12</v>
      </c>
      <c r="I1177" t="str">
        <f t="shared" si="18"/>
        <v>Africa</v>
      </c>
    </row>
    <row r="1178" spans="1:9" x14ac:dyDescent="0.3">
      <c r="A1178" t="s">
        <v>1149</v>
      </c>
      <c r="B1178">
        <v>94</v>
      </c>
      <c r="C1178" t="s">
        <v>45</v>
      </c>
      <c r="D1178">
        <v>58</v>
      </c>
      <c r="E1178">
        <v>80</v>
      </c>
      <c r="F1178">
        <v>6.45</v>
      </c>
      <c r="G1178" t="s">
        <v>18</v>
      </c>
      <c r="H1178" t="s">
        <v>12</v>
      </c>
      <c r="I1178" t="str">
        <f t="shared" si="18"/>
        <v>Africa</v>
      </c>
    </row>
    <row r="1179" spans="1:9" x14ac:dyDescent="0.3">
      <c r="A1179" t="s">
        <v>1150</v>
      </c>
      <c r="B1179">
        <v>94</v>
      </c>
      <c r="C1179" t="s">
        <v>45</v>
      </c>
      <c r="D1179">
        <v>60</v>
      </c>
      <c r="E1179">
        <v>78</v>
      </c>
      <c r="F1179">
        <v>9.7799999999999994</v>
      </c>
      <c r="G1179" t="s">
        <v>31</v>
      </c>
      <c r="H1179" t="s">
        <v>12</v>
      </c>
      <c r="I1179" t="str">
        <f t="shared" si="18"/>
        <v>Africa</v>
      </c>
    </row>
    <row r="1180" spans="1:9" x14ac:dyDescent="0.3">
      <c r="A1180" t="s">
        <v>1151</v>
      </c>
      <c r="B1180">
        <v>94</v>
      </c>
      <c r="C1180" t="s">
        <v>45</v>
      </c>
      <c r="D1180">
        <v>57</v>
      </c>
      <c r="E1180">
        <v>77</v>
      </c>
      <c r="F1180">
        <v>250</v>
      </c>
      <c r="G1180" t="s">
        <v>2</v>
      </c>
      <c r="H1180" t="s">
        <v>12</v>
      </c>
      <c r="I1180" t="str">
        <f t="shared" si="18"/>
        <v>Africa</v>
      </c>
    </row>
    <row r="1181" spans="1:9" x14ac:dyDescent="0.3">
      <c r="A1181" t="s">
        <v>1152</v>
      </c>
      <c r="B1181">
        <v>94</v>
      </c>
      <c r="C1181" t="s">
        <v>45</v>
      </c>
      <c r="D1181">
        <v>56</v>
      </c>
      <c r="E1181">
        <v>72</v>
      </c>
      <c r="F1181">
        <v>6.76</v>
      </c>
      <c r="G1181" t="s">
        <v>18</v>
      </c>
      <c r="H1181" t="s">
        <v>12</v>
      </c>
      <c r="I1181" t="str">
        <f t="shared" si="18"/>
        <v>Africa</v>
      </c>
    </row>
    <row r="1182" spans="1:9" x14ac:dyDescent="0.3">
      <c r="A1182" t="s">
        <v>1153</v>
      </c>
      <c r="B1182">
        <v>94</v>
      </c>
      <c r="C1182" t="s">
        <v>45</v>
      </c>
      <c r="D1182">
        <v>54</v>
      </c>
      <c r="E1182">
        <v>72</v>
      </c>
      <c r="F1182">
        <v>5.29</v>
      </c>
      <c r="G1182" t="s">
        <v>18</v>
      </c>
      <c r="H1182" t="s">
        <v>12</v>
      </c>
      <c r="I1182" t="str">
        <f t="shared" si="18"/>
        <v>Africa</v>
      </c>
    </row>
    <row r="1183" spans="1:9" x14ac:dyDescent="0.3">
      <c r="A1183" t="s">
        <v>1154</v>
      </c>
      <c r="B1183">
        <v>94</v>
      </c>
      <c r="C1183" t="s">
        <v>82</v>
      </c>
      <c r="D1183">
        <v>50</v>
      </c>
      <c r="E1183">
        <v>70</v>
      </c>
      <c r="F1183">
        <v>5.29</v>
      </c>
      <c r="G1183" t="s">
        <v>18</v>
      </c>
      <c r="H1183" t="s">
        <v>9</v>
      </c>
      <c r="I1183" t="str">
        <f t="shared" si="18"/>
        <v>Africa</v>
      </c>
    </row>
    <row r="1184" spans="1:9" x14ac:dyDescent="0.3">
      <c r="A1184" t="s">
        <v>427</v>
      </c>
      <c r="B1184">
        <v>94</v>
      </c>
      <c r="C1184" t="s">
        <v>45</v>
      </c>
      <c r="D1184">
        <v>57</v>
      </c>
      <c r="E1184">
        <v>77</v>
      </c>
      <c r="F1184">
        <v>5.88</v>
      </c>
      <c r="G1184" t="s">
        <v>18</v>
      </c>
      <c r="H1184" t="s">
        <v>9</v>
      </c>
      <c r="I1184" t="str">
        <f t="shared" si="18"/>
        <v>Africa</v>
      </c>
    </row>
    <row r="1185" spans="1:9" x14ac:dyDescent="0.3">
      <c r="A1185" t="s">
        <v>1155</v>
      </c>
      <c r="B1185">
        <v>94</v>
      </c>
      <c r="C1185" t="s">
        <v>45</v>
      </c>
      <c r="D1185">
        <v>58</v>
      </c>
      <c r="E1185">
        <v>78</v>
      </c>
      <c r="F1185">
        <v>5.88</v>
      </c>
      <c r="G1185" t="s">
        <v>18</v>
      </c>
      <c r="H1185" t="s">
        <v>9</v>
      </c>
      <c r="I1185" t="str">
        <f t="shared" si="18"/>
        <v>Africa</v>
      </c>
    </row>
    <row r="1186" spans="1:9" x14ac:dyDescent="0.3">
      <c r="A1186" t="s">
        <v>427</v>
      </c>
      <c r="B1186">
        <v>94</v>
      </c>
      <c r="C1186" t="s">
        <v>45</v>
      </c>
      <c r="D1186">
        <v>60</v>
      </c>
      <c r="E1186">
        <v>78</v>
      </c>
      <c r="F1186">
        <v>5.73</v>
      </c>
      <c r="G1186" t="s">
        <v>18</v>
      </c>
      <c r="H1186" t="s">
        <v>9</v>
      </c>
      <c r="I1186" t="str">
        <f t="shared" si="18"/>
        <v>Africa</v>
      </c>
    </row>
    <row r="1187" spans="1:9" x14ac:dyDescent="0.3">
      <c r="A1187" t="s">
        <v>1156</v>
      </c>
      <c r="B1187">
        <v>94</v>
      </c>
      <c r="C1187" t="s">
        <v>45</v>
      </c>
      <c r="D1187">
        <v>58</v>
      </c>
      <c r="E1187">
        <v>74</v>
      </c>
      <c r="F1187">
        <v>198.24</v>
      </c>
      <c r="G1187" t="s">
        <v>2</v>
      </c>
      <c r="H1187" t="s">
        <v>14</v>
      </c>
      <c r="I1187" t="str">
        <f t="shared" si="18"/>
        <v>America</v>
      </c>
    </row>
    <row r="1188" spans="1:9" x14ac:dyDescent="0.3">
      <c r="A1188" t="s">
        <v>398</v>
      </c>
      <c r="B1188">
        <v>95</v>
      </c>
      <c r="C1188" t="s">
        <v>45</v>
      </c>
      <c r="D1188">
        <v>60</v>
      </c>
      <c r="E1188">
        <v>78</v>
      </c>
      <c r="F1188">
        <v>27.76</v>
      </c>
      <c r="G1188" t="s">
        <v>18</v>
      </c>
      <c r="H1188" t="s">
        <v>150</v>
      </c>
      <c r="I1188" t="str">
        <f t="shared" si="18"/>
        <v>NULL</v>
      </c>
    </row>
    <row r="1189" spans="1:9" x14ac:dyDescent="0.3">
      <c r="A1189" t="s">
        <v>409</v>
      </c>
      <c r="B1189">
        <v>94</v>
      </c>
      <c r="C1189" t="s">
        <v>45</v>
      </c>
      <c r="D1189">
        <v>60</v>
      </c>
      <c r="E1189">
        <v>76</v>
      </c>
      <c r="F1189">
        <v>6.03</v>
      </c>
      <c r="G1189" t="s">
        <v>18</v>
      </c>
      <c r="H1189" t="s">
        <v>9</v>
      </c>
      <c r="I1189" t="str">
        <f t="shared" si="18"/>
        <v>Africa</v>
      </c>
    </row>
    <row r="1190" spans="1:9" x14ac:dyDescent="0.3">
      <c r="A1190" t="s">
        <v>1157</v>
      </c>
      <c r="B1190">
        <v>94</v>
      </c>
      <c r="C1190" t="s">
        <v>41</v>
      </c>
      <c r="D1190">
        <v>62</v>
      </c>
      <c r="E1190">
        <v>84</v>
      </c>
      <c r="F1190">
        <v>4.7</v>
      </c>
      <c r="G1190" t="s">
        <v>18</v>
      </c>
      <c r="H1190" t="s">
        <v>14</v>
      </c>
      <c r="I1190" t="str">
        <f t="shared" si="18"/>
        <v>America</v>
      </c>
    </row>
    <row r="1191" spans="1:9" x14ac:dyDescent="0.3">
      <c r="A1191" t="s">
        <v>1158</v>
      </c>
      <c r="B1191">
        <v>94</v>
      </c>
      <c r="C1191" t="s">
        <v>45</v>
      </c>
      <c r="D1191">
        <v>52</v>
      </c>
      <c r="E1191">
        <v>72</v>
      </c>
      <c r="F1191">
        <v>239.13</v>
      </c>
      <c r="G1191" t="s">
        <v>2</v>
      </c>
      <c r="H1191" t="s">
        <v>9</v>
      </c>
      <c r="I1191" t="str">
        <f t="shared" si="18"/>
        <v>Africa</v>
      </c>
    </row>
    <row r="1192" spans="1:9" x14ac:dyDescent="0.3">
      <c r="A1192" t="s">
        <v>1159</v>
      </c>
      <c r="B1192">
        <v>94</v>
      </c>
      <c r="C1192" t="s">
        <v>41</v>
      </c>
      <c r="D1192">
        <v>62</v>
      </c>
      <c r="E1192">
        <v>80</v>
      </c>
      <c r="F1192">
        <v>2500</v>
      </c>
      <c r="G1192" t="s">
        <v>2</v>
      </c>
      <c r="H1192" t="s">
        <v>5</v>
      </c>
      <c r="I1192" t="str">
        <f t="shared" si="18"/>
        <v>America</v>
      </c>
    </row>
    <row r="1193" spans="1:9" x14ac:dyDescent="0.3">
      <c r="A1193" t="s">
        <v>1160</v>
      </c>
      <c r="B1193">
        <v>94</v>
      </c>
      <c r="C1193" t="s">
        <v>45</v>
      </c>
      <c r="D1193">
        <v>56</v>
      </c>
      <c r="E1193">
        <v>70</v>
      </c>
      <c r="F1193">
        <v>13.23</v>
      </c>
      <c r="G1193" t="s">
        <v>18</v>
      </c>
      <c r="H1193" t="s">
        <v>150</v>
      </c>
      <c r="I1193" t="str">
        <f t="shared" si="18"/>
        <v>NULL</v>
      </c>
    </row>
    <row r="1194" spans="1:9" x14ac:dyDescent="0.3">
      <c r="A1194" t="s">
        <v>1161</v>
      </c>
      <c r="B1194">
        <v>96</v>
      </c>
      <c r="C1194" t="s">
        <v>45</v>
      </c>
      <c r="D1194">
        <v>58</v>
      </c>
      <c r="E1194">
        <v>76</v>
      </c>
      <c r="F1194">
        <v>26.41</v>
      </c>
      <c r="G1194" t="s">
        <v>18</v>
      </c>
      <c r="H1194" t="s">
        <v>18</v>
      </c>
      <c r="I1194" t="str">
        <f t="shared" si="18"/>
        <v>America</v>
      </c>
    </row>
    <row r="1195" spans="1:9" x14ac:dyDescent="0.3">
      <c r="A1195" t="s">
        <v>1162</v>
      </c>
      <c r="B1195">
        <v>94</v>
      </c>
      <c r="C1195" t="s">
        <v>45</v>
      </c>
      <c r="D1195">
        <v>58</v>
      </c>
      <c r="E1195">
        <v>78</v>
      </c>
      <c r="F1195">
        <v>22</v>
      </c>
      <c r="G1195" t="s">
        <v>18</v>
      </c>
      <c r="H1195" t="s">
        <v>18</v>
      </c>
      <c r="I1195" t="str">
        <f t="shared" si="18"/>
        <v>America</v>
      </c>
    </row>
    <row r="1196" spans="1:9" x14ac:dyDescent="0.3">
      <c r="A1196" t="s">
        <v>130</v>
      </c>
      <c r="B1196">
        <v>94</v>
      </c>
      <c r="C1196" t="s">
        <v>45</v>
      </c>
      <c r="D1196">
        <v>60</v>
      </c>
      <c r="E1196">
        <v>78</v>
      </c>
      <c r="F1196">
        <v>5.86</v>
      </c>
      <c r="G1196" t="s">
        <v>18</v>
      </c>
      <c r="H1196" t="s">
        <v>9</v>
      </c>
      <c r="I1196" t="str">
        <f t="shared" si="18"/>
        <v>Africa</v>
      </c>
    </row>
    <row r="1197" spans="1:9" x14ac:dyDescent="0.3">
      <c r="A1197" t="s">
        <v>1163</v>
      </c>
      <c r="B1197">
        <v>94</v>
      </c>
      <c r="C1197" t="s">
        <v>45</v>
      </c>
      <c r="D1197">
        <v>60</v>
      </c>
      <c r="E1197">
        <v>78</v>
      </c>
      <c r="F1197">
        <v>5.51</v>
      </c>
      <c r="G1197" t="s">
        <v>18</v>
      </c>
      <c r="H1197" t="s">
        <v>9</v>
      </c>
      <c r="I1197" t="str">
        <f t="shared" si="18"/>
        <v>Africa</v>
      </c>
    </row>
    <row r="1198" spans="1:9" x14ac:dyDescent="0.3">
      <c r="A1198" t="s">
        <v>1164</v>
      </c>
      <c r="B1198">
        <v>94</v>
      </c>
      <c r="C1198" t="s">
        <v>45</v>
      </c>
      <c r="D1198">
        <v>54</v>
      </c>
      <c r="E1198">
        <v>70</v>
      </c>
      <c r="F1198">
        <v>250</v>
      </c>
      <c r="G1198" t="s">
        <v>2</v>
      </c>
      <c r="H1198" t="s">
        <v>21</v>
      </c>
      <c r="I1198" t="str">
        <f t="shared" si="18"/>
        <v>America</v>
      </c>
    </row>
    <row r="1199" spans="1:9" x14ac:dyDescent="0.3">
      <c r="A1199" t="s">
        <v>1165</v>
      </c>
      <c r="B1199">
        <v>95</v>
      </c>
      <c r="C1199" t="s">
        <v>45</v>
      </c>
      <c r="D1199">
        <v>58</v>
      </c>
      <c r="E1199">
        <v>72</v>
      </c>
      <c r="F1199">
        <v>7.33</v>
      </c>
      <c r="G1199" t="s">
        <v>18</v>
      </c>
      <c r="H1199" t="s">
        <v>9</v>
      </c>
      <c r="I1199" t="str">
        <f t="shared" si="18"/>
        <v>Africa</v>
      </c>
    </row>
    <row r="1200" spans="1:9" x14ac:dyDescent="0.3">
      <c r="A1200" t="s">
        <v>1166</v>
      </c>
      <c r="B1200">
        <v>94</v>
      </c>
      <c r="C1200" t="s">
        <v>45</v>
      </c>
      <c r="D1200">
        <v>54</v>
      </c>
      <c r="E1200">
        <v>70</v>
      </c>
      <c r="F1200">
        <v>114.64</v>
      </c>
      <c r="G1200" t="s">
        <v>2</v>
      </c>
      <c r="H1200" t="s">
        <v>9</v>
      </c>
      <c r="I1200" t="str">
        <f t="shared" si="18"/>
        <v>Africa</v>
      </c>
    </row>
    <row r="1201" spans="1:9" x14ac:dyDescent="0.3">
      <c r="A1201" t="s">
        <v>1167</v>
      </c>
      <c r="B1201">
        <v>94</v>
      </c>
      <c r="C1201" t="s">
        <v>45</v>
      </c>
      <c r="D1201">
        <v>58</v>
      </c>
      <c r="E1201">
        <v>78</v>
      </c>
      <c r="F1201">
        <v>200</v>
      </c>
      <c r="G1201" t="s">
        <v>2</v>
      </c>
      <c r="H1201" t="s">
        <v>16</v>
      </c>
      <c r="I1201" t="str">
        <f t="shared" si="18"/>
        <v>Asia-Pacific</v>
      </c>
    </row>
    <row r="1202" spans="1:9" x14ac:dyDescent="0.3">
      <c r="A1202" t="s">
        <v>1168</v>
      </c>
      <c r="B1202">
        <v>94</v>
      </c>
      <c r="C1202" t="s">
        <v>45</v>
      </c>
      <c r="D1202">
        <v>58</v>
      </c>
      <c r="E1202">
        <v>76</v>
      </c>
      <c r="F1202">
        <v>6.47</v>
      </c>
      <c r="G1202" t="s">
        <v>18</v>
      </c>
      <c r="H1202" t="s">
        <v>9</v>
      </c>
      <c r="I1202" t="str">
        <f t="shared" si="18"/>
        <v>Africa</v>
      </c>
    </row>
    <row r="1203" spans="1:9" x14ac:dyDescent="0.3">
      <c r="A1203" t="s">
        <v>1169</v>
      </c>
      <c r="B1203">
        <v>94</v>
      </c>
      <c r="C1203" t="s">
        <v>45</v>
      </c>
      <c r="D1203">
        <v>58</v>
      </c>
      <c r="E1203">
        <v>76</v>
      </c>
      <c r="F1203">
        <v>7.05</v>
      </c>
      <c r="G1203" t="s">
        <v>18</v>
      </c>
      <c r="H1203" t="s">
        <v>12</v>
      </c>
      <c r="I1203" t="str">
        <f t="shared" si="18"/>
        <v>Africa</v>
      </c>
    </row>
    <row r="1204" spans="1:9" x14ac:dyDescent="0.3">
      <c r="A1204" t="s">
        <v>1170</v>
      </c>
      <c r="B1204">
        <v>94</v>
      </c>
      <c r="C1204" t="s">
        <v>45</v>
      </c>
      <c r="D1204">
        <v>60</v>
      </c>
      <c r="E1204">
        <v>76</v>
      </c>
      <c r="F1204">
        <v>8.81</v>
      </c>
      <c r="G1204" t="s">
        <v>18</v>
      </c>
      <c r="H1204" t="s">
        <v>14</v>
      </c>
      <c r="I1204" t="str">
        <f t="shared" si="18"/>
        <v>America</v>
      </c>
    </row>
    <row r="1205" spans="1:9" x14ac:dyDescent="0.3">
      <c r="A1205" t="s">
        <v>1171</v>
      </c>
      <c r="B1205">
        <v>95</v>
      </c>
      <c r="C1205" t="s">
        <v>45</v>
      </c>
      <c r="D1205">
        <v>56</v>
      </c>
      <c r="E1205">
        <v>74</v>
      </c>
      <c r="F1205">
        <v>6.17</v>
      </c>
      <c r="G1205" t="s">
        <v>18</v>
      </c>
      <c r="H1205" t="s">
        <v>12</v>
      </c>
      <c r="I1205" t="str">
        <f t="shared" si="18"/>
        <v>Africa</v>
      </c>
    </row>
    <row r="1206" spans="1:9" x14ac:dyDescent="0.3">
      <c r="A1206" t="s">
        <v>1172</v>
      </c>
      <c r="B1206">
        <v>95</v>
      </c>
      <c r="C1206" t="s">
        <v>45</v>
      </c>
      <c r="D1206">
        <v>58</v>
      </c>
      <c r="E1206">
        <v>78</v>
      </c>
      <c r="F1206">
        <v>6.47</v>
      </c>
      <c r="G1206" t="s">
        <v>18</v>
      </c>
      <c r="H1206" t="s">
        <v>14</v>
      </c>
      <c r="I1206" t="str">
        <f t="shared" si="18"/>
        <v>America</v>
      </c>
    </row>
    <row r="1207" spans="1:9" x14ac:dyDescent="0.3">
      <c r="A1207" t="s">
        <v>1173</v>
      </c>
      <c r="B1207">
        <v>94</v>
      </c>
      <c r="C1207" t="s">
        <v>45</v>
      </c>
      <c r="D1207">
        <v>55</v>
      </c>
      <c r="E1207">
        <v>73</v>
      </c>
      <c r="F1207">
        <v>6.17</v>
      </c>
      <c r="G1207" t="s">
        <v>18</v>
      </c>
      <c r="H1207" t="s">
        <v>12</v>
      </c>
      <c r="I1207" t="str">
        <f t="shared" si="18"/>
        <v>Africa</v>
      </c>
    </row>
    <row r="1208" spans="1:9" x14ac:dyDescent="0.3">
      <c r="A1208" t="s">
        <v>1037</v>
      </c>
      <c r="B1208">
        <v>94</v>
      </c>
      <c r="C1208" t="s">
        <v>45</v>
      </c>
      <c r="D1208">
        <v>58</v>
      </c>
      <c r="E1208">
        <v>80</v>
      </c>
      <c r="F1208">
        <v>5.44</v>
      </c>
      <c r="G1208" t="s">
        <v>18</v>
      </c>
      <c r="H1208" t="s">
        <v>9</v>
      </c>
      <c r="I1208" t="str">
        <f t="shared" si="18"/>
        <v>Africa</v>
      </c>
    </row>
    <row r="1209" spans="1:9" x14ac:dyDescent="0.3">
      <c r="A1209" t="s">
        <v>1174</v>
      </c>
      <c r="B1209">
        <v>94</v>
      </c>
      <c r="C1209" t="s">
        <v>45</v>
      </c>
      <c r="D1209">
        <v>58</v>
      </c>
      <c r="E1209">
        <v>78</v>
      </c>
      <c r="F1209">
        <v>6.91</v>
      </c>
      <c r="G1209" t="s">
        <v>18</v>
      </c>
      <c r="H1209" t="s">
        <v>12</v>
      </c>
      <c r="I1209" t="str">
        <f t="shared" si="18"/>
        <v>Africa</v>
      </c>
    </row>
    <row r="1210" spans="1:9" x14ac:dyDescent="0.3">
      <c r="A1210" t="s">
        <v>1175</v>
      </c>
      <c r="B1210">
        <v>94</v>
      </c>
      <c r="C1210" t="s">
        <v>41</v>
      </c>
      <c r="D1210">
        <v>64</v>
      </c>
      <c r="E1210">
        <v>92</v>
      </c>
      <c r="F1210">
        <v>5.58</v>
      </c>
      <c r="G1210" t="s">
        <v>18</v>
      </c>
      <c r="H1210" t="s">
        <v>9</v>
      </c>
      <c r="I1210" t="str">
        <f t="shared" si="18"/>
        <v>Africa</v>
      </c>
    </row>
    <row r="1211" spans="1:9" x14ac:dyDescent="0.3">
      <c r="A1211" t="s">
        <v>1176</v>
      </c>
      <c r="B1211">
        <v>94</v>
      </c>
      <c r="C1211" t="s">
        <v>41</v>
      </c>
      <c r="D1211">
        <v>62</v>
      </c>
      <c r="E1211">
        <v>88</v>
      </c>
      <c r="F1211">
        <v>5.44</v>
      </c>
      <c r="G1211" t="s">
        <v>18</v>
      </c>
      <c r="H1211" t="s">
        <v>9</v>
      </c>
      <c r="I1211" t="str">
        <f t="shared" si="18"/>
        <v>Africa</v>
      </c>
    </row>
    <row r="1212" spans="1:9" x14ac:dyDescent="0.3">
      <c r="A1212" t="s">
        <v>365</v>
      </c>
      <c r="B1212">
        <v>95</v>
      </c>
      <c r="C1212" t="s">
        <v>45</v>
      </c>
      <c r="D1212">
        <v>60</v>
      </c>
      <c r="E1212">
        <v>76</v>
      </c>
      <c r="F1212">
        <v>4.7</v>
      </c>
      <c r="G1212" t="s">
        <v>18</v>
      </c>
      <c r="H1212" t="s">
        <v>9</v>
      </c>
      <c r="I1212" t="str">
        <f t="shared" si="18"/>
        <v>Africa</v>
      </c>
    </row>
    <row r="1213" spans="1:9" x14ac:dyDescent="0.3">
      <c r="A1213" t="s">
        <v>1177</v>
      </c>
      <c r="B1213">
        <v>96</v>
      </c>
      <c r="C1213" t="s">
        <v>45</v>
      </c>
      <c r="D1213">
        <v>58</v>
      </c>
      <c r="E1213">
        <v>78</v>
      </c>
      <c r="F1213">
        <v>176.37</v>
      </c>
      <c r="G1213" t="s">
        <v>2</v>
      </c>
      <c r="H1213" t="s">
        <v>12</v>
      </c>
      <c r="I1213" t="str">
        <f t="shared" si="18"/>
        <v>Africa</v>
      </c>
    </row>
    <row r="1214" spans="1:9" x14ac:dyDescent="0.3">
      <c r="A1214" t="s">
        <v>1178</v>
      </c>
      <c r="B1214">
        <v>94</v>
      </c>
      <c r="C1214" t="s">
        <v>45</v>
      </c>
      <c r="D1214">
        <v>58</v>
      </c>
      <c r="E1214">
        <v>76</v>
      </c>
      <c r="F1214">
        <v>127.87</v>
      </c>
      <c r="G1214" t="s">
        <v>2</v>
      </c>
      <c r="H1214" t="s">
        <v>9</v>
      </c>
      <c r="I1214" t="str">
        <f t="shared" si="18"/>
        <v>Africa</v>
      </c>
    </row>
    <row r="1215" spans="1:9" x14ac:dyDescent="0.3">
      <c r="A1215" t="s">
        <v>1179</v>
      </c>
      <c r="B1215">
        <v>94</v>
      </c>
      <c r="C1215" t="s">
        <v>41</v>
      </c>
      <c r="D1215">
        <v>62</v>
      </c>
      <c r="E1215">
        <v>80</v>
      </c>
      <c r="F1215">
        <v>5.88</v>
      </c>
      <c r="G1215" t="s">
        <v>18</v>
      </c>
      <c r="H1215" t="s">
        <v>9</v>
      </c>
      <c r="I1215" t="str">
        <f t="shared" si="18"/>
        <v>Africa</v>
      </c>
    </row>
    <row r="1216" spans="1:9" x14ac:dyDescent="0.3">
      <c r="A1216" t="s">
        <v>1180</v>
      </c>
      <c r="B1216">
        <v>94</v>
      </c>
      <c r="C1216" t="s">
        <v>45</v>
      </c>
      <c r="D1216">
        <v>58</v>
      </c>
      <c r="E1216">
        <v>78</v>
      </c>
      <c r="F1216">
        <v>14.7</v>
      </c>
      <c r="G1216" t="s">
        <v>18</v>
      </c>
      <c r="H1216" t="s">
        <v>18</v>
      </c>
      <c r="I1216" t="str">
        <f t="shared" si="18"/>
        <v>America</v>
      </c>
    </row>
    <row r="1217" spans="1:9" x14ac:dyDescent="0.3">
      <c r="A1217" t="s">
        <v>1181</v>
      </c>
      <c r="B1217">
        <v>95</v>
      </c>
      <c r="C1217" t="s">
        <v>45</v>
      </c>
      <c r="D1217">
        <v>60</v>
      </c>
      <c r="E1217">
        <v>74</v>
      </c>
      <c r="F1217">
        <v>5.29</v>
      </c>
      <c r="G1217" t="s">
        <v>18</v>
      </c>
      <c r="H1217" t="s">
        <v>9</v>
      </c>
      <c r="I1217" t="str">
        <f t="shared" si="18"/>
        <v>Africa</v>
      </c>
    </row>
    <row r="1218" spans="1:9" x14ac:dyDescent="0.3">
      <c r="A1218" t="s">
        <v>1182</v>
      </c>
      <c r="B1218">
        <v>95</v>
      </c>
      <c r="C1218" t="s">
        <v>45</v>
      </c>
      <c r="D1218">
        <v>60</v>
      </c>
      <c r="E1218">
        <v>76</v>
      </c>
      <c r="F1218">
        <v>5.88</v>
      </c>
      <c r="G1218" t="s">
        <v>18</v>
      </c>
      <c r="H1218" t="s">
        <v>24</v>
      </c>
      <c r="I1218" t="str">
        <f t="shared" si="18"/>
        <v>Africa</v>
      </c>
    </row>
    <row r="1219" spans="1:9" x14ac:dyDescent="0.3">
      <c r="A1219" t="s">
        <v>1183</v>
      </c>
      <c r="B1219">
        <v>94</v>
      </c>
      <c r="C1219" t="s">
        <v>41</v>
      </c>
      <c r="D1219">
        <v>64</v>
      </c>
      <c r="E1219">
        <v>83</v>
      </c>
      <c r="F1219">
        <v>5.29</v>
      </c>
      <c r="G1219" t="s">
        <v>18</v>
      </c>
      <c r="H1219" t="s">
        <v>9</v>
      </c>
      <c r="I1219" t="str">
        <f t="shared" ref="I1219:I1282" si="19">_xlfn.XLOOKUP(H1219, $M$2:$M$50, $N$2:$N$50, "Other")</f>
        <v>Africa</v>
      </c>
    </row>
    <row r="1220" spans="1:9" x14ac:dyDescent="0.3">
      <c r="A1220" t="s">
        <v>1184</v>
      </c>
      <c r="B1220">
        <v>94</v>
      </c>
      <c r="C1220" t="s">
        <v>41</v>
      </c>
      <c r="D1220">
        <v>67</v>
      </c>
      <c r="E1220">
        <v>96</v>
      </c>
      <c r="F1220">
        <v>4.7</v>
      </c>
      <c r="G1220" t="s">
        <v>18</v>
      </c>
      <c r="H1220" t="s">
        <v>9</v>
      </c>
      <c r="I1220" t="str">
        <f t="shared" si="19"/>
        <v>Africa</v>
      </c>
    </row>
    <row r="1221" spans="1:9" x14ac:dyDescent="0.3">
      <c r="A1221" t="s">
        <v>1185</v>
      </c>
      <c r="B1221">
        <v>94</v>
      </c>
      <c r="C1221" t="s">
        <v>45</v>
      </c>
      <c r="D1221">
        <v>60</v>
      </c>
      <c r="E1221">
        <v>79</v>
      </c>
      <c r="F1221">
        <v>6.61</v>
      </c>
      <c r="G1221" t="s">
        <v>18</v>
      </c>
      <c r="H1221" t="s">
        <v>22</v>
      </c>
      <c r="I1221" t="str">
        <f t="shared" si="19"/>
        <v>America</v>
      </c>
    </row>
    <row r="1222" spans="1:9" x14ac:dyDescent="0.3">
      <c r="A1222" t="s">
        <v>1186</v>
      </c>
      <c r="B1222">
        <v>94</v>
      </c>
      <c r="C1222" t="s">
        <v>41</v>
      </c>
      <c r="D1222">
        <v>66</v>
      </c>
      <c r="E1222">
        <v>85</v>
      </c>
      <c r="F1222">
        <v>4.12</v>
      </c>
      <c r="G1222" t="s">
        <v>18</v>
      </c>
      <c r="H1222" t="s">
        <v>9</v>
      </c>
      <c r="I1222" t="str">
        <f t="shared" si="19"/>
        <v>Africa</v>
      </c>
    </row>
    <row r="1223" spans="1:9" x14ac:dyDescent="0.3">
      <c r="A1223" t="s">
        <v>1187</v>
      </c>
      <c r="B1223">
        <v>94</v>
      </c>
      <c r="C1223" t="s">
        <v>45</v>
      </c>
      <c r="D1223">
        <v>60</v>
      </c>
      <c r="E1223">
        <v>76</v>
      </c>
      <c r="F1223">
        <v>4.8499999999999996</v>
      </c>
      <c r="G1223" t="s">
        <v>18</v>
      </c>
      <c r="H1223" t="s">
        <v>14</v>
      </c>
      <c r="I1223" t="str">
        <f t="shared" si="19"/>
        <v>America</v>
      </c>
    </row>
    <row r="1224" spans="1:9" x14ac:dyDescent="0.3">
      <c r="A1224" t="s">
        <v>300</v>
      </c>
      <c r="B1224">
        <v>94</v>
      </c>
      <c r="C1224" t="s">
        <v>45</v>
      </c>
      <c r="D1224">
        <v>58</v>
      </c>
      <c r="E1224">
        <v>74</v>
      </c>
      <c r="F1224">
        <v>5.59</v>
      </c>
      <c r="G1224" t="s">
        <v>18</v>
      </c>
      <c r="H1224" t="s">
        <v>7</v>
      </c>
      <c r="I1224" t="str">
        <f t="shared" si="19"/>
        <v>America</v>
      </c>
    </row>
    <row r="1225" spans="1:9" x14ac:dyDescent="0.3">
      <c r="A1225" t="s">
        <v>1188</v>
      </c>
      <c r="B1225">
        <v>94</v>
      </c>
      <c r="C1225" t="s">
        <v>45</v>
      </c>
      <c r="D1225">
        <v>54</v>
      </c>
      <c r="E1225">
        <v>70</v>
      </c>
      <c r="F1225">
        <v>4.12</v>
      </c>
      <c r="G1225" t="s">
        <v>18</v>
      </c>
      <c r="H1225" t="s">
        <v>9</v>
      </c>
      <c r="I1225" t="str">
        <f t="shared" si="19"/>
        <v>Africa</v>
      </c>
    </row>
    <row r="1226" spans="1:9" x14ac:dyDescent="0.3">
      <c r="A1226" t="s">
        <v>1189</v>
      </c>
      <c r="B1226">
        <v>95</v>
      </c>
      <c r="C1226" t="s">
        <v>41</v>
      </c>
      <c r="D1226">
        <v>64</v>
      </c>
      <c r="E1226">
        <v>80</v>
      </c>
      <c r="F1226">
        <v>26.41</v>
      </c>
      <c r="G1226" t="s">
        <v>18</v>
      </c>
      <c r="H1226" t="s">
        <v>150</v>
      </c>
      <c r="I1226" t="str">
        <f t="shared" si="19"/>
        <v>NULL</v>
      </c>
    </row>
    <row r="1227" spans="1:9" x14ac:dyDescent="0.3">
      <c r="A1227" t="s">
        <v>1190</v>
      </c>
      <c r="B1227">
        <v>94</v>
      </c>
      <c r="C1227" t="s">
        <v>41</v>
      </c>
      <c r="D1227">
        <v>62</v>
      </c>
      <c r="E1227">
        <v>80</v>
      </c>
      <c r="F1227">
        <v>11.73</v>
      </c>
      <c r="G1227" t="s">
        <v>18</v>
      </c>
      <c r="H1227" t="s">
        <v>22</v>
      </c>
      <c r="I1227" t="str">
        <f t="shared" si="19"/>
        <v>America</v>
      </c>
    </row>
    <row r="1228" spans="1:9" x14ac:dyDescent="0.3">
      <c r="A1228" t="s">
        <v>1191</v>
      </c>
      <c r="B1228">
        <v>94</v>
      </c>
      <c r="C1228" t="s">
        <v>41</v>
      </c>
      <c r="D1228">
        <v>62</v>
      </c>
      <c r="E1228">
        <v>82</v>
      </c>
      <c r="F1228">
        <v>17.62</v>
      </c>
      <c r="G1228" t="s">
        <v>18</v>
      </c>
      <c r="H1228" t="s">
        <v>14</v>
      </c>
      <c r="I1228" t="str">
        <f t="shared" si="19"/>
        <v>America</v>
      </c>
    </row>
    <row r="1229" spans="1:9" x14ac:dyDescent="0.3">
      <c r="A1229" t="s">
        <v>1192</v>
      </c>
      <c r="B1229">
        <v>94</v>
      </c>
      <c r="C1229" t="s">
        <v>41</v>
      </c>
      <c r="D1229">
        <v>62</v>
      </c>
      <c r="E1229">
        <v>80</v>
      </c>
      <c r="F1229">
        <v>176.37</v>
      </c>
      <c r="G1229" t="s">
        <v>2</v>
      </c>
      <c r="H1229" t="s">
        <v>9</v>
      </c>
      <c r="I1229" t="str">
        <f t="shared" si="19"/>
        <v>Africa</v>
      </c>
    </row>
    <row r="1230" spans="1:9" x14ac:dyDescent="0.3">
      <c r="A1230" t="s">
        <v>1193</v>
      </c>
      <c r="B1230">
        <v>95</v>
      </c>
      <c r="C1230" t="s">
        <v>45</v>
      </c>
      <c r="D1230">
        <v>60</v>
      </c>
      <c r="E1230">
        <v>78</v>
      </c>
      <c r="F1230">
        <v>264.55</v>
      </c>
      <c r="G1230" t="s">
        <v>2</v>
      </c>
      <c r="H1230" t="s">
        <v>12</v>
      </c>
      <c r="I1230" t="str">
        <f t="shared" si="19"/>
        <v>Africa</v>
      </c>
    </row>
    <row r="1231" spans="1:9" x14ac:dyDescent="0.3">
      <c r="A1231" t="s">
        <v>1194</v>
      </c>
      <c r="B1231">
        <v>94</v>
      </c>
      <c r="C1231" t="s">
        <v>45</v>
      </c>
      <c r="D1231">
        <v>62</v>
      </c>
      <c r="E1231">
        <v>76</v>
      </c>
      <c r="F1231">
        <v>308.64</v>
      </c>
      <c r="G1231" t="s">
        <v>2</v>
      </c>
      <c r="H1231" t="s">
        <v>14</v>
      </c>
      <c r="I1231" t="str">
        <f t="shared" si="19"/>
        <v>America</v>
      </c>
    </row>
    <row r="1232" spans="1:9" x14ac:dyDescent="0.3">
      <c r="A1232" t="s">
        <v>1195</v>
      </c>
      <c r="B1232">
        <v>96</v>
      </c>
      <c r="C1232" t="s">
        <v>45</v>
      </c>
      <c r="D1232">
        <v>58</v>
      </c>
      <c r="E1232">
        <v>76</v>
      </c>
      <c r="F1232">
        <v>6.17</v>
      </c>
      <c r="G1232" t="s">
        <v>18</v>
      </c>
      <c r="H1232" t="s">
        <v>12</v>
      </c>
      <c r="I1232" t="str">
        <f t="shared" si="19"/>
        <v>Africa</v>
      </c>
    </row>
    <row r="1233" spans="1:9" x14ac:dyDescent="0.3">
      <c r="A1233" t="s">
        <v>1196</v>
      </c>
      <c r="B1233">
        <v>95</v>
      </c>
      <c r="C1233" t="s">
        <v>45</v>
      </c>
      <c r="D1233">
        <v>58</v>
      </c>
      <c r="E1233">
        <v>76</v>
      </c>
      <c r="F1233">
        <v>6.17</v>
      </c>
      <c r="G1233" t="s">
        <v>18</v>
      </c>
      <c r="H1233" t="s">
        <v>12</v>
      </c>
      <c r="I1233" t="str">
        <f t="shared" si="19"/>
        <v>Africa</v>
      </c>
    </row>
    <row r="1234" spans="1:9" x14ac:dyDescent="0.3">
      <c r="A1234" t="s">
        <v>1197</v>
      </c>
      <c r="B1234">
        <v>94</v>
      </c>
      <c r="C1234" t="s">
        <v>45</v>
      </c>
      <c r="D1234">
        <v>56</v>
      </c>
      <c r="E1234">
        <v>72</v>
      </c>
      <c r="F1234">
        <v>5.59</v>
      </c>
      <c r="G1234" t="s">
        <v>18</v>
      </c>
      <c r="H1234" t="s">
        <v>14</v>
      </c>
      <c r="I1234" t="str">
        <f t="shared" si="19"/>
        <v>America</v>
      </c>
    </row>
    <row r="1235" spans="1:9" x14ac:dyDescent="0.3">
      <c r="A1235" t="s">
        <v>1198</v>
      </c>
      <c r="B1235">
        <v>94</v>
      </c>
      <c r="C1235" t="s">
        <v>45</v>
      </c>
      <c r="D1235">
        <v>58</v>
      </c>
      <c r="E1235">
        <v>76</v>
      </c>
      <c r="F1235">
        <v>6.17</v>
      </c>
      <c r="G1235" t="s">
        <v>18</v>
      </c>
      <c r="H1235" t="s">
        <v>23</v>
      </c>
      <c r="I1235" t="str">
        <f t="shared" si="19"/>
        <v>Africa</v>
      </c>
    </row>
    <row r="1236" spans="1:9" x14ac:dyDescent="0.3">
      <c r="A1236" t="s">
        <v>1199</v>
      </c>
      <c r="B1236">
        <v>95</v>
      </c>
      <c r="C1236" t="s">
        <v>45</v>
      </c>
      <c r="D1236">
        <v>59</v>
      </c>
      <c r="E1236">
        <v>77</v>
      </c>
      <c r="F1236">
        <v>6.17</v>
      </c>
      <c r="G1236" t="s">
        <v>18</v>
      </c>
      <c r="H1236" t="s">
        <v>14</v>
      </c>
      <c r="I1236" t="str">
        <f t="shared" si="19"/>
        <v>America</v>
      </c>
    </row>
    <row r="1237" spans="1:9" x14ac:dyDescent="0.3">
      <c r="A1237" t="s">
        <v>1200</v>
      </c>
      <c r="B1237">
        <v>94</v>
      </c>
      <c r="C1237" t="s">
        <v>45</v>
      </c>
      <c r="D1237">
        <v>58</v>
      </c>
      <c r="E1237">
        <v>74</v>
      </c>
      <c r="F1237">
        <v>9.9600000000000009</v>
      </c>
      <c r="G1237" t="s">
        <v>18</v>
      </c>
      <c r="H1237" t="s">
        <v>21</v>
      </c>
      <c r="I1237" t="str">
        <f t="shared" si="19"/>
        <v>America</v>
      </c>
    </row>
    <row r="1238" spans="1:9" x14ac:dyDescent="0.3">
      <c r="A1238" t="s">
        <v>1201</v>
      </c>
      <c r="B1238">
        <v>95</v>
      </c>
      <c r="C1238" t="s">
        <v>45</v>
      </c>
      <c r="D1238">
        <v>58</v>
      </c>
      <c r="E1238">
        <v>76</v>
      </c>
      <c r="F1238">
        <v>121.25</v>
      </c>
      <c r="G1238" t="s">
        <v>2</v>
      </c>
      <c r="H1238" t="s">
        <v>9</v>
      </c>
      <c r="I1238" t="str">
        <f t="shared" si="19"/>
        <v>Africa</v>
      </c>
    </row>
    <row r="1239" spans="1:9" x14ac:dyDescent="0.3">
      <c r="A1239" t="s">
        <v>1202</v>
      </c>
      <c r="B1239">
        <v>94</v>
      </c>
      <c r="C1239" t="s">
        <v>45</v>
      </c>
      <c r="D1239">
        <v>56</v>
      </c>
      <c r="E1239">
        <v>72</v>
      </c>
      <c r="F1239">
        <v>0.88</v>
      </c>
      <c r="G1239" t="s">
        <v>2</v>
      </c>
      <c r="H1239" t="s">
        <v>2</v>
      </c>
      <c r="I1239" t="str">
        <f t="shared" si="19"/>
        <v>Asia-Pacific</v>
      </c>
    </row>
    <row r="1240" spans="1:9" x14ac:dyDescent="0.3">
      <c r="A1240" t="s">
        <v>1203</v>
      </c>
      <c r="B1240">
        <v>94</v>
      </c>
      <c r="C1240" t="s">
        <v>45</v>
      </c>
      <c r="D1240">
        <v>54</v>
      </c>
      <c r="E1240">
        <v>72</v>
      </c>
      <c r="F1240">
        <v>5.88</v>
      </c>
      <c r="G1240" t="s">
        <v>18</v>
      </c>
      <c r="H1240" t="s">
        <v>23</v>
      </c>
      <c r="I1240" t="str">
        <f t="shared" si="19"/>
        <v>Africa</v>
      </c>
    </row>
    <row r="1241" spans="1:9" x14ac:dyDescent="0.3">
      <c r="A1241" t="s">
        <v>1204</v>
      </c>
      <c r="B1241">
        <v>94</v>
      </c>
      <c r="C1241" t="s">
        <v>45</v>
      </c>
      <c r="D1241">
        <v>52</v>
      </c>
      <c r="E1241">
        <v>70</v>
      </c>
      <c r="F1241">
        <v>204.55</v>
      </c>
      <c r="G1241" t="s">
        <v>2</v>
      </c>
      <c r="H1241" t="s">
        <v>15</v>
      </c>
      <c r="I1241" t="str">
        <f t="shared" si="19"/>
        <v>America</v>
      </c>
    </row>
    <row r="1242" spans="1:9" x14ac:dyDescent="0.3">
      <c r="A1242" t="s">
        <v>952</v>
      </c>
      <c r="B1242">
        <v>94</v>
      </c>
      <c r="C1242" t="s">
        <v>41</v>
      </c>
      <c r="D1242">
        <v>62</v>
      </c>
      <c r="E1242">
        <v>80</v>
      </c>
      <c r="F1242">
        <v>17.64</v>
      </c>
      <c r="G1242" t="s">
        <v>18</v>
      </c>
      <c r="H1242" t="s">
        <v>14</v>
      </c>
      <c r="I1242" t="str">
        <f t="shared" si="19"/>
        <v>America</v>
      </c>
    </row>
    <row r="1243" spans="1:9" x14ac:dyDescent="0.3">
      <c r="A1243" t="s">
        <v>1205</v>
      </c>
      <c r="B1243">
        <v>94</v>
      </c>
      <c r="C1243" t="s">
        <v>45</v>
      </c>
      <c r="D1243">
        <v>60</v>
      </c>
      <c r="E1243">
        <v>76</v>
      </c>
      <c r="F1243">
        <v>7.35</v>
      </c>
      <c r="G1243" t="s">
        <v>18</v>
      </c>
      <c r="H1243" t="s">
        <v>9</v>
      </c>
      <c r="I1243" t="str">
        <f t="shared" si="19"/>
        <v>Africa</v>
      </c>
    </row>
    <row r="1244" spans="1:9" x14ac:dyDescent="0.3">
      <c r="A1244" t="s">
        <v>1206</v>
      </c>
      <c r="B1244">
        <v>95</v>
      </c>
      <c r="C1244" t="s">
        <v>45</v>
      </c>
      <c r="D1244">
        <v>58</v>
      </c>
      <c r="E1244">
        <v>76</v>
      </c>
      <c r="F1244">
        <v>16.75</v>
      </c>
      <c r="G1244" t="s">
        <v>18</v>
      </c>
      <c r="H1244" t="s">
        <v>18</v>
      </c>
      <c r="I1244" t="str">
        <f t="shared" si="19"/>
        <v>America</v>
      </c>
    </row>
    <row r="1245" spans="1:9" x14ac:dyDescent="0.3">
      <c r="A1245" t="s">
        <v>1207</v>
      </c>
      <c r="B1245">
        <v>94</v>
      </c>
      <c r="C1245" t="s">
        <v>82</v>
      </c>
      <c r="D1245">
        <v>52</v>
      </c>
      <c r="E1245">
        <v>68</v>
      </c>
      <c r="F1245">
        <v>6.17</v>
      </c>
      <c r="G1245" t="s">
        <v>18</v>
      </c>
      <c r="H1245" t="s">
        <v>9</v>
      </c>
      <c r="I1245" t="str">
        <f t="shared" si="19"/>
        <v>Africa</v>
      </c>
    </row>
    <row r="1246" spans="1:9" x14ac:dyDescent="0.3">
      <c r="A1246" t="s">
        <v>390</v>
      </c>
      <c r="B1246">
        <v>94</v>
      </c>
      <c r="C1246" t="s">
        <v>45</v>
      </c>
      <c r="D1246">
        <v>58</v>
      </c>
      <c r="E1246">
        <v>74</v>
      </c>
      <c r="F1246">
        <v>6.17</v>
      </c>
      <c r="G1246" t="s">
        <v>18</v>
      </c>
      <c r="H1246" t="s">
        <v>16</v>
      </c>
      <c r="I1246" t="str">
        <f t="shared" si="19"/>
        <v>Asia-Pacific</v>
      </c>
    </row>
    <row r="1247" spans="1:9" x14ac:dyDescent="0.3">
      <c r="A1247" t="s">
        <v>1208</v>
      </c>
      <c r="B1247">
        <v>94</v>
      </c>
      <c r="C1247" t="s">
        <v>82</v>
      </c>
      <c r="D1247">
        <v>52</v>
      </c>
      <c r="E1247">
        <v>68</v>
      </c>
      <c r="F1247">
        <v>16.71</v>
      </c>
      <c r="G1247" t="s">
        <v>18</v>
      </c>
      <c r="H1247" t="s">
        <v>18</v>
      </c>
      <c r="I1247" t="str">
        <f t="shared" si="19"/>
        <v>America</v>
      </c>
    </row>
    <row r="1248" spans="1:9" x14ac:dyDescent="0.3">
      <c r="A1248" t="s">
        <v>1209</v>
      </c>
      <c r="B1248">
        <v>94</v>
      </c>
      <c r="C1248" t="s">
        <v>45</v>
      </c>
      <c r="D1248">
        <v>58</v>
      </c>
      <c r="E1248">
        <v>76</v>
      </c>
      <c r="F1248">
        <v>5.88</v>
      </c>
      <c r="G1248" t="s">
        <v>18</v>
      </c>
      <c r="H1248" t="s">
        <v>9</v>
      </c>
      <c r="I1248" t="str">
        <f t="shared" si="19"/>
        <v>Africa</v>
      </c>
    </row>
    <row r="1249" spans="1:9" x14ac:dyDescent="0.3">
      <c r="A1249" t="s">
        <v>1210</v>
      </c>
      <c r="B1249">
        <v>94</v>
      </c>
      <c r="C1249" t="s">
        <v>45</v>
      </c>
      <c r="D1249">
        <v>60</v>
      </c>
      <c r="E1249">
        <v>78</v>
      </c>
      <c r="F1249">
        <v>5.29</v>
      </c>
      <c r="G1249" t="s">
        <v>18</v>
      </c>
      <c r="H1249" t="s">
        <v>14</v>
      </c>
      <c r="I1249" t="str">
        <f t="shared" si="19"/>
        <v>America</v>
      </c>
    </row>
    <row r="1250" spans="1:9" x14ac:dyDescent="0.3">
      <c r="A1250" t="s">
        <v>390</v>
      </c>
      <c r="B1250">
        <v>94</v>
      </c>
      <c r="C1250" t="s">
        <v>45</v>
      </c>
      <c r="D1250">
        <v>54</v>
      </c>
      <c r="E1250">
        <v>72</v>
      </c>
      <c r="F1250">
        <v>7.33</v>
      </c>
      <c r="G1250" t="s">
        <v>18</v>
      </c>
      <c r="H1250" t="s">
        <v>16</v>
      </c>
      <c r="I1250" t="str">
        <f t="shared" si="19"/>
        <v>Asia-Pacific</v>
      </c>
    </row>
    <row r="1251" spans="1:9" x14ac:dyDescent="0.3">
      <c r="A1251" t="s">
        <v>1211</v>
      </c>
      <c r="B1251">
        <v>94</v>
      </c>
      <c r="C1251" t="s">
        <v>45</v>
      </c>
      <c r="D1251">
        <v>56</v>
      </c>
      <c r="E1251">
        <v>74</v>
      </c>
      <c r="F1251">
        <v>99.21</v>
      </c>
      <c r="G1251" t="s">
        <v>2</v>
      </c>
      <c r="H1251" t="s">
        <v>16</v>
      </c>
      <c r="I1251" t="str">
        <f t="shared" si="19"/>
        <v>Asia-Pacific</v>
      </c>
    </row>
    <row r="1252" spans="1:9" x14ac:dyDescent="0.3">
      <c r="A1252" t="s">
        <v>1212</v>
      </c>
      <c r="B1252">
        <v>96</v>
      </c>
      <c r="C1252" t="s">
        <v>45</v>
      </c>
      <c r="D1252">
        <v>56</v>
      </c>
      <c r="E1252">
        <v>74</v>
      </c>
      <c r="F1252">
        <v>5.51</v>
      </c>
      <c r="G1252" t="s">
        <v>18</v>
      </c>
      <c r="H1252" t="s">
        <v>9</v>
      </c>
      <c r="I1252" t="str">
        <f t="shared" si="19"/>
        <v>Africa</v>
      </c>
    </row>
    <row r="1253" spans="1:9" x14ac:dyDescent="0.3">
      <c r="A1253" t="s">
        <v>1213</v>
      </c>
      <c r="B1253">
        <v>95</v>
      </c>
      <c r="C1253" t="s">
        <v>45</v>
      </c>
      <c r="D1253">
        <v>58</v>
      </c>
      <c r="E1253">
        <v>78</v>
      </c>
      <c r="F1253">
        <v>5.29</v>
      </c>
      <c r="G1253" t="s">
        <v>18</v>
      </c>
      <c r="H1253" t="s">
        <v>14</v>
      </c>
      <c r="I1253" t="str">
        <f t="shared" si="19"/>
        <v>America</v>
      </c>
    </row>
    <row r="1254" spans="1:9" x14ac:dyDescent="0.3">
      <c r="A1254" t="s">
        <v>76</v>
      </c>
      <c r="B1254">
        <v>94</v>
      </c>
      <c r="C1254" t="s">
        <v>45</v>
      </c>
      <c r="D1254">
        <v>54</v>
      </c>
      <c r="E1254">
        <v>68</v>
      </c>
      <c r="F1254">
        <v>12.35</v>
      </c>
      <c r="G1254" t="s">
        <v>18</v>
      </c>
      <c r="H1254" t="s">
        <v>18</v>
      </c>
      <c r="I1254" t="str">
        <f t="shared" si="19"/>
        <v>America</v>
      </c>
    </row>
    <row r="1255" spans="1:9" x14ac:dyDescent="0.3">
      <c r="A1255" t="s">
        <v>1214</v>
      </c>
      <c r="B1255">
        <v>94</v>
      </c>
      <c r="C1255" t="s">
        <v>45</v>
      </c>
      <c r="D1255">
        <v>58</v>
      </c>
      <c r="E1255">
        <v>74</v>
      </c>
      <c r="F1255">
        <v>6.75</v>
      </c>
      <c r="G1255" t="s">
        <v>18</v>
      </c>
      <c r="H1255" t="s">
        <v>9</v>
      </c>
      <c r="I1255" t="str">
        <f t="shared" si="19"/>
        <v>Africa</v>
      </c>
    </row>
    <row r="1256" spans="1:9" x14ac:dyDescent="0.3">
      <c r="A1256" t="s">
        <v>1215</v>
      </c>
      <c r="B1256">
        <v>94</v>
      </c>
      <c r="C1256" t="s">
        <v>45</v>
      </c>
      <c r="D1256">
        <v>58</v>
      </c>
      <c r="E1256">
        <v>78</v>
      </c>
      <c r="F1256">
        <v>5.23</v>
      </c>
      <c r="G1256" t="s">
        <v>18</v>
      </c>
      <c r="H1256" t="s">
        <v>16</v>
      </c>
      <c r="I1256" t="str">
        <f t="shared" si="19"/>
        <v>Asia-Pacific</v>
      </c>
    </row>
    <row r="1257" spans="1:9" x14ac:dyDescent="0.3">
      <c r="A1257" t="s">
        <v>1216</v>
      </c>
      <c r="B1257">
        <v>95</v>
      </c>
      <c r="C1257" t="s">
        <v>45</v>
      </c>
      <c r="D1257">
        <v>58</v>
      </c>
      <c r="E1257">
        <v>74</v>
      </c>
      <c r="F1257">
        <v>290</v>
      </c>
      <c r="G1257" t="s">
        <v>2</v>
      </c>
      <c r="H1257" t="s">
        <v>12</v>
      </c>
      <c r="I1257" t="str">
        <f t="shared" si="19"/>
        <v>Africa</v>
      </c>
    </row>
    <row r="1258" spans="1:9" x14ac:dyDescent="0.3">
      <c r="A1258" t="s">
        <v>1217</v>
      </c>
      <c r="B1258">
        <v>94</v>
      </c>
      <c r="C1258" t="s">
        <v>41</v>
      </c>
      <c r="D1258">
        <v>62</v>
      </c>
      <c r="E1258">
        <v>80</v>
      </c>
      <c r="F1258">
        <v>7.33</v>
      </c>
      <c r="G1258" t="s">
        <v>18</v>
      </c>
      <c r="H1258" t="s">
        <v>14</v>
      </c>
      <c r="I1258" t="str">
        <f t="shared" si="19"/>
        <v>America</v>
      </c>
    </row>
    <row r="1259" spans="1:9" x14ac:dyDescent="0.3">
      <c r="A1259" t="s">
        <v>1218</v>
      </c>
      <c r="B1259">
        <v>96</v>
      </c>
      <c r="C1259" t="s">
        <v>82</v>
      </c>
      <c r="D1259">
        <v>52</v>
      </c>
      <c r="E1259">
        <v>68</v>
      </c>
      <c r="F1259">
        <v>4.26</v>
      </c>
      <c r="G1259" t="s">
        <v>18</v>
      </c>
      <c r="H1259" t="s">
        <v>9</v>
      </c>
      <c r="I1259" t="str">
        <f t="shared" si="19"/>
        <v>Africa</v>
      </c>
    </row>
    <row r="1260" spans="1:9" x14ac:dyDescent="0.3">
      <c r="A1260" t="s">
        <v>466</v>
      </c>
      <c r="B1260">
        <v>96</v>
      </c>
      <c r="C1260" t="s">
        <v>45</v>
      </c>
      <c r="D1260">
        <v>60</v>
      </c>
      <c r="E1260">
        <v>78</v>
      </c>
      <c r="F1260">
        <v>6.17</v>
      </c>
      <c r="G1260" t="s">
        <v>18</v>
      </c>
      <c r="H1260" t="s">
        <v>9</v>
      </c>
      <c r="I1260" t="str">
        <f t="shared" si="19"/>
        <v>Africa</v>
      </c>
    </row>
    <row r="1261" spans="1:9" x14ac:dyDescent="0.3">
      <c r="A1261" t="s">
        <v>1219</v>
      </c>
      <c r="B1261">
        <v>95</v>
      </c>
      <c r="C1261" t="s">
        <v>45</v>
      </c>
      <c r="D1261">
        <v>56</v>
      </c>
      <c r="E1261">
        <v>74</v>
      </c>
      <c r="F1261">
        <v>5.59</v>
      </c>
      <c r="G1261" t="s">
        <v>18</v>
      </c>
      <c r="H1261" t="s">
        <v>9</v>
      </c>
      <c r="I1261" t="str">
        <f t="shared" si="19"/>
        <v>Africa</v>
      </c>
    </row>
    <row r="1262" spans="1:9" x14ac:dyDescent="0.3">
      <c r="A1262" t="s">
        <v>1220</v>
      </c>
      <c r="B1262">
        <v>95</v>
      </c>
      <c r="C1262" t="s">
        <v>45</v>
      </c>
      <c r="D1262">
        <v>56</v>
      </c>
      <c r="E1262">
        <v>72</v>
      </c>
      <c r="F1262">
        <v>132.28</v>
      </c>
      <c r="G1262" t="s">
        <v>2</v>
      </c>
      <c r="H1262" t="s">
        <v>12</v>
      </c>
      <c r="I1262" t="str">
        <f t="shared" si="19"/>
        <v>Africa</v>
      </c>
    </row>
    <row r="1263" spans="1:9" x14ac:dyDescent="0.3">
      <c r="A1263" t="s">
        <v>439</v>
      </c>
      <c r="B1263">
        <v>94</v>
      </c>
      <c r="C1263" t="s">
        <v>45</v>
      </c>
      <c r="D1263">
        <v>58</v>
      </c>
      <c r="E1263">
        <v>80</v>
      </c>
      <c r="F1263">
        <v>4.41</v>
      </c>
      <c r="G1263" t="s">
        <v>18</v>
      </c>
      <c r="H1263" t="s">
        <v>18</v>
      </c>
      <c r="I1263" t="str">
        <f t="shared" si="19"/>
        <v>America</v>
      </c>
    </row>
    <row r="1264" spans="1:9" x14ac:dyDescent="0.3">
      <c r="A1264" t="s">
        <v>1221</v>
      </c>
      <c r="B1264">
        <v>94</v>
      </c>
      <c r="C1264" t="s">
        <v>45</v>
      </c>
      <c r="D1264">
        <v>58</v>
      </c>
      <c r="E1264">
        <v>78</v>
      </c>
      <c r="F1264">
        <v>20.55</v>
      </c>
      <c r="G1264" t="s">
        <v>18</v>
      </c>
      <c r="H1264" t="s">
        <v>5</v>
      </c>
      <c r="I1264" t="str">
        <f t="shared" si="19"/>
        <v>America</v>
      </c>
    </row>
    <row r="1265" spans="1:9" x14ac:dyDescent="0.3">
      <c r="A1265" t="s">
        <v>1222</v>
      </c>
      <c r="B1265">
        <v>94</v>
      </c>
      <c r="C1265" t="s">
        <v>45</v>
      </c>
      <c r="D1265">
        <v>55</v>
      </c>
      <c r="E1265">
        <v>73</v>
      </c>
      <c r="F1265">
        <v>17.64</v>
      </c>
      <c r="G1265" t="s">
        <v>18</v>
      </c>
      <c r="H1265" t="s">
        <v>14</v>
      </c>
      <c r="I1265" t="str">
        <f t="shared" si="19"/>
        <v>America</v>
      </c>
    </row>
    <row r="1266" spans="1:9" x14ac:dyDescent="0.3">
      <c r="A1266" t="s">
        <v>1223</v>
      </c>
      <c r="B1266">
        <v>94</v>
      </c>
      <c r="C1266" t="s">
        <v>45</v>
      </c>
      <c r="D1266">
        <v>60</v>
      </c>
      <c r="E1266">
        <v>78</v>
      </c>
      <c r="F1266">
        <v>8.8000000000000007</v>
      </c>
      <c r="G1266" t="s">
        <v>18</v>
      </c>
      <c r="H1266" t="s">
        <v>4</v>
      </c>
      <c r="I1266" t="str">
        <f t="shared" si="19"/>
        <v>America</v>
      </c>
    </row>
    <row r="1267" spans="1:9" x14ac:dyDescent="0.3">
      <c r="A1267" t="s">
        <v>1224</v>
      </c>
      <c r="B1267">
        <v>94</v>
      </c>
      <c r="C1267" t="s">
        <v>45</v>
      </c>
      <c r="D1267">
        <v>58</v>
      </c>
      <c r="E1267">
        <v>74</v>
      </c>
      <c r="F1267">
        <v>13.23</v>
      </c>
      <c r="G1267" t="s">
        <v>11</v>
      </c>
      <c r="H1267" t="s">
        <v>9</v>
      </c>
      <c r="I1267" t="str">
        <f t="shared" si="19"/>
        <v>Africa</v>
      </c>
    </row>
    <row r="1268" spans="1:9" x14ac:dyDescent="0.3">
      <c r="A1268" t="s">
        <v>1225</v>
      </c>
      <c r="B1268">
        <v>94</v>
      </c>
      <c r="C1268" t="s">
        <v>45</v>
      </c>
      <c r="D1268">
        <v>58</v>
      </c>
      <c r="E1268">
        <v>74</v>
      </c>
      <c r="F1268">
        <v>8.52</v>
      </c>
      <c r="G1268" t="s">
        <v>18</v>
      </c>
      <c r="H1268" t="s">
        <v>14</v>
      </c>
      <c r="I1268" t="str">
        <f t="shared" si="19"/>
        <v>America</v>
      </c>
    </row>
    <row r="1269" spans="1:9" x14ac:dyDescent="0.3">
      <c r="A1269" t="s">
        <v>1226</v>
      </c>
      <c r="B1269">
        <v>94</v>
      </c>
      <c r="C1269" t="s">
        <v>45</v>
      </c>
      <c r="D1269">
        <v>57</v>
      </c>
      <c r="E1269">
        <v>73</v>
      </c>
      <c r="F1269">
        <v>8.52</v>
      </c>
      <c r="G1269" t="s">
        <v>18</v>
      </c>
      <c r="H1269" t="s">
        <v>14</v>
      </c>
      <c r="I1269" t="str">
        <f t="shared" si="19"/>
        <v>America</v>
      </c>
    </row>
    <row r="1270" spans="1:9" x14ac:dyDescent="0.3">
      <c r="A1270" t="s">
        <v>1227</v>
      </c>
      <c r="B1270">
        <v>94</v>
      </c>
      <c r="C1270" t="s">
        <v>82</v>
      </c>
      <c r="D1270">
        <v>46</v>
      </c>
      <c r="E1270">
        <v>64</v>
      </c>
      <c r="F1270">
        <v>9.8699999999999992</v>
      </c>
      <c r="G1270" t="s">
        <v>18</v>
      </c>
      <c r="H1270" t="s">
        <v>150</v>
      </c>
      <c r="I1270" t="str">
        <f t="shared" si="19"/>
        <v>NULL</v>
      </c>
    </row>
    <row r="1271" spans="1:9" x14ac:dyDescent="0.3">
      <c r="A1271" t="s">
        <v>1228</v>
      </c>
      <c r="B1271">
        <v>95</v>
      </c>
      <c r="C1271" t="s">
        <v>45</v>
      </c>
      <c r="D1271">
        <v>54</v>
      </c>
      <c r="E1271">
        <v>72</v>
      </c>
      <c r="F1271">
        <v>44.05</v>
      </c>
      <c r="G1271" t="s">
        <v>18</v>
      </c>
      <c r="H1271" t="s">
        <v>8</v>
      </c>
      <c r="I1271" t="str">
        <f t="shared" si="19"/>
        <v>Africa</v>
      </c>
    </row>
    <row r="1272" spans="1:9" x14ac:dyDescent="0.3">
      <c r="A1272" t="s">
        <v>1229</v>
      </c>
      <c r="B1272">
        <v>94</v>
      </c>
      <c r="C1272" t="s">
        <v>45</v>
      </c>
      <c r="D1272">
        <v>57</v>
      </c>
      <c r="E1272">
        <v>73</v>
      </c>
      <c r="F1272">
        <v>6.75</v>
      </c>
      <c r="G1272" t="s">
        <v>18</v>
      </c>
      <c r="H1272" t="s">
        <v>4</v>
      </c>
      <c r="I1272" t="str">
        <f t="shared" si="19"/>
        <v>America</v>
      </c>
    </row>
    <row r="1273" spans="1:9" x14ac:dyDescent="0.3">
      <c r="A1273" t="s">
        <v>1230</v>
      </c>
      <c r="B1273">
        <v>94</v>
      </c>
      <c r="C1273" t="s">
        <v>45</v>
      </c>
      <c r="D1273">
        <v>56</v>
      </c>
      <c r="E1273">
        <v>76</v>
      </c>
      <c r="F1273">
        <v>132.28</v>
      </c>
      <c r="G1273" t="s">
        <v>2</v>
      </c>
      <c r="H1273" t="s">
        <v>9</v>
      </c>
      <c r="I1273" t="str">
        <f t="shared" si="19"/>
        <v>Africa</v>
      </c>
    </row>
    <row r="1274" spans="1:9" x14ac:dyDescent="0.3">
      <c r="A1274" t="s">
        <v>1231</v>
      </c>
      <c r="B1274">
        <v>96</v>
      </c>
      <c r="C1274" t="s">
        <v>41</v>
      </c>
      <c r="D1274">
        <v>62</v>
      </c>
      <c r="E1274">
        <v>80</v>
      </c>
      <c r="F1274">
        <v>9.6999999999999993</v>
      </c>
      <c r="G1274" t="s">
        <v>18</v>
      </c>
      <c r="H1274" t="s">
        <v>9</v>
      </c>
      <c r="I1274" t="str">
        <f t="shared" si="19"/>
        <v>Africa</v>
      </c>
    </row>
    <row r="1275" spans="1:9" x14ac:dyDescent="0.3">
      <c r="A1275" t="s">
        <v>1232</v>
      </c>
      <c r="B1275">
        <v>94</v>
      </c>
      <c r="C1275" t="s">
        <v>45</v>
      </c>
      <c r="D1275">
        <v>58</v>
      </c>
      <c r="E1275">
        <v>74</v>
      </c>
      <c r="F1275">
        <v>6.61</v>
      </c>
      <c r="G1275" t="s">
        <v>18</v>
      </c>
      <c r="H1275" t="s">
        <v>9</v>
      </c>
      <c r="I1275" t="str">
        <f t="shared" si="19"/>
        <v>Africa</v>
      </c>
    </row>
    <row r="1276" spans="1:9" x14ac:dyDescent="0.3">
      <c r="A1276" t="s">
        <v>1233</v>
      </c>
      <c r="B1276">
        <v>94</v>
      </c>
      <c r="C1276" t="s">
        <v>45</v>
      </c>
      <c r="D1276">
        <v>58</v>
      </c>
      <c r="E1276">
        <v>76</v>
      </c>
      <c r="F1276">
        <v>6.76</v>
      </c>
      <c r="G1276" t="s">
        <v>18</v>
      </c>
      <c r="H1276" t="s">
        <v>15</v>
      </c>
      <c r="I1276" t="str">
        <f t="shared" si="19"/>
        <v>America</v>
      </c>
    </row>
    <row r="1277" spans="1:9" x14ac:dyDescent="0.3">
      <c r="A1277" t="s">
        <v>1234</v>
      </c>
      <c r="B1277">
        <v>94</v>
      </c>
      <c r="C1277" t="s">
        <v>45</v>
      </c>
      <c r="D1277">
        <v>60</v>
      </c>
      <c r="E1277">
        <v>74</v>
      </c>
      <c r="F1277">
        <v>6.91</v>
      </c>
      <c r="G1277" t="s">
        <v>18</v>
      </c>
      <c r="H1277" t="s">
        <v>14</v>
      </c>
      <c r="I1277" t="str">
        <f t="shared" si="19"/>
        <v>America</v>
      </c>
    </row>
    <row r="1278" spans="1:9" x14ac:dyDescent="0.3">
      <c r="A1278" t="s">
        <v>1235</v>
      </c>
      <c r="B1278">
        <v>94</v>
      </c>
      <c r="C1278" t="s">
        <v>45</v>
      </c>
      <c r="D1278">
        <v>58</v>
      </c>
      <c r="E1278">
        <v>76</v>
      </c>
      <c r="F1278">
        <v>4.8499999999999996</v>
      </c>
      <c r="G1278" t="s">
        <v>18</v>
      </c>
      <c r="H1278" t="s">
        <v>14</v>
      </c>
      <c r="I1278" t="str">
        <f t="shared" si="19"/>
        <v>America</v>
      </c>
    </row>
    <row r="1279" spans="1:9" x14ac:dyDescent="0.3">
      <c r="A1279" t="s">
        <v>1236</v>
      </c>
      <c r="B1279">
        <v>94</v>
      </c>
      <c r="C1279" t="s">
        <v>45</v>
      </c>
      <c r="D1279">
        <v>58</v>
      </c>
      <c r="E1279">
        <v>76</v>
      </c>
      <c r="F1279">
        <v>132.28</v>
      </c>
      <c r="G1279" t="s">
        <v>2</v>
      </c>
      <c r="H1279" t="s">
        <v>12</v>
      </c>
      <c r="I1279" t="str">
        <f t="shared" si="19"/>
        <v>Africa</v>
      </c>
    </row>
    <row r="1280" spans="1:9" x14ac:dyDescent="0.3">
      <c r="A1280" t="s">
        <v>1237</v>
      </c>
      <c r="B1280">
        <v>95</v>
      </c>
      <c r="C1280" t="s">
        <v>45</v>
      </c>
      <c r="D1280">
        <v>54</v>
      </c>
      <c r="E1280">
        <v>70</v>
      </c>
      <c r="F1280">
        <v>5.88</v>
      </c>
      <c r="G1280" t="s">
        <v>18</v>
      </c>
      <c r="H1280" t="s">
        <v>5</v>
      </c>
      <c r="I1280" t="str">
        <f t="shared" si="19"/>
        <v>America</v>
      </c>
    </row>
    <row r="1281" spans="1:9" x14ac:dyDescent="0.3">
      <c r="A1281" t="s">
        <v>1238</v>
      </c>
      <c r="B1281">
        <v>94</v>
      </c>
      <c r="C1281" t="s">
        <v>45</v>
      </c>
      <c r="D1281">
        <v>56</v>
      </c>
      <c r="E1281">
        <v>70</v>
      </c>
      <c r="F1281">
        <v>25.2</v>
      </c>
      <c r="G1281" t="s">
        <v>18</v>
      </c>
      <c r="H1281" t="s">
        <v>18</v>
      </c>
      <c r="I1281" t="str">
        <f t="shared" si="19"/>
        <v>America</v>
      </c>
    </row>
    <row r="1282" spans="1:9" x14ac:dyDescent="0.3">
      <c r="A1282" t="s">
        <v>1239</v>
      </c>
      <c r="B1282">
        <v>94</v>
      </c>
      <c r="C1282" t="s">
        <v>82</v>
      </c>
      <c r="D1282">
        <v>52</v>
      </c>
      <c r="E1282">
        <v>68</v>
      </c>
      <c r="F1282">
        <v>175</v>
      </c>
      <c r="G1282" t="s">
        <v>2</v>
      </c>
      <c r="H1282" t="s">
        <v>7</v>
      </c>
      <c r="I1282" t="str">
        <f t="shared" si="19"/>
        <v>America</v>
      </c>
    </row>
    <row r="1283" spans="1:9" x14ac:dyDescent="0.3">
      <c r="A1283" t="s">
        <v>1240</v>
      </c>
      <c r="B1283">
        <v>95</v>
      </c>
      <c r="C1283" t="s">
        <v>45</v>
      </c>
      <c r="D1283">
        <v>58</v>
      </c>
      <c r="E1283">
        <v>82</v>
      </c>
      <c r="F1283">
        <v>6.17</v>
      </c>
      <c r="G1283" t="s">
        <v>18</v>
      </c>
      <c r="H1283" t="s">
        <v>9</v>
      </c>
      <c r="I1283" t="str">
        <f t="shared" ref="I1283:I1346" si="20">_xlfn.XLOOKUP(H1283, $M$2:$M$50, $N$2:$N$50, "Other")</f>
        <v>Africa</v>
      </c>
    </row>
    <row r="1284" spans="1:9" x14ac:dyDescent="0.3">
      <c r="A1284" t="s">
        <v>1241</v>
      </c>
      <c r="B1284">
        <v>94</v>
      </c>
      <c r="C1284" t="s">
        <v>45</v>
      </c>
      <c r="D1284">
        <v>58</v>
      </c>
      <c r="E1284">
        <v>78</v>
      </c>
      <c r="F1284">
        <v>5.81</v>
      </c>
      <c r="G1284" t="s">
        <v>18</v>
      </c>
      <c r="H1284" t="s">
        <v>9</v>
      </c>
      <c r="I1284" t="str">
        <f t="shared" si="20"/>
        <v>Africa</v>
      </c>
    </row>
    <row r="1285" spans="1:9" x14ac:dyDescent="0.3">
      <c r="A1285" t="s">
        <v>1242</v>
      </c>
      <c r="B1285">
        <v>94</v>
      </c>
      <c r="C1285" t="s">
        <v>45</v>
      </c>
      <c r="D1285">
        <v>56</v>
      </c>
      <c r="E1285">
        <v>74</v>
      </c>
      <c r="F1285">
        <v>5.59</v>
      </c>
      <c r="G1285" t="s">
        <v>18</v>
      </c>
      <c r="H1285" t="s">
        <v>12</v>
      </c>
      <c r="I1285" t="str">
        <f t="shared" si="20"/>
        <v>Africa</v>
      </c>
    </row>
    <row r="1286" spans="1:9" x14ac:dyDescent="0.3">
      <c r="A1286" t="s">
        <v>1243</v>
      </c>
      <c r="B1286">
        <v>94</v>
      </c>
      <c r="C1286" t="s">
        <v>82</v>
      </c>
      <c r="D1286">
        <v>48</v>
      </c>
      <c r="E1286">
        <v>66</v>
      </c>
      <c r="F1286">
        <v>300</v>
      </c>
      <c r="G1286" t="s">
        <v>2</v>
      </c>
      <c r="H1286" t="s">
        <v>9</v>
      </c>
      <c r="I1286" t="str">
        <f t="shared" si="20"/>
        <v>Africa</v>
      </c>
    </row>
    <row r="1287" spans="1:9" x14ac:dyDescent="0.3">
      <c r="A1287" t="s">
        <v>1244</v>
      </c>
      <c r="B1287">
        <v>95</v>
      </c>
      <c r="C1287" t="s">
        <v>45</v>
      </c>
      <c r="D1287">
        <v>52</v>
      </c>
      <c r="E1287">
        <v>78</v>
      </c>
      <c r="F1287">
        <v>143.30000000000001</v>
      </c>
      <c r="G1287" t="s">
        <v>2</v>
      </c>
      <c r="H1287" t="s">
        <v>12</v>
      </c>
      <c r="I1287" t="str">
        <f t="shared" si="20"/>
        <v>Africa</v>
      </c>
    </row>
    <row r="1288" spans="1:9" x14ac:dyDescent="0.3">
      <c r="A1288" t="s">
        <v>1245</v>
      </c>
      <c r="B1288">
        <v>95</v>
      </c>
      <c r="C1288" t="s">
        <v>82</v>
      </c>
      <c r="D1288">
        <v>50</v>
      </c>
      <c r="E1288">
        <v>68</v>
      </c>
      <c r="F1288">
        <v>88.18</v>
      </c>
      <c r="G1288" t="s">
        <v>2</v>
      </c>
      <c r="H1288" t="s">
        <v>15</v>
      </c>
      <c r="I1288" t="str">
        <f t="shared" si="20"/>
        <v>America</v>
      </c>
    </row>
    <row r="1289" spans="1:9" x14ac:dyDescent="0.3">
      <c r="A1289" t="s">
        <v>890</v>
      </c>
      <c r="B1289">
        <v>95</v>
      </c>
      <c r="C1289" t="s">
        <v>45</v>
      </c>
      <c r="D1289">
        <v>53</v>
      </c>
      <c r="E1289">
        <v>75</v>
      </c>
      <c r="F1289">
        <v>27.76</v>
      </c>
      <c r="G1289" t="s">
        <v>18</v>
      </c>
      <c r="H1289" t="s">
        <v>18</v>
      </c>
      <c r="I1289" t="str">
        <f t="shared" si="20"/>
        <v>America</v>
      </c>
    </row>
    <row r="1290" spans="1:9" x14ac:dyDescent="0.3">
      <c r="A1290" t="s">
        <v>1246</v>
      </c>
      <c r="B1290">
        <v>94</v>
      </c>
      <c r="C1290" t="s">
        <v>45</v>
      </c>
      <c r="D1290">
        <v>54</v>
      </c>
      <c r="E1290">
        <v>72</v>
      </c>
      <c r="F1290">
        <v>1410.93</v>
      </c>
      <c r="G1290" t="s">
        <v>2</v>
      </c>
      <c r="H1290" t="s">
        <v>5</v>
      </c>
      <c r="I1290" t="str">
        <f t="shared" si="20"/>
        <v>America</v>
      </c>
    </row>
    <row r="1291" spans="1:9" x14ac:dyDescent="0.3">
      <c r="A1291" t="s">
        <v>1247</v>
      </c>
      <c r="B1291">
        <v>94</v>
      </c>
      <c r="C1291" t="s">
        <v>45</v>
      </c>
      <c r="D1291">
        <v>58</v>
      </c>
      <c r="E1291">
        <v>78</v>
      </c>
      <c r="F1291">
        <v>6.76</v>
      </c>
      <c r="G1291" t="s">
        <v>18</v>
      </c>
      <c r="H1291" t="s">
        <v>21</v>
      </c>
      <c r="I1291" t="str">
        <f t="shared" si="20"/>
        <v>America</v>
      </c>
    </row>
    <row r="1292" spans="1:9" x14ac:dyDescent="0.3">
      <c r="A1292" t="s">
        <v>1248</v>
      </c>
      <c r="B1292">
        <v>94</v>
      </c>
      <c r="C1292" t="s">
        <v>45</v>
      </c>
      <c r="D1292">
        <v>57</v>
      </c>
      <c r="E1292">
        <v>77</v>
      </c>
      <c r="F1292">
        <v>5.26</v>
      </c>
      <c r="G1292" t="s">
        <v>18</v>
      </c>
      <c r="H1292" t="s">
        <v>9</v>
      </c>
      <c r="I1292" t="str">
        <f t="shared" si="20"/>
        <v>Africa</v>
      </c>
    </row>
    <row r="1293" spans="1:9" x14ac:dyDescent="0.3">
      <c r="A1293" t="s">
        <v>1249</v>
      </c>
      <c r="B1293">
        <v>94</v>
      </c>
      <c r="C1293" t="s">
        <v>82</v>
      </c>
      <c r="D1293">
        <v>48</v>
      </c>
      <c r="E1293">
        <v>60</v>
      </c>
      <c r="F1293">
        <v>4.1900000000000004</v>
      </c>
      <c r="G1293" t="s">
        <v>18</v>
      </c>
      <c r="H1293" t="s">
        <v>150</v>
      </c>
      <c r="I1293" t="str">
        <f t="shared" si="20"/>
        <v>NULL</v>
      </c>
    </row>
    <row r="1294" spans="1:9" x14ac:dyDescent="0.3">
      <c r="A1294" t="s">
        <v>1250</v>
      </c>
      <c r="B1294">
        <v>95</v>
      </c>
      <c r="C1294" t="s">
        <v>45</v>
      </c>
      <c r="D1294">
        <v>60</v>
      </c>
      <c r="E1294">
        <v>78</v>
      </c>
      <c r="F1294">
        <v>275</v>
      </c>
      <c r="G1294" t="s">
        <v>2</v>
      </c>
      <c r="H1294" t="s">
        <v>9</v>
      </c>
      <c r="I1294" t="str">
        <f t="shared" si="20"/>
        <v>Africa</v>
      </c>
    </row>
    <row r="1295" spans="1:9" x14ac:dyDescent="0.3">
      <c r="A1295" t="s">
        <v>1251</v>
      </c>
      <c r="B1295">
        <v>94</v>
      </c>
      <c r="C1295" t="s">
        <v>45</v>
      </c>
      <c r="D1295">
        <v>59</v>
      </c>
      <c r="E1295">
        <v>77</v>
      </c>
      <c r="F1295">
        <v>500</v>
      </c>
      <c r="G1295" t="s">
        <v>2</v>
      </c>
      <c r="H1295" t="s">
        <v>9</v>
      </c>
      <c r="I1295" t="str">
        <f t="shared" si="20"/>
        <v>Africa</v>
      </c>
    </row>
    <row r="1296" spans="1:9" x14ac:dyDescent="0.3">
      <c r="A1296" t="s">
        <v>1252</v>
      </c>
      <c r="B1296">
        <v>94</v>
      </c>
      <c r="C1296" t="s">
        <v>45</v>
      </c>
      <c r="D1296">
        <v>55</v>
      </c>
      <c r="E1296">
        <v>73</v>
      </c>
      <c r="F1296">
        <v>10.29</v>
      </c>
      <c r="G1296" t="s">
        <v>18</v>
      </c>
      <c r="H1296" t="s">
        <v>4</v>
      </c>
      <c r="I1296" t="str">
        <f t="shared" si="20"/>
        <v>America</v>
      </c>
    </row>
    <row r="1297" spans="1:9" x14ac:dyDescent="0.3">
      <c r="A1297" t="s">
        <v>1253</v>
      </c>
      <c r="B1297">
        <v>96</v>
      </c>
      <c r="C1297" t="s">
        <v>45</v>
      </c>
      <c r="D1297">
        <v>56</v>
      </c>
      <c r="E1297">
        <v>74</v>
      </c>
      <c r="F1297">
        <v>17.59</v>
      </c>
      <c r="G1297" t="s">
        <v>18</v>
      </c>
      <c r="H1297" t="s">
        <v>5</v>
      </c>
      <c r="I1297" t="str">
        <f t="shared" si="20"/>
        <v>America</v>
      </c>
    </row>
    <row r="1298" spans="1:9" x14ac:dyDescent="0.3">
      <c r="A1298" t="s">
        <v>1254</v>
      </c>
      <c r="B1298">
        <v>95</v>
      </c>
      <c r="C1298" t="s">
        <v>45</v>
      </c>
      <c r="D1298">
        <v>52</v>
      </c>
      <c r="E1298">
        <v>70</v>
      </c>
      <c r="F1298">
        <v>5.81</v>
      </c>
      <c r="G1298" t="s">
        <v>18</v>
      </c>
      <c r="H1298" t="s">
        <v>9</v>
      </c>
      <c r="I1298" t="str">
        <f t="shared" si="20"/>
        <v>Africa</v>
      </c>
    </row>
    <row r="1299" spans="1:9" x14ac:dyDescent="0.3">
      <c r="A1299" t="s">
        <v>1255</v>
      </c>
      <c r="B1299">
        <v>94</v>
      </c>
      <c r="C1299" t="s">
        <v>82</v>
      </c>
      <c r="D1299">
        <v>50</v>
      </c>
      <c r="E1299">
        <v>67</v>
      </c>
      <c r="F1299">
        <v>1</v>
      </c>
      <c r="G1299" t="s">
        <v>2</v>
      </c>
      <c r="H1299" t="s">
        <v>12</v>
      </c>
      <c r="I1299" t="str">
        <f t="shared" si="20"/>
        <v>Africa</v>
      </c>
    </row>
    <row r="1300" spans="1:9" x14ac:dyDescent="0.3">
      <c r="A1300" t="s">
        <v>1256</v>
      </c>
      <c r="B1300">
        <v>94</v>
      </c>
      <c r="C1300" t="s">
        <v>45</v>
      </c>
      <c r="D1300">
        <v>54</v>
      </c>
      <c r="E1300">
        <v>72</v>
      </c>
      <c r="F1300">
        <v>60</v>
      </c>
      <c r="G1300" t="s">
        <v>16</v>
      </c>
      <c r="H1300" t="s">
        <v>16</v>
      </c>
      <c r="I1300" t="str">
        <f t="shared" si="20"/>
        <v>Asia-Pacific</v>
      </c>
    </row>
    <row r="1301" spans="1:9" x14ac:dyDescent="0.3">
      <c r="A1301" t="s">
        <v>1257</v>
      </c>
      <c r="B1301">
        <v>94</v>
      </c>
      <c r="C1301" t="s">
        <v>82</v>
      </c>
      <c r="D1301">
        <v>50</v>
      </c>
      <c r="E1301">
        <v>66</v>
      </c>
      <c r="F1301">
        <v>60</v>
      </c>
      <c r="G1301" t="s">
        <v>16</v>
      </c>
      <c r="H1301" t="s">
        <v>16</v>
      </c>
      <c r="I1301" t="str">
        <f t="shared" si="20"/>
        <v>Asia-Pacific</v>
      </c>
    </row>
    <row r="1302" spans="1:9" x14ac:dyDescent="0.3">
      <c r="A1302" t="s">
        <v>1258</v>
      </c>
      <c r="B1302">
        <v>94</v>
      </c>
      <c r="C1302" t="s">
        <v>45</v>
      </c>
      <c r="D1302">
        <v>54</v>
      </c>
      <c r="E1302">
        <v>74</v>
      </c>
      <c r="F1302">
        <v>8</v>
      </c>
      <c r="G1302" t="s">
        <v>11</v>
      </c>
      <c r="H1302" t="s">
        <v>9</v>
      </c>
      <c r="I1302" t="str">
        <f t="shared" si="20"/>
        <v>Africa</v>
      </c>
    </row>
    <row r="1303" spans="1:9" x14ac:dyDescent="0.3">
      <c r="A1303" t="s">
        <v>1259</v>
      </c>
      <c r="B1303">
        <v>94</v>
      </c>
      <c r="C1303" t="s">
        <v>82</v>
      </c>
      <c r="D1303">
        <v>47</v>
      </c>
      <c r="E1303">
        <v>67</v>
      </c>
      <c r="F1303">
        <v>5.51</v>
      </c>
      <c r="G1303" t="s">
        <v>18</v>
      </c>
      <c r="H1303" t="s">
        <v>7</v>
      </c>
      <c r="I1303" t="str">
        <f t="shared" si="20"/>
        <v>America</v>
      </c>
    </row>
    <row r="1304" spans="1:9" x14ac:dyDescent="0.3">
      <c r="A1304" t="s">
        <v>1260</v>
      </c>
      <c r="B1304">
        <v>95</v>
      </c>
      <c r="C1304" t="s">
        <v>45</v>
      </c>
      <c r="D1304">
        <v>56</v>
      </c>
      <c r="E1304">
        <v>74</v>
      </c>
      <c r="F1304">
        <v>285</v>
      </c>
      <c r="G1304" t="s">
        <v>2</v>
      </c>
      <c r="H1304" t="s">
        <v>12</v>
      </c>
      <c r="I1304" t="str">
        <f t="shared" si="20"/>
        <v>Africa</v>
      </c>
    </row>
    <row r="1305" spans="1:9" x14ac:dyDescent="0.3">
      <c r="A1305" t="s">
        <v>1261</v>
      </c>
      <c r="B1305">
        <v>96</v>
      </c>
      <c r="C1305" t="s">
        <v>82</v>
      </c>
      <c r="D1305">
        <v>44</v>
      </c>
      <c r="E1305">
        <v>61</v>
      </c>
      <c r="F1305">
        <v>121.25</v>
      </c>
      <c r="G1305" t="s">
        <v>2</v>
      </c>
      <c r="H1305" t="s">
        <v>16</v>
      </c>
      <c r="I1305" t="str">
        <f t="shared" si="20"/>
        <v>Asia-Pacific</v>
      </c>
    </row>
    <row r="1306" spans="1:9" x14ac:dyDescent="0.3">
      <c r="A1306" t="s">
        <v>1262</v>
      </c>
      <c r="B1306">
        <v>94</v>
      </c>
      <c r="C1306" t="s">
        <v>45</v>
      </c>
      <c r="D1306">
        <v>59</v>
      </c>
      <c r="E1306">
        <v>77</v>
      </c>
      <c r="F1306">
        <v>41.12</v>
      </c>
      <c r="G1306" t="s">
        <v>18</v>
      </c>
      <c r="H1306" t="s">
        <v>5</v>
      </c>
      <c r="I1306" t="str">
        <f t="shared" si="20"/>
        <v>America</v>
      </c>
    </row>
    <row r="1307" spans="1:9" x14ac:dyDescent="0.3">
      <c r="A1307" t="s">
        <v>1263</v>
      </c>
      <c r="B1307">
        <v>94</v>
      </c>
      <c r="C1307" t="s">
        <v>82</v>
      </c>
      <c r="D1307">
        <v>50</v>
      </c>
      <c r="E1307">
        <v>68</v>
      </c>
      <c r="F1307">
        <v>132.28</v>
      </c>
      <c r="G1307" t="s">
        <v>2</v>
      </c>
      <c r="H1307" t="s">
        <v>12</v>
      </c>
      <c r="I1307" t="str">
        <f t="shared" si="20"/>
        <v>Africa</v>
      </c>
    </row>
    <row r="1308" spans="1:9" x14ac:dyDescent="0.3">
      <c r="A1308" t="s">
        <v>1264</v>
      </c>
      <c r="B1308">
        <v>94</v>
      </c>
      <c r="C1308" t="s">
        <v>45</v>
      </c>
      <c r="D1308">
        <v>52</v>
      </c>
      <c r="E1308">
        <v>70</v>
      </c>
      <c r="F1308">
        <v>132.28</v>
      </c>
      <c r="G1308" t="s">
        <v>2</v>
      </c>
      <c r="H1308" t="s">
        <v>12</v>
      </c>
      <c r="I1308" t="str">
        <f t="shared" si="20"/>
        <v>Africa</v>
      </c>
    </row>
    <row r="1309" spans="1:9" x14ac:dyDescent="0.3">
      <c r="A1309" t="s">
        <v>1265</v>
      </c>
      <c r="B1309">
        <v>94</v>
      </c>
      <c r="C1309" t="s">
        <v>45</v>
      </c>
      <c r="D1309">
        <v>56</v>
      </c>
      <c r="E1309">
        <v>78</v>
      </c>
      <c r="F1309">
        <v>132.28</v>
      </c>
      <c r="G1309" t="s">
        <v>2</v>
      </c>
      <c r="H1309" t="s">
        <v>9</v>
      </c>
      <c r="I1309" t="str">
        <f t="shared" si="20"/>
        <v>Africa</v>
      </c>
    </row>
    <row r="1310" spans="1:9" x14ac:dyDescent="0.3">
      <c r="A1310" t="s">
        <v>1266</v>
      </c>
      <c r="B1310">
        <v>95</v>
      </c>
      <c r="C1310" t="s">
        <v>45</v>
      </c>
      <c r="D1310">
        <v>56</v>
      </c>
      <c r="E1310">
        <v>74</v>
      </c>
      <c r="F1310">
        <v>6.17</v>
      </c>
      <c r="G1310" t="s">
        <v>18</v>
      </c>
      <c r="H1310" t="s">
        <v>9</v>
      </c>
      <c r="I1310" t="str">
        <f t="shared" si="20"/>
        <v>Africa</v>
      </c>
    </row>
    <row r="1311" spans="1:9" x14ac:dyDescent="0.3">
      <c r="A1311" t="s">
        <v>1267</v>
      </c>
      <c r="B1311">
        <v>97</v>
      </c>
      <c r="C1311" t="s">
        <v>45</v>
      </c>
      <c r="D1311">
        <v>54</v>
      </c>
      <c r="E1311">
        <v>74</v>
      </c>
      <c r="F1311">
        <v>555.55999999999995</v>
      </c>
      <c r="G1311" t="s">
        <v>18</v>
      </c>
      <c r="H1311" t="s">
        <v>5</v>
      </c>
      <c r="I1311" t="str">
        <f t="shared" si="20"/>
        <v>America</v>
      </c>
    </row>
    <row r="1312" spans="1:9" x14ac:dyDescent="0.3">
      <c r="A1312" t="s">
        <v>1268</v>
      </c>
      <c r="B1312">
        <v>97</v>
      </c>
      <c r="C1312" t="s">
        <v>82</v>
      </c>
      <c r="D1312">
        <v>44</v>
      </c>
      <c r="E1312">
        <v>58</v>
      </c>
      <c r="F1312">
        <v>60</v>
      </c>
      <c r="G1312" t="s">
        <v>11</v>
      </c>
      <c r="H1312" t="s">
        <v>8</v>
      </c>
      <c r="I1312" t="str">
        <f t="shared" si="20"/>
        <v>Africa</v>
      </c>
    </row>
    <row r="1313" spans="1:9" x14ac:dyDescent="0.3">
      <c r="A1313" t="s">
        <v>1269</v>
      </c>
      <c r="B1313">
        <v>95</v>
      </c>
      <c r="C1313" t="s">
        <v>45</v>
      </c>
      <c r="D1313">
        <v>58</v>
      </c>
      <c r="E1313">
        <v>78</v>
      </c>
      <c r="F1313">
        <v>6.45</v>
      </c>
      <c r="G1313" t="s">
        <v>18</v>
      </c>
      <c r="H1313" t="s">
        <v>5</v>
      </c>
      <c r="I1313" t="str">
        <f t="shared" si="20"/>
        <v>America</v>
      </c>
    </row>
    <row r="1314" spans="1:9" x14ac:dyDescent="0.3">
      <c r="A1314" t="s">
        <v>1270</v>
      </c>
      <c r="B1314">
        <v>95</v>
      </c>
      <c r="C1314" t="s">
        <v>45</v>
      </c>
      <c r="D1314">
        <v>52</v>
      </c>
      <c r="E1314">
        <v>70</v>
      </c>
      <c r="F1314">
        <v>100</v>
      </c>
      <c r="G1314" t="s">
        <v>2</v>
      </c>
      <c r="H1314" t="s">
        <v>9</v>
      </c>
      <c r="I1314" t="str">
        <f t="shared" si="20"/>
        <v>Africa</v>
      </c>
    </row>
    <row r="1315" spans="1:9" x14ac:dyDescent="0.3">
      <c r="A1315" t="s">
        <v>1056</v>
      </c>
      <c r="B1315">
        <v>96</v>
      </c>
      <c r="C1315" t="s">
        <v>45</v>
      </c>
      <c r="D1315">
        <v>52</v>
      </c>
      <c r="E1315">
        <v>70</v>
      </c>
      <c r="F1315">
        <v>5.0599999999999996</v>
      </c>
      <c r="G1315" t="s">
        <v>18</v>
      </c>
      <c r="H1315" t="s">
        <v>16</v>
      </c>
      <c r="I1315" t="str">
        <f t="shared" si="20"/>
        <v>Asia-Pacific</v>
      </c>
    </row>
    <row r="1316" spans="1:9" x14ac:dyDescent="0.3">
      <c r="A1316" t="s">
        <v>1271</v>
      </c>
      <c r="B1316">
        <v>94</v>
      </c>
      <c r="C1316" t="s">
        <v>45</v>
      </c>
      <c r="D1316">
        <v>56</v>
      </c>
      <c r="E1316">
        <v>72</v>
      </c>
      <c r="F1316">
        <v>5.64</v>
      </c>
      <c r="G1316" t="s">
        <v>18</v>
      </c>
      <c r="H1316" t="s">
        <v>12</v>
      </c>
      <c r="I1316" t="str">
        <f t="shared" si="20"/>
        <v>Africa</v>
      </c>
    </row>
    <row r="1317" spans="1:9" x14ac:dyDescent="0.3">
      <c r="A1317" t="s">
        <v>1272</v>
      </c>
      <c r="B1317">
        <v>95</v>
      </c>
      <c r="C1317" t="s">
        <v>82</v>
      </c>
      <c r="D1317">
        <v>44</v>
      </c>
      <c r="E1317">
        <v>60</v>
      </c>
      <c r="F1317">
        <v>0.44</v>
      </c>
      <c r="G1317" t="s">
        <v>2</v>
      </c>
      <c r="H1317" t="s">
        <v>9</v>
      </c>
      <c r="I1317" t="str">
        <f t="shared" si="20"/>
        <v>Africa</v>
      </c>
    </row>
    <row r="1318" spans="1:9" x14ac:dyDescent="0.3">
      <c r="A1318" t="s">
        <v>1273</v>
      </c>
      <c r="B1318">
        <v>95</v>
      </c>
      <c r="C1318" t="s">
        <v>541</v>
      </c>
      <c r="D1318">
        <v>38</v>
      </c>
      <c r="E1318">
        <v>46</v>
      </c>
      <c r="F1318">
        <v>0.44</v>
      </c>
      <c r="G1318" t="s">
        <v>2</v>
      </c>
      <c r="H1318" t="s">
        <v>15</v>
      </c>
      <c r="I1318" t="str">
        <f t="shared" si="20"/>
        <v>America</v>
      </c>
    </row>
    <row r="1319" spans="1:9" x14ac:dyDescent="0.3">
      <c r="A1319" t="s">
        <v>1274</v>
      </c>
      <c r="B1319">
        <v>97</v>
      </c>
      <c r="C1319" t="s">
        <v>45</v>
      </c>
      <c r="D1319">
        <v>56</v>
      </c>
      <c r="E1319">
        <v>76</v>
      </c>
      <c r="F1319">
        <v>110.23</v>
      </c>
      <c r="G1319" t="s">
        <v>18</v>
      </c>
      <c r="H1319" t="s">
        <v>5</v>
      </c>
      <c r="I1319" t="str">
        <f t="shared" si="20"/>
        <v>America</v>
      </c>
    </row>
    <row r="1320" spans="1:9" x14ac:dyDescent="0.3">
      <c r="A1320" t="s">
        <v>1275</v>
      </c>
      <c r="B1320">
        <v>96</v>
      </c>
      <c r="C1320" t="s">
        <v>45</v>
      </c>
      <c r="D1320">
        <v>52</v>
      </c>
      <c r="E1320">
        <v>72</v>
      </c>
      <c r="F1320">
        <v>26.46</v>
      </c>
      <c r="G1320" t="s">
        <v>18</v>
      </c>
      <c r="H1320" t="s">
        <v>5</v>
      </c>
      <c r="I1320" t="str">
        <f t="shared" si="20"/>
        <v>America</v>
      </c>
    </row>
    <row r="1321" spans="1:9" x14ac:dyDescent="0.3">
      <c r="A1321" t="s">
        <v>1276</v>
      </c>
      <c r="B1321">
        <v>98</v>
      </c>
      <c r="C1321" t="s">
        <v>45</v>
      </c>
      <c r="D1321">
        <v>54</v>
      </c>
      <c r="E1321">
        <v>78</v>
      </c>
      <c r="F1321">
        <v>476.19</v>
      </c>
      <c r="G1321" t="s">
        <v>18</v>
      </c>
      <c r="H1321" t="s">
        <v>5</v>
      </c>
      <c r="I1321" t="str">
        <f t="shared" si="20"/>
        <v>America</v>
      </c>
    </row>
    <row r="1322" spans="1:9" x14ac:dyDescent="0.3">
      <c r="A1322" t="s">
        <v>1277</v>
      </c>
      <c r="B1322">
        <v>95</v>
      </c>
      <c r="C1322" t="s">
        <v>82</v>
      </c>
      <c r="D1322">
        <v>47</v>
      </c>
      <c r="E1322">
        <v>67</v>
      </c>
      <c r="F1322">
        <v>244.44</v>
      </c>
      <c r="G1322" t="s">
        <v>2</v>
      </c>
      <c r="H1322" t="s">
        <v>12</v>
      </c>
      <c r="I1322" t="str">
        <f t="shared" si="20"/>
        <v>Africa</v>
      </c>
    </row>
    <row r="1323" spans="1:9" x14ac:dyDescent="0.3">
      <c r="A1323" t="s">
        <v>1278</v>
      </c>
      <c r="B1323">
        <v>96</v>
      </c>
      <c r="C1323" t="s">
        <v>45</v>
      </c>
      <c r="D1323">
        <v>54</v>
      </c>
      <c r="E1323">
        <v>78</v>
      </c>
      <c r="F1323">
        <v>100</v>
      </c>
      <c r="G1323" t="s">
        <v>29</v>
      </c>
      <c r="H1323" t="s">
        <v>5</v>
      </c>
      <c r="I1323" t="str">
        <f t="shared" si="20"/>
        <v>America</v>
      </c>
    </row>
    <row r="1324" spans="1:9" x14ac:dyDescent="0.3">
      <c r="A1324" t="s">
        <v>1279</v>
      </c>
      <c r="B1324">
        <v>94</v>
      </c>
      <c r="C1324" t="s">
        <v>45</v>
      </c>
      <c r="D1324">
        <v>56</v>
      </c>
      <c r="E1324">
        <v>78</v>
      </c>
      <c r="F1324">
        <v>6.17</v>
      </c>
      <c r="G1324" t="s">
        <v>31</v>
      </c>
      <c r="H1324" t="s">
        <v>12</v>
      </c>
      <c r="I1324" t="str">
        <f t="shared" si="20"/>
        <v>Africa</v>
      </c>
    </row>
    <row r="1325" spans="1:9" x14ac:dyDescent="0.3">
      <c r="A1325" t="s">
        <v>1280</v>
      </c>
      <c r="B1325">
        <v>94</v>
      </c>
      <c r="C1325" t="s">
        <v>45</v>
      </c>
      <c r="D1325">
        <v>58</v>
      </c>
      <c r="E1325">
        <v>80</v>
      </c>
      <c r="F1325">
        <v>6</v>
      </c>
      <c r="G1325" t="s">
        <v>18</v>
      </c>
      <c r="H1325" t="s">
        <v>12</v>
      </c>
      <c r="I1325" t="str">
        <f t="shared" si="20"/>
        <v>Africa</v>
      </c>
    </row>
    <row r="1326" spans="1:9" x14ac:dyDescent="0.3">
      <c r="A1326" t="s">
        <v>1281</v>
      </c>
      <c r="B1326">
        <v>95</v>
      </c>
      <c r="C1326" t="s">
        <v>45</v>
      </c>
      <c r="D1326">
        <v>54</v>
      </c>
      <c r="E1326">
        <v>72</v>
      </c>
      <c r="F1326">
        <v>17.61</v>
      </c>
      <c r="G1326" t="s">
        <v>18</v>
      </c>
      <c r="H1326" t="s">
        <v>9</v>
      </c>
      <c r="I1326" t="str">
        <f t="shared" si="20"/>
        <v>Africa</v>
      </c>
    </row>
    <row r="1327" spans="1:9" x14ac:dyDescent="0.3">
      <c r="A1327" t="s">
        <v>1282</v>
      </c>
      <c r="B1327">
        <v>94</v>
      </c>
      <c r="C1327" t="s">
        <v>45</v>
      </c>
      <c r="D1327">
        <v>52</v>
      </c>
      <c r="E1327">
        <v>70</v>
      </c>
      <c r="F1327">
        <v>143.30000000000001</v>
      </c>
      <c r="G1327" t="s">
        <v>2</v>
      </c>
      <c r="H1327" t="s">
        <v>9</v>
      </c>
      <c r="I1327" t="str">
        <f t="shared" si="20"/>
        <v>Africa</v>
      </c>
    </row>
    <row r="1328" spans="1:9" x14ac:dyDescent="0.3">
      <c r="A1328" t="s">
        <v>1283</v>
      </c>
      <c r="B1328">
        <v>94</v>
      </c>
      <c r="C1328" t="s">
        <v>545</v>
      </c>
      <c r="D1328">
        <v>36</v>
      </c>
      <c r="E1328">
        <v>44</v>
      </c>
      <c r="F1328">
        <v>264.56</v>
      </c>
      <c r="G1328" t="s">
        <v>2</v>
      </c>
      <c r="H1328" t="s">
        <v>16</v>
      </c>
      <c r="I1328" t="str">
        <f t="shared" si="20"/>
        <v>Asia-Pacific</v>
      </c>
    </row>
    <row r="1329" spans="1:9" x14ac:dyDescent="0.3">
      <c r="A1329" t="s">
        <v>1284</v>
      </c>
      <c r="B1329">
        <v>94</v>
      </c>
      <c r="C1329" t="s">
        <v>45</v>
      </c>
      <c r="D1329">
        <v>54</v>
      </c>
      <c r="E1329">
        <v>74</v>
      </c>
      <c r="F1329">
        <v>5.73</v>
      </c>
      <c r="G1329" t="s">
        <v>18</v>
      </c>
      <c r="H1329" t="s">
        <v>9</v>
      </c>
      <c r="I1329" t="str">
        <f t="shared" si="20"/>
        <v>Africa</v>
      </c>
    </row>
    <row r="1330" spans="1:9" x14ac:dyDescent="0.3">
      <c r="A1330" t="s">
        <v>1285</v>
      </c>
      <c r="B1330">
        <v>97</v>
      </c>
      <c r="C1330" t="s">
        <v>45</v>
      </c>
      <c r="D1330">
        <v>55</v>
      </c>
      <c r="E1330">
        <v>73</v>
      </c>
      <c r="F1330">
        <v>188.88</v>
      </c>
      <c r="G1330" t="s">
        <v>18</v>
      </c>
      <c r="H1330" t="s">
        <v>5</v>
      </c>
      <c r="I1330" t="str">
        <f t="shared" si="20"/>
        <v>America</v>
      </c>
    </row>
    <row r="1331" spans="1:9" x14ac:dyDescent="0.3">
      <c r="A1331" t="s">
        <v>1286</v>
      </c>
      <c r="B1331">
        <v>96</v>
      </c>
      <c r="C1331" t="s">
        <v>82</v>
      </c>
      <c r="D1331">
        <v>54</v>
      </c>
      <c r="E1331">
        <v>62</v>
      </c>
      <c r="F1331">
        <v>26.46</v>
      </c>
      <c r="G1331" t="s">
        <v>18</v>
      </c>
      <c r="H1331" t="s">
        <v>14</v>
      </c>
      <c r="I1331" t="str">
        <f t="shared" si="20"/>
        <v>America</v>
      </c>
    </row>
    <row r="1332" spans="1:9" x14ac:dyDescent="0.3">
      <c r="A1332" t="s">
        <v>1287</v>
      </c>
      <c r="B1332">
        <v>96</v>
      </c>
      <c r="C1332" t="s">
        <v>45</v>
      </c>
      <c r="D1332">
        <v>57</v>
      </c>
      <c r="E1332">
        <v>74</v>
      </c>
      <c r="F1332">
        <v>32.299999999999997</v>
      </c>
      <c r="G1332" t="s">
        <v>18</v>
      </c>
      <c r="H1332" t="s">
        <v>14</v>
      </c>
      <c r="I1332" t="str">
        <f t="shared" si="20"/>
        <v>America</v>
      </c>
    </row>
    <row r="1333" spans="1:9" x14ac:dyDescent="0.3">
      <c r="A1333" t="s">
        <v>1288</v>
      </c>
      <c r="B1333">
        <v>96</v>
      </c>
      <c r="C1333" t="s">
        <v>45</v>
      </c>
      <c r="D1333">
        <v>55</v>
      </c>
      <c r="E1333">
        <v>79</v>
      </c>
      <c r="F1333">
        <v>661.38</v>
      </c>
      <c r="G1333" t="s">
        <v>2</v>
      </c>
      <c r="H1333" t="s">
        <v>5</v>
      </c>
      <c r="I1333" t="str">
        <f t="shared" si="20"/>
        <v>America</v>
      </c>
    </row>
    <row r="1334" spans="1:9" x14ac:dyDescent="0.3">
      <c r="A1334" t="s">
        <v>1289</v>
      </c>
      <c r="B1334">
        <v>95</v>
      </c>
      <c r="C1334" t="s">
        <v>45</v>
      </c>
      <c r="D1334">
        <v>51</v>
      </c>
      <c r="E1334">
        <v>71</v>
      </c>
      <c r="F1334">
        <v>26.46</v>
      </c>
      <c r="G1334" t="s">
        <v>18</v>
      </c>
      <c r="H1334" t="s">
        <v>5</v>
      </c>
      <c r="I1334" t="str">
        <f t="shared" si="20"/>
        <v>America</v>
      </c>
    </row>
    <row r="1335" spans="1:9" x14ac:dyDescent="0.3">
      <c r="A1335" t="s">
        <v>1290</v>
      </c>
      <c r="B1335">
        <v>94</v>
      </c>
      <c r="C1335" t="s">
        <v>45</v>
      </c>
      <c r="D1335">
        <v>53</v>
      </c>
      <c r="E1335">
        <v>71</v>
      </c>
      <c r="F1335">
        <v>35.270000000000003</v>
      </c>
      <c r="G1335" t="s">
        <v>18</v>
      </c>
      <c r="H1335" t="s">
        <v>5</v>
      </c>
      <c r="I1335" t="str">
        <f t="shared" si="20"/>
        <v>America</v>
      </c>
    </row>
    <row r="1336" spans="1:9" x14ac:dyDescent="0.3">
      <c r="A1336" t="s">
        <v>1291</v>
      </c>
      <c r="B1336">
        <v>94</v>
      </c>
      <c r="C1336" t="s">
        <v>45</v>
      </c>
      <c r="D1336">
        <v>52</v>
      </c>
      <c r="E1336">
        <v>70</v>
      </c>
      <c r="F1336">
        <v>586.96</v>
      </c>
      <c r="G1336" t="s">
        <v>2</v>
      </c>
      <c r="H1336" t="s">
        <v>14</v>
      </c>
      <c r="I1336" t="str">
        <f t="shared" si="20"/>
        <v>America</v>
      </c>
    </row>
    <row r="1337" spans="1:9" x14ac:dyDescent="0.3">
      <c r="A1337" t="s">
        <v>1292</v>
      </c>
      <c r="B1337">
        <v>94</v>
      </c>
      <c r="C1337" t="s">
        <v>45</v>
      </c>
      <c r="D1337">
        <v>58</v>
      </c>
      <c r="E1337">
        <v>80</v>
      </c>
      <c r="F1337">
        <v>1200</v>
      </c>
      <c r="G1337" t="s">
        <v>2</v>
      </c>
      <c r="H1337" t="s">
        <v>9</v>
      </c>
      <c r="I1337" t="str">
        <f t="shared" si="20"/>
        <v>Africa</v>
      </c>
    </row>
    <row r="1338" spans="1:9" x14ac:dyDescent="0.3">
      <c r="A1338" t="s">
        <v>1293</v>
      </c>
      <c r="B1338">
        <v>94</v>
      </c>
      <c r="C1338" t="s">
        <v>45</v>
      </c>
      <c r="D1338">
        <v>60</v>
      </c>
      <c r="E1338">
        <v>78</v>
      </c>
      <c r="F1338">
        <v>22.05</v>
      </c>
      <c r="G1338" t="s">
        <v>18</v>
      </c>
      <c r="H1338" t="s">
        <v>9</v>
      </c>
      <c r="I1338" t="str">
        <f t="shared" si="20"/>
        <v>Africa</v>
      </c>
    </row>
    <row r="1339" spans="1:9" x14ac:dyDescent="0.3">
      <c r="A1339" t="s">
        <v>1294</v>
      </c>
      <c r="B1339">
        <v>94</v>
      </c>
      <c r="C1339" t="s">
        <v>45</v>
      </c>
      <c r="D1339">
        <v>59</v>
      </c>
      <c r="E1339">
        <v>72</v>
      </c>
      <c r="F1339">
        <v>5.59</v>
      </c>
      <c r="G1339" t="s">
        <v>18</v>
      </c>
      <c r="H1339" t="s">
        <v>9</v>
      </c>
      <c r="I1339" t="str">
        <f t="shared" si="20"/>
        <v>Africa</v>
      </c>
    </row>
    <row r="1340" spans="1:9" x14ac:dyDescent="0.3">
      <c r="A1340" t="s">
        <v>1295</v>
      </c>
      <c r="B1340">
        <v>94</v>
      </c>
      <c r="C1340" t="s">
        <v>45</v>
      </c>
      <c r="D1340">
        <v>52</v>
      </c>
      <c r="E1340">
        <v>70</v>
      </c>
      <c r="F1340">
        <v>5.03</v>
      </c>
      <c r="G1340" t="s">
        <v>18</v>
      </c>
      <c r="H1340" t="s">
        <v>9</v>
      </c>
      <c r="I1340" t="str">
        <f t="shared" si="20"/>
        <v>Africa</v>
      </c>
    </row>
    <row r="1341" spans="1:9" x14ac:dyDescent="0.3">
      <c r="A1341" t="s">
        <v>1296</v>
      </c>
      <c r="B1341">
        <v>94</v>
      </c>
      <c r="C1341" t="s">
        <v>45</v>
      </c>
      <c r="D1341">
        <v>53</v>
      </c>
      <c r="E1341">
        <v>71</v>
      </c>
      <c r="F1341">
        <v>3.53</v>
      </c>
      <c r="G1341" t="s">
        <v>18</v>
      </c>
      <c r="H1341" t="s">
        <v>5</v>
      </c>
      <c r="I1341" t="str">
        <f t="shared" si="20"/>
        <v>America</v>
      </c>
    </row>
    <row r="1342" spans="1:9" x14ac:dyDescent="0.3">
      <c r="A1342" t="s">
        <v>1297</v>
      </c>
      <c r="B1342">
        <v>94</v>
      </c>
      <c r="C1342" t="s">
        <v>41</v>
      </c>
      <c r="D1342">
        <v>62</v>
      </c>
      <c r="E1342">
        <v>83</v>
      </c>
      <c r="F1342">
        <v>154.32</v>
      </c>
      <c r="G1342" t="s">
        <v>2</v>
      </c>
      <c r="H1342" t="s">
        <v>9</v>
      </c>
      <c r="I1342" t="str">
        <f t="shared" si="20"/>
        <v>Africa</v>
      </c>
    </row>
    <row r="1343" spans="1:9" x14ac:dyDescent="0.3">
      <c r="A1343" t="s">
        <v>1298</v>
      </c>
      <c r="B1343">
        <v>95</v>
      </c>
      <c r="C1343" t="s">
        <v>82</v>
      </c>
      <c r="D1343">
        <v>52</v>
      </c>
      <c r="E1343">
        <v>68</v>
      </c>
      <c r="F1343">
        <v>154.32</v>
      </c>
      <c r="G1343" t="s">
        <v>2</v>
      </c>
      <c r="H1343" t="s">
        <v>12</v>
      </c>
      <c r="I1343" t="str">
        <f t="shared" si="20"/>
        <v>Africa</v>
      </c>
    </row>
    <row r="1344" spans="1:9" x14ac:dyDescent="0.3">
      <c r="A1344" t="s">
        <v>1299</v>
      </c>
      <c r="B1344">
        <v>94</v>
      </c>
      <c r="C1344" t="s">
        <v>45</v>
      </c>
      <c r="D1344">
        <v>53</v>
      </c>
      <c r="E1344">
        <v>71</v>
      </c>
      <c r="F1344">
        <v>114.64</v>
      </c>
      <c r="G1344" t="s">
        <v>2</v>
      </c>
      <c r="H1344" t="s">
        <v>9</v>
      </c>
      <c r="I1344" t="str">
        <f t="shared" si="20"/>
        <v>Africa</v>
      </c>
    </row>
    <row r="1345" spans="1:9" x14ac:dyDescent="0.3">
      <c r="A1345" t="s">
        <v>1300</v>
      </c>
      <c r="B1345">
        <v>94</v>
      </c>
      <c r="C1345" t="s">
        <v>45</v>
      </c>
      <c r="D1345">
        <v>55</v>
      </c>
      <c r="E1345">
        <v>77</v>
      </c>
      <c r="F1345">
        <v>121.25</v>
      </c>
      <c r="G1345" t="s">
        <v>2</v>
      </c>
      <c r="H1345" t="s">
        <v>9</v>
      </c>
      <c r="I1345" t="str">
        <f t="shared" si="20"/>
        <v>Africa</v>
      </c>
    </row>
    <row r="1346" spans="1:9" x14ac:dyDescent="0.3">
      <c r="A1346" t="s">
        <v>21</v>
      </c>
      <c r="B1346">
        <v>94</v>
      </c>
      <c r="C1346" t="s">
        <v>82</v>
      </c>
      <c r="D1346">
        <v>47</v>
      </c>
      <c r="E1346">
        <v>59</v>
      </c>
      <c r="F1346">
        <v>8.66</v>
      </c>
      <c r="G1346" t="s">
        <v>11</v>
      </c>
      <c r="H1346" t="s">
        <v>21</v>
      </c>
      <c r="I1346" t="str">
        <f t="shared" si="20"/>
        <v>America</v>
      </c>
    </row>
    <row r="1347" spans="1:9" x14ac:dyDescent="0.3">
      <c r="A1347" t="s">
        <v>1301</v>
      </c>
      <c r="B1347">
        <v>94</v>
      </c>
      <c r="C1347" t="s">
        <v>82</v>
      </c>
      <c r="D1347">
        <v>50</v>
      </c>
      <c r="E1347">
        <v>70</v>
      </c>
      <c r="F1347">
        <v>6.17</v>
      </c>
      <c r="G1347" t="s">
        <v>18</v>
      </c>
      <c r="H1347" t="s">
        <v>9</v>
      </c>
      <c r="I1347" t="str">
        <f t="shared" ref="I1347:I1410" si="21">_xlfn.XLOOKUP(H1347, $M$2:$M$50, $N$2:$N$50, "Other")</f>
        <v>Africa</v>
      </c>
    </row>
    <row r="1348" spans="1:9" x14ac:dyDescent="0.3">
      <c r="A1348" t="s">
        <v>1302</v>
      </c>
      <c r="B1348">
        <v>94</v>
      </c>
      <c r="C1348" t="s">
        <v>45</v>
      </c>
      <c r="D1348">
        <v>57</v>
      </c>
      <c r="E1348">
        <v>75</v>
      </c>
      <c r="F1348">
        <v>132.28</v>
      </c>
      <c r="G1348" t="s">
        <v>2</v>
      </c>
      <c r="H1348" t="s">
        <v>9</v>
      </c>
      <c r="I1348" t="str">
        <f t="shared" si="21"/>
        <v>Africa</v>
      </c>
    </row>
    <row r="1349" spans="1:9" x14ac:dyDescent="0.3">
      <c r="A1349" t="s">
        <v>1303</v>
      </c>
      <c r="B1349">
        <v>94</v>
      </c>
      <c r="C1349" t="s">
        <v>45</v>
      </c>
      <c r="D1349">
        <v>52</v>
      </c>
      <c r="E1349">
        <v>75</v>
      </c>
      <c r="F1349">
        <v>22.71</v>
      </c>
      <c r="G1349" t="s">
        <v>18</v>
      </c>
      <c r="H1349" t="s">
        <v>9</v>
      </c>
      <c r="I1349" t="str">
        <f t="shared" si="21"/>
        <v>Africa</v>
      </c>
    </row>
    <row r="1350" spans="1:9" x14ac:dyDescent="0.3">
      <c r="A1350" t="s">
        <v>1304</v>
      </c>
      <c r="B1350">
        <v>96</v>
      </c>
      <c r="C1350" t="s">
        <v>45</v>
      </c>
      <c r="D1350">
        <v>58</v>
      </c>
      <c r="E1350">
        <v>82</v>
      </c>
      <c r="F1350">
        <v>5.29</v>
      </c>
      <c r="G1350" t="s">
        <v>18</v>
      </c>
      <c r="H1350" t="s">
        <v>9</v>
      </c>
      <c r="I1350" t="str">
        <f t="shared" si="21"/>
        <v>Africa</v>
      </c>
    </row>
    <row r="1351" spans="1:9" x14ac:dyDescent="0.3">
      <c r="A1351" t="s">
        <v>1305</v>
      </c>
      <c r="B1351">
        <v>94</v>
      </c>
      <c r="C1351" t="s">
        <v>45</v>
      </c>
      <c r="D1351">
        <v>54</v>
      </c>
      <c r="E1351">
        <v>72</v>
      </c>
      <c r="F1351">
        <v>6.76</v>
      </c>
      <c r="G1351" t="s">
        <v>18</v>
      </c>
      <c r="H1351" t="s">
        <v>12</v>
      </c>
      <c r="I1351" t="str">
        <f t="shared" si="21"/>
        <v>Africa</v>
      </c>
    </row>
    <row r="1352" spans="1:9" x14ac:dyDescent="0.3">
      <c r="A1352" t="s">
        <v>1306</v>
      </c>
      <c r="B1352">
        <v>94</v>
      </c>
      <c r="C1352" t="s">
        <v>82</v>
      </c>
      <c r="D1352">
        <v>53</v>
      </c>
      <c r="E1352">
        <v>65</v>
      </c>
      <c r="F1352">
        <v>5.59</v>
      </c>
      <c r="G1352" t="s">
        <v>18</v>
      </c>
      <c r="H1352" t="s">
        <v>12</v>
      </c>
      <c r="I1352" t="str">
        <f t="shared" si="21"/>
        <v>Africa</v>
      </c>
    </row>
    <row r="1353" spans="1:9" x14ac:dyDescent="0.3">
      <c r="A1353" t="s">
        <v>1307</v>
      </c>
      <c r="B1353">
        <v>96</v>
      </c>
      <c r="C1353" t="s">
        <v>82</v>
      </c>
      <c r="D1353">
        <v>48</v>
      </c>
      <c r="E1353">
        <v>67</v>
      </c>
      <c r="F1353">
        <v>16.670000000000002</v>
      </c>
      <c r="G1353" t="s">
        <v>18</v>
      </c>
      <c r="H1353" t="s">
        <v>14</v>
      </c>
      <c r="I1353" t="str">
        <f t="shared" si="21"/>
        <v>America</v>
      </c>
    </row>
    <row r="1354" spans="1:9" x14ac:dyDescent="0.3">
      <c r="A1354" t="s">
        <v>1308</v>
      </c>
      <c r="B1354">
        <v>94</v>
      </c>
      <c r="C1354" t="s">
        <v>45</v>
      </c>
      <c r="D1354">
        <v>56</v>
      </c>
      <c r="E1354">
        <v>78</v>
      </c>
      <c r="F1354">
        <v>15.43</v>
      </c>
      <c r="G1354" t="s">
        <v>10</v>
      </c>
      <c r="H1354" t="s">
        <v>10</v>
      </c>
      <c r="I1354" t="str">
        <f t="shared" si="21"/>
        <v>America</v>
      </c>
    </row>
    <row r="1355" spans="1:9" x14ac:dyDescent="0.3">
      <c r="A1355" t="s">
        <v>1309</v>
      </c>
      <c r="B1355">
        <v>94</v>
      </c>
      <c r="C1355" t="s">
        <v>45</v>
      </c>
      <c r="D1355">
        <v>53</v>
      </c>
      <c r="E1355">
        <v>75</v>
      </c>
      <c r="F1355">
        <v>11.76</v>
      </c>
      <c r="G1355" t="s">
        <v>18</v>
      </c>
      <c r="H1355" t="s">
        <v>12</v>
      </c>
      <c r="I1355" t="str">
        <f t="shared" si="21"/>
        <v>Africa</v>
      </c>
    </row>
    <row r="1356" spans="1:9" x14ac:dyDescent="0.3">
      <c r="A1356" t="s">
        <v>1310</v>
      </c>
      <c r="B1356">
        <v>97</v>
      </c>
      <c r="C1356" t="s">
        <v>45</v>
      </c>
      <c r="D1356">
        <v>54</v>
      </c>
      <c r="E1356">
        <v>78</v>
      </c>
      <c r="F1356">
        <v>6.23</v>
      </c>
      <c r="G1356" t="s">
        <v>18</v>
      </c>
      <c r="H1356" t="s">
        <v>12</v>
      </c>
      <c r="I1356" t="str">
        <f t="shared" si="21"/>
        <v>Africa</v>
      </c>
    </row>
    <row r="1357" spans="1:9" x14ac:dyDescent="0.3">
      <c r="A1357" t="s">
        <v>1311</v>
      </c>
      <c r="B1357">
        <v>97</v>
      </c>
      <c r="C1357" t="s">
        <v>45</v>
      </c>
      <c r="D1357">
        <v>54</v>
      </c>
      <c r="E1357">
        <v>78</v>
      </c>
      <c r="F1357">
        <v>6.23</v>
      </c>
      <c r="G1357" t="s">
        <v>18</v>
      </c>
      <c r="H1357" t="s">
        <v>12</v>
      </c>
      <c r="I1357" t="str">
        <f t="shared" si="21"/>
        <v>Africa</v>
      </c>
    </row>
    <row r="1358" spans="1:9" x14ac:dyDescent="0.3">
      <c r="A1358" t="s">
        <v>1312</v>
      </c>
      <c r="B1358">
        <v>94</v>
      </c>
      <c r="C1358" t="s">
        <v>82</v>
      </c>
      <c r="D1358">
        <v>45</v>
      </c>
      <c r="E1358">
        <v>67</v>
      </c>
      <c r="F1358">
        <v>5.07</v>
      </c>
      <c r="G1358" t="s">
        <v>18</v>
      </c>
      <c r="H1358" t="s">
        <v>150</v>
      </c>
      <c r="I1358" t="str">
        <f t="shared" si="21"/>
        <v>NULL</v>
      </c>
    </row>
    <row r="1359" spans="1:9" x14ac:dyDescent="0.3">
      <c r="A1359" t="s">
        <v>1313</v>
      </c>
      <c r="B1359">
        <v>94</v>
      </c>
      <c r="C1359" t="s">
        <v>82</v>
      </c>
      <c r="D1359">
        <v>46</v>
      </c>
      <c r="E1359">
        <v>68</v>
      </c>
      <c r="F1359">
        <v>4.9800000000000004</v>
      </c>
      <c r="G1359" t="s">
        <v>18</v>
      </c>
      <c r="H1359" t="s">
        <v>9</v>
      </c>
      <c r="I1359" t="str">
        <f t="shared" si="21"/>
        <v>Africa</v>
      </c>
    </row>
    <row r="1360" spans="1:9" x14ac:dyDescent="0.3">
      <c r="A1360" t="s">
        <v>1314</v>
      </c>
      <c r="B1360">
        <v>94</v>
      </c>
      <c r="C1360" t="s">
        <v>82</v>
      </c>
      <c r="D1360">
        <v>46</v>
      </c>
      <c r="E1360">
        <v>68</v>
      </c>
      <c r="F1360">
        <v>5.57</v>
      </c>
      <c r="G1360" t="s">
        <v>18</v>
      </c>
      <c r="H1360" t="s">
        <v>14</v>
      </c>
      <c r="I1360" t="str">
        <f t="shared" si="21"/>
        <v>America</v>
      </c>
    </row>
    <row r="1361" spans="1:9" x14ac:dyDescent="0.3">
      <c r="A1361" t="s">
        <v>1315</v>
      </c>
      <c r="B1361">
        <v>95</v>
      </c>
      <c r="C1361" t="s">
        <v>45</v>
      </c>
      <c r="D1361">
        <v>60</v>
      </c>
      <c r="E1361">
        <v>78</v>
      </c>
      <c r="F1361">
        <v>293.33</v>
      </c>
      <c r="G1361" t="s">
        <v>2</v>
      </c>
      <c r="H1361" t="s">
        <v>9</v>
      </c>
      <c r="I1361" t="str">
        <f t="shared" si="21"/>
        <v>Africa</v>
      </c>
    </row>
    <row r="1362" spans="1:9" x14ac:dyDescent="0.3">
      <c r="A1362" t="s">
        <v>1316</v>
      </c>
      <c r="B1362">
        <v>94</v>
      </c>
      <c r="C1362" t="s">
        <v>45</v>
      </c>
      <c r="D1362">
        <v>57</v>
      </c>
      <c r="E1362">
        <v>79</v>
      </c>
      <c r="F1362">
        <v>5.73</v>
      </c>
      <c r="G1362" t="s">
        <v>18</v>
      </c>
      <c r="H1362" t="s">
        <v>14</v>
      </c>
      <c r="I1362" t="str">
        <f t="shared" si="21"/>
        <v>America</v>
      </c>
    </row>
    <row r="1363" spans="1:9" x14ac:dyDescent="0.3">
      <c r="A1363" t="s">
        <v>603</v>
      </c>
      <c r="B1363">
        <v>94</v>
      </c>
      <c r="C1363" t="s">
        <v>45</v>
      </c>
      <c r="D1363">
        <v>56</v>
      </c>
      <c r="E1363">
        <v>74</v>
      </c>
      <c r="F1363">
        <v>7.33</v>
      </c>
      <c r="G1363" t="s">
        <v>18</v>
      </c>
      <c r="H1363" t="s">
        <v>14</v>
      </c>
      <c r="I1363" t="str">
        <f t="shared" si="21"/>
        <v>America</v>
      </c>
    </row>
    <row r="1364" spans="1:9" x14ac:dyDescent="0.3">
      <c r="A1364" t="s">
        <v>1317</v>
      </c>
      <c r="B1364">
        <v>94</v>
      </c>
      <c r="C1364" t="s">
        <v>45</v>
      </c>
      <c r="D1364">
        <v>60</v>
      </c>
      <c r="E1364">
        <v>78</v>
      </c>
      <c r="F1364">
        <v>5.88</v>
      </c>
      <c r="G1364" t="s">
        <v>18</v>
      </c>
      <c r="H1364" t="s">
        <v>14</v>
      </c>
      <c r="I1364" t="str">
        <f t="shared" si="21"/>
        <v>America</v>
      </c>
    </row>
    <row r="1365" spans="1:9" x14ac:dyDescent="0.3">
      <c r="A1365" t="s">
        <v>1318</v>
      </c>
      <c r="B1365">
        <v>94</v>
      </c>
      <c r="C1365" t="s">
        <v>45</v>
      </c>
      <c r="D1365">
        <v>55</v>
      </c>
      <c r="E1365">
        <v>75</v>
      </c>
      <c r="F1365">
        <v>158.72999999999999</v>
      </c>
      <c r="G1365" t="s">
        <v>2</v>
      </c>
      <c r="H1365" t="s">
        <v>12</v>
      </c>
      <c r="I1365" t="str">
        <f t="shared" si="21"/>
        <v>Africa</v>
      </c>
    </row>
    <row r="1366" spans="1:9" x14ac:dyDescent="0.3">
      <c r="A1366" t="s">
        <v>1319</v>
      </c>
      <c r="B1366">
        <v>94</v>
      </c>
      <c r="C1366" t="s">
        <v>45</v>
      </c>
      <c r="D1366">
        <v>55</v>
      </c>
      <c r="E1366">
        <v>74</v>
      </c>
      <c r="F1366">
        <v>43.65</v>
      </c>
      <c r="G1366" t="s">
        <v>18</v>
      </c>
      <c r="H1366" t="s">
        <v>5</v>
      </c>
      <c r="I1366" t="str">
        <f t="shared" si="21"/>
        <v>America</v>
      </c>
    </row>
    <row r="1367" spans="1:9" x14ac:dyDescent="0.3">
      <c r="A1367" t="s">
        <v>1320</v>
      </c>
      <c r="B1367">
        <v>96</v>
      </c>
      <c r="C1367" t="s">
        <v>45</v>
      </c>
      <c r="D1367">
        <v>57</v>
      </c>
      <c r="E1367">
        <v>83</v>
      </c>
      <c r="F1367">
        <v>26.46</v>
      </c>
      <c r="G1367" t="s">
        <v>18</v>
      </c>
      <c r="H1367" t="s">
        <v>14</v>
      </c>
      <c r="I1367" t="str">
        <f t="shared" si="21"/>
        <v>America</v>
      </c>
    </row>
    <row r="1368" spans="1:9" x14ac:dyDescent="0.3">
      <c r="A1368" t="s">
        <v>1321</v>
      </c>
      <c r="B1368">
        <v>94</v>
      </c>
      <c r="C1368" t="s">
        <v>41</v>
      </c>
      <c r="D1368">
        <v>58</v>
      </c>
      <c r="E1368">
        <v>84</v>
      </c>
      <c r="F1368">
        <v>17.59</v>
      </c>
      <c r="G1368" t="s">
        <v>18</v>
      </c>
      <c r="H1368" t="s">
        <v>18</v>
      </c>
      <c r="I1368" t="str">
        <f t="shared" si="21"/>
        <v>America</v>
      </c>
    </row>
    <row r="1369" spans="1:9" x14ac:dyDescent="0.3">
      <c r="A1369" t="s">
        <v>1322</v>
      </c>
      <c r="B1369">
        <v>94</v>
      </c>
      <c r="C1369" t="s">
        <v>45</v>
      </c>
      <c r="D1369">
        <v>51</v>
      </c>
      <c r="E1369">
        <v>73</v>
      </c>
      <c r="F1369">
        <v>37.04</v>
      </c>
      <c r="G1369" t="s">
        <v>18</v>
      </c>
      <c r="H1369" t="s">
        <v>150</v>
      </c>
      <c r="I1369" t="str">
        <f t="shared" si="21"/>
        <v>NULL</v>
      </c>
    </row>
    <row r="1370" spans="1:9" x14ac:dyDescent="0.3">
      <c r="A1370" t="s">
        <v>1323</v>
      </c>
      <c r="B1370">
        <v>95</v>
      </c>
      <c r="C1370" t="s">
        <v>45</v>
      </c>
      <c r="D1370">
        <v>51</v>
      </c>
      <c r="E1370">
        <v>73</v>
      </c>
      <c r="F1370">
        <v>9.5</v>
      </c>
      <c r="G1370" t="s">
        <v>11</v>
      </c>
      <c r="H1370" t="s">
        <v>9</v>
      </c>
      <c r="I1370" t="str">
        <f t="shared" si="21"/>
        <v>Africa</v>
      </c>
    </row>
    <row r="1371" spans="1:9" x14ac:dyDescent="0.3">
      <c r="A1371" t="s">
        <v>1324</v>
      </c>
      <c r="B1371">
        <v>94</v>
      </c>
      <c r="C1371" t="s">
        <v>82</v>
      </c>
      <c r="D1371">
        <v>53</v>
      </c>
      <c r="E1371">
        <v>64</v>
      </c>
      <c r="F1371">
        <v>533.33000000000004</v>
      </c>
      <c r="G1371" t="s">
        <v>2</v>
      </c>
      <c r="H1371" t="s">
        <v>14</v>
      </c>
      <c r="I1371" t="str">
        <f t="shared" si="21"/>
        <v>America</v>
      </c>
    </row>
    <row r="1372" spans="1:9" x14ac:dyDescent="0.3">
      <c r="A1372" t="s">
        <v>1325</v>
      </c>
      <c r="B1372">
        <v>94</v>
      </c>
      <c r="C1372" t="s">
        <v>45</v>
      </c>
      <c r="D1372">
        <v>60</v>
      </c>
      <c r="E1372">
        <v>79</v>
      </c>
      <c r="F1372">
        <v>266.67</v>
      </c>
      <c r="G1372" t="s">
        <v>2</v>
      </c>
      <c r="H1372" t="s">
        <v>9</v>
      </c>
      <c r="I1372" t="str">
        <f t="shared" si="21"/>
        <v>Africa</v>
      </c>
    </row>
    <row r="1373" spans="1:9" x14ac:dyDescent="0.3">
      <c r="A1373" t="s">
        <v>1326</v>
      </c>
      <c r="B1373">
        <v>94</v>
      </c>
      <c r="C1373" t="s">
        <v>45</v>
      </c>
      <c r="D1373">
        <v>53</v>
      </c>
      <c r="E1373">
        <v>75</v>
      </c>
      <c r="F1373">
        <v>5.95</v>
      </c>
      <c r="G1373" t="s">
        <v>2</v>
      </c>
      <c r="H1373" t="s">
        <v>12</v>
      </c>
      <c r="I1373" t="str">
        <f t="shared" si="21"/>
        <v>Africa</v>
      </c>
    </row>
    <row r="1374" spans="1:9" x14ac:dyDescent="0.3">
      <c r="A1374" t="s">
        <v>1327</v>
      </c>
      <c r="B1374">
        <v>95</v>
      </c>
      <c r="C1374" t="s">
        <v>45</v>
      </c>
      <c r="D1374">
        <v>58</v>
      </c>
      <c r="E1374">
        <v>82</v>
      </c>
      <c r="F1374">
        <v>5.59</v>
      </c>
      <c r="G1374" t="s">
        <v>18</v>
      </c>
      <c r="H1374" t="s">
        <v>9</v>
      </c>
      <c r="I1374" t="str">
        <f t="shared" si="21"/>
        <v>Africa</v>
      </c>
    </row>
    <row r="1375" spans="1:9" x14ac:dyDescent="0.3">
      <c r="A1375" t="s">
        <v>1328</v>
      </c>
      <c r="B1375">
        <v>95</v>
      </c>
      <c r="C1375" t="s">
        <v>45</v>
      </c>
      <c r="D1375">
        <v>58</v>
      </c>
      <c r="E1375">
        <v>80</v>
      </c>
      <c r="F1375">
        <v>154.32</v>
      </c>
      <c r="G1375" t="s">
        <v>2</v>
      </c>
      <c r="H1375" t="s">
        <v>9</v>
      </c>
      <c r="I1375" t="str">
        <f t="shared" si="21"/>
        <v>Africa</v>
      </c>
    </row>
    <row r="1376" spans="1:9" x14ac:dyDescent="0.3">
      <c r="A1376" t="s">
        <v>1329</v>
      </c>
      <c r="B1376">
        <v>95</v>
      </c>
      <c r="C1376" t="s">
        <v>82</v>
      </c>
      <c r="D1376">
        <v>51</v>
      </c>
      <c r="E1376">
        <v>69</v>
      </c>
      <c r="F1376">
        <v>16.53</v>
      </c>
      <c r="G1376" t="s">
        <v>18</v>
      </c>
      <c r="H1376" t="s">
        <v>14</v>
      </c>
      <c r="I1376" t="str">
        <f t="shared" si="21"/>
        <v>America</v>
      </c>
    </row>
    <row r="1377" spans="1:9" x14ac:dyDescent="0.3">
      <c r="A1377" t="s">
        <v>1330</v>
      </c>
      <c r="B1377">
        <v>94</v>
      </c>
      <c r="C1377" t="s">
        <v>45</v>
      </c>
      <c r="D1377">
        <v>53</v>
      </c>
      <c r="E1377">
        <v>75</v>
      </c>
      <c r="F1377">
        <v>5.29</v>
      </c>
      <c r="G1377" t="s">
        <v>31</v>
      </c>
      <c r="H1377" t="s">
        <v>16</v>
      </c>
      <c r="I1377" t="str">
        <f t="shared" si="21"/>
        <v>Asia-Pacific</v>
      </c>
    </row>
    <row r="1378" spans="1:9" x14ac:dyDescent="0.3">
      <c r="A1378" t="s">
        <v>1331</v>
      </c>
      <c r="B1378">
        <v>94</v>
      </c>
      <c r="C1378" t="s">
        <v>45</v>
      </c>
      <c r="D1378">
        <v>55</v>
      </c>
      <c r="E1378">
        <v>68</v>
      </c>
      <c r="F1378">
        <v>5.29</v>
      </c>
      <c r="G1378" t="s">
        <v>18</v>
      </c>
      <c r="H1378" t="s">
        <v>16</v>
      </c>
      <c r="I1378" t="str">
        <f t="shared" si="21"/>
        <v>Asia-Pacific</v>
      </c>
    </row>
    <row r="1379" spans="1:9" x14ac:dyDescent="0.3">
      <c r="A1379" t="s">
        <v>1332</v>
      </c>
      <c r="B1379">
        <v>95</v>
      </c>
      <c r="C1379" t="s">
        <v>82</v>
      </c>
      <c r="D1379">
        <v>51</v>
      </c>
      <c r="E1379">
        <v>68</v>
      </c>
      <c r="F1379">
        <v>5</v>
      </c>
      <c r="G1379" t="s">
        <v>18</v>
      </c>
      <c r="H1379" t="s">
        <v>16</v>
      </c>
      <c r="I1379" t="str">
        <f t="shared" si="21"/>
        <v>Asia-Pacific</v>
      </c>
    </row>
    <row r="1380" spans="1:9" x14ac:dyDescent="0.3">
      <c r="A1380" t="s">
        <v>1333</v>
      </c>
      <c r="B1380">
        <v>95</v>
      </c>
      <c r="C1380" t="s">
        <v>45</v>
      </c>
      <c r="D1380">
        <v>51</v>
      </c>
      <c r="E1380">
        <v>73</v>
      </c>
      <c r="F1380">
        <v>143.30000000000001</v>
      </c>
      <c r="G1380" t="s">
        <v>2</v>
      </c>
      <c r="H1380" t="s">
        <v>9</v>
      </c>
      <c r="I1380" t="str">
        <f t="shared" si="21"/>
        <v>Africa</v>
      </c>
    </row>
    <row r="1381" spans="1:9" x14ac:dyDescent="0.3">
      <c r="A1381" t="s">
        <v>1334</v>
      </c>
      <c r="B1381">
        <v>94</v>
      </c>
      <c r="C1381" t="s">
        <v>45</v>
      </c>
      <c r="D1381">
        <v>56</v>
      </c>
      <c r="E1381">
        <v>80</v>
      </c>
      <c r="F1381">
        <v>5</v>
      </c>
      <c r="G1381" t="s">
        <v>18</v>
      </c>
      <c r="H1381" t="s">
        <v>20</v>
      </c>
      <c r="I1381" t="str">
        <f t="shared" si="21"/>
        <v>Africa</v>
      </c>
    </row>
    <row r="1382" spans="1:9" x14ac:dyDescent="0.3">
      <c r="A1382" t="s">
        <v>1335</v>
      </c>
      <c r="B1382">
        <v>94</v>
      </c>
      <c r="C1382" t="s">
        <v>45</v>
      </c>
      <c r="D1382">
        <v>50</v>
      </c>
      <c r="E1382">
        <v>74</v>
      </c>
      <c r="F1382">
        <v>79.37</v>
      </c>
      <c r="G1382" t="s">
        <v>2</v>
      </c>
      <c r="H1382" t="s">
        <v>21</v>
      </c>
      <c r="I1382" t="str">
        <f t="shared" si="21"/>
        <v>America</v>
      </c>
    </row>
    <row r="1383" spans="1:9" x14ac:dyDescent="0.3">
      <c r="A1383" t="s">
        <v>1336</v>
      </c>
      <c r="B1383">
        <v>94</v>
      </c>
      <c r="C1383" t="s">
        <v>45</v>
      </c>
      <c r="D1383">
        <v>52</v>
      </c>
      <c r="E1383">
        <v>74</v>
      </c>
      <c r="F1383">
        <v>485.01</v>
      </c>
      <c r="G1383" t="s">
        <v>2</v>
      </c>
      <c r="H1383" t="s">
        <v>5</v>
      </c>
      <c r="I1383" t="str">
        <f t="shared" si="21"/>
        <v>America</v>
      </c>
    </row>
    <row r="1384" spans="1:9" x14ac:dyDescent="0.3">
      <c r="A1384" t="s">
        <v>1037</v>
      </c>
      <c r="B1384">
        <v>94</v>
      </c>
      <c r="C1384" t="s">
        <v>45</v>
      </c>
      <c r="D1384">
        <v>54</v>
      </c>
      <c r="E1384">
        <v>78</v>
      </c>
      <c r="F1384">
        <v>5.29</v>
      </c>
      <c r="G1384" t="s">
        <v>18</v>
      </c>
      <c r="H1384" t="s">
        <v>9</v>
      </c>
      <c r="I1384" t="str">
        <f t="shared" si="21"/>
        <v>Africa</v>
      </c>
    </row>
    <row r="1385" spans="1:9" x14ac:dyDescent="0.3">
      <c r="A1385" t="s">
        <v>1337</v>
      </c>
      <c r="B1385">
        <v>94</v>
      </c>
      <c r="C1385" t="s">
        <v>45</v>
      </c>
      <c r="D1385">
        <v>52</v>
      </c>
      <c r="E1385">
        <v>76</v>
      </c>
      <c r="F1385">
        <v>5.59</v>
      </c>
      <c r="G1385" t="s">
        <v>18</v>
      </c>
      <c r="H1385" t="s">
        <v>12</v>
      </c>
      <c r="I1385" t="str">
        <f t="shared" si="21"/>
        <v>Africa</v>
      </c>
    </row>
    <row r="1386" spans="1:9" x14ac:dyDescent="0.3">
      <c r="A1386" t="s">
        <v>582</v>
      </c>
      <c r="B1386">
        <v>94</v>
      </c>
      <c r="C1386" t="s">
        <v>45</v>
      </c>
      <c r="D1386">
        <v>54</v>
      </c>
      <c r="E1386">
        <v>78</v>
      </c>
      <c r="F1386">
        <v>5.29</v>
      </c>
      <c r="G1386" t="s">
        <v>18</v>
      </c>
      <c r="H1386" t="s">
        <v>9</v>
      </c>
      <c r="I1386" t="str">
        <f t="shared" si="21"/>
        <v>Africa</v>
      </c>
    </row>
    <row r="1387" spans="1:9" x14ac:dyDescent="0.3">
      <c r="A1387" t="s">
        <v>1338</v>
      </c>
      <c r="B1387">
        <v>94</v>
      </c>
      <c r="C1387" t="s">
        <v>41</v>
      </c>
      <c r="D1387">
        <v>58</v>
      </c>
      <c r="E1387">
        <v>84</v>
      </c>
      <c r="F1387">
        <v>111.11</v>
      </c>
      <c r="G1387" t="s">
        <v>2</v>
      </c>
      <c r="H1387" t="s">
        <v>9</v>
      </c>
      <c r="I1387" t="str">
        <f t="shared" si="21"/>
        <v>Africa</v>
      </c>
    </row>
    <row r="1388" spans="1:9" x14ac:dyDescent="0.3">
      <c r="A1388" t="s">
        <v>1339</v>
      </c>
      <c r="B1388">
        <v>97</v>
      </c>
      <c r="C1388" t="s">
        <v>45</v>
      </c>
      <c r="D1388">
        <v>54</v>
      </c>
      <c r="E1388">
        <v>78</v>
      </c>
      <c r="F1388">
        <v>5.29</v>
      </c>
      <c r="G1388" t="s">
        <v>18</v>
      </c>
      <c r="H1388" t="s">
        <v>12</v>
      </c>
      <c r="I1388" t="str">
        <f t="shared" si="21"/>
        <v>Africa</v>
      </c>
    </row>
    <row r="1389" spans="1:9" x14ac:dyDescent="0.3">
      <c r="A1389" t="s">
        <v>1340</v>
      </c>
      <c r="B1389">
        <v>94</v>
      </c>
      <c r="C1389" t="s">
        <v>45</v>
      </c>
      <c r="D1389">
        <v>55</v>
      </c>
      <c r="E1389">
        <v>77</v>
      </c>
      <c r="F1389">
        <v>7.05</v>
      </c>
      <c r="G1389" t="s">
        <v>18</v>
      </c>
      <c r="H1389" t="s">
        <v>17</v>
      </c>
      <c r="I1389" t="str">
        <f t="shared" si="21"/>
        <v>Africa</v>
      </c>
    </row>
    <row r="1390" spans="1:9" x14ac:dyDescent="0.3">
      <c r="A1390" t="s">
        <v>1341</v>
      </c>
      <c r="B1390">
        <v>94</v>
      </c>
      <c r="C1390" t="s">
        <v>45</v>
      </c>
      <c r="D1390">
        <v>52</v>
      </c>
      <c r="E1390">
        <v>74</v>
      </c>
      <c r="F1390">
        <v>5.29</v>
      </c>
      <c r="G1390" t="s">
        <v>18</v>
      </c>
      <c r="H1390" t="s">
        <v>9</v>
      </c>
      <c r="I1390" t="str">
        <f t="shared" si="21"/>
        <v>Africa</v>
      </c>
    </row>
    <row r="1391" spans="1:9" x14ac:dyDescent="0.3">
      <c r="A1391" t="s">
        <v>1342</v>
      </c>
      <c r="B1391">
        <v>94</v>
      </c>
      <c r="C1391" t="s">
        <v>82</v>
      </c>
      <c r="D1391">
        <v>42</v>
      </c>
      <c r="E1391">
        <v>64</v>
      </c>
      <c r="F1391">
        <v>6.47</v>
      </c>
      <c r="G1391" t="s">
        <v>18</v>
      </c>
      <c r="H1391" t="s">
        <v>12</v>
      </c>
      <c r="I1391" t="str">
        <f t="shared" si="21"/>
        <v>Africa</v>
      </c>
    </row>
    <row r="1392" spans="1:9" x14ac:dyDescent="0.3">
      <c r="A1392" t="s">
        <v>1331</v>
      </c>
      <c r="B1392">
        <v>95</v>
      </c>
      <c r="C1392" t="s">
        <v>45</v>
      </c>
      <c r="D1392">
        <v>54</v>
      </c>
      <c r="E1392">
        <v>76</v>
      </c>
      <c r="F1392">
        <v>6.17</v>
      </c>
      <c r="G1392" t="s">
        <v>18</v>
      </c>
      <c r="H1392" t="s">
        <v>16</v>
      </c>
      <c r="I1392" t="str">
        <f t="shared" si="21"/>
        <v>Asia-Pacific</v>
      </c>
    </row>
    <row r="1393" spans="1:9" x14ac:dyDescent="0.3">
      <c r="A1393" t="s">
        <v>1343</v>
      </c>
      <c r="B1393">
        <v>94</v>
      </c>
      <c r="C1393" t="s">
        <v>45</v>
      </c>
      <c r="D1393">
        <v>54</v>
      </c>
      <c r="E1393">
        <v>78</v>
      </c>
      <c r="F1393">
        <v>8.8000000000000007</v>
      </c>
      <c r="G1393" t="s">
        <v>18</v>
      </c>
      <c r="H1393" t="s">
        <v>17</v>
      </c>
      <c r="I1393" t="str">
        <f t="shared" si="21"/>
        <v>Africa</v>
      </c>
    </row>
    <row r="1394" spans="1:9" x14ac:dyDescent="0.3">
      <c r="A1394" t="s">
        <v>1344</v>
      </c>
      <c r="B1394">
        <v>94</v>
      </c>
      <c r="C1394" t="s">
        <v>45</v>
      </c>
      <c r="D1394">
        <v>52</v>
      </c>
      <c r="E1394">
        <v>76</v>
      </c>
      <c r="F1394">
        <v>4.41</v>
      </c>
      <c r="G1394" t="s">
        <v>18</v>
      </c>
      <c r="H1394" t="s">
        <v>9</v>
      </c>
      <c r="I1394" t="str">
        <f t="shared" si="21"/>
        <v>Africa</v>
      </c>
    </row>
    <row r="1395" spans="1:9" x14ac:dyDescent="0.3">
      <c r="A1395" t="s">
        <v>701</v>
      </c>
      <c r="B1395">
        <v>94</v>
      </c>
      <c r="C1395" t="s">
        <v>82</v>
      </c>
      <c r="D1395">
        <v>47</v>
      </c>
      <c r="E1395">
        <v>69</v>
      </c>
      <c r="F1395">
        <v>5.29</v>
      </c>
      <c r="G1395" t="s">
        <v>18</v>
      </c>
      <c r="H1395" t="s">
        <v>12</v>
      </c>
      <c r="I1395" t="str">
        <f t="shared" si="21"/>
        <v>Africa</v>
      </c>
    </row>
    <row r="1396" spans="1:9" x14ac:dyDescent="0.3">
      <c r="A1396" t="s">
        <v>1345</v>
      </c>
      <c r="B1396">
        <v>95</v>
      </c>
      <c r="C1396" t="s">
        <v>45</v>
      </c>
      <c r="D1396">
        <v>55</v>
      </c>
      <c r="E1396">
        <v>79</v>
      </c>
      <c r="F1396">
        <v>4.7</v>
      </c>
      <c r="G1396" t="s">
        <v>18</v>
      </c>
      <c r="H1396" t="s">
        <v>20</v>
      </c>
      <c r="I1396" t="str">
        <f t="shared" si="21"/>
        <v>Africa</v>
      </c>
    </row>
    <row r="1397" spans="1:9" x14ac:dyDescent="0.3">
      <c r="A1397" t="s">
        <v>890</v>
      </c>
      <c r="B1397">
        <v>95</v>
      </c>
      <c r="C1397" t="s">
        <v>45</v>
      </c>
      <c r="D1397">
        <v>52</v>
      </c>
      <c r="E1397">
        <v>74</v>
      </c>
      <c r="F1397">
        <v>19.82</v>
      </c>
      <c r="G1397" t="s">
        <v>18</v>
      </c>
      <c r="H1397" t="s">
        <v>18</v>
      </c>
      <c r="I1397" t="str">
        <f t="shared" si="21"/>
        <v>America</v>
      </c>
    </row>
    <row r="1398" spans="1:9" x14ac:dyDescent="0.3">
      <c r="A1398" t="s">
        <v>1346</v>
      </c>
      <c r="B1398">
        <v>94</v>
      </c>
      <c r="C1398" t="s">
        <v>45</v>
      </c>
      <c r="D1398">
        <v>50</v>
      </c>
      <c r="E1398">
        <v>72</v>
      </c>
      <c r="F1398">
        <v>6.61</v>
      </c>
      <c r="G1398" t="s">
        <v>18</v>
      </c>
      <c r="H1398" t="s">
        <v>9</v>
      </c>
      <c r="I1398" t="str">
        <f t="shared" si="21"/>
        <v>Africa</v>
      </c>
    </row>
    <row r="1399" spans="1:9" x14ac:dyDescent="0.3">
      <c r="A1399" t="s">
        <v>1347</v>
      </c>
      <c r="B1399">
        <v>94</v>
      </c>
      <c r="C1399" t="s">
        <v>45</v>
      </c>
      <c r="D1399">
        <v>53</v>
      </c>
      <c r="E1399">
        <v>75</v>
      </c>
      <c r="F1399">
        <v>5.44</v>
      </c>
      <c r="G1399" t="s">
        <v>18</v>
      </c>
      <c r="H1399" t="s">
        <v>9</v>
      </c>
      <c r="I1399" t="str">
        <f t="shared" si="21"/>
        <v>Africa</v>
      </c>
    </row>
    <row r="1400" spans="1:9" x14ac:dyDescent="0.3">
      <c r="A1400" t="s">
        <v>1348</v>
      </c>
      <c r="B1400">
        <v>95</v>
      </c>
      <c r="C1400" t="s">
        <v>82</v>
      </c>
      <c r="D1400">
        <v>48</v>
      </c>
      <c r="E1400">
        <v>72</v>
      </c>
      <c r="F1400">
        <v>5.59</v>
      </c>
      <c r="G1400" t="s">
        <v>18</v>
      </c>
      <c r="H1400" t="s">
        <v>12</v>
      </c>
      <c r="I1400" t="str">
        <f t="shared" si="21"/>
        <v>Africa</v>
      </c>
    </row>
    <row r="1401" spans="1:9" x14ac:dyDescent="0.3">
      <c r="A1401" t="s">
        <v>1349</v>
      </c>
      <c r="B1401">
        <v>94</v>
      </c>
      <c r="C1401" t="s">
        <v>45</v>
      </c>
      <c r="D1401">
        <v>56</v>
      </c>
      <c r="E1401">
        <v>80</v>
      </c>
      <c r="F1401">
        <v>6.47</v>
      </c>
      <c r="G1401" t="s">
        <v>18</v>
      </c>
      <c r="H1401" t="s">
        <v>13</v>
      </c>
      <c r="I1401" t="str">
        <f t="shared" si="21"/>
        <v>America</v>
      </c>
    </row>
    <row r="1402" spans="1:9" x14ac:dyDescent="0.3">
      <c r="A1402" t="s">
        <v>1350</v>
      </c>
      <c r="B1402">
        <v>94</v>
      </c>
      <c r="C1402" t="s">
        <v>45</v>
      </c>
      <c r="D1402">
        <v>56</v>
      </c>
      <c r="E1402">
        <v>78</v>
      </c>
      <c r="F1402">
        <v>4.97</v>
      </c>
      <c r="G1402" t="s">
        <v>18</v>
      </c>
      <c r="H1402" t="s">
        <v>23</v>
      </c>
      <c r="I1402" t="str">
        <f t="shared" si="21"/>
        <v>Africa</v>
      </c>
    </row>
    <row r="1403" spans="1:9" x14ac:dyDescent="0.3">
      <c r="A1403" t="s">
        <v>1351</v>
      </c>
      <c r="B1403">
        <v>97</v>
      </c>
      <c r="C1403" t="s">
        <v>45</v>
      </c>
      <c r="D1403">
        <v>50</v>
      </c>
      <c r="E1403">
        <v>74</v>
      </c>
      <c r="F1403">
        <v>26.46</v>
      </c>
      <c r="G1403" t="s">
        <v>18</v>
      </c>
      <c r="H1403" t="s">
        <v>5</v>
      </c>
      <c r="I1403" t="str">
        <f t="shared" si="21"/>
        <v>America</v>
      </c>
    </row>
    <row r="1404" spans="1:9" x14ac:dyDescent="0.3">
      <c r="A1404" t="s">
        <v>1352</v>
      </c>
      <c r="B1404">
        <v>94</v>
      </c>
      <c r="C1404" t="s">
        <v>45</v>
      </c>
      <c r="D1404">
        <v>58</v>
      </c>
      <c r="E1404">
        <v>80</v>
      </c>
      <c r="F1404">
        <v>6.61</v>
      </c>
      <c r="G1404" t="s">
        <v>2</v>
      </c>
      <c r="H1404" t="s">
        <v>14</v>
      </c>
      <c r="I1404" t="str">
        <f t="shared" si="21"/>
        <v>America</v>
      </c>
    </row>
    <row r="1405" spans="1:9" x14ac:dyDescent="0.3">
      <c r="A1405" t="s">
        <v>717</v>
      </c>
      <c r="B1405">
        <v>94</v>
      </c>
      <c r="C1405" t="s">
        <v>45</v>
      </c>
      <c r="D1405">
        <v>53</v>
      </c>
      <c r="E1405">
        <v>77</v>
      </c>
      <c r="F1405">
        <v>7.61</v>
      </c>
      <c r="G1405" t="s">
        <v>18</v>
      </c>
      <c r="H1405" t="s">
        <v>14</v>
      </c>
      <c r="I1405" t="str">
        <f t="shared" si="21"/>
        <v>America</v>
      </c>
    </row>
    <row r="1406" spans="1:9" x14ac:dyDescent="0.3">
      <c r="A1406" t="s">
        <v>1353</v>
      </c>
      <c r="B1406">
        <v>94</v>
      </c>
      <c r="C1406" t="s">
        <v>45</v>
      </c>
      <c r="D1406">
        <v>54</v>
      </c>
      <c r="E1406">
        <v>76</v>
      </c>
      <c r="F1406">
        <v>7.05</v>
      </c>
      <c r="G1406" t="s">
        <v>2</v>
      </c>
      <c r="H1406" t="s">
        <v>12</v>
      </c>
      <c r="I1406" t="str">
        <f t="shared" si="21"/>
        <v>Africa</v>
      </c>
    </row>
    <row r="1407" spans="1:9" x14ac:dyDescent="0.3">
      <c r="A1407" t="s">
        <v>1354</v>
      </c>
      <c r="B1407">
        <v>94</v>
      </c>
      <c r="C1407" t="s">
        <v>45</v>
      </c>
      <c r="D1407">
        <v>60</v>
      </c>
      <c r="E1407">
        <v>80</v>
      </c>
      <c r="F1407">
        <v>5.29</v>
      </c>
      <c r="G1407" t="s">
        <v>18</v>
      </c>
      <c r="H1407" t="s">
        <v>9</v>
      </c>
      <c r="I1407" t="str">
        <f t="shared" si="21"/>
        <v>Africa</v>
      </c>
    </row>
    <row r="1408" spans="1:9" x14ac:dyDescent="0.3">
      <c r="A1408" t="s">
        <v>1355</v>
      </c>
      <c r="B1408">
        <v>94</v>
      </c>
      <c r="C1408" t="s">
        <v>41</v>
      </c>
      <c r="D1408">
        <v>62</v>
      </c>
      <c r="E1408">
        <v>82</v>
      </c>
      <c r="F1408">
        <v>5.29</v>
      </c>
      <c r="G1408" t="s">
        <v>18</v>
      </c>
      <c r="H1408" t="s">
        <v>9</v>
      </c>
      <c r="I1408" t="str">
        <f t="shared" si="21"/>
        <v>Africa</v>
      </c>
    </row>
    <row r="1409" spans="1:9" x14ac:dyDescent="0.3">
      <c r="A1409" t="s">
        <v>1356</v>
      </c>
      <c r="B1409">
        <v>95</v>
      </c>
      <c r="C1409" t="s">
        <v>45</v>
      </c>
      <c r="D1409">
        <v>56</v>
      </c>
      <c r="E1409">
        <v>72</v>
      </c>
      <c r="F1409">
        <v>6</v>
      </c>
      <c r="G1409" t="s">
        <v>18</v>
      </c>
      <c r="H1409" t="s">
        <v>12</v>
      </c>
      <c r="I1409" t="str">
        <f t="shared" si="21"/>
        <v>Africa</v>
      </c>
    </row>
    <row r="1410" spans="1:9" x14ac:dyDescent="0.3">
      <c r="A1410" t="s">
        <v>1357</v>
      </c>
      <c r="B1410">
        <v>94</v>
      </c>
      <c r="C1410" t="s">
        <v>45</v>
      </c>
      <c r="D1410">
        <v>57</v>
      </c>
      <c r="E1410">
        <v>79</v>
      </c>
      <c r="F1410">
        <v>132.28</v>
      </c>
      <c r="G1410" t="s">
        <v>2</v>
      </c>
      <c r="H1410" t="s">
        <v>12</v>
      </c>
      <c r="I1410" t="str">
        <f t="shared" si="21"/>
        <v>Africa</v>
      </c>
    </row>
    <row r="1411" spans="1:9" x14ac:dyDescent="0.3">
      <c r="A1411" t="s">
        <v>1358</v>
      </c>
      <c r="B1411">
        <v>95</v>
      </c>
      <c r="C1411" t="s">
        <v>45</v>
      </c>
      <c r="D1411">
        <v>57</v>
      </c>
      <c r="E1411">
        <v>79</v>
      </c>
      <c r="F1411">
        <v>127.87</v>
      </c>
      <c r="G1411" t="s">
        <v>2</v>
      </c>
      <c r="H1411" t="s">
        <v>9</v>
      </c>
      <c r="I1411" t="str">
        <f t="shared" ref="I1411:I1474" si="22">_xlfn.XLOOKUP(H1411, $M$2:$M$50, $N$2:$N$50, "Other")</f>
        <v>Africa</v>
      </c>
    </row>
    <row r="1412" spans="1:9" x14ac:dyDescent="0.3">
      <c r="A1412" t="s">
        <v>1359</v>
      </c>
      <c r="B1412">
        <v>94</v>
      </c>
      <c r="C1412" t="s">
        <v>45</v>
      </c>
      <c r="D1412">
        <v>57</v>
      </c>
      <c r="E1412">
        <v>79</v>
      </c>
      <c r="F1412">
        <v>132.28</v>
      </c>
      <c r="G1412" t="s">
        <v>2</v>
      </c>
      <c r="H1412" t="s">
        <v>9</v>
      </c>
      <c r="I1412" t="str">
        <f t="shared" si="22"/>
        <v>Africa</v>
      </c>
    </row>
    <row r="1413" spans="1:9" x14ac:dyDescent="0.3">
      <c r="A1413" t="s">
        <v>1360</v>
      </c>
      <c r="B1413">
        <v>94</v>
      </c>
      <c r="C1413" t="s">
        <v>45</v>
      </c>
      <c r="D1413">
        <v>54</v>
      </c>
      <c r="E1413">
        <v>76</v>
      </c>
      <c r="F1413">
        <v>4.99</v>
      </c>
      <c r="G1413" t="s">
        <v>18</v>
      </c>
      <c r="H1413" t="s">
        <v>14</v>
      </c>
      <c r="I1413" t="str">
        <f t="shared" si="22"/>
        <v>America</v>
      </c>
    </row>
    <row r="1414" spans="1:9" x14ac:dyDescent="0.3">
      <c r="A1414" t="s">
        <v>1361</v>
      </c>
      <c r="B1414">
        <v>94</v>
      </c>
      <c r="C1414" t="s">
        <v>45</v>
      </c>
      <c r="D1414">
        <v>54</v>
      </c>
      <c r="E1414">
        <v>74</v>
      </c>
      <c r="F1414">
        <v>14.11</v>
      </c>
      <c r="G1414" t="s">
        <v>18</v>
      </c>
      <c r="H1414" t="s">
        <v>14</v>
      </c>
      <c r="I1414" t="str">
        <f t="shared" si="22"/>
        <v>America</v>
      </c>
    </row>
    <row r="1415" spans="1:9" x14ac:dyDescent="0.3">
      <c r="A1415" t="s">
        <v>1362</v>
      </c>
      <c r="B1415">
        <v>95</v>
      </c>
      <c r="C1415" t="s">
        <v>45</v>
      </c>
      <c r="D1415">
        <v>60</v>
      </c>
      <c r="E1415">
        <v>80</v>
      </c>
      <c r="F1415">
        <v>7.94</v>
      </c>
      <c r="G1415" t="s">
        <v>2</v>
      </c>
      <c r="H1415" t="s">
        <v>9</v>
      </c>
      <c r="I1415" t="str">
        <f t="shared" si="22"/>
        <v>Africa</v>
      </c>
    </row>
    <row r="1416" spans="1:9" x14ac:dyDescent="0.3">
      <c r="A1416" t="s">
        <v>1363</v>
      </c>
      <c r="B1416">
        <v>96</v>
      </c>
      <c r="C1416" t="s">
        <v>45</v>
      </c>
      <c r="D1416">
        <v>55</v>
      </c>
      <c r="E1416">
        <v>75</v>
      </c>
      <c r="F1416">
        <v>12</v>
      </c>
      <c r="G1416" t="s">
        <v>18</v>
      </c>
      <c r="H1416" t="s">
        <v>5</v>
      </c>
      <c r="I1416" t="str">
        <f t="shared" si="22"/>
        <v>America</v>
      </c>
    </row>
    <row r="1417" spans="1:9" x14ac:dyDescent="0.3">
      <c r="A1417" t="s">
        <v>1125</v>
      </c>
      <c r="B1417">
        <v>94</v>
      </c>
      <c r="C1417" t="s">
        <v>45</v>
      </c>
      <c r="D1417">
        <v>54</v>
      </c>
      <c r="E1417">
        <v>78</v>
      </c>
      <c r="F1417">
        <v>19.84</v>
      </c>
      <c r="G1417" t="s">
        <v>18</v>
      </c>
      <c r="H1417" t="s">
        <v>5</v>
      </c>
      <c r="I1417" t="str">
        <f t="shared" si="22"/>
        <v>America</v>
      </c>
    </row>
    <row r="1418" spans="1:9" x14ac:dyDescent="0.3">
      <c r="A1418" t="s">
        <v>1364</v>
      </c>
      <c r="B1418">
        <v>94</v>
      </c>
      <c r="C1418" t="s">
        <v>45</v>
      </c>
      <c r="D1418">
        <v>56</v>
      </c>
      <c r="E1418">
        <v>84</v>
      </c>
      <c r="F1418">
        <v>15.87</v>
      </c>
      <c r="G1418" t="s">
        <v>18</v>
      </c>
      <c r="H1418" t="s">
        <v>5</v>
      </c>
      <c r="I1418" t="str">
        <f t="shared" si="22"/>
        <v>America</v>
      </c>
    </row>
    <row r="1419" spans="1:9" x14ac:dyDescent="0.3">
      <c r="A1419" t="s">
        <v>1365</v>
      </c>
      <c r="B1419">
        <v>94</v>
      </c>
      <c r="C1419" t="s">
        <v>45</v>
      </c>
      <c r="D1419">
        <v>55</v>
      </c>
      <c r="E1419">
        <v>72</v>
      </c>
      <c r="F1419">
        <v>132.28</v>
      </c>
      <c r="G1419" t="s">
        <v>2</v>
      </c>
      <c r="H1419" t="s">
        <v>12</v>
      </c>
      <c r="I1419" t="str">
        <f t="shared" si="22"/>
        <v>Africa</v>
      </c>
    </row>
    <row r="1420" spans="1:9" x14ac:dyDescent="0.3">
      <c r="A1420" t="s">
        <v>1366</v>
      </c>
      <c r="B1420">
        <v>94</v>
      </c>
      <c r="C1420" t="s">
        <v>45</v>
      </c>
      <c r="D1420">
        <v>52</v>
      </c>
      <c r="E1420">
        <v>76</v>
      </c>
      <c r="F1420">
        <v>7.64</v>
      </c>
      <c r="G1420" t="s">
        <v>18</v>
      </c>
      <c r="H1420" t="s">
        <v>12</v>
      </c>
      <c r="I1420" t="str">
        <f t="shared" si="22"/>
        <v>Africa</v>
      </c>
    </row>
    <row r="1421" spans="1:9" x14ac:dyDescent="0.3">
      <c r="A1421" t="s">
        <v>467</v>
      </c>
      <c r="B1421">
        <v>96</v>
      </c>
      <c r="C1421" t="s">
        <v>82</v>
      </c>
      <c r="D1421">
        <v>46</v>
      </c>
      <c r="E1421">
        <v>64</v>
      </c>
      <c r="F1421">
        <v>19.82</v>
      </c>
      <c r="G1421" t="s">
        <v>18</v>
      </c>
      <c r="H1421" t="s">
        <v>18</v>
      </c>
      <c r="I1421" t="str">
        <f t="shared" si="22"/>
        <v>America</v>
      </c>
    </row>
    <row r="1422" spans="1:9" x14ac:dyDescent="0.3">
      <c r="A1422" t="s">
        <v>1367</v>
      </c>
      <c r="B1422">
        <v>95</v>
      </c>
      <c r="C1422" t="s">
        <v>45</v>
      </c>
      <c r="D1422">
        <v>54</v>
      </c>
      <c r="E1422">
        <v>74</v>
      </c>
      <c r="F1422">
        <v>5.86</v>
      </c>
      <c r="G1422" t="s">
        <v>18</v>
      </c>
      <c r="H1422" t="s">
        <v>12</v>
      </c>
      <c r="I1422" t="str">
        <f t="shared" si="22"/>
        <v>Africa</v>
      </c>
    </row>
    <row r="1423" spans="1:9" x14ac:dyDescent="0.3">
      <c r="A1423" t="s">
        <v>1368</v>
      </c>
      <c r="B1423">
        <v>95</v>
      </c>
      <c r="C1423" t="s">
        <v>45</v>
      </c>
      <c r="D1423">
        <v>52</v>
      </c>
      <c r="E1423">
        <v>74</v>
      </c>
      <c r="F1423">
        <v>132.16</v>
      </c>
      <c r="G1423" t="s">
        <v>2</v>
      </c>
      <c r="H1423" t="s">
        <v>150</v>
      </c>
      <c r="I1423" t="str">
        <f t="shared" si="22"/>
        <v>NULL</v>
      </c>
    </row>
    <row r="1424" spans="1:9" x14ac:dyDescent="0.3">
      <c r="A1424" t="s">
        <v>1369</v>
      </c>
      <c r="B1424">
        <v>94</v>
      </c>
      <c r="C1424" t="s">
        <v>45</v>
      </c>
      <c r="D1424">
        <v>56</v>
      </c>
      <c r="E1424">
        <v>74</v>
      </c>
      <c r="F1424">
        <v>5.73</v>
      </c>
      <c r="G1424" t="s">
        <v>18</v>
      </c>
      <c r="H1424" t="s">
        <v>12</v>
      </c>
      <c r="I1424" t="str">
        <f t="shared" si="22"/>
        <v>Africa</v>
      </c>
    </row>
    <row r="1425" spans="1:9" x14ac:dyDescent="0.3">
      <c r="A1425" t="s">
        <v>1370</v>
      </c>
      <c r="B1425">
        <v>95</v>
      </c>
      <c r="C1425" t="s">
        <v>45</v>
      </c>
      <c r="D1425">
        <v>54</v>
      </c>
      <c r="E1425">
        <v>78</v>
      </c>
      <c r="F1425">
        <v>30.86</v>
      </c>
      <c r="G1425" t="s">
        <v>18</v>
      </c>
      <c r="H1425" t="s">
        <v>5</v>
      </c>
      <c r="I1425" t="str">
        <f t="shared" si="22"/>
        <v>America</v>
      </c>
    </row>
    <row r="1426" spans="1:9" x14ac:dyDescent="0.3">
      <c r="A1426" t="s">
        <v>1371</v>
      </c>
      <c r="B1426">
        <v>94</v>
      </c>
      <c r="C1426" t="s">
        <v>45</v>
      </c>
      <c r="D1426">
        <v>50</v>
      </c>
      <c r="E1426">
        <v>76</v>
      </c>
      <c r="F1426">
        <v>19.84</v>
      </c>
      <c r="G1426" t="s">
        <v>18</v>
      </c>
      <c r="H1426" t="s">
        <v>15</v>
      </c>
      <c r="I1426" t="str">
        <f t="shared" si="22"/>
        <v>America</v>
      </c>
    </row>
    <row r="1427" spans="1:9" x14ac:dyDescent="0.3">
      <c r="A1427" t="s">
        <v>1372</v>
      </c>
      <c r="B1427">
        <v>95</v>
      </c>
      <c r="C1427" t="s">
        <v>45</v>
      </c>
      <c r="D1427">
        <v>57</v>
      </c>
      <c r="E1427">
        <v>77</v>
      </c>
      <c r="F1427">
        <v>639.33000000000004</v>
      </c>
      <c r="G1427" t="s">
        <v>2</v>
      </c>
      <c r="H1427" t="s">
        <v>7</v>
      </c>
      <c r="I1427" t="str">
        <f t="shared" si="22"/>
        <v>America</v>
      </c>
    </row>
    <row r="1428" spans="1:9" x14ac:dyDescent="0.3">
      <c r="A1428" t="s">
        <v>1373</v>
      </c>
      <c r="B1428">
        <v>94</v>
      </c>
      <c r="C1428" t="s">
        <v>45</v>
      </c>
      <c r="D1428">
        <v>56</v>
      </c>
      <c r="E1428">
        <v>78</v>
      </c>
      <c r="F1428">
        <v>6.17</v>
      </c>
      <c r="G1428" t="s">
        <v>18</v>
      </c>
      <c r="H1428" t="s">
        <v>7</v>
      </c>
      <c r="I1428" t="str">
        <f t="shared" si="22"/>
        <v>America</v>
      </c>
    </row>
    <row r="1429" spans="1:9" x14ac:dyDescent="0.3">
      <c r="A1429" t="s">
        <v>1374</v>
      </c>
      <c r="B1429">
        <v>94</v>
      </c>
      <c r="C1429" t="s">
        <v>45</v>
      </c>
      <c r="D1429">
        <v>58</v>
      </c>
      <c r="E1429">
        <v>80</v>
      </c>
      <c r="F1429">
        <v>5.86</v>
      </c>
      <c r="G1429" t="s">
        <v>18</v>
      </c>
      <c r="H1429" t="s">
        <v>12</v>
      </c>
      <c r="I1429" t="str">
        <f t="shared" si="22"/>
        <v>Africa</v>
      </c>
    </row>
    <row r="1430" spans="1:9" x14ac:dyDescent="0.3">
      <c r="A1430" t="s">
        <v>1375</v>
      </c>
      <c r="B1430">
        <v>95</v>
      </c>
      <c r="C1430" t="s">
        <v>45</v>
      </c>
      <c r="D1430">
        <v>57</v>
      </c>
      <c r="E1430">
        <v>81</v>
      </c>
      <c r="F1430">
        <v>5.73</v>
      </c>
      <c r="G1430" t="s">
        <v>18</v>
      </c>
      <c r="H1430" t="s">
        <v>12</v>
      </c>
      <c r="I1430" t="str">
        <f t="shared" si="22"/>
        <v>Africa</v>
      </c>
    </row>
    <row r="1431" spans="1:9" x14ac:dyDescent="0.3">
      <c r="A1431" t="s">
        <v>1376</v>
      </c>
      <c r="B1431">
        <v>95</v>
      </c>
      <c r="C1431" t="s">
        <v>45</v>
      </c>
      <c r="D1431">
        <v>57</v>
      </c>
      <c r="E1431">
        <v>83</v>
      </c>
      <c r="F1431">
        <v>33.07</v>
      </c>
      <c r="G1431" t="s">
        <v>18</v>
      </c>
      <c r="H1431" t="s">
        <v>5</v>
      </c>
      <c r="I1431" t="str">
        <f t="shared" si="22"/>
        <v>America</v>
      </c>
    </row>
    <row r="1432" spans="1:9" x14ac:dyDescent="0.3">
      <c r="A1432" t="s">
        <v>1377</v>
      </c>
      <c r="B1432">
        <v>96</v>
      </c>
      <c r="C1432" t="s">
        <v>45</v>
      </c>
      <c r="D1432">
        <v>56</v>
      </c>
      <c r="E1432">
        <v>76</v>
      </c>
      <c r="F1432">
        <v>19.84</v>
      </c>
      <c r="G1432" t="s">
        <v>18</v>
      </c>
      <c r="H1432" t="s">
        <v>5</v>
      </c>
      <c r="I1432" t="str">
        <f t="shared" si="22"/>
        <v>America</v>
      </c>
    </row>
    <row r="1433" spans="1:9" x14ac:dyDescent="0.3">
      <c r="A1433" t="s">
        <v>1378</v>
      </c>
      <c r="B1433">
        <v>96</v>
      </c>
      <c r="C1433" t="s">
        <v>45</v>
      </c>
      <c r="D1433">
        <v>50</v>
      </c>
      <c r="E1433">
        <v>74</v>
      </c>
      <c r="F1433">
        <v>4.25</v>
      </c>
      <c r="G1433" t="s">
        <v>18</v>
      </c>
      <c r="H1433" t="s">
        <v>7</v>
      </c>
      <c r="I1433" t="str">
        <f t="shared" si="22"/>
        <v>America</v>
      </c>
    </row>
    <row r="1434" spans="1:9" x14ac:dyDescent="0.3">
      <c r="A1434" t="s">
        <v>1379</v>
      </c>
      <c r="B1434">
        <v>94</v>
      </c>
      <c r="C1434" t="s">
        <v>45</v>
      </c>
      <c r="D1434">
        <v>55</v>
      </c>
      <c r="E1434">
        <v>75</v>
      </c>
      <c r="F1434">
        <v>5.73</v>
      </c>
      <c r="G1434" t="s">
        <v>18</v>
      </c>
      <c r="H1434" t="s">
        <v>12</v>
      </c>
      <c r="I1434" t="str">
        <f t="shared" si="22"/>
        <v>Africa</v>
      </c>
    </row>
    <row r="1435" spans="1:9" x14ac:dyDescent="0.3">
      <c r="A1435" t="s">
        <v>1380</v>
      </c>
      <c r="B1435">
        <v>94</v>
      </c>
      <c r="C1435" t="s">
        <v>45</v>
      </c>
      <c r="D1435">
        <v>52</v>
      </c>
      <c r="E1435">
        <v>74</v>
      </c>
      <c r="F1435">
        <v>5.73</v>
      </c>
      <c r="G1435" t="s">
        <v>18</v>
      </c>
      <c r="H1435" t="s">
        <v>12</v>
      </c>
      <c r="I1435" t="str">
        <f t="shared" si="22"/>
        <v>Africa</v>
      </c>
    </row>
    <row r="1436" spans="1:9" x14ac:dyDescent="0.3">
      <c r="A1436" t="s">
        <v>1381</v>
      </c>
      <c r="B1436">
        <v>94</v>
      </c>
      <c r="C1436" t="s">
        <v>45</v>
      </c>
      <c r="D1436">
        <v>56</v>
      </c>
      <c r="E1436">
        <v>75</v>
      </c>
      <c r="F1436">
        <v>5.73</v>
      </c>
      <c r="G1436" t="s">
        <v>18</v>
      </c>
      <c r="H1436" t="s">
        <v>12</v>
      </c>
      <c r="I1436" t="str">
        <f t="shared" si="22"/>
        <v>Africa</v>
      </c>
    </row>
    <row r="1437" spans="1:9" x14ac:dyDescent="0.3">
      <c r="A1437" t="s">
        <v>1382</v>
      </c>
      <c r="B1437">
        <v>96</v>
      </c>
      <c r="C1437" t="s">
        <v>45</v>
      </c>
      <c r="D1437">
        <v>56</v>
      </c>
      <c r="E1437">
        <v>84</v>
      </c>
      <c r="F1437">
        <v>33.07</v>
      </c>
      <c r="G1437" t="s">
        <v>18</v>
      </c>
      <c r="H1437" t="s">
        <v>5</v>
      </c>
      <c r="I1437" t="str">
        <f t="shared" si="22"/>
        <v>America</v>
      </c>
    </row>
    <row r="1438" spans="1:9" x14ac:dyDescent="0.3">
      <c r="A1438" t="s">
        <v>1383</v>
      </c>
      <c r="B1438">
        <v>94</v>
      </c>
      <c r="C1438" t="s">
        <v>45</v>
      </c>
      <c r="D1438">
        <v>53</v>
      </c>
      <c r="E1438">
        <v>81</v>
      </c>
      <c r="F1438">
        <v>4.92</v>
      </c>
      <c r="G1438" t="s">
        <v>18</v>
      </c>
      <c r="H1438" t="s">
        <v>12</v>
      </c>
      <c r="I1438" t="str">
        <f t="shared" si="22"/>
        <v>Africa</v>
      </c>
    </row>
    <row r="1439" spans="1:9" x14ac:dyDescent="0.3">
      <c r="A1439" t="s">
        <v>1384</v>
      </c>
      <c r="B1439">
        <v>95</v>
      </c>
      <c r="C1439" t="s">
        <v>541</v>
      </c>
      <c r="D1439">
        <v>40</v>
      </c>
      <c r="E1439">
        <v>48</v>
      </c>
      <c r="F1439">
        <v>308.64999999999998</v>
      </c>
      <c r="G1439" t="s">
        <v>2</v>
      </c>
      <c r="H1439" t="s">
        <v>9</v>
      </c>
      <c r="I1439" t="str">
        <f t="shared" si="22"/>
        <v>Africa</v>
      </c>
    </row>
    <row r="1440" spans="1:9" x14ac:dyDescent="0.3">
      <c r="A1440" t="s">
        <v>1385</v>
      </c>
      <c r="B1440">
        <v>94</v>
      </c>
      <c r="C1440" t="s">
        <v>541</v>
      </c>
      <c r="D1440">
        <v>39</v>
      </c>
      <c r="E1440">
        <v>45</v>
      </c>
      <c r="F1440">
        <v>330.7</v>
      </c>
      <c r="G1440" t="s">
        <v>2</v>
      </c>
      <c r="H1440" t="s">
        <v>12</v>
      </c>
      <c r="I1440" t="str">
        <f t="shared" si="22"/>
        <v>Africa</v>
      </c>
    </row>
    <row r="1441" spans="1:9" x14ac:dyDescent="0.3">
      <c r="A1441" t="s">
        <v>1386</v>
      </c>
      <c r="B1441">
        <v>96</v>
      </c>
      <c r="C1441" t="s">
        <v>45</v>
      </c>
      <c r="D1441">
        <v>53</v>
      </c>
      <c r="E1441">
        <v>81</v>
      </c>
      <c r="F1441">
        <v>165.34</v>
      </c>
      <c r="G1441" t="s">
        <v>2</v>
      </c>
      <c r="H1441" t="s">
        <v>12</v>
      </c>
      <c r="I1441" t="str">
        <f t="shared" si="22"/>
        <v>Africa</v>
      </c>
    </row>
    <row r="1442" spans="1:9" x14ac:dyDescent="0.3">
      <c r="A1442" t="s">
        <v>1387</v>
      </c>
      <c r="B1442">
        <v>95</v>
      </c>
      <c r="C1442" t="s">
        <v>41</v>
      </c>
      <c r="D1442">
        <v>56</v>
      </c>
      <c r="E1442">
        <v>86</v>
      </c>
      <c r="F1442">
        <v>127.87</v>
      </c>
      <c r="G1442" t="s">
        <v>2</v>
      </c>
      <c r="H1442" t="s">
        <v>9</v>
      </c>
      <c r="I1442" t="str">
        <f t="shared" si="22"/>
        <v>Africa</v>
      </c>
    </row>
    <row r="1443" spans="1:9" x14ac:dyDescent="0.3">
      <c r="A1443" t="s">
        <v>1388</v>
      </c>
      <c r="B1443">
        <v>94</v>
      </c>
      <c r="C1443" t="s">
        <v>45</v>
      </c>
      <c r="D1443">
        <v>56</v>
      </c>
      <c r="E1443">
        <v>82</v>
      </c>
      <c r="F1443">
        <v>5.29</v>
      </c>
      <c r="G1443" t="s">
        <v>18</v>
      </c>
      <c r="H1443" t="s">
        <v>9</v>
      </c>
      <c r="I1443" t="str">
        <f t="shared" si="22"/>
        <v>Africa</v>
      </c>
    </row>
    <row r="1444" spans="1:9" x14ac:dyDescent="0.3">
      <c r="A1444" t="s">
        <v>1389</v>
      </c>
      <c r="B1444">
        <v>94</v>
      </c>
      <c r="C1444" t="s">
        <v>45</v>
      </c>
      <c r="D1444">
        <v>58</v>
      </c>
      <c r="E1444">
        <v>82</v>
      </c>
      <c r="F1444">
        <v>5.14</v>
      </c>
      <c r="G1444" t="s">
        <v>18</v>
      </c>
      <c r="H1444" t="s">
        <v>9</v>
      </c>
      <c r="I1444" t="str">
        <f t="shared" si="22"/>
        <v>Africa</v>
      </c>
    </row>
    <row r="1445" spans="1:9" x14ac:dyDescent="0.3">
      <c r="A1445" t="s">
        <v>1390</v>
      </c>
      <c r="B1445">
        <v>94</v>
      </c>
      <c r="C1445" t="s">
        <v>45</v>
      </c>
      <c r="D1445">
        <v>54</v>
      </c>
      <c r="E1445">
        <v>80</v>
      </c>
      <c r="F1445">
        <v>6.03</v>
      </c>
      <c r="G1445" t="s">
        <v>18</v>
      </c>
      <c r="H1445" t="s">
        <v>12</v>
      </c>
      <c r="I1445" t="str">
        <f t="shared" si="22"/>
        <v>Africa</v>
      </c>
    </row>
    <row r="1446" spans="1:9" x14ac:dyDescent="0.3">
      <c r="A1446" t="s">
        <v>1391</v>
      </c>
      <c r="B1446">
        <v>95</v>
      </c>
      <c r="C1446" t="s">
        <v>45</v>
      </c>
      <c r="D1446">
        <v>56</v>
      </c>
      <c r="E1446">
        <v>80</v>
      </c>
      <c r="F1446">
        <v>5.51</v>
      </c>
      <c r="G1446" t="s">
        <v>18</v>
      </c>
      <c r="H1446" t="s">
        <v>9</v>
      </c>
      <c r="I1446" t="str">
        <f t="shared" si="22"/>
        <v>Africa</v>
      </c>
    </row>
    <row r="1447" spans="1:9" x14ac:dyDescent="0.3">
      <c r="A1447" t="s">
        <v>1392</v>
      </c>
      <c r="B1447">
        <v>95</v>
      </c>
      <c r="C1447" t="s">
        <v>45</v>
      </c>
      <c r="D1447">
        <v>58</v>
      </c>
      <c r="E1447">
        <v>82</v>
      </c>
      <c r="F1447">
        <v>4.34</v>
      </c>
      <c r="G1447" t="s">
        <v>18</v>
      </c>
      <c r="H1447" t="s">
        <v>20</v>
      </c>
      <c r="I1447" t="str">
        <f t="shared" si="22"/>
        <v>Africa</v>
      </c>
    </row>
    <row r="1448" spans="1:9" x14ac:dyDescent="0.3">
      <c r="A1448" t="s">
        <v>1393</v>
      </c>
      <c r="B1448">
        <v>96</v>
      </c>
      <c r="C1448" t="s">
        <v>45</v>
      </c>
      <c r="D1448">
        <v>56</v>
      </c>
      <c r="E1448">
        <v>84</v>
      </c>
      <c r="F1448">
        <v>11.76</v>
      </c>
      <c r="G1448" t="s">
        <v>18</v>
      </c>
      <c r="H1448" t="s">
        <v>5</v>
      </c>
      <c r="I1448" t="str">
        <f t="shared" si="22"/>
        <v>America</v>
      </c>
    </row>
    <row r="1449" spans="1:9" x14ac:dyDescent="0.3">
      <c r="A1449" t="s">
        <v>1394</v>
      </c>
      <c r="B1449">
        <v>95</v>
      </c>
      <c r="C1449" t="s">
        <v>41</v>
      </c>
      <c r="D1449">
        <v>58</v>
      </c>
      <c r="E1449">
        <v>86</v>
      </c>
      <c r="F1449">
        <v>11.76</v>
      </c>
      <c r="G1449" t="s">
        <v>18</v>
      </c>
      <c r="H1449" t="s">
        <v>12</v>
      </c>
      <c r="I1449" t="str">
        <f t="shared" si="22"/>
        <v>Africa</v>
      </c>
    </row>
    <row r="1450" spans="1:9" x14ac:dyDescent="0.3">
      <c r="A1450" t="s">
        <v>1395</v>
      </c>
      <c r="B1450">
        <v>94</v>
      </c>
      <c r="C1450" t="s">
        <v>45</v>
      </c>
      <c r="D1450">
        <v>51</v>
      </c>
      <c r="E1450">
        <v>74</v>
      </c>
      <c r="F1450">
        <v>5.29</v>
      </c>
      <c r="G1450" t="s">
        <v>18</v>
      </c>
      <c r="H1450" t="s">
        <v>9</v>
      </c>
      <c r="I1450" t="str">
        <f t="shared" si="22"/>
        <v>Africa</v>
      </c>
    </row>
    <row r="1451" spans="1:9" x14ac:dyDescent="0.3">
      <c r="A1451" t="s">
        <v>1396</v>
      </c>
      <c r="B1451">
        <v>94</v>
      </c>
      <c r="C1451" t="s">
        <v>45</v>
      </c>
      <c r="D1451">
        <v>55</v>
      </c>
      <c r="E1451">
        <v>80</v>
      </c>
      <c r="F1451">
        <v>5.29</v>
      </c>
      <c r="G1451" t="s">
        <v>18</v>
      </c>
      <c r="H1451" t="s">
        <v>9</v>
      </c>
      <c r="I1451" t="str">
        <f t="shared" si="22"/>
        <v>Africa</v>
      </c>
    </row>
    <row r="1452" spans="1:9" x14ac:dyDescent="0.3">
      <c r="A1452" t="s">
        <v>1397</v>
      </c>
      <c r="B1452">
        <v>94</v>
      </c>
      <c r="C1452" t="s">
        <v>45</v>
      </c>
      <c r="D1452">
        <v>52</v>
      </c>
      <c r="E1452">
        <v>74</v>
      </c>
      <c r="F1452">
        <v>121.25</v>
      </c>
      <c r="G1452" t="s">
        <v>2</v>
      </c>
      <c r="H1452" t="s">
        <v>7</v>
      </c>
      <c r="I1452" t="str">
        <f t="shared" si="22"/>
        <v>America</v>
      </c>
    </row>
    <row r="1453" spans="1:9" x14ac:dyDescent="0.3">
      <c r="A1453" t="s">
        <v>1398</v>
      </c>
      <c r="B1453">
        <v>94</v>
      </c>
      <c r="C1453" t="s">
        <v>45</v>
      </c>
      <c r="D1453">
        <v>50</v>
      </c>
      <c r="E1453">
        <v>74</v>
      </c>
      <c r="F1453">
        <v>105.82</v>
      </c>
      <c r="G1453" t="s">
        <v>2</v>
      </c>
      <c r="H1453" t="s">
        <v>150</v>
      </c>
      <c r="I1453" t="str">
        <f t="shared" si="22"/>
        <v>NULL</v>
      </c>
    </row>
    <row r="1454" spans="1:9" x14ac:dyDescent="0.3">
      <c r="A1454" t="s">
        <v>1399</v>
      </c>
      <c r="B1454">
        <v>95</v>
      </c>
      <c r="C1454" t="s">
        <v>45</v>
      </c>
      <c r="D1454">
        <v>52</v>
      </c>
      <c r="E1454">
        <v>78</v>
      </c>
      <c r="F1454">
        <v>6.61</v>
      </c>
      <c r="G1454" t="s">
        <v>18</v>
      </c>
      <c r="H1454" t="s">
        <v>7</v>
      </c>
      <c r="I1454" t="str">
        <f t="shared" si="22"/>
        <v>America</v>
      </c>
    </row>
    <row r="1455" spans="1:9" x14ac:dyDescent="0.3">
      <c r="A1455" t="s">
        <v>1400</v>
      </c>
      <c r="B1455">
        <v>94</v>
      </c>
      <c r="C1455" t="s">
        <v>45</v>
      </c>
      <c r="D1455">
        <v>57</v>
      </c>
      <c r="E1455">
        <v>83</v>
      </c>
      <c r="F1455">
        <v>121.25</v>
      </c>
      <c r="G1455" t="s">
        <v>2</v>
      </c>
      <c r="H1455" t="s">
        <v>9</v>
      </c>
      <c r="I1455" t="str">
        <f t="shared" si="22"/>
        <v>Africa</v>
      </c>
    </row>
    <row r="1456" spans="1:9" x14ac:dyDescent="0.3">
      <c r="A1456" t="s">
        <v>1401</v>
      </c>
      <c r="B1456">
        <v>95</v>
      </c>
      <c r="C1456" t="s">
        <v>82</v>
      </c>
      <c r="D1456">
        <v>46</v>
      </c>
      <c r="E1456">
        <v>72</v>
      </c>
      <c r="F1456">
        <v>255.73</v>
      </c>
      <c r="G1456" t="s">
        <v>2</v>
      </c>
      <c r="H1456" t="s">
        <v>9</v>
      </c>
      <c r="I1456" t="str">
        <f t="shared" si="22"/>
        <v>Africa</v>
      </c>
    </row>
    <row r="1457" spans="1:9" x14ac:dyDescent="0.3">
      <c r="A1457" t="s">
        <v>1402</v>
      </c>
      <c r="B1457">
        <v>94</v>
      </c>
      <c r="C1457" t="s">
        <v>45</v>
      </c>
      <c r="D1457">
        <v>49</v>
      </c>
      <c r="E1457">
        <v>74</v>
      </c>
      <c r="F1457">
        <v>177.78</v>
      </c>
      <c r="G1457" t="s">
        <v>2</v>
      </c>
      <c r="H1457" t="s">
        <v>12</v>
      </c>
      <c r="I1457" t="str">
        <f t="shared" si="22"/>
        <v>Africa</v>
      </c>
    </row>
    <row r="1458" spans="1:9" x14ac:dyDescent="0.3">
      <c r="A1458" t="s">
        <v>1403</v>
      </c>
      <c r="B1458">
        <v>94</v>
      </c>
      <c r="C1458" t="s">
        <v>45</v>
      </c>
      <c r="D1458">
        <v>56</v>
      </c>
      <c r="E1458">
        <v>80</v>
      </c>
      <c r="F1458">
        <v>6.17</v>
      </c>
      <c r="G1458" t="s">
        <v>31</v>
      </c>
      <c r="H1458" t="s">
        <v>9</v>
      </c>
      <c r="I1458" t="str">
        <f t="shared" si="22"/>
        <v>Africa</v>
      </c>
    </row>
    <row r="1459" spans="1:9" x14ac:dyDescent="0.3">
      <c r="A1459" t="s">
        <v>1404</v>
      </c>
      <c r="B1459">
        <v>94</v>
      </c>
      <c r="C1459" t="s">
        <v>45</v>
      </c>
      <c r="D1459">
        <v>51</v>
      </c>
      <c r="E1459">
        <v>73</v>
      </c>
      <c r="F1459">
        <v>5.73</v>
      </c>
      <c r="G1459" t="s">
        <v>18</v>
      </c>
      <c r="H1459" t="s">
        <v>12</v>
      </c>
      <c r="I1459" t="str">
        <f t="shared" si="22"/>
        <v>Africa</v>
      </c>
    </row>
    <row r="1460" spans="1:9" x14ac:dyDescent="0.3">
      <c r="A1460" t="s">
        <v>1405</v>
      </c>
      <c r="B1460">
        <v>94</v>
      </c>
      <c r="C1460" t="s">
        <v>45</v>
      </c>
      <c r="D1460">
        <v>54</v>
      </c>
      <c r="E1460">
        <v>73</v>
      </c>
      <c r="F1460">
        <v>5.22</v>
      </c>
      <c r="G1460" t="s">
        <v>18</v>
      </c>
      <c r="H1460" t="s">
        <v>9</v>
      </c>
      <c r="I1460" t="str">
        <f t="shared" si="22"/>
        <v>Africa</v>
      </c>
    </row>
    <row r="1461" spans="1:9" x14ac:dyDescent="0.3">
      <c r="A1461" t="s">
        <v>1406</v>
      </c>
      <c r="B1461">
        <v>94</v>
      </c>
      <c r="C1461" t="s">
        <v>45</v>
      </c>
      <c r="D1461">
        <v>59</v>
      </c>
      <c r="E1461">
        <v>79</v>
      </c>
      <c r="F1461">
        <v>5.29</v>
      </c>
      <c r="G1461" t="s">
        <v>18</v>
      </c>
      <c r="H1461" t="s">
        <v>15</v>
      </c>
      <c r="I1461" t="str">
        <f t="shared" si="22"/>
        <v>America</v>
      </c>
    </row>
    <row r="1462" spans="1:9" x14ac:dyDescent="0.3">
      <c r="A1462" t="s">
        <v>1407</v>
      </c>
      <c r="B1462">
        <v>94</v>
      </c>
      <c r="C1462" t="s">
        <v>41</v>
      </c>
      <c r="D1462">
        <v>59</v>
      </c>
      <c r="E1462">
        <v>85</v>
      </c>
      <c r="F1462">
        <v>114.64</v>
      </c>
      <c r="G1462" t="s">
        <v>2</v>
      </c>
      <c r="H1462" t="s">
        <v>9</v>
      </c>
      <c r="I1462" t="str">
        <f t="shared" si="22"/>
        <v>Africa</v>
      </c>
    </row>
    <row r="1463" spans="1:9" x14ac:dyDescent="0.3">
      <c r="A1463" t="s">
        <v>210</v>
      </c>
      <c r="B1463">
        <v>94</v>
      </c>
      <c r="C1463" t="s">
        <v>45</v>
      </c>
      <c r="D1463">
        <v>55</v>
      </c>
      <c r="E1463">
        <v>75</v>
      </c>
      <c r="F1463">
        <v>10.29</v>
      </c>
      <c r="G1463" t="s">
        <v>18</v>
      </c>
      <c r="H1463" t="s">
        <v>8</v>
      </c>
      <c r="I1463" t="str">
        <f t="shared" si="22"/>
        <v>Africa</v>
      </c>
    </row>
    <row r="1464" spans="1:9" x14ac:dyDescent="0.3">
      <c r="A1464" t="s">
        <v>1408</v>
      </c>
      <c r="B1464">
        <v>95</v>
      </c>
      <c r="C1464" t="s">
        <v>541</v>
      </c>
      <c r="D1464">
        <v>41</v>
      </c>
      <c r="E1464">
        <v>53</v>
      </c>
      <c r="F1464">
        <v>187.39</v>
      </c>
      <c r="G1464" t="s">
        <v>2</v>
      </c>
      <c r="H1464" t="s">
        <v>9</v>
      </c>
      <c r="I1464" t="str">
        <f t="shared" si="22"/>
        <v>Africa</v>
      </c>
    </row>
    <row r="1465" spans="1:9" x14ac:dyDescent="0.3">
      <c r="A1465" t="s">
        <v>1409</v>
      </c>
      <c r="B1465">
        <v>95</v>
      </c>
      <c r="C1465" t="s">
        <v>45</v>
      </c>
      <c r="D1465">
        <v>52</v>
      </c>
      <c r="E1465">
        <v>75</v>
      </c>
      <c r="F1465">
        <v>661.38</v>
      </c>
      <c r="G1465" t="s">
        <v>2</v>
      </c>
      <c r="H1465" t="s">
        <v>9</v>
      </c>
      <c r="I1465" t="str">
        <f t="shared" si="22"/>
        <v>Africa</v>
      </c>
    </row>
    <row r="1466" spans="1:9" x14ac:dyDescent="0.3">
      <c r="A1466" t="s">
        <v>1410</v>
      </c>
      <c r="B1466">
        <v>95</v>
      </c>
      <c r="C1466" t="s">
        <v>82</v>
      </c>
      <c r="D1466">
        <v>50</v>
      </c>
      <c r="E1466">
        <v>65</v>
      </c>
      <c r="F1466">
        <v>4.9800000000000004</v>
      </c>
      <c r="G1466" t="s">
        <v>18</v>
      </c>
      <c r="H1466" t="s">
        <v>15</v>
      </c>
      <c r="I1466" t="str">
        <f t="shared" si="22"/>
        <v>America</v>
      </c>
    </row>
    <row r="1467" spans="1:9" x14ac:dyDescent="0.3">
      <c r="A1467" t="s">
        <v>1411</v>
      </c>
      <c r="B1467">
        <v>94</v>
      </c>
      <c r="C1467" t="s">
        <v>82</v>
      </c>
      <c r="D1467">
        <v>50</v>
      </c>
      <c r="E1467">
        <v>70</v>
      </c>
      <c r="F1467">
        <v>5.29</v>
      </c>
      <c r="G1467" t="s">
        <v>18</v>
      </c>
      <c r="H1467" t="s">
        <v>9</v>
      </c>
      <c r="I1467" t="str">
        <f t="shared" si="22"/>
        <v>Africa</v>
      </c>
    </row>
    <row r="1468" spans="1:9" x14ac:dyDescent="0.3">
      <c r="A1468" t="s">
        <v>130</v>
      </c>
      <c r="B1468">
        <v>94</v>
      </c>
      <c r="C1468" t="s">
        <v>41</v>
      </c>
      <c r="D1468">
        <v>60</v>
      </c>
      <c r="E1468">
        <v>88</v>
      </c>
      <c r="F1468">
        <v>5.58</v>
      </c>
      <c r="G1468" t="s">
        <v>18</v>
      </c>
      <c r="H1468" t="s">
        <v>9</v>
      </c>
      <c r="I1468" t="str">
        <f t="shared" si="22"/>
        <v>Africa</v>
      </c>
    </row>
    <row r="1469" spans="1:9" x14ac:dyDescent="0.3">
      <c r="A1469" t="s">
        <v>1412</v>
      </c>
      <c r="B1469">
        <v>94</v>
      </c>
      <c r="C1469" t="s">
        <v>45</v>
      </c>
      <c r="D1469">
        <v>58</v>
      </c>
      <c r="E1469">
        <v>75</v>
      </c>
      <c r="F1469">
        <v>5.44</v>
      </c>
      <c r="G1469" t="s">
        <v>18</v>
      </c>
      <c r="H1469" t="s">
        <v>16</v>
      </c>
      <c r="I1469" t="str">
        <f t="shared" si="22"/>
        <v>Asia-Pacific</v>
      </c>
    </row>
    <row r="1470" spans="1:9" x14ac:dyDescent="0.3">
      <c r="A1470" t="s">
        <v>1413</v>
      </c>
      <c r="B1470">
        <v>95</v>
      </c>
      <c r="C1470" t="s">
        <v>82</v>
      </c>
      <c r="D1470">
        <v>47</v>
      </c>
      <c r="E1470">
        <v>69</v>
      </c>
      <c r="F1470">
        <v>198.41</v>
      </c>
      <c r="G1470" t="s">
        <v>2</v>
      </c>
      <c r="H1470" t="s">
        <v>7</v>
      </c>
      <c r="I1470" t="str">
        <f t="shared" si="22"/>
        <v>America</v>
      </c>
    </row>
    <row r="1471" spans="1:9" x14ac:dyDescent="0.3">
      <c r="A1471" t="s">
        <v>1414</v>
      </c>
      <c r="B1471">
        <v>94</v>
      </c>
      <c r="C1471" t="s">
        <v>45</v>
      </c>
      <c r="D1471">
        <v>56</v>
      </c>
      <c r="E1471">
        <v>80</v>
      </c>
      <c r="F1471">
        <v>154.32</v>
      </c>
      <c r="G1471" t="s">
        <v>2</v>
      </c>
      <c r="H1471" t="s">
        <v>12</v>
      </c>
      <c r="I1471" t="str">
        <f t="shared" si="22"/>
        <v>Africa</v>
      </c>
    </row>
    <row r="1472" spans="1:9" x14ac:dyDescent="0.3">
      <c r="A1472" t="s">
        <v>1415</v>
      </c>
      <c r="B1472">
        <v>94</v>
      </c>
      <c r="C1472" t="s">
        <v>45</v>
      </c>
      <c r="D1472">
        <v>50</v>
      </c>
      <c r="E1472">
        <v>74</v>
      </c>
      <c r="F1472">
        <v>5.29</v>
      </c>
      <c r="G1472" t="s">
        <v>18</v>
      </c>
      <c r="H1472" t="s">
        <v>23</v>
      </c>
      <c r="I1472" t="str">
        <f t="shared" si="22"/>
        <v>Africa</v>
      </c>
    </row>
    <row r="1473" spans="1:9" x14ac:dyDescent="0.3">
      <c r="A1473" t="s">
        <v>1392</v>
      </c>
      <c r="B1473">
        <v>95</v>
      </c>
      <c r="C1473" t="s">
        <v>45</v>
      </c>
      <c r="D1473">
        <v>56</v>
      </c>
      <c r="E1473">
        <v>80</v>
      </c>
      <c r="F1473">
        <v>5.64</v>
      </c>
      <c r="G1473" t="s">
        <v>18</v>
      </c>
      <c r="H1473" t="s">
        <v>20</v>
      </c>
      <c r="I1473" t="str">
        <f t="shared" si="22"/>
        <v>Africa</v>
      </c>
    </row>
    <row r="1474" spans="1:9" x14ac:dyDescent="0.3">
      <c r="A1474" t="s">
        <v>1416</v>
      </c>
      <c r="B1474">
        <v>95</v>
      </c>
      <c r="C1474" t="s">
        <v>45</v>
      </c>
      <c r="D1474">
        <v>54</v>
      </c>
      <c r="E1474">
        <v>78</v>
      </c>
      <c r="F1474">
        <v>5.17</v>
      </c>
      <c r="G1474" t="s">
        <v>18</v>
      </c>
      <c r="H1474" t="s">
        <v>150</v>
      </c>
      <c r="I1474" t="str">
        <f t="shared" si="22"/>
        <v>NULL</v>
      </c>
    </row>
    <row r="1475" spans="1:9" x14ac:dyDescent="0.3">
      <c r="A1475" t="s">
        <v>1417</v>
      </c>
      <c r="B1475">
        <v>95</v>
      </c>
      <c r="C1475" t="s">
        <v>45</v>
      </c>
      <c r="D1475">
        <v>52</v>
      </c>
      <c r="E1475">
        <v>78</v>
      </c>
      <c r="F1475">
        <v>15.43</v>
      </c>
      <c r="G1475" t="s">
        <v>18</v>
      </c>
      <c r="H1475" t="s">
        <v>14</v>
      </c>
      <c r="I1475" t="str">
        <f t="shared" ref="I1475:I1538" si="23">_xlfn.XLOOKUP(H1475, $M$2:$M$50, $N$2:$N$50, "Other")</f>
        <v>America</v>
      </c>
    </row>
    <row r="1476" spans="1:9" x14ac:dyDescent="0.3">
      <c r="A1476" t="s">
        <v>1418</v>
      </c>
      <c r="B1476">
        <v>94</v>
      </c>
      <c r="C1476" t="s">
        <v>45</v>
      </c>
      <c r="D1476">
        <v>55</v>
      </c>
      <c r="E1476">
        <v>77</v>
      </c>
      <c r="F1476">
        <v>121.25</v>
      </c>
      <c r="G1476" t="s">
        <v>2</v>
      </c>
      <c r="H1476" t="s">
        <v>16</v>
      </c>
      <c r="I1476" t="str">
        <f t="shared" si="23"/>
        <v>Asia-Pacific</v>
      </c>
    </row>
    <row r="1477" spans="1:9" x14ac:dyDescent="0.3">
      <c r="A1477" t="s">
        <v>1419</v>
      </c>
      <c r="B1477">
        <v>94</v>
      </c>
      <c r="C1477" t="s">
        <v>41</v>
      </c>
      <c r="D1477">
        <v>60</v>
      </c>
      <c r="E1477">
        <v>84</v>
      </c>
      <c r="F1477">
        <v>154.32</v>
      </c>
      <c r="G1477" t="s">
        <v>2</v>
      </c>
      <c r="H1477" t="s">
        <v>9</v>
      </c>
      <c r="I1477" t="str">
        <f t="shared" si="23"/>
        <v>Africa</v>
      </c>
    </row>
    <row r="1478" spans="1:9" x14ac:dyDescent="0.3">
      <c r="A1478" t="s">
        <v>1420</v>
      </c>
      <c r="B1478">
        <v>96</v>
      </c>
      <c r="C1478" t="s">
        <v>41</v>
      </c>
      <c r="D1478">
        <v>58</v>
      </c>
      <c r="E1478">
        <v>84</v>
      </c>
      <c r="F1478">
        <v>33.07</v>
      </c>
      <c r="G1478" t="s">
        <v>18</v>
      </c>
      <c r="H1478" t="s">
        <v>8</v>
      </c>
      <c r="I1478" t="str">
        <f t="shared" si="23"/>
        <v>Africa</v>
      </c>
    </row>
    <row r="1479" spans="1:9" x14ac:dyDescent="0.3">
      <c r="A1479" t="s">
        <v>1421</v>
      </c>
      <c r="B1479">
        <v>95</v>
      </c>
      <c r="C1479" t="s">
        <v>45</v>
      </c>
      <c r="D1479">
        <v>54</v>
      </c>
      <c r="E1479">
        <v>78</v>
      </c>
      <c r="F1479">
        <v>33.07</v>
      </c>
      <c r="G1479" t="s">
        <v>18</v>
      </c>
      <c r="H1479" t="s">
        <v>5</v>
      </c>
      <c r="I1479" t="str">
        <f t="shared" si="23"/>
        <v>America</v>
      </c>
    </row>
    <row r="1480" spans="1:9" x14ac:dyDescent="0.3">
      <c r="A1480" t="s">
        <v>1422</v>
      </c>
      <c r="B1480">
        <v>95</v>
      </c>
      <c r="C1480" t="s">
        <v>45</v>
      </c>
      <c r="D1480">
        <v>52</v>
      </c>
      <c r="E1480">
        <v>72</v>
      </c>
      <c r="F1480">
        <v>63.93</v>
      </c>
      <c r="G1480" t="s">
        <v>18</v>
      </c>
      <c r="H1480" t="s">
        <v>5</v>
      </c>
      <c r="I1480" t="str">
        <f t="shared" si="23"/>
        <v>America</v>
      </c>
    </row>
    <row r="1481" spans="1:9" x14ac:dyDescent="0.3">
      <c r="A1481" t="s">
        <v>1423</v>
      </c>
      <c r="B1481">
        <v>94</v>
      </c>
      <c r="C1481" t="s">
        <v>45</v>
      </c>
      <c r="D1481">
        <v>58</v>
      </c>
      <c r="E1481">
        <v>80</v>
      </c>
      <c r="F1481">
        <v>20.260000000000002</v>
      </c>
      <c r="G1481" t="s">
        <v>18</v>
      </c>
      <c r="H1481" t="s">
        <v>18</v>
      </c>
      <c r="I1481" t="str">
        <f t="shared" si="23"/>
        <v>America</v>
      </c>
    </row>
    <row r="1482" spans="1:9" x14ac:dyDescent="0.3">
      <c r="A1482" t="s">
        <v>1424</v>
      </c>
      <c r="B1482">
        <v>94</v>
      </c>
      <c r="C1482" t="s">
        <v>82</v>
      </c>
      <c r="D1482">
        <v>45</v>
      </c>
      <c r="E1482">
        <v>75</v>
      </c>
      <c r="F1482">
        <v>5.28</v>
      </c>
      <c r="G1482" t="s">
        <v>18</v>
      </c>
      <c r="H1482" t="s">
        <v>12</v>
      </c>
      <c r="I1482" t="str">
        <f t="shared" si="23"/>
        <v>Africa</v>
      </c>
    </row>
    <row r="1483" spans="1:9" x14ac:dyDescent="0.3">
      <c r="A1483" t="s">
        <v>1425</v>
      </c>
      <c r="B1483">
        <v>94</v>
      </c>
      <c r="C1483" t="s">
        <v>45</v>
      </c>
      <c r="D1483">
        <v>56</v>
      </c>
      <c r="E1483">
        <v>78</v>
      </c>
      <c r="F1483">
        <v>202.82</v>
      </c>
      <c r="G1483" t="s">
        <v>2</v>
      </c>
      <c r="H1483" t="s">
        <v>12</v>
      </c>
      <c r="I1483" t="str">
        <f t="shared" si="23"/>
        <v>Africa</v>
      </c>
    </row>
    <row r="1484" spans="1:9" x14ac:dyDescent="0.3">
      <c r="A1484" t="s">
        <v>1331</v>
      </c>
      <c r="B1484">
        <v>94</v>
      </c>
      <c r="C1484" t="s">
        <v>45</v>
      </c>
      <c r="D1484">
        <v>53</v>
      </c>
      <c r="E1484">
        <v>77</v>
      </c>
      <c r="F1484">
        <v>6.17</v>
      </c>
      <c r="G1484" t="s">
        <v>18</v>
      </c>
      <c r="H1484" t="s">
        <v>16</v>
      </c>
      <c r="I1484" t="str">
        <f t="shared" si="23"/>
        <v>Asia-Pacific</v>
      </c>
    </row>
    <row r="1485" spans="1:9" x14ac:dyDescent="0.3">
      <c r="A1485" t="s">
        <v>1331</v>
      </c>
      <c r="B1485">
        <v>94</v>
      </c>
      <c r="C1485" t="s">
        <v>45</v>
      </c>
      <c r="D1485">
        <v>55</v>
      </c>
      <c r="E1485">
        <v>77</v>
      </c>
      <c r="F1485">
        <v>5</v>
      </c>
      <c r="G1485" t="s">
        <v>18</v>
      </c>
      <c r="H1485" t="s">
        <v>16</v>
      </c>
      <c r="I1485" t="str">
        <f t="shared" si="23"/>
        <v>Asia-Pacific</v>
      </c>
    </row>
    <row r="1486" spans="1:9" x14ac:dyDescent="0.3">
      <c r="A1486" t="s">
        <v>1426</v>
      </c>
      <c r="B1486">
        <v>94</v>
      </c>
      <c r="C1486" t="s">
        <v>45</v>
      </c>
      <c r="D1486">
        <v>50</v>
      </c>
      <c r="E1486">
        <v>76</v>
      </c>
      <c r="F1486">
        <v>26.9</v>
      </c>
      <c r="G1486" t="s">
        <v>18</v>
      </c>
      <c r="H1486" t="s">
        <v>8</v>
      </c>
      <c r="I1486" t="str">
        <f t="shared" si="23"/>
        <v>Africa</v>
      </c>
    </row>
    <row r="1487" spans="1:9" x14ac:dyDescent="0.3">
      <c r="A1487" t="s">
        <v>1075</v>
      </c>
      <c r="B1487">
        <v>95</v>
      </c>
      <c r="C1487" t="s">
        <v>45</v>
      </c>
      <c r="D1487">
        <v>55</v>
      </c>
      <c r="E1487">
        <v>79</v>
      </c>
      <c r="F1487">
        <v>22.49</v>
      </c>
      <c r="G1487" t="s">
        <v>18</v>
      </c>
      <c r="H1487" t="s">
        <v>14</v>
      </c>
      <c r="I1487" t="str">
        <f t="shared" si="23"/>
        <v>America</v>
      </c>
    </row>
    <row r="1488" spans="1:9" x14ac:dyDescent="0.3">
      <c r="A1488" t="s">
        <v>1427</v>
      </c>
      <c r="B1488">
        <v>94</v>
      </c>
      <c r="C1488" t="s">
        <v>41</v>
      </c>
      <c r="D1488">
        <v>60</v>
      </c>
      <c r="E1488">
        <v>84</v>
      </c>
      <c r="F1488">
        <v>202.82</v>
      </c>
      <c r="G1488" t="s">
        <v>2</v>
      </c>
      <c r="H1488" t="s">
        <v>9</v>
      </c>
      <c r="I1488" t="str">
        <f t="shared" si="23"/>
        <v>Africa</v>
      </c>
    </row>
    <row r="1489" spans="1:9" x14ac:dyDescent="0.3">
      <c r="A1489" t="s">
        <v>1428</v>
      </c>
      <c r="B1489">
        <v>95</v>
      </c>
      <c r="C1489" t="s">
        <v>82</v>
      </c>
      <c r="D1489">
        <v>50</v>
      </c>
      <c r="E1489">
        <v>70</v>
      </c>
      <c r="F1489">
        <v>16.53</v>
      </c>
      <c r="G1489" t="s">
        <v>18</v>
      </c>
      <c r="H1489" t="s">
        <v>14</v>
      </c>
      <c r="I1489" t="str">
        <f t="shared" si="23"/>
        <v>America</v>
      </c>
    </row>
    <row r="1490" spans="1:9" x14ac:dyDescent="0.3">
      <c r="A1490" t="s">
        <v>1429</v>
      </c>
      <c r="B1490">
        <v>94</v>
      </c>
      <c r="C1490" t="s">
        <v>45</v>
      </c>
      <c r="D1490">
        <v>51</v>
      </c>
      <c r="E1490">
        <v>74</v>
      </c>
      <c r="F1490">
        <v>5.51</v>
      </c>
      <c r="G1490" t="s">
        <v>18</v>
      </c>
      <c r="H1490" t="s">
        <v>9</v>
      </c>
      <c r="I1490" t="str">
        <f t="shared" si="23"/>
        <v>Africa</v>
      </c>
    </row>
    <row r="1491" spans="1:9" x14ac:dyDescent="0.3">
      <c r="A1491" t="s">
        <v>1430</v>
      </c>
      <c r="B1491">
        <v>94</v>
      </c>
      <c r="C1491" t="s">
        <v>45</v>
      </c>
      <c r="D1491">
        <v>56</v>
      </c>
      <c r="E1491">
        <v>78</v>
      </c>
      <c r="F1491">
        <v>396.83</v>
      </c>
      <c r="G1491" t="s">
        <v>2</v>
      </c>
      <c r="H1491" t="s">
        <v>5</v>
      </c>
      <c r="I1491" t="str">
        <f t="shared" si="23"/>
        <v>America</v>
      </c>
    </row>
    <row r="1492" spans="1:9" x14ac:dyDescent="0.3">
      <c r="A1492" t="s">
        <v>1431</v>
      </c>
      <c r="B1492">
        <v>94</v>
      </c>
      <c r="C1492" t="s">
        <v>45</v>
      </c>
      <c r="D1492">
        <v>58</v>
      </c>
      <c r="E1492">
        <v>80</v>
      </c>
      <c r="F1492">
        <v>418.87</v>
      </c>
      <c r="G1492" t="s">
        <v>2</v>
      </c>
      <c r="H1492" t="s">
        <v>5</v>
      </c>
      <c r="I1492" t="str">
        <f t="shared" si="23"/>
        <v>America</v>
      </c>
    </row>
    <row r="1493" spans="1:9" x14ac:dyDescent="0.3">
      <c r="A1493" t="s">
        <v>1432</v>
      </c>
      <c r="B1493">
        <v>94</v>
      </c>
      <c r="C1493" t="s">
        <v>45</v>
      </c>
      <c r="D1493">
        <v>54</v>
      </c>
      <c r="E1493">
        <v>78</v>
      </c>
      <c r="F1493">
        <v>4.41</v>
      </c>
      <c r="G1493" t="s">
        <v>18</v>
      </c>
      <c r="H1493" t="s">
        <v>24</v>
      </c>
      <c r="I1493" t="str">
        <f t="shared" si="23"/>
        <v>Africa</v>
      </c>
    </row>
    <row r="1494" spans="1:9" x14ac:dyDescent="0.3">
      <c r="A1494" t="s">
        <v>1433</v>
      </c>
      <c r="B1494">
        <v>96</v>
      </c>
      <c r="C1494" t="s">
        <v>41</v>
      </c>
      <c r="D1494">
        <v>60</v>
      </c>
      <c r="E1494">
        <v>84</v>
      </c>
      <c r="F1494">
        <v>8.77</v>
      </c>
      <c r="G1494" t="s">
        <v>18</v>
      </c>
      <c r="H1494" t="s">
        <v>9</v>
      </c>
      <c r="I1494" t="str">
        <f t="shared" si="23"/>
        <v>Africa</v>
      </c>
    </row>
    <row r="1495" spans="1:9" x14ac:dyDescent="0.3">
      <c r="A1495" t="s">
        <v>1434</v>
      </c>
      <c r="B1495">
        <v>94</v>
      </c>
      <c r="C1495" t="s">
        <v>45</v>
      </c>
      <c r="D1495">
        <v>58</v>
      </c>
      <c r="E1495">
        <v>82</v>
      </c>
      <c r="F1495">
        <v>110.23</v>
      </c>
      <c r="G1495" t="s">
        <v>2</v>
      </c>
      <c r="H1495" t="s">
        <v>9</v>
      </c>
      <c r="I1495" t="str">
        <f t="shared" si="23"/>
        <v>Africa</v>
      </c>
    </row>
    <row r="1496" spans="1:9" x14ac:dyDescent="0.3">
      <c r="A1496" t="s">
        <v>109</v>
      </c>
      <c r="B1496">
        <v>94</v>
      </c>
      <c r="C1496" t="s">
        <v>41</v>
      </c>
      <c r="D1496">
        <v>65</v>
      </c>
      <c r="E1496">
        <v>91</v>
      </c>
      <c r="F1496">
        <v>4.41</v>
      </c>
      <c r="G1496" t="s">
        <v>18</v>
      </c>
      <c r="H1496" t="s">
        <v>12</v>
      </c>
      <c r="I1496" t="str">
        <f t="shared" si="23"/>
        <v>Africa</v>
      </c>
    </row>
    <row r="1497" spans="1:9" x14ac:dyDescent="0.3">
      <c r="A1497" t="s">
        <v>1435</v>
      </c>
      <c r="B1497">
        <v>94</v>
      </c>
      <c r="C1497" t="s">
        <v>82</v>
      </c>
      <c r="D1497">
        <v>49</v>
      </c>
      <c r="E1497">
        <v>71</v>
      </c>
      <c r="F1497">
        <v>4.3899999999999997</v>
      </c>
      <c r="G1497" t="s">
        <v>18</v>
      </c>
      <c r="H1497" t="s">
        <v>16</v>
      </c>
      <c r="I1497" t="str">
        <f t="shared" si="23"/>
        <v>Asia-Pacific</v>
      </c>
    </row>
    <row r="1498" spans="1:9" x14ac:dyDescent="0.3">
      <c r="A1498" t="s">
        <v>1436</v>
      </c>
      <c r="B1498">
        <v>94</v>
      </c>
      <c r="C1498" t="s">
        <v>45</v>
      </c>
      <c r="D1498">
        <v>52</v>
      </c>
      <c r="E1498">
        <v>73</v>
      </c>
      <c r="F1498">
        <v>4.1100000000000003</v>
      </c>
      <c r="G1498" t="s">
        <v>18</v>
      </c>
      <c r="H1498" t="s">
        <v>12</v>
      </c>
      <c r="I1498" t="str">
        <f t="shared" si="23"/>
        <v>Africa</v>
      </c>
    </row>
    <row r="1499" spans="1:9" x14ac:dyDescent="0.3">
      <c r="A1499" t="s">
        <v>1437</v>
      </c>
      <c r="B1499">
        <v>95</v>
      </c>
      <c r="C1499" t="s">
        <v>45</v>
      </c>
      <c r="D1499">
        <v>52</v>
      </c>
      <c r="E1499">
        <v>78</v>
      </c>
      <c r="F1499">
        <v>5.17</v>
      </c>
      <c r="G1499" t="s">
        <v>18</v>
      </c>
      <c r="H1499" t="s">
        <v>24</v>
      </c>
      <c r="I1499" t="str">
        <f t="shared" si="23"/>
        <v>Africa</v>
      </c>
    </row>
    <row r="1500" spans="1:9" x14ac:dyDescent="0.3">
      <c r="A1500" t="s">
        <v>467</v>
      </c>
      <c r="B1500">
        <v>95</v>
      </c>
      <c r="C1500" t="s">
        <v>82</v>
      </c>
      <c r="D1500">
        <v>46</v>
      </c>
      <c r="E1500">
        <v>62</v>
      </c>
      <c r="F1500">
        <v>19.82</v>
      </c>
      <c r="G1500" t="s">
        <v>18</v>
      </c>
      <c r="H1500" t="s">
        <v>18</v>
      </c>
      <c r="I1500" t="str">
        <f t="shared" si="23"/>
        <v>America</v>
      </c>
    </row>
    <row r="1501" spans="1:9" x14ac:dyDescent="0.3">
      <c r="A1501" t="s">
        <v>1254</v>
      </c>
      <c r="B1501">
        <v>94</v>
      </c>
      <c r="C1501" t="s">
        <v>45</v>
      </c>
      <c r="D1501">
        <v>58</v>
      </c>
      <c r="E1501">
        <v>82</v>
      </c>
      <c r="F1501">
        <v>5.28</v>
      </c>
      <c r="G1501" t="s">
        <v>18</v>
      </c>
      <c r="H1501" t="s">
        <v>9</v>
      </c>
      <c r="I1501" t="str">
        <f t="shared" si="23"/>
        <v>Africa</v>
      </c>
    </row>
    <row r="1502" spans="1:9" x14ac:dyDescent="0.3">
      <c r="A1502" t="s">
        <v>1438</v>
      </c>
      <c r="B1502">
        <v>94</v>
      </c>
      <c r="C1502" t="s">
        <v>541</v>
      </c>
      <c r="D1502">
        <v>42</v>
      </c>
      <c r="E1502">
        <v>57</v>
      </c>
      <c r="F1502">
        <v>121.25</v>
      </c>
      <c r="G1502" t="s">
        <v>2</v>
      </c>
      <c r="H1502" t="s">
        <v>9</v>
      </c>
      <c r="I1502" t="str">
        <f t="shared" si="23"/>
        <v>Africa</v>
      </c>
    </row>
    <row r="1503" spans="1:9" x14ac:dyDescent="0.3">
      <c r="A1503" t="s">
        <v>1419</v>
      </c>
      <c r="B1503">
        <v>94</v>
      </c>
      <c r="C1503" t="s">
        <v>41</v>
      </c>
      <c r="D1503">
        <v>60</v>
      </c>
      <c r="E1503">
        <v>88</v>
      </c>
      <c r="F1503">
        <v>143.30000000000001</v>
      </c>
      <c r="G1503" t="s">
        <v>2</v>
      </c>
      <c r="H1503" t="s">
        <v>9</v>
      </c>
      <c r="I1503" t="str">
        <f t="shared" si="23"/>
        <v>Africa</v>
      </c>
    </row>
    <row r="1504" spans="1:9" x14ac:dyDescent="0.3">
      <c r="A1504" t="s">
        <v>1439</v>
      </c>
      <c r="B1504">
        <v>94</v>
      </c>
      <c r="C1504" t="s">
        <v>45</v>
      </c>
      <c r="D1504">
        <v>56</v>
      </c>
      <c r="E1504">
        <v>82</v>
      </c>
      <c r="F1504">
        <v>4.12</v>
      </c>
      <c r="G1504" t="s">
        <v>18</v>
      </c>
      <c r="H1504" t="s">
        <v>16</v>
      </c>
      <c r="I1504" t="str">
        <f t="shared" si="23"/>
        <v>Asia-Pacific</v>
      </c>
    </row>
    <row r="1505" spans="1:9" x14ac:dyDescent="0.3">
      <c r="A1505" t="s">
        <v>1440</v>
      </c>
      <c r="B1505">
        <v>94</v>
      </c>
      <c r="C1505" t="s">
        <v>45</v>
      </c>
      <c r="D1505">
        <v>57</v>
      </c>
      <c r="E1505">
        <v>70</v>
      </c>
      <c r="F1505">
        <v>4.63</v>
      </c>
      <c r="G1505" t="s">
        <v>18</v>
      </c>
      <c r="H1505" t="s">
        <v>7</v>
      </c>
      <c r="I1505" t="str">
        <f t="shared" si="23"/>
        <v>America</v>
      </c>
    </row>
    <row r="1506" spans="1:9" x14ac:dyDescent="0.3">
      <c r="A1506" t="s">
        <v>1441</v>
      </c>
      <c r="B1506">
        <v>94</v>
      </c>
      <c r="C1506" t="s">
        <v>45</v>
      </c>
      <c r="D1506">
        <v>53</v>
      </c>
      <c r="E1506">
        <v>85</v>
      </c>
      <c r="F1506">
        <v>35</v>
      </c>
      <c r="G1506" t="s">
        <v>2</v>
      </c>
      <c r="H1506" t="s">
        <v>12</v>
      </c>
      <c r="I1506" t="str">
        <f t="shared" si="23"/>
        <v>Africa</v>
      </c>
    </row>
    <row r="1507" spans="1:9" x14ac:dyDescent="0.3">
      <c r="A1507" t="s">
        <v>1442</v>
      </c>
      <c r="B1507">
        <v>95</v>
      </c>
      <c r="C1507" t="s">
        <v>45</v>
      </c>
      <c r="D1507">
        <v>58</v>
      </c>
      <c r="E1507">
        <v>82</v>
      </c>
      <c r="F1507">
        <v>5.51</v>
      </c>
      <c r="G1507" t="s">
        <v>18</v>
      </c>
      <c r="H1507" t="s">
        <v>9</v>
      </c>
      <c r="I1507" t="str">
        <f t="shared" si="23"/>
        <v>Africa</v>
      </c>
    </row>
    <row r="1508" spans="1:9" x14ac:dyDescent="0.3">
      <c r="A1508" t="s">
        <v>1443</v>
      </c>
      <c r="B1508">
        <v>95</v>
      </c>
      <c r="C1508" t="s">
        <v>45</v>
      </c>
      <c r="D1508">
        <v>56</v>
      </c>
      <c r="E1508">
        <v>75</v>
      </c>
      <c r="F1508">
        <v>35</v>
      </c>
      <c r="G1508" t="s">
        <v>2</v>
      </c>
      <c r="H1508" t="s">
        <v>9</v>
      </c>
      <c r="I1508" t="str">
        <f t="shared" si="23"/>
        <v>Africa</v>
      </c>
    </row>
    <row r="1509" spans="1:9" x14ac:dyDescent="0.3">
      <c r="A1509" t="s">
        <v>427</v>
      </c>
      <c r="B1509">
        <v>94</v>
      </c>
      <c r="C1509" t="s">
        <v>41</v>
      </c>
      <c r="D1509">
        <v>65</v>
      </c>
      <c r="E1509">
        <v>93</v>
      </c>
      <c r="F1509">
        <v>4.99</v>
      </c>
      <c r="G1509" t="s">
        <v>18</v>
      </c>
      <c r="H1509" t="s">
        <v>9</v>
      </c>
      <c r="I1509" t="str">
        <f t="shared" si="23"/>
        <v>Africa</v>
      </c>
    </row>
    <row r="1510" spans="1:9" x14ac:dyDescent="0.3">
      <c r="A1510" t="s">
        <v>1444</v>
      </c>
      <c r="B1510">
        <v>95</v>
      </c>
      <c r="C1510" t="s">
        <v>45</v>
      </c>
      <c r="D1510">
        <v>53</v>
      </c>
      <c r="E1510">
        <v>81</v>
      </c>
      <c r="F1510">
        <v>22.49</v>
      </c>
      <c r="G1510" t="s">
        <v>18</v>
      </c>
      <c r="H1510" t="s">
        <v>5</v>
      </c>
      <c r="I1510" t="str">
        <f t="shared" si="23"/>
        <v>America</v>
      </c>
    </row>
    <row r="1511" spans="1:9" x14ac:dyDescent="0.3">
      <c r="A1511" t="s">
        <v>1445</v>
      </c>
      <c r="B1511">
        <v>95</v>
      </c>
      <c r="C1511" t="s">
        <v>41</v>
      </c>
      <c r="D1511">
        <v>60</v>
      </c>
      <c r="E1511">
        <v>84</v>
      </c>
      <c r="F1511">
        <v>23.81</v>
      </c>
      <c r="G1511" t="s">
        <v>18</v>
      </c>
      <c r="H1511" t="s">
        <v>5</v>
      </c>
      <c r="I1511" t="str">
        <f t="shared" si="23"/>
        <v>America</v>
      </c>
    </row>
    <row r="1512" spans="1:9" x14ac:dyDescent="0.3">
      <c r="A1512" t="s">
        <v>1446</v>
      </c>
      <c r="B1512">
        <v>95</v>
      </c>
      <c r="C1512" t="s">
        <v>541</v>
      </c>
      <c r="D1512">
        <v>40</v>
      </c>
      <c r="E1512">
        <v>60</v>
      </c>
      <c r="F1512">
        <v>286.60000000000002</v>
      </c>
      <c r="G1512" t="s">
        <v>2</v>
      </c>
      <c r="H1512" t="s">
        <v>9</v>
      </c>
      <c r="I1512" t="str">
        <f t="shared" si="23"/>
        <v>Africa</v>
      </c>
    </row>
    <row r="1513" spans="1:9" x14ac:dyDescent="0.3">
      <c r="A1513" t="s">
        <v>1447</v>
      </c>
      <c r="B1513">
        <v>94</v>
      </c>
      <c r="C1513" t="s">
        <v>45</v>
      </c>
      <c r="D1513">
        <v>56</v>
      </c>
      <c r="E1513">
        <v>72</v>
      </c>
      <c r="F1513">
        <v>4.12</v>
      </c>
      <c r="G1513" t="s">
        <v>18</v>
      </c>
      <c r="H1513" t="s">
        <v>150</v>
      </c>
      <c r="I1513" t="str">
        <f t="shared" si="23"/>
        <v>NULL</v>
      </c>
    </row>
    <row r="1514" spans="1:9" x14ac:dyDescent="0.3">
      <c r="A1514" t="s">
        <v>1448</v>
      </c>
      <c r="B1514">
        <v>96</v>
      </c>
      <c r="C1514" t="s">
        <v>45</v>
      </c>
      <c r="D1514">
        <v>54</v>
      </c>
      <c r="E1514">
        <v>76</v>
      </c>
      <c r="F1514">
        <v>5.57</v>
      </c>
      <c r="G1514" t="s">
        <v>18</v>
      </c>
      <c r="H1514" t="s">
        <v>16</v>
      </c>
      <c r="I1514" t="str">
        <f t="shared" si="23"/>
        <v>Asia-Pacific</v>
      </c>
    </row>
    <row r="1515" spans="1:9" x14ac:dyDescent="0.3">
      <c r="A1515" t="s">
        <v>1449</v>
      </c>
      <c r="B1515">
        <v>95</v>
      </c>
      <c r="C1515" t="s">
        <v>45</v>
      </c>
      <c r="D1515">
        <v>53</v>
      </c>
      <c r="E1515">
        <v>85</v>
      </c>
      <c r="F1515">
        <v>26.46</v>
      </c>
      <c r="G1515" t="s">
        <v>18</v>
      </c>
      <c r="H1515" t="s">
        <v>5</v>
      </c>
      <c r="I1515" t="str">
        <f t="shared" si="23"/>
        <v>America</v>
      </c>
    </row>
    <row r="1516" spans="1:9" x14ac:dyDescent="0.3">
      <c r="A1516" t="s">
        <v>1450</v>
      </c>
      <c r="B1516">
        <v>96</v>
      </c>
      <c r="C1516" t="s">
        <v>41</v>
      </c>
      <c r="D1516">
        <v>58</v>
      </c>
      <c r="E1516">
        <v>84</v>
      </c>
      <c r="F1516">
        <v>6</v>
      </c>
      <c r="G1516" t="s">
        <v>18</v>
      </c>
      <c r="H1516" t="s">
        <v>12</v>
      </c>
      <c r="I1516" t="str">
        <f t="shared" si="23"/>
        <v>Africa</v>
      </c>
    </row>
    <row r="1517" spans="1:9" x14ac:dyDescent="0.3">
      <c r="A1517" t="s">
        <v>1451</v>
      </c>
      <c r="B1517">
        <v>94</v>
      </c>
      <c r="C1517" t="s">
        <v>41</v>
      </c>
      <c r="D1517">
        <v>61</v>
      </c>
      <c r="E1517">
        <v>93</v>
      </c>
      <c r="F1517">
        <v>5.28</v>
      </c>
      <c r="G1517" t="s">
        <v>18</v>
      </c>
      <c r="H1517" t="s">
        <v>22</v>
      </c>
      <c r="I1517" t="str">
        <f t="shared" si="23"/>
        <v>America</v>
      </c>
    </row>
    <row r="1518" spans="1:9" x14ac:dyDescent="0.3">
      <c r="A1518" t="s">
        <v>1452</v>
      </c>
      <c r="B1518">
        <v>95</v>
      </c>
      <c r="C1518" t="s">
        <v>45</v>
      </c>
      <c r="D1518">
        <v>50</v>
      </c>
      <c r="E1518">
        <v>76</v>
      </c>
      <c r="F1518">
        <v>5.88</v>
      </c>
      <c r="G1518" t="s">
        <v>18</v>
      </c>
      <c r="H1518" t="s">
        <v>12</v>
      </c>
      <c r="I1518" t="str">
        <f t="shared" si="23"/>
        <v>Africa</v>
      </c>
    </row>
    <row r="1519" spans="1:9" x14ac:dyDescent="0.3">
      <c r="A1519" t="s">
        <v>1453</v>
      </c>
      <c r="B1519">
        <v>95</v>
      </c>
      <c r="C1519" t="s">
        <v>45</v>
      </c>
      <c r="D1519">
        <v>55</v>
      </c>
      <c r="E1519">
        <v>77</v>
      </c>
      <c r="F1519">
        <v>5.6</v>
      </c>
      <c r="G1519" t="s">
        <v>18</v>
      </c>
      <c r="H1519" t="s">
        <v>12</v>
      </c>
      <c r="I1519" t="str">
        <f t="shared" si="23"/>
        <v>Africa</v>
      </c>
    </row>
    <row r="1520" spans="1:9" x14ac:dyDescent="0.3">
      <c r="A1520" t="s">
        <v>1454</v>
      </c>
      <c r="B1520">
        <v>94</v>
      </c>
      <c r="C1520" t="s">
        <v>45</v>
      </c>
      <c r="D1520">
        <v>56</v>
      </c>
      <c r="E1520">
        <v>80</v>
      </c>
      <c r="F1520">
        <v>4.41</v>
      </c>
      <c r="G1520" t="s">
        <v>18</v>
      </c>
      <c r="H1520" t="s">
        <v>12</v>
      </c>
      <c r="I1520" t="str">
        <f t="shared" si="23"/>
        <v>Africa</v>
      </c>
    </row>
    <row r="1521" spans="1:9" x14ac:dyDescent="0.3">
      <c r="A1521" t="s">
        <v>1455</v>
      </c>
      <c r="B1521">
        <v>95</v>
      </c>
      <c r="C1521" t="s">
        <v>45</v>
      </c>
      <c r="D1521">
        <v>54</v>
      </c>
      <c r="E1521">
        <v>78</v>
      </c>
      <c r="F1521">
        <v>6.47</v>
      </c>
      <c r="G1521" t="s">
        <v>18</v>
      </c>
      <c r="H1521" t="s">
        <v>12</v>
      </c>
      <c r="I1521" t="str">
        <f t="shared" si="23"/>
        <v>Africa</v>
      </c>
    </row>
    <row r="1522" spans="1:9" x14ac:dyDescent="0.3">
      <c r="A1522" t="s">
        <v>1456</v>
      </c>
      <c r="B1522">
        <v>94</v>
      </c>
      <c r="C1522" t="s">
        <v>41</v>
      </c>
      <c r="D1522">
        <v>58</v>
      </c>
      <c r="E1522">
        <v>86</v>
      </c>
      <c r="F1522">
        <v>263.64</v>
      </c>
      <c r="G1522" t="s">
        <v>2</v>
      </c>
      <c r="H1522" t="s">
        <v>9</v>
      </c>
      <c r="I1522" t="str">
        <f t="shared" si="23"/>
        <v>Africa</v>
      </c>
    </row>
    <row r="1523" spans="1:9" x14ac:dyDescent="0.3">
      <c r="A1523" t="s">
        <v>1457</v>
      </c>
      <c r="B1523">
        <v>96</v>
      </c>
      <c r="C1523" t="s">
        <v>45</v>
      </c>
      <c r="D1523">
        <v>56</v>
      </c>
      <c r="E1523">
        <v>80</v>
      </c>
      <c r="F1523">
        <v>16.170000000000002</v>
      </c>
      <c r="G1523" t="s">
        <v>18</v>
      </c>
      <c r="H1523" t="s">
        <v>5</v>
      </c>
      <c r="I1523" t="str">
        <f t="shared" si="23"/>
        <v>America</v>
      </c>
    </row>
    <row r="1524" spans="1:9" x14ac:dyDescent="0.3">
      <c r="A1524" t="s">
        <v>1458</v>
      </c>
      <c r="B1524">
        <v>95</v>
      </c>
      <c r="C1524" t="s">
        <v>45</v>
      </c>
      <c r="D1524">
        <v>56</v>
      </c>
      <c r="E1524">
        <v>80</v>
      </c>
      <c r="F1524">
        <v>7.35</v>
      </c>
      <c r="G1524" t="s">
        <v>18</v>
      </c>
      <c r="H1524" t="s">
        <v>21</v>
      </c>
      <c r="I1524" t="str">
        <f t="shared" si="23"/>
        <v>America</v>
      </c>
    </row>
    <row r="1525" spans="1:9" x14ac:dyDescent="0.3">
      <c r="A1525" t="s">
        <v>1459</v>
      </c>
      <c r="B1525">
        <v>94</v>
      </c>
      <c r="C1525" t="s">
        <v>45</v>
      </c>
      <c r="D1525">
        <v>53</v>
      </c>
      <c r="E1525">
        <v>77</v>
      </c>
      <c r="F1525">
        <v>32.630000000000003</v>
      </c>
      <c r="G1525" t="s">
        <v>18</v>
      </c>
      <c r="H1525" t="s">
        <v>5</v>
      </c>
      <c r="I1525" t="str">
        <f t="shared" si="23"/>
        <v>America</v>
      </c>
    </row>
    <row r="1526" spans="1:9" x14ac:dyDescent="0.3">
      <c r="A1526" t="s">
        <v>1460</v>
      </c>
      <c r="B1526">
        <v>96</v>
      </c>
      <c r="C1526" t="s">
        <v>45</v>
      </c>
      <c r="D1526">
        <v>55</v>
      </c>
      <c r="E1526">
        <v>76</v>
      </c>
      <c r="F1526">
        <v>5.66</v>
      </c>
      <c r="G1526" t="s">
        <v>18</v>
      </c>
      <c r="H1526" t="s">
        <v>12</v>
      </c>
      <c r="I1526" t="str">
        <f t="shared" si="23"/>
        <v>Africa</v>
      </c>
    </row>
    <row r="1527" spans="1:9" x14ac:dyDescent="0.3">
      <c r="A1527" t="s">
        <v>1461</v>
      </c>
      <c r="B1527">
        <v>95</v>
      </c>
      <c r="C1527" t="s">
        <v>45</v>
      </c>
      <c r="D1527">
        <v>56</v>
      </c>
      <c r="E1527">
        <v>80</v>
      </c>
      <c r="F1527">
        <v>11.02</v>
      </c>
      <c r="G1527" t="s">
        <v>18</v>
      </c>
      <c r="H1527" t="s">
        <v>5</v>
      </c>
      <c r="I1527" t="str">
        <f t="shared" si="23"/>
        <v>America</v>
      </c>
    </row>
    <row r="1528" spans="1:9" x14ac:dyDescent="0.3">
      <c r="A1528" t="s">
        <v>890</v>
      </c>
      <c r="B1528">
        <v>95</v>
      </c>
      <c r="C1528" t="s">
        <v>45</v>
      </c>
      <c r="D1528">
        <v>52</v>
      </c>
      <c r="E1528">
        <v>76</v>
      </c>
      <c r="F1528">
        <v>19.82</v>
      </c>
      <c r="G1528" t="s">
        <v>18</v>
      </c>
      <c r="H1528" t="s">
        <v>18</v>
      </c>
      <c r="I1528" t="str">
        <f t="shared" si="23"/>
        <v>America</v>
      </c>
    </row>
    <row r="1529" spans="1:9" x14ac:dyDescent="0.3">
      <c r="A1529" t="s">
        <v>1462</v>
      </c>
      <c r="B1529">
        <v>95</v>
      </c>
      <c r="C1529" t="s">
        <v>45</v>
      </c>
      <c r="D1529">
        <v>55</v>
      </c>
      <c r="E1529">
        <v>75</v>
      </c>
      <c r="F1529">
        <v>5.86</v>
      </c>
      <c r="G1529" t="s">
        <v>18</v>
      </c>
      <c r="H1529" t="s">
        <v>12</v>
      </c>
      <c r="I1529" t="str">
        <f t="shared" si="23"/>
        <v>Africa</v>
      </c>
    </row>
    <row r="1530" spans="1:9" x14ac:dyDescent="0.3">
      <c r="A1530" t="s">
        <v>1463</v>
      </c>
      <c r="B1530">
        <v>95</v>
      </c>
      <c r="C1530" t="s">
        <v>45</v>
      </c>
      <c r="D1530">
        <v>54</v>
      </c>
      <c r="E1530">
        <v>78</v>
      </c>
      <c r="F1530">
        <v>24</v>
      </c>
      <c r="G1530" t="s">
        <v>29</v>
      </c>
      <c r="H1530" t="s">
        <v>5</v>
      </c>
      <c r="I1530" t="str">
        <f t="shared" si="23"/>
        <v>America</v>
      </c>
    </row>
    <row r="1531" spans="1:9" x14ac:dyDescent="0.3">
      <c r="A1531" t="s">
        <v>1464</v>
      </c>
      <c r="B1531">
        <v>97</v>
      </c>
      <c r="C1531" t="s">
        <v>45</v>
      </c>
      <c r="D1531">
        <v>56</v>
      </c>
      <c r="E1531">
        <v>78</v>
      </c>
      <c r="F1531">
        <v>33.049999999999997</v>
      </c>
      <c r="G1531" t="s">
        <v>18</v>
      </c>
      <c r="H1531" t="s">
        <v>18</v>
      </c>
      <c r="I1531" t="str">
        <f t="shared" si="23"/>
        <v>America</v>
      </c>
    </row>
    <row r="1532" spans="1:9" x14ac:dyDescent="0.3">
      <c r="A1532" t="s">
        <v>1465</v>
      </c>
      <c r="B1532">
        <v>95</v>
      </c>
      <c r="C1532" t="s">
        <v>45</v>
      </c>
      <c r="D1532">
        <v>54</v>
      </c>
      <c r="E1532">
        <v>76</v>
      </c>
      <c r="F1532">
        <v>143.30000000000001</v>
      </c>
      <c r="G1532" t="s">
        <v>2</v>
      </c>
      <c r="H1532" t="s">
        <v>12</v>
      </c>
      <c r="I1532" t="str">
        <f t="shared" si="23"/>
        <v>Africa</v>
      </c>
    </row>
    <row r="1533" spans="1:9" x14ac:dyDescent="0.3">
      <c r="A1533" t="s">
        <v>1466</v>
      </c>
      <c r="B1533">
        <v>95</v>
      </c>
      <c r="C1533" t="s">
        <v>45</v>
      </c>
      <c r="D1533">
        <v>56</v>
      </c>
      <c r="E1533">
        <v>78</v>
      </c>
      <c r="F1533">
        <v>121.25</v>
      </c>
      <c r="G1533" t="s">
        <v>2</v>
      </c>
      <c r="H1533" t="s">
        <v>9</v>
      </c>
      <c r="I1533" t="str">
        <f t="shared" si="23"/>
        <v>Africa</v>
      </c>
    </row>
    <row r="1534" spans="1:9" x14ac:dyDescent="0.3">
      <c r="A1534" t="s">
        <v>1467</v>
      </c>
      <c r="B1534">
        <v>94</v>
      </c>
      <c r="C1534" t="s">
        <v>45</v>
      </c>
      <c r="D1534">
        <v>52</v>
      </c>
      <c r="E1534">
        <v>74</v>
      </c>
      <c r="F1534">
        <v>5.29</v>
      </c>
      <c r="G1534" t="s">
        <v>31</v>
      </c>
      <c r="H1534" t="s">
        <v>9</v>
      </c>
      <c r="I1534" t="str">
        <f t="shared" si="23"/>
        <v>Africa</v>
      </c>
    </row>
    <row r="1535" spans="1:9" x14ac:dyDescent="0.3">
      <c r="A1535" t="s">
        <v>1468</v>
      </c>
      <c r="B1535">
        <v>94</v>
      </c>
      <c r="C1535" t="s">
        <v>45</v>
      </c>
      <c r="D1535">
        <v>54</v>
      </c>
      <c r="E1535">
        <v>80</v>
      </c>
      <c r="F1535">
        <v>6.17</v>
      </c>
      <c r="G1535" t="s">
        <v>31</v>
      </c>
      <c r="H1535" t="s">
        <v>12</v>
      </c>
      <c r="I1535" t="str">
        <f t="shared" si="23"/>
        <v>Africa</v>
      </c>
    </row>
    <row r="1536" spans="1:9" x14ac:dyDescent="0.3">
      <c r="A1536" t="s">
        <v>1469</v>
      </c>
      <c r="B1536">
        <v>94</v>
      </c>
      <c r="C1536" t="s">
        <v>82</v>
      </c>
      <c r="D1536">
        <v>48</v>
      </c>
      <c r="E1536">
        <v>70</v>
      </c>
      <c r="F1536">
        <v>4.8499999999999996</v>
      </c>
      <c r="G1536" t="s">
        <v>18</v>
      </c>
      <c r="H1536" t="s">
        <v>9</v>
      </c>
      <c r="I1536" t="str">
        <f t="shared" si="23"/>
        <v>Africa</v>
      </c>
    </row>
    <row r="1537" spans="1:9" x14ac:dyDescent="0.3">
      <c r="A1537" t="s">
        <v>1470</v>
      </c>
      <c r="B1537">
        <v>94</v>
      </c>
      <c r="C1537" t="s">
        <v>82</v>
      </c>
      <c r="D1537">
        <v>47</v>
      </c>
      <c r="E1537">
        <v>72</v>
      </c>
      <c r="F1537">
        <v>5</v>
      </c>
      <c r="G1537" t="s">
        <v>31</v>
      </c>
      <c r="H1537" t="s">
        <v>9</v>
      </c>
      <c r="I1537" t="str">
        <f t="shared" si="23"/>
        <v>Africa</v>
      </c>
    </row>
    <row r="1538" spans="1:9" x14ac:dyDescent="0.3">
      <c r="A1538" t="s">
        <v>1471</v>
      </c>
      <c r="B1538">
        <v>95</v>
      </c>
      <c r="C1538" t="s">
        <v>82</v>
      </c>
      <c r="D1538">
        <v>47</v>
      </c>
      <c r="E1538">
        <v>65</v>
      </c>
      <c r="F1538">
        <v>7.2</v>
      </c>
      <c r="G1538" t="s">
        <v>18</v>
      </c>
      <c r="H1538" t="s">
        <v>12</v>
      </c>
      <c r="I1538" t="str">
        <f t="shared" si="23"/>
        <v>Africa</v>
      </c>
    </row>
    <row r="1539" spans="1:9" x14ac:dyDescent="0.3">
      <c r="A1539" t="s">
        <v>1472</v>
      </c>
      <c r="B1539">
        <v>94</v>
      </c>
      <c r="C1539" t="s">
        <v>45</v>
      </c>
      <c r="D1539">
        <v>54</v>
      </c>
      <c r="E1539">
        <v>77</v>
      </c>
      <c r="F1539">
        <v>69.599999999999994</v>
      </c>
      <c r="G1539" t="s">
        <v>11</v>
      </c>
      <c r="H1539" t="s">
        <v>150</v>
      </c>
      <c r="I1539" t="str">
        <f t="shared" ref="I1539:I1602" si="24">_xlfn.XLOOKUP(H1539, $M$2:$M$50, $N$2:$N$50, "Other")</f>
        <v>NULL</v>
      </c>
    </row>
    <row r="1540" spans="1:9" x14ac:dyDescent="0.3">
      <c r="A1540" t="s">
        <v>1473</v>
      </c>
      <c r="B1540">
        <v>95</v>
      </c>
      <c r="C1540" t="s">
        <v>45</v>
      </c>
      <c r="D1540">
        <v>50</v>
      </c>
      <c r="E1540">
        <v>73</v>
      </c>
      <c r="F1540">
        <v>110.13</v>
      </c>
      <c r="G1540" t="s">
        <v>11</v>
      </c>
      <c r="H1540" t="s">
        <v>9</v>
      </c>
      <c r="I1540" t="str">
        <f t="shared" si="24"/>
        <v>Africa</v>
      </c>
    </row>
    <row r="1541" spans="1:9" x14ac:dyDescent="0.3">
      <c r="A1541" t="s">
        <v>1474</v>
      </c>
      <c r="B1541">
        <v>95</v>
      </c>
      <c r="C1541" t="s">
        <v>45</v>
      </c>
      <c r="D1541">
        <v>54</v>
      </c>
      <c r="E1541">
        <v>78</v>
      </c>
      <c r="F1541">
        <v>88.11</v>
      </c>
      <c r="G1541" t="s">
        <v>11</v>
      </c>
      <c r="H1541" t="s">
        <v>11</v>
      </c>
      <c r="I1541" t="str">
        <f t="shared" si="24"/>
        <v>Asia-Pacific</v>
      </c>
    </row>
    <row r="1542" spans="1:9" x14ac:dyDescent="0.3">
      <c r="A1542" t="s">
        <v>1475</v>
      </c>
      <c r="B1542">
        <v>94</v>
      </c>
      <c r="C1542" t="s">
        <v>45</v>
      </c>
      <c r="D1542">
        <v>54</v>
      </c>
      <c r="E1542">
        <v>75</v>
      </c>
      <c r="F1542">
        <v>5.26</v>
      </c>
      <c r="G1542" t="s">
        <v>18</v>
      </c>
      <c r="H1542" t="s">
        <v>21</v>
      </c>
      <c r="I1542" t="str">
        <f t="shared" si="24"/>
        <v>America</v>
      </c>
    </row>
    <row r="1543" spans="1:9" x14ac:dyDescent="0.3">
      <c r="A1543" t="s">
        <v>1476</v>
      </c>
      <c r="B1543">
        <v>94</v>
      </c>
      <c r="C1543" t="s">
        <v>45</v>
      </c>
      <c r="D1543">
        <v>56</v>
      </c>
      <c r="E1543">
        <v>82</v>
      </c>
      <c r="F1543">
        <v>22.49</v>
      </c>
      <c r="G1543" t="s">
        <v>18</v>
      </c>
      <c r="H1543" t="s">
        <v>7</v>
      </c>
      <c r="I1543" t="str">
        <f t="shared" si="24"/>
        <v>America</v>
      </c>
    </row>
    <row r="1544" spans="1:9" x14ac:dyDescent="0.3">
      <c r="A1544" t="s">
        <v>1477</v>
      </c>
      <c r="B1544">
        <v>94</v>
      </c>
      <c r="C1544" t="s">
        <v>45</v>
      </c>
      <c r="D1544">
        <v>56</v>
      </c>
      <c r="E1544">
        <v>76</v>
      </c>
      <c r="F1544">
        <v>5.29</v>
      </c>
      <c r="G1544" t="s">
        <v>18</v>
      </c>
      <c r="H1544" t="s">
        <v>12</v>
      </c>
      <c r="I1544" t="str">
        <f t="shared" si="24"/>
        <v>Africa</v>
      </c>
    </row>
    <row r="1545" spans="1:9" x14ac:dyDescent="0.3">
      <c r="A1545" t="s">
        <v>1037</v>
      </c>
      <c r="B1545">
        <v>95</v>
      </c>
      <c r="C1545" t="s">
        <v>45</v>
      </c>
      <c r="D1545">
        <v>56</v>
      </c>
      <c r="E1545">
        <v>80</v>
      </c>
      <c r="F1545">
        <v>4.8499999999999996</v>
      </c>
      <c r="G1545" t="s">
        <v>18</v>
      </c>
      <c r="H1545" t="s">
        <v>12</v>
      </c>
      <c r="I1545" t="str">
        <f t="shared" si="24"/>
        <v>Africa</v>
      </c>
    </row>
    <row r="1546" spans="1:9" x14ac:dyDescent="0.3">
      <c r="A1546" t="s">
        <v>1478</v>
      </c>
      <c r="B1546">
        <v>95</v>
      </c>
      <c r="C1546" t="s">
        <v>45</v>
      </c>
      <c r="D1546">
        <v>56</v>
      </c>
      <c r="E1546">
        <v>76</v>
      </c>
      <c r="F1546">
        <v>11.46</v>
      </c>
      <c r="G1546" t="s">
        <v>2</v>
      </c>
      <c r="H1546" t="s">
        <v>9</v>
      </c>
      <c r="I1546" t="str">
        <f t="shared" si="24"/>
        <v>Africa</v>
      </c>
    </row>
    <row r="1547" spans="1:9" x14ac:dyDescent="0.3">
      <c r="A1547" t="s">
        <v>1479</v>
      </c>
      <c r="B1547">
        <v>94</v>
      </c>
      <c r="C1547" t="s">
        <v>45</v>
      </c>
      <c r="D1547">
        <v>55</v>
      </c>
      <c r="E1547">
        <v>79</v>
      </c>
      <c r="F1547">
        <v>5.29</v>
      </c>
      <c r="G1547" t="s">
        <v>18</v>
      </c>
      <c r="H1547" t="s">
        <v>12</v>
      </c>
      <c r="I1547" t="str">
        <f t="shared" si="24"/>
        <v>Africa</v>
      </c>
    </row>
    <row r="1548" spans="1:9" x14ac:dyDescent="0.3">
      <c r="A1548" t="s">
        <v>1480</v>
      </c>
      <c r="B1548">
        <v>94</v>
      </c>
      <c r="C1548" t="s">
        <v>45</v>
      </c>
      <c r="D1548">
        <v>53</v>
      </c>
      <c r="E1548">
        <v>78</v>
      </c>
      <c r="F1548">
        <v>5.57</v>
      </c>
      <c r="G1548" t="s">
        <v>18</v>
      </c>
      <c r="H1548" t="s">
        <v>22</v>
      </c>
      <c r="I1548" t="str">
        <f t="shared" si="24"/>
        <v>America</v>
      </c>
    </row>
    <row r="1549" spans="1:9" x14ac:dyDescent="0.3">
      <c r="A1549" t="s">
        <v>1481</v>
      </c>
      <c r="B1549">
        <v>94</v>
      </c>
      <c r="C1549" t="s">
        <v>45</v>
      </c>
      <c r="D1549">
        <v>56</v>
      </c>
      <c r="E1549">
        <v>81</v>
      </c>
      <c r="F1549">
        <v>4.99</v>
      </c>
      <c r="G1549" t="s">
        <v>18</v>
      </c>
      <c r="H1549" t="s">
        <v>22</v>
      </c>
      <c r="I1549" t="str">
        <f t="shared" si="24"/>
        <v>America</v>
      </c>
    </row>
    <row r="1550" spans="1:9" x14ac:dyDescent="0.3">
      <c r="A1550" t="s">
        <v>1482</v>
      </c>
      <c r="B1550">
        <v>95</v>
      </c>
      <c r="C1550" t="s">
        <v>45</v>
      </c>
      <c r="D1550">
        <v>58</v>
      </c>
      <c r="E1550">
        <v>82</v>
      </c>
      <c r="F1550">
        <v>5.57</v>
      </c>
      <c r="G1550" t="s">
        <v>18</v>
      </c>
      <c r="H1550" t="s">
        <v>9</v>
      </c>
      <c r="I1550" t="str">
        <f t="shared" si="24"/>
        <v>Africa</v>
      </c>
    </row>
    <row r="1551" spans="1:9" x14ac:dyDescent="0.3">
      <c r="A1551" t="s">
        <v>1483</v>
      </c>
      <c r="B1551">
        <v>94</v>
      </c>
      <c r="C1551" t="s">
        <v>45</v>
      </c>
      <c r="D1551">
        <v>53</v>
      </c>
      <c r="E1551">
        <v>77</v>
      </c>
      <c r="F1551">
        <v>5.26</v>
      </c>
      <c r="G1551" t="s">
        <v>18</v>
      </c>
      <c r="H1551" t="s">
        <v>9</v>
      </c>
      <c r="I1551" t="str">
        <f t="shared" si="24"/>
        <v>Africa</v>
      </c>
    </row>
    <row r="1552" spans="1:9" x14ac:dyDescent="0.3">
      <c r="A1552" t="s">
        <v>1484</v>
      </c>
      <c r="B1552">
        <v>94</v>
      </c>
      <c r="C1552" t="s">
        <v>45</v>
      </c>
      <c r="D1552">
        <v>60</v>
      </c>
      <c r="E1552">
        <v>78</v>
      </c>
      <c r="F1552">
        <v>4.8499999999999996</v>
      </c>
      <c r="G1552" t="s">
        <v>18</v>
      </c>
      <c r="H1552" t="s">
        <v>9</v>
      </c>
      <c r="I1552" t="str">
        <f t="shared" si="24"/>
        <v>Africa</v>
      </c>
    </row>
    <row r="1553" spans="1:9" x14ac:dyDescent="0.3">
      <c r="A1553" t="s">
        <v>1485</v>
      </c>
      <c r="B1553">
        <v>95</v>
      </c>
      <c r="C1553" t="s">
        <v>82</v>
      </c>
      <c r="D1553">
        <v>45</v>
      </c>
      <c r="E1553">
        <v>61</v>
      </c>
      <c r="F1553">
        <v>5</v>
      </c>
      <c r="G1553" t="s">
        <v>18</v>
      </c>
      <c r="H1553" t="s">
        <v>9</v>
      </c>
      <c r="I1553" t="str">
        <f t="shared" si="24"/>
        <v>Africa</v>
      </c>
    </row>
    <row r="1554" spans="1:9" x14ac:dyDescent="0.3">
      <c r="A1554" t="s">
        <v>1486</v>
      </c>
      <c r="B1554">
        <v>94</v>
      </c>
      <c r="C1554" t="s">
        <v>45</v>
      </c>
      <c r="D1554">
        <v>54</v>
      </c>
      <c r="E1554">
        <v>68</v>
      </c>
      <c r="F1554">
        <v>4.3899999999999997</v>
      </c>
      <c r="G1554" t="s">
        <v>18</v>
      </c>
      <c r="H1554" t="s">
        <v>14</v>
      </c>
      <c r="I1554" t="str">
        <f t="shared" si="24"/>
        <v>America</v>
      </c>
    </row>
    <row r="1555" spans="1:9" x14ac:dyDescent="0.3">
      <c r="A1555" t="s">
        <v>1487</v>
      </c>
      <c r="B1555">
        <v>94</v>
      </c>
      <c r="C1555" t="s">
        <v>41</v>
      </c>
      <c r="D1555">
        <v>61</v>
      </c>
      <c r="E1555">
        <v>84</v>
      </c>
      <c r="F1555">
        <v>217.78</v>
      </c>
      <c r="G1555" t="s">
        <v>2</v>
      </c>
      <c r="H1555" t="s">
        <v>21</v>
      </c>
      <c r="I1555" t="str">
        <f t="shared" si="24"/>
        <v>America</v>
      </c>
    </row>
    <row r="1556" spans="1:9" x14ac:dyDescent="0.3">
      <c r="A1556" t="s">
        <v>1488</v>
      </c>
      <c r="B1556">
        <v>95</v>
      </c>
      <c r="C1556" t="s">
        <v>45</v>
      </c>
      <c r="D1556">
        <v>59</v>
      </c>
      <c r="E1556">
        <v>77</v>
      </c>
      <c r="F1556">
        <v>132.28</v>
      </c>
      <c r="G1556" t="s">
        <v>2</v>
      </c>
      <c r="H1556" t="s">
        <v>12</v>
      </c>
      <c r="I1556" t="str">
        <f t="shared" si="24"/>
        <v>Africa</v>
      </c>
    </row>
    <row r="1557" spans="1:9" x14ac:dyDescent="0.3">
      <c r="A1557" t="s">
        <v>1489</v>
      </c>
      <c r="B1557">
        <v>94</v>
      </c>
      <c r="C1557" t="s">
        <v>45</v>
      </c>
      <c r="D1557">
        <v>56</v>
      </c>
      <c r="E1557">
        <v>76</v>
      </c>
      <c r="F1557">
        <v>121.25</v>
      </c>
      <c r="G1557" t="s">
        <v>2</v>
      </c>
      <c r="H1557" t="s">
        <v>7</v>
      </c>
      <c r="I1557" t="str">
        <f t="shared" si="24"/>
        <v>America</v>
      </c>
    </row>
    <row r="1558" spans="1:9" x14ac:dyDescent="0.3">
      <c r="A1558" t="s">
        <v>1490</v>
      </c>
      <c r="B1558">
        <v>94</v>
      </c>
      <c r="C1558" t="s">
        <v>41</v>
      </c>
      <c r="D1558">
        <v>60</v>
      </c>
      <c r="E1558">
        <v>82</v>
      </c>
      <c r="F1558">
        <v>6.5</v>
      </c>
      <c r="G1558" t="s">
        <v>30</v>
      </c>
      <c r="H1558" t="s">
        <v>9</v>
      </c>
      <c r="I1558" t="str">
        <f t="shared" si="24"/>
        <v>Africa</v>
      </c>
    </row>
    <row r="1559" spans="1:9" x14ac:dyDescent="0.3">
      <c r="A1559" t="s">
        <v>1491</v>
      </c>
      <c r="B1559">
        <v>94</v>
      </c>
      <c r="C1559" t="s">
        <v>45</v>
      </c>
      <c r="D1559">
        <v>53</v>
      </c>
      <c r="E1559">
        <v>76</v>
      </c>
      <c r="F1559">
        <v>4.7</v>
      </c>
      <c r="G1559" t="s">
        <v>18</v>
      </c>
      <c r="H1559" t="s">
        <v>12</v>
      </c>
      <c r="I1559" t="str">
        <f t="shared" si="24"/>
        <v>Africa</v>
      </c>
    </row>
    <row r="1560" spans="1:9" x14ac:dyDescent="0.3">
      <c r="A1560" t="s">
        <v>1492</v>
      </c>
      <c r="B1560">
        <v>94</v>
      </c>
      <c r="C1560" t="s">
        <v>45</v>
      </c>
      <c r="D1560">
        <v>55</v>
      </c>
      <c r="E1560">
        <v>77</v>
      </c>
      <c r="F1560">
        <v>3.81</v>
      </c>
      <c r="G1560" t="s">
        <v>18</v>
      </c>
      <c r="H1560" t="s">
        <v>14</v>
      </c>
      <c r="I1560" t="str">
        <f t="shared" si="24"/>
        <v>America</v>
      </c>
    </row>
    <row r="1561" spans="1:9" x14ac:dyDescent="0.3">
      <c r="A1561" t="s">
        <v>1493</v>
      </c>
      <c r="B1561">
        <v>94</v>
      </c>
      <c r="C1561" t="s">
        <v>45</v>
      </c>
      <c r="D1561">
        <v>54</v>
      </c>
      <c r="E1561">
        <v>76</v>
      </c>
      <c r="F1561">
        <v>4.99</v>
      </c>
      <c r="G1561" t="s">
        <v>18</v>
      </c>
      <c r="H1561" t="s">
        <v>12</v>
      </c>
      <c r="I1561" t="str">
        <f t="shared" si="24"/>
        <v>Africa</v>
      </c>
    </row>
    <row r="1562" spans="1:9" x14ac:dyDescent="0.3">
      <c r="A1562" t="s">
        <v>941</v>
      </c>
      <c r="B1562">
        <v>94</v>
      </c>
      <c r="C1562" t="s">
        <v>541</v>
      </c>
      <c r="D1562">
        <v>34</v>
      </c>
      <c r="E1562">
        <v>52</v>
      </c>
      <c r="F1562">
        <v>8.82</v>
      </c>
      <c r="G1562" t="s">
        <v>18</v>
      </c>
      <c r="H1562" t="s">
        <v>5</v>
      </c>
      <c r="I1562" t="str">
        <f t="shared" si="24"/>
        <v>America</v>
      </c>
    </row>
    <row r="1563" spans="1:9" x14ac:dyDescent="0.3">
      <c r="A1563" t="s">
        <v>1494</v>
      </c>
      <c r="B1563">
        <v>94</v>
      </c>
      <c r="C1563" t="s">
        <v>45</v>
      </c>
      <c r="D1563">
        <v>54</v>
      </c>
      <c r="E1563">
        <v>78</v>
      </c>
      <c r="F1563">
        <v>22.05</v>
      </c>
      <c r="G1563" t="s">
        <v>18</v>
      </c>
      <c r="H1563" t="s">
        <v>5</v>
      </c>
      <c r="I1563" t="str">
        <f t="shared" si="24"/>
        <v>America</v>
      </c>
    </row>
    <row r="1564" spans="1:9" x14ac:dyDescent="0.3">
      <c r="A1564" t="s">
        <v>1495</v>
      </c>
      <c r="B1564">
        <v>95</v>
      </c>
      <c r="C1564" t="s">
        <v>45</v>
      </c>
      <c r="D1564">
        <v>54</v>
      </c>
      <c r="E1564">
        <v>78</v>
      </c>
      <c r="F1564">
        <v>33.07</v>
      </c>
      <c r="G1564" t="s">
        <v>18</v>
      </c>
      <c r="H1564" t="s">
        <v>9</v>
      </c>
      <c r="I1564" t="str">
        <f t="shared" si="24"/>
        <v>Africa</v>
      </c>
    </row>
    <row r="1565" spans="1:9" x14ac:dyDescent="0.3">
      <c r="A1565" t="s">
        <v>1496</v>
      </c>
      <c r="B1565">
        <v>95</v>
      </c>
      <c r="C1565" t="s">
        <v>45</v>
      </c>
      <c r="D1565">
        <v>56</v>
      </c>
      <c r="E1565">
        <v>77</v>
      </c>
      <c r="F1565">
        <v>705.48</v>
      </c>
      <c r="G1565" t="s">
        <v>2</v>
      </c>
      <c r="H1565" t="s">
        <v>9</v>
      </c>
      <c r="I1565" t="str">
        <f t="shared" si="24"/>
        <v>Africa</v>
      </c>
    </row>
    <row r="1566" spans="1:9" x14ac:dyDescent="0.3">
      <c r="A1566" t="s">
        <v>1497</v>
      </c>
      <c r="B1566">
        <v>95</v>
      </c>
      <c r="C1566" t="s">
        <v>41</v>
      </c>
      <c r="D1566">
        <v>64</v>
      </c>
      <c r="E1566">
        <v>86</v>
      </c>
      <c r="F1566">
        <v>32.630000000000003</v>
      </c>
      <c r="G1566" t="s">
        <v>2</v>
      </c>
      <c r="H1566" t="s">
        <v>9</v>
      </c>
      <c r="I1566" t="str">
        <f t="shared" si="24"/>
        <v>Africa</v>
      </c>
    </row>
    <row r="1567" spans="1:9" x14ac:dyDescent="0.3">
      <c r="A1567" t="s">
        <v>1498</v>
      </c>
      <c r="B1567">
        <v>95</v>
      </c>
      <c r="C1567" t="s">
        <v>45</v>
      </c>
      <c r="D1567">
        <v>54</v>
      </c>
      <c r="E1567">
        <v>74</v>
      </c>
      <c r="F1567">
        <v>30</v>
      </c>
      <c r="G1567" t="s">
        <v>31</v>
      </c>
      <c r="H1567" t="s">
        <v>9</v>
      </c>
      <c r="I1567" t="str">
        <f t="shared" si="24"/>
        <v>Africa</v>
      </c>
    </row>
    <row r="1568" spans="1:9" x14ac:dyDescent="0.3">
      <c r="A1568" t="s">
        <v>1499</v>
      </c>
      <c r="B1568">
        <v>96</v>
      </c>
      <c r="C1568" t="s">
        <v>45</v>
      </c>
      <c r="D1568">
        <v>54</v>
      </c>
      <c r="E1568">
        <v>78</v>
      </c>
      <c r="F1568">
        <v>22.05</v>
      </c>
      <c r="G1568" t="s">
        <v>18</v>
      </c>
      <c r="H1568" t="s">
        <v>5</v>
      </c>
      <c r="I1568" t="str">
        <f t="shared" si="24"/>
        <v>America</v>
      </c>
    </row>
    <row r="1569" spans="1:9" x14ac:dyDescent="0.3">
      <c r="A1569" t="s">
        <v>1500</v>
      </c>
      <c r="B1569">
        <v>95</v>
      </c>
      <c r="C1569" t="s">
        <v>45</v>
      </c>
      <c r="D1569">
        <v>53</v>
      </c>
      <c r="E1569">
        <v>77</v>
      </c>
      <c r="F1569">
        <v>5.57</v>
      </c>
      <c r="G1569" t="s">
        <v>18</v>
      </c>
      <c r="H1569" t="s">
        <v>12</v>
      </c>
      <c r="I1569" t="str">
        <f t="shared" si="24"/>
        <v>Africa</v>
      </c>
    </row>
    <row r="1570" spans="1:9" x14ac:dyDescent="0.3">
      <c r="A1570" t="s">
        <v>1501</v>
      </c>
      <c r="B1570">
        <v>94</v>
      </c>
      <c r="C1570" t="s">
        <v>45</v>
      </c>
      <c r="D1570">
        <v>51</v>
      </c>
      <c r="E1570">
        <v>73</v>
      </c>
      <c r="F1570">
        <v>5.07</v>
      </c>
      <c r="G1570" t="s">
        <v>18</v>
      </c>
      <c r="H1570" t="s">
        <v>9</v>
      </c>
      <c r="I1570" t="str">
        <f t="shared" si="24"/>
        <v>Africa</v>
      </c>
    </row>
    <row r="1571" spans="1:9" x14ac:dyDescent="0.3">
      <c r="A1571" t="s">
        <v>1502</v>
      </c>
      <c r="B1571">
        <v>95</v>
      </c>
      <c r="C1571" t="s">
        <v>45</v>
      </c>
      <c r="D1571">
        <v>53</v>
      </c>
      <c r="E1571">
        <v>76</v>
      </c>
      <c r="F1571">
        <v>5.57</v>
      </c>
      <c r="G1571" t="s">
        <v>18</v>
      </c>
      <c r="H1571" t="s">
        <v>12</v>
      </c>
      <c r="I1571" t="str">
        <f t="shared" si="24"/>
        <v>Africa</v>
      </c>
    </row>
    <row r="1572" spans="1:9" x14ac:dyDescent="0.3">
      <c r="A1572" t="s">
        <v>1503</v>
      </c>
      <c r="B1572">
        <v>95</v>
      </c>
      <c r="C1572" t="s">
        <v>82</v>
      </c>
      <c r="D1572">
        <v>46</v>
      </c>
      <c r="E1572">
        <v>64</v>
      </c>
      <c r="F1572">
        <v>17.61</v>
      </c>
      <c r="G1572" t="s">
        <v>18</v>
      </c>
      <c r="H1572" t="s">
        <v>14</v>
      </c>
      <c r="I1572" t="str">
        <f t="shared" si="24"/>
        <v>America</v>
      </c>
    </row>
    <row r="1573" spans="1:9" x14ac:dyDescent="0.3">
      <c r="A1573" t="s">
        <v>1504</v>
      </c>
      <c r="B1573">
        <v>94</v>
      </c>
      <c r="C1573" t="s">
        <v>541</v>
      </c>
      <c r="D1573">
        <v>41</v>
      </c>
      <c r="E1573">
        <v>49</v>
      </c>
      <c r="F1573">
        <v>9.5</v>
      </c>
      <c r="G1573" t="s">
        <v>30</v>
      </c>
      <c r="H1573" t="s">
        <v>12</v>
      </c>
      <c r="I1573" t="str">
        <f t="shared" si="24"/>
        <v>Africa</v>
      </c>
    </row>
    <row r="1574" spans="1:9" x14ac:dyDescent="0.3">
      <c r="A1574" t="s">
        <v>1505</v>
      </c>
      <c r="B1574">
        <v>95</v>
      </c>
      <c r="C1574" t="s">
        <v>45</v>
      </c>
      <c r="D1574">
        <v>58</v>
      </c>
      <c r="E1574">
        <v>82</v>
      </c>
      <c r="F1574">
        <v>242.5</v>
      </c>
      <c r="G1574" t="s">
        <v>2</v>
      </c>
      <c r="H1574" t="s">
        <v>9</v>
      </c>
      <c r="I1574" t="str">
        <f t="shared" si="24"/>
        <v>Africa</v>
      </c>
    </row>
    <row r="1575" spans="1:9" x14ac:dyDescent="0.3">
      <c r="A1575" t="s">
        <v>1506</v>
      </c>
      <c r="B1575">
        <v>94</v>
      </c>
      <c r="C1575" t="s">
        <v>45</v>
      </c>
      <c r="D1575">
        <v>55</v>
      </c>
      <c r="E1575">
        <v>77</v>
      </c>
      <c r="F1575">
        <v>4.9800000000000004</v>
      </c>
      <c r="G1575" t="s">
        <v>18</v>
      </c>
      <c r="H1575" t="s">
        <v>16</v>
      </c>
      <c r="I1575" t="str">
        <f t="shared" si="24"/>
        <v>Asia-Pacific</v>
      </c>
    </row>
    <row r="1576" spans="1:9" x14ac:dyDescent="0.3">
      <c r="A1576" t="s">
        <v>1507</v>
      </c>
      <c r="B1576">
        <v>94</v>
      </c>
      <c r="C1576" t="s">
        <v>41</v>
      </c>
      <c r="D1576">
        <v>60</v>
      </c>
      <c r="E1576">
        <v>84</v>
      </c>
      <c r="F1576">
        <v>5.57</v>
      </c>
      <c r="G1576" t="s">
        <v>18</v>
      </c>
      <c r="H1576" t="s">
        <v>12</v>
      </c>
      <c r="I1576" t="str">
        <f t="shared" si="24"/>
        <v>Africa</v>
      </c>
    </row>
    <row r="1577" spans="1:9" x14ac:dyDescent="0.3">
      <c r="A1577" t="s">
        <v>1508</v>
      </c>
      <c r="B1577">
        <v>95</v>
      </c>
      <c r="C1577" t="s">
        <v>45</v>
      </c>
      <c r="D1577">
        <v>58</v>
      </c>
      <c r="E1577">
        <v>80</v>
      </c>
      <c r="F1577">
        <v>121.25</v>
      </c>
      <c r="G1577" t="s">
        <v>2</v>
      </c>
      <c r="H1577" t="s">
        <v>9</v>
      </c>
      <c r="I1577" t="str">
        <f t="shared" si="24"/>
        <v>Africa</v>
      </c>
    </row>
    <row r="1578" spans="1:9" x14ac:dyDescent="0.3">
      <c r="A1578" t="s">
        <v>1509</v>
      </c>
      <c r="B1578">
        <v>97</v>
      </c>
      <c r="C1578" t="s">
        <v>41</v>
      </c>
      <c r="D1578">
        <v>67</v>
      </c>
      <c r="E1578">
        <v>97</v>
      </c>
      <c r="F1578">
        <v>60.41</v>
      </c>
      <c r="G1578" t="s">
        <v>18</v>
      </c>
      <c r="H1578" t="s">
        <v>5</v>
      </c>
      <c r="I1578" t="str">
        <f t="shared" si="24"/>
        <v>America</v>
      </c>
    </row>
    <row r="1579" spans="1:9" x14ac:dyDescent="0.3">
      <c r="A1579" t="s">
        <v>1412</v>
      </c>
      <c r="B1579">
        <v>95</v>
      </c>
      <c r="C1579" t="s">
        <v>45</v>
      </c>
      <c r="D1579">
        <v>54</v>
      </c>
      <c r="E1579">
        <v>80</v>
      </c>
      <c r="F1579">
        <v>4.8499999999999996</v>
      </c>
      <c r="G1579" t="s">
        <v>18</v>
      </c>
      <c r="H1579" t="s">
        <v>16</v>
      </c>
      <c r="I1579" t="str">
        <f t="shared" si="24"/>
        <v>Asia-Pacific</v>
      </c>
    </row>
    <row r="1580" spans="1:9" x14ac:dyDescent="0.3">
      <c r="A1580" t="s">
        <v>1510</v>
      </c>
      <c r="B1580">
        <v>94</v>
      </c>
      <c r="C1580" t="s">
        <v>41</v>
      </c>
      <c r="D1580">
        <v>62</v>
      </c>
      <c r="E1580">
        <v>84</v>
      </c>
      <c r="F1580">
        <v>4.12</v>
      </c>
      <c r="G1580" t="s">
        <v>18</v>
      </c>
      <c r="H1580" t="s">
        <v>12</v>
      </c>
      <c r="I1580" t="str">
        <f t="shared" si="24"/>
        <v>Africa</v>
      </c>
    </row>
    <row r="1581" spans="1:9" x14ac:dyDescent="0.3">
      <c r="A1581" t="s">
        <v>1511</v>
      </c>
      <c r="B1581">
        <v>94</v>
      </c>
      <c r="C1581" t="s">
        <v>45</v>
      </c>
      <c r="D1581">
        <v>54</v>
      </c>
      <c r="E1581">
        <v>75</v>
      </c>
      <c r="F1581">
        <v>4.7</v>
      </c>
      <c r="G1581" t="s">
        <v>18</v>
      </c>
      <c r="H1581" t="s">
        <v>14</v>
      </c>
      <c r="I1581" t="str">
        <f t="shared" si="24"/>
        <v>America</v>
      </c>
    </row>
    <row r="1582" spans="1:9" x14ac:dyDescent="0.3">
      <c r="A1582" t="s">
        <v>1512</v>
      </c>
      <c r="B1582">
        <v>94</v>
      </c>
      <c r="C1582" t="s">
        <v>45</v>
      </c>
      <c r="D1582">
        <v>54</v>
      </c>
      <c r="E1582">
        <v>76</v>
      </c>
      <c r="F1582">
        <v>5.88</v>
      </c>
      <c r="G1582" t="s">
        <v>18</v>
      </c>
      <c r="H1582" t="s">
        <v>12</v>
      </c>
      <c r="I1582" t="str">
        <f t="shared" si="24"/>
        <v>Africa</v>
      </c>
    </row>
    <row r="1583" spans="1:9" x14ac:dyDescent="0.3">
      <c r="A1583" t="s">
        <v>1513</v>
      </c>
      <c r="B1583">
        <v>94</v>
      </c>
      <c r="C1583" t="s">
        <v>45</v>
      </c>
      <c r="D1583">
        <v>54</v>
      </c>
      <c r="E1583">
        <v>78</v>
      </c>
      <c r="F1583">
        <v>10.29</v>
      </c>
      <c r="G1583" t="s">
        <v>18</v>
      </c>
      <c r="H1583" t="s">
        <v>21</v>
      </c>
      <c r="I1583" t="str">
        <f t="shared" si="24"/>
        <v>America</v>
      </c>
    </row>
    <row r="1584" spans="1:9" x14ac:dyDescent="0.3">
      <c r="A1584" t="s">
        <v>1514</v>
      </c>
      <c r="B1584">
        <v>96</v>
      </c>
      <c r="C1584" t="s">
        <v>45</v>
      </c>
      <c r="D1584">
        <v>53</v>
      </c>
      <c r="E1584">
        <v>76</v>
      </c>
      <c r="F1584">
        <v>6.14</v>
      </c>
      <c r="G1584" t="s">
        <v>18</v>
      </c>
      <c r="H1584" t="s">
        <v>12</v>
      </c>
      <c r="I1584" t="str">
        <f t="shared" si="24"/>
        <v>Africa</v>
      </c>
    </row>
    <row r="1585" spans="1:9" x14ac:dyDescent="0.3">
      <c r="A1585" t="s">
        <v>1515</v>
      </c>
      <c r="B1585">
        <v>94</v>
      </c>
      <c r="C1585" t="s">
        <v>45</v>
      </c>
      <c r="D1585">
        <v>53</v>
      </c>
      <c r="E1585">
        <v>75</v>
      </c>
      <c r="F1585">
        <v>4.63</v>
      </c>
      <c r="G1585" t="s">
        <v>18</v>
      </c>
      <c r="H1585" t="s">
        <v>150</v>
      </c>
      <c r="I1585" t="str">
        <f t="shared" si="24"/>
        <v>NULL</v>
      </c>
    </row>
    <row r="1586" spans="1:9" x14ac:dyDescent="0.3">
      <c r="A1586" t="s">
        <v>1516</v>
      </c>
      <c r="B1586">
        <v>95</v>
      </c>
      <c r="C1586" t="s">
        <v>82</v>
      </c>
      <c r="D1586">
        <v>50</v>
      </c>
      <c r="E1586">
        <v>71</v>
      </c>
      <c r="F1586">
        <v>10.29</v>
      </c>
      <c r="G1586" t="s">
        <v>18</v>
      </c>
      <c r="H1586" t="s">
        <v>21</v>
      </c>
      <c r="I1586" t="str">
        <f t="shared" si="24"/>
        <v>America</v>
      </c>
    </row>
    <row r="1587" spans="1:9" x14ac:dyDescent="0.3">
      <c r="A1587" t="s">
        <v>1517</v>
      </c>
      <c r="B1587">
        <v>94</v>
      </c>
      <c r="C1587" t="s">
        <v>45</v>
      </c>
      <c r="D1587">
        <v>54</v>
      </c>
      <c r="E1587">
        <v>74</v>
      </c>
      <c r="F1587">
        <v>10.23</v>
      </c>
      <c r="G1587" t="s">
        <v>18</v>
      </c>
      <c r="H1587" t="s">
        <v>18</v>
      </c>
      <c r="I1587" t="str">
        <f t="shared" si="24"/>
        <v>America</v>
      </c>
    </row>
    <row r="1588" spans="1:9" x14ac:dyDescent="0.3">
      <c r="A1588" t="s">
        <v>1518</v>
      </c>
      <c r="B1588">
        <v>94</v>
      </c>
      <c r="C1588" t="s">
        <v>41</v>
      </c>
      <c r="D1588">
        <v>62</v>
      </c>
      <c r="E1588">
        <v>84</v>
      </c>
      <c r="F1588">
        <v>58.24</v>
      </c>
      <c r="G1588" t="s">
        <v>18</v>
      </c>
      <c r="H1588" t="s">
        <v>14</v>
      </c>
      <c r="I1588" t="str">
        <f t="shared" si="24"/>
        <v>America</v>
      </c>
    </row>
    <row r="1589" spans="1:9" x14ac:dyDescent="0.3">
      <c r="A1589" t="s">
        <v>1519</v>
      </c>
      <c r="B1589">
        <v>94</v>
      </c>
      <c r="C1589" t="s">
        <v>45</v>
      </c>
      <c r="D1589">
        <v>54</v>
      </c>
      <c r="E1589">
        <v>80</v>
      </c>
      <c r="F1589">
        <v>22.02</v>
      </c>
      <c r="G1589" t="s">
        <v>18</v>
      </c>
      <c r="H1589" t="s">
        <v>18</v>
      </c>
      <c r="I1589" t="str">
        <f t="shared" si="24"/>
        <v>America</v>
      </c>
    </row>
    <row r="1590" spans="1:9" x14ac:dyDescent="0.3">
      <c r="A1590" t="s">
        <v>810</v>
      </c>
      <c r="B1590">
        <v>94</v>
      </c>
      <c r="C1590" t="s">
        <v>45</v>
      </c>
      <c r="D1590">
        <v>54</v>
      </c>
      <c r="E1590">
        <v>80</v>
      </c>
      <c r="F1590">
        <v>4.41</v>
      </c>
      <c r="G1590" t="s">
        <v>31</v>
      </c>
      <c r="H1590" t="s">
        <v>16</v>
      </c>
      <c r="I1590" t="str">
        <f t="shared" si="24"/>
        <v>Asia-Pacific</v>
      </c>
    </row>
    <row r="1591" spans="1:9" x14ac:dyDescent="0.3">
      <c r="A1591" t="s">
        <v>1520</v>
      </c>
      <c r="B1591">
        <v>95</v>
      </c>
      <c r="C1591" t="s">
        <v>45</v>
      </c>
      <c r="D1591">
        <v>55</v>
      </c>
      <c r="E1591">
        <v>78</v>
      </c>
      <c r="F1591">
        <v>15.43</v>
      </c>
      <c r="G1591" t="s">
        <v>18</v>
      </c>
      <c r="H1591" t="s">
        <v>9</v>
      </c>
      <c r="I1591" t="str">
        <f t="shared" si="24"/>
        <v>Africa</v>
      </c>
    </row>
    <row r="1592" spans="1:9" x14ac:dyDescent="0.3">
      <c r="A1592" t="s">
        <v>1521</v>
      </c>
      <c r="B1592">
        <v>94</v>
      </c>
      <c r="C1592" t="s">
        <v>45</v>
      </c>
      <c r="D1592">
        <v>55</v>
      </c>
      <c r="E1592">
        <v>76</v>
      </c>
      <c r="F1592">
        <v>8.82</v>
      </c>
      <c r="G1592" t="s">
        <v>18</v>
      </c>
      <c r="H1592" t="s">
        <v>12</v>
      </c>
      <c r="I1592" t="str">
        <f t="shared" si="24"/>
        <v>Africa</v>
      </c>
    </row>
    <row r="1593" spans="1:9" x14ac:dyDescent="0.3">
      <c r="A1593" t="s">
        <v>1522</v>
      </c>
      <c r="B1593">
        <v>94</v>
      </c>
      <c r="C1593" t="s">
        <v>45</v>
      </c>
      <c r="D1593">
        <v>53</v>
      </c>
      <c r="E1593">
        <v>73</v>
      </c>
      <c r="F1593">
        <v>5.29</v>
      </c>
      <c r="G1593" t="s">
        <v>18</v>
      </c>
      <c r="H1593" t="s">
        <v>16</v>
      </c>
      <c r="I1593" t="str">
        <f t="shared" si="24"/>
        <v>Asia-Pacific</v>
      </c>
    </row>
    <row r="1594" spans="1:9" x14ac:dyDescent="0.3">
      <c r="A1594" t="s">
        <v>1523</v>
      </c>
      <c r="B1594">
        <v>94</v>
      </c>
      <c r="C1594" t="s">
        <v>45</v>
      </c>
      <c r="D1594">
        <v>51</v>
      </c>
      <c r="E1594">
        <v>72</v>
      </c>
      <c r="F1594">
        <v>110.23</v>
      </c>
      <c r="G1594" t="s">
        <v>2</v>
      </c>
      <c r="H1594" t="s">
        <v>14</v>
      </c>
      <c r="I1594" t="str">
        <f t="shared" si="24"/>
        <v>America</v>
      </c>
    </row>
    <row r="1595" spans="1:9" x14ac:dyDescent="0.3">
      <c r="A1595" t="s">
        <v>1037</v>
      </c>
      <c r="B1595">
        <v>94</v>
      </c>
      <c r="C1595" t="s">
        <v>45</v>
      </c>
      <c r="D1595">
        <v>56</v>
      </c>
      <c r="E1595">
        <v>80</v>
      </c>
      <c r="F1595">
        <v>4.26</v>
      </c>
      <c r="G1595" t="s">
        <v>18</v>
      </c>
      <c r="H1595" t="s">
        <v>9</v>
      </c>
      <c r="I1595" t="str">
        <f t="shared" si="24"/>
        <v>Africa</v>
      </c>
    </row>
    <row r="1596" spans="1:9" x14ac:dyDescent="0.3">
      <c r="A1596" t="s">
        <v>1524</v>
      </c>
      <c r="B1596">
        <v>96</v>
      </c>
      <c r="C1596" t="s">
        <v>45</v>
      </c>
      <c r="D1596">
        <v>56</v>
      </c>
      <c r="E1596">
        <v>77</v>
      </c>
      <c r="F1596">
        <v>4.26</v>
      </c>
      <c r="G1596" t="s">
        <v>18</v>
      </c>
      <c r="H1596" t="s">
        <v>12</v>
      </c>
      <c r="I1596" t="str">
        <f t="shared" si="24"/>
        <v>Africa</v>
      </c>
    </row>
    <row r="1597" spans="1:9" x14ac:dyDescent="0.3">
      <c r="A1597" t="s">
        <v>1525</v>
      </c>
      <c r="B1597">
        <v>94</v>
      </c>
      <c r="C1597" t="s">
        <v>45</v>
      </c>
      <c r="D1597">
        <v>56</v>
      </c>
      <c r="E1597">
        <v>77</v>
      </c>
      <c r="F1597">
        <v>38.799999999999997</v>
      </c>
      <c r="G1597" t="s">
        <v>18</v>
      </c>
      <c r="H1597" t="s">
        <v>9</v>
      </c>
      <c r="I1597" t="str">
        <f t="shared" si="24"/>
        <v>Africa</v>
      </c>
    </row>
    <row r="1598" spans="1:9" x14ac:dyDescent="0.3">
      <c r="A1598" t="s">
        <v>1526</v>
      </c>
      <c r="B1598">
        <v>94</v>
      </c>
      <c r="C1598" t="s">
        <v>45</v>
      </c>
      <c r="D1598">
        <v>58</v>
      </c>
      <c r="E1598">
        <v>82</v>
      </c>
      <c r="F1598">
        <v>5.86</v>
      </c>
      <c r="G1598" t="s">
        <v>18</v>
      </c>
      <c r="H1598" t="s">
        <v>9</v>
      </c>
      <c r="I1598" t="str">
        <f t="shared" si="24"/>
        <v>Africa</v>
      </c>
    </row>
    <row r="1599" spans="1:9" x14ac:dyDescent="0.3">
      <c r="A1599" t="s">
        <v>1527</v>
      </c>
      <c r="B1599">
        <v>95</v>
      </c>
      <c r="C1599" t="s">
        <v>45</v>
      </c>
      <c r="D1599">
        <v>50</v>
      </c>
      <c r="E1599">
        <v>74</v>
      </c>
      <c r="F1599">
        <v>99.21</v>
      </c>
      <c r="G1599" t="s">
        <v>2</v>
      </c>
      <c r="H1599" t="s">
        <v>7</v>
      </c>
      <c r="I1599" t="str">
        <f t="shared" si="24"/>
        <v>America</v>
      </c>
    </row>
    <row r="1600" spans="1:9" x14ac:dyDescent="0.3">
      <c r="A1600" t="s">
        <v>1528</v>
      </c>
      <c r="B1600">
        <v>94</v>
      </c>
      <c r="C1600" t="s">
        <v>45</v>
      </c>
      <c r="D1600">
        <v>56</v>
      </c>
      <c r="E1600">
        <v>76</v>
      </c>
      <c r="F1600">
        <v>5.29</v>
      </c>
      <c r="G1600" t="s">
        <v>18</v>
      </c>
      <c r="H1600" t="s">
        <v>9</v>
      </c>
      <c r="I1600" t="str">
        <f t="shared" si="24"/>
        <v>Africa</v>
      </c>
    </row>
    <row r="1601" spans="1:9" x14ac:dyDescent="0.3">
      <c r="A1601" t="s">
        <v>1529</v>
      </c>
      <c r="B1601">
        <v>94</v>
      </c>
      <c r="C1601" t="s">
        <v>45</v>
      </c>
      <c r="D1601">
        <v>56</v>
      </c>
      <c r="E1601">
        <v>76</v>
      </c>
      <c r="F1601">
        <v>4.5</v>
      </c>
      <c r="G1601" t="s">
        <v>18</v>
      </c>
      <c r="H1601" t="s">
        <v>12</v>
      </c>
      <c r="I1601" t="str">
        <f t="shared" si="24"/>
        <v>Africa</v>
      </c>
    </row>
    <row r="1602" spans="1:9" x14ac:dyDescent="0.3">
      <c r="A1602" t="s">
        <v>890</v>
      </c>
      <c r="B1602">
        <v>96</v>
      </c>
      <c r="C1602" t="s">
        <v>45</v>
      </c>
      <c r="D1602">
        <v>56</v>
      </c>
      <c r="E1602">
        <v>76</v>
      </c>
      <c r="F1602">
        <v>22.02</v>
      </c>
      <c r="G1602" t="s">
        <v>18</v>
      </c>
      <c r="H1602" t="s">
        <v>18</v>
      </c>
      <c r="I1602" t="str">
        <f t="shared" si="24"/>
        <v>America</v>
      </c>
    </row>
    <row r="1603" spans="1:9" x14ac:dyDescent="0.3">
      <c r="A1603" t="s">
        <v>1530</v>
      </c>
      <c r="B1603">
        <v>95</v>
      </c>
      <c r="C1603" t="s">
        <v>45</v>
      </c>
      <c r="D1603">
        <v>56</v>
      </c>
      <c r="E1603">
        <v>76</v>
      </c>
      <c r="F1603">
        <v>335.1</v>
      </c>
      <c r="G1603" t="s">
        <v>2</v>
      </c>
      <c r="H1603" t="s">
        <v>9</v>
      </c>
      <c r="I1603" t="str">
        <f t="shared" ref="I1603:I1666" si="25">_xlfn.XLOOKUP(H1603, $M$2:$M$50, $N$2:$N$50, "Other")</f>
        <v>Africa</v>
      </c>
    </row>
    <row r="1604" spans="1:9" x14ac:dyDescent="0.3">
      <c r="A1604" t="s">
        <v>1531</v>
      </c>
      <c r="B1604">
        <v>97</v>
      </c>
      <c r="C1604" t="s">
        <v>82</v>
      </c>
      <c r="D1604">
        <v>47</v>
      </c>
      <c r="E1604">
        <v>68</v>
      </c>
      <c r="F1604">
        <v>37.479999999999997</v>
      </c>
      <c r="G1604" t="s">
        <v>18</v>
      </c>
      <c r="H1604" t="s">
        <v>8</v>
      </c>
      <c r="I1604" t="str">
        <f t="shared" si="25"/>
        <v>Africa</v>
      </c>
    </row>
    <row r="1605" spans="1:9" x14ac:dyDescent="0.3">
      <c r="A1605" t="s">
        <v>1532</v>
      </c>
      <c r="B1605">
        <v>94</v>
      </c>
      <c r="C1605" t="s">
        <v>45</v>
      </c>
      <c r="D1605">
        <v>59</v>
      </c>
      <c r="E1605">
        <v>78</v>
      </c>
      <c r="F1605">
        <v>5.59</v>
      </c>
      <c r="G1605" t="s">
        <v>18</v>
      </c>
      <c r="H1605" t="s">
        <v>14</v>
      </c>
      <c r="I1605" t="str">
        <f t="shared" si="25"/>
        <v>America</v>
      </c>
    </row>
    <row r="1606" spans="1:9" x14ac:dyDescent="0.3">
      <c r="A1606" t="s">
        <v>1533</v>
      </c>
      <c r="B1606">
        <v>94</v>
      </c>
      <c r="C1606" t="s">
        <v>45</v>
      </c>
      <c r="D1606">
        <v>56</v>
      </c>
      <c r="E1606">
        <v>70</v>
      </c>
      <c r="F1606">
        <v>3.86</v>
      </c>
      <c r="G1606" t="s">
        <v>18</v>
      </c>
      <c r="H1606" t="s">
        <v>19</v>
      </c>
      <c r="I1606" t="str">
        <f t="shared" si="25"/>
        <v>Asia-Pacific</v>
      </c>
    </row>
    <row r="1607" spans="1:9" x14ac:dyDescent="0.3">
      <c r="A1607" t="s">
        <v>1534</v>
      </c>
      <c r="B1607">
        <v>95</v>
      </c>
      <c r="C1607" t="s">
        <v>45</v>
      </c>
      <c r="D1607">
        <v>57</v>
      </c>
      <c r="E1607">
        <v>83</v>
      </c>
      <c r="F1607">
        <v>33.51</v>
      </c>
      <c r="G1607" t="s">
        <v>18</v>
      </c>
      <c r="H1607" t="s">
        <v>5</v>
      </c>
      <c r="I1607" t="str">
        <f t="shared" si="25"/>
        <v>America</v>
      </c>
    </row>
    <row r="1608" spans="1:9" x14ac:dyDescent="0.3">
      <c r="A1608" t="s">
        <v>1535</v>
      </c>
      <c r="B1608">
        <v>95</v>
      </c>
      <c r="C1608" t="s">
        <v>45</v>
      </c>
      <c r="D1608">
        <v>54</v>
      </c>
      <c r="E1608">
        <v>78</v>
      </c>
      <c r="F1608">
        <v>5.07</v>
      </c>
      <c r="G1608" t="s">
        <v>18</v>
      </c>
      <c r="H1608" t="s">
        <v>17</v>
      </c>
      <c r="I1608" t="str">
        <f t="shared" si="25"/>
        <v>Africa</v>
      </c>
    </row>
    <row r="1609" spans="1:9" x14ac:dyDescent="0.3">
      <c r="A1609" t="s">
        <v>1536</v>
      </c>
      <c r="B1609">
        <v>94</v>
      </c>
      <c r="C1609" t="s">
        <v>45</v>
      </c>
      <c r="D1609">
        <v>54</v>
      </c>
      <c r="E1609">
        <v>76</v>
      </c>
      <c r="F1609">
        <v>330.7</v>
      </c>
      <c r="G1609" t="s">
        <v>2</v>
      </c>
      <c r="H1609" t="s">
        <v>9</v>
      </c>
      <c r="I1609" t="str">
        <f t="shared" si="25"/>
        <v>Africa</v>
      </c>
    </row>
    <row r="1610" spans="1:9" x14ac:dyDescent="0.3">
      <c r="A1610" t="s">
        <v>1537</v>
      </c>
      <c r="B1610">
        <v>97</v>
      </c>
      <c r="C1610" t="s">
        <v>45</v>
      </c>
      <c r="D1610">
        <v>57</v>
      </c>
      <c r="E1610">
        <v>76</v>
      </c>
      <c r="F1610">
        <v>5.47</v>
      </c>
      <c r="G1610" t="s">
        <v>18</v>
      </c>
      <c r="H1610" t="s">
        <v>16</v>
      </c>
      <c r="I1610" t="str">
        <f t="shared" si="25"/>
        <v>Asia-Pacific</v>
      </c>
    </row>
    <row r="1611" spans="1:9" x14ac:dyDescent="0.3">
      <c r="A1611" t="s">
        <v>1538</v>
      </c>
      <c r="B1611">
        <v>94</v>
      </c>
      <c r="C1611" t="s">
        <v>82</v>
      </c>
      <c r="D1611">
        <v>50</v>
      </c>
      <c r="E1611">
        <v>64</v>
      </c>
      <c r="F1611">
        <v>22.03</v>
      </c>
      <c r="G1611" t="s">
        <v>2</v>
      </c>
      <c r="H1611" t="s">
        <v>9</v>
      </c>
      <c r="I1611" t="str">
        <f t="shared" si="25"/>
        <v>Africa</v>
      </c>
    </row>
    <row r="1612" spans="1:9" x14ac:dyDescent="0.3">
      <c r="A1612" t="s">
        <v>1539</v>
      </c>
      <c r="B1612">
        <v>95</v>
      </c>
      <c r="C1612" t="s">
        <v>45</v>
      </c>
      <c r="D1612">
        <v>56</v>
      </c>
      <c r="E1612">
        <v>78</v>
      </c>
      <c r="F1612">
        <v>12.79</v>
      </c>
      <c r="G1612" t="s">
        <v>18</v>
      </c>
      <c r="H1612" t="s">
        <v>5</v>
      </c>
      <c r="I1612" t="str">
        <f t="shared" si="25"/>
        <v>America</v>
      </c>
    </row>
    <row r="1613" spans="1:9" x14ac:dyDescent="0.3">
      <c r="A1613" t="s">
        <v>1540</v>
      </c>
      <c r="B1613">
        <v>95</v>
      </c>
      <c r="C1613" t="s">
        <v>45</v>
      </c>
      <c r="D1613">
        <v>54</v>
      </c>
      <c r="E1613">
        <v>74</v>
      </c>
      <c r="F1613">
        <v>15.43</v>
      </c>
      <c r="G1613" t="s">
        <v>18</v>
      </c>
      <c r="H1613" t="s">
        <v>9</v>
      </c>
      <c r="I1613" t="str">
        <f t="shared" si="25"/>
        <v>Africa</v>
      </c>
    </row>
    <row r="1614" spans="1:9" x14ac:dyDescent="0.3">
      <c r="A1614" t="s">
        <v>1541</v>
      </c>
      <c r="B1614">
        <v>94</v>
      </c>
      <c r="C1614" t="s">
        <v>45</v>
      </c>
      <c r="D1614">
        <v>58</v>
      </c>
      <c r="E1614">
        <v>78</v>
      </c>
      <c r="F1614">
        <v>4.1900000000000004</v>
      </c>
      <c r="G1614" t="s">
        <v>2</v>
      </c>
      <c r="H1614" t="s">
        <v>9</v>
      </c>
      <c r="I1614" t="str">
        <f t="shared" si="25"/>
        <v>Africa</v>
      </c>
    </row>
    <row r="1615" spans="1:9" x14ac:dyDescent="0.3">
      <c r="A1615" t="s">
        <v>1542</v>
      </c>
      <c r="B1615">
        <v>94</v>
      </c>
      <c r="C1615" t="s">
        <v>45</v>
      </c>
      <c r="D1615">
        <v>58</v>
      </c>
      <c r="E1615">
        <v>78</v>
      </c>
      <c r="F1615">
        <v>22.02</v>
      </c>
      <c r="G1615" t="s">
        <v>18</v>
      </c>
      <c r="H1615" t="s">
        <v>5</v>
      </c>
      <c r="I1615" t="str">
        <f t="shared" si="25"/>
        <v>America</v>
      </c>
    </row>
    <row r="1616" spans="1:9" x14ac:dyDescent="0.3">
      <c r="A1616" t="s">
        <v>1543</v>
      </c>
      <c r="B1616">
        <v>94</v>
      </c>
      <c r="C1616" t="s">
        <v>45</v>
      </c>
      <c r="D1616">
        <v>52</v>
      </c>
      <c r="E1616">
        <v>71</v>
      </c>
      <c r="F1616">
        <v>5.73</v>
      </c>
      <c r="G1616" t="s">
        <v>18</v>
      </c>
      <c r="H1616" t="s">
        <v>12</v>
      </c>
      <c r="I1616" t="str">
        <f t="shared" si="25"/>
        <v>Africa</v>
      </c>
    </row>
    <row r="1617" spans="1:9" x14ac:dyDescent="0.3">
      <c r="A1617" t="s">
        <v>1544</v>
      </c>
      <c r="B1617">
        <v>96</v>
      </c>
      <c r="C1617" t="s">
        <v>45</v>
      </c>
      <c r="D1617">
        <v>59</v>
      </c>
      <c r="E1617">
        <v>82</v>
      </c>
      <c r="F1617">
        <v>21.16</v>
      </c>
      <c r="G1617" t="s">
        <v>18</v>
      </c>
      <c r="H1617" t="s">
        <v>18</v>
      </c>
      <c r="I1617" t="str">
        <f t="shared" si="25"/>
        <v>America</v>
      </c>
    </row>
    <row r="1618" spans="1:9" x14ac:dyDescent="0.3">
      <c r="A1618" t="s">
        <v>1545</v>
      </c>
      <c r="B1618">
        <v>95</v>
      </c>
      <c r="C1618" t="s">
        <v>45</v>
      </c>
      <c r="D1618">
        <v>60</v>
      </c>
      <c r="E1618">
        <v>80</v>
      </c>
      <c r="F1618">
        <v>5.29</v>
      </c>
      <c r="G1618" t="s">
        <v>18</v>
      </c>
      <c r="H1618" t="s">
        <v>9</v>
      </c>
      <c r="I1618" t="str">
        <f t="shared" si="25"/>
        <v>Africa</v>
      </c>
    </row>
    <row r="1619" spans="1:9" x14ac:dyDescent="0.3">
      <c r="A1619" t="s">
        <v>1461</v>
      </c>
      <c r="B1619">
        <v>95</v>
      </c>
      <c r="C1619" t="s">
        <v>41</v>
      </c>
      <c r="D1619">
        <v>65</v>
      </c>
      <c r="E1619">
        <v>82</v>
      </c>
      <c r="F1619">
        <v>11.02</v>
      </c>
      <c r="G1619" t="s">
        <v>18</v>
      </c>
      <c r="H1619" t="s">
        <v>5</v>
      </c>
      <c r="I1619" t="str">
        <f t="shared" si="25"/>
        <v>America</v>
      </c>
    </row>
    <row r="1620" spans="1:9" x14ac:dyDescent="0.3">
      <c r="A1620" t="s">
        <v>1546</v>
      </c>
      <c r="B1620">
        <v>95</v>
      </c>
      <c r="C1620" t="s">
        <v>45</v>
      </c>
      <c r="D1620">
        <v>58</v>
      </c>
      <c r="E1620">
        <v>78</v>
      </c>
      <c r="F1620">
        <v>20.94</v>
      </c>
      <c r="G1620" t="s">
        <v>18</v>
      </c>
      <c r="H1620" t="s">
        <v>5</v>
      </c>
      <c r="I1620" t="str">
        <f t="shared" si="25"/>
        <v>America</v>
      </c>
    </row>
    <row r="1621" spans="1:9" x14ac:dyDescent="0.3">
      <c r="A1621" t="s">
        <v>1547</v>
      </c>
      <c r="B1621">
        <v>94</v>
      </c>
      <c r="C1621" t="s">
        <v>41</v>
      </c>
      <c r="D1621">
        <v>62</v>
      </c>
      <c r="E1621">
        <v>84</v>
      </c>
      <c r="F1621">
        <v>8.82</v>
      </c>
      <c r="G1621" t="s">
        <v>18</v>
      </c>
      <c r="H1621" t="s">
        <v>12</v>
      </c>
      <c r="I1621" t="str">
        <f t="shared" si="25"/>
        <v>Africa</v>
      </c>
    </row>
    <row r="1622" spans="1:9" x14ac:dyDescent="0.3">
      <c r="A1622" t="s">
        <v>1548</v>
      </c>
      <c r="B1622">
        <v>94</v>
      </c>
      <c r="C1622" t="s">
        <v>41</v>
      </c>
      <c r="D1622">
        <v>66</v>
      </c>
      <c r="E1622">
        <v>82</v>
      </c>
      <c r="F1622">
        <v>14.11</v>
      </c>
      <c r="G1622" t="s">
        <v>18</v>
      </c>
      <c r="H1622" t="s">
        <v>5</v>
      </c>
      <c r="I1622" t="str">
        <f t="shared" si="25"/>
        <v>America</v>
      </c>
    </row>
    <row r="1623" spans="1:9" x14ac:dyDescent="0.3">
      <c r="A1623" t="s">
        <v>1549</v>
      </c>
      <c r="B1623">
        <v>94</v>
      </c>
      <c r="C1623" t="s">
        <v>541</v>
      </c>
      <c r="D1623">
        <v>43</v>
      </c>
      <c r="E1623">
        <v>52</v>
      </c>
      <c r="F1623">
        <v>220.46</v>
      </c>
      <c r="G1623" t="s">
        <v>2</v>
      </c>
      <c r="H1623" t="s">
        <v>10</v>
      </c>
      <c r="I1623" t="str">
        <f t="shared" si="25"/>
        <v>America</v>
      </c>
    </row>
    <row r="1624" spans="1:9" x14ac:dyDescent="0.3">
      <c r="A1624" t="s">
        <v>1550</v>
      </c>
      <c r="B1624">
        <v>94</v>
      </c>
      <c r="C1624" t="s">
        <v>41</v>
      </c>
      <c r="D1624">
        <v>63</v>
      </c>
      <c r="E1624">
        <v>84</v>
      </c>
      <c r="F1624">
        <v>6.8</v>
      </c>
      <c r="G1624" t="s">
        <v>18</v>
      </c>
      <c r="H1624" t="s">
        <v>9</v>
      </c>
      <c r="I1624" t="str">
        <f t="shared" si="25"/>
        <v>Africa</v>
      </c>
    </row>
    <row r="1625" spans="1:9" x14ac:dyDescent="0.3">
      <c r="A1625" t="s">
        <v>1551</v>
      </c>
      <c r="B1625">
        <v>95</v>
      </c>
      <c r="C1625" t="s">
        <v>82</v>
      </c>
      <c r="D1625">
        <v>47</v>
      </c>
      <c r="E1625">
        <v>70</v>
      </c>
      <c r="F1625">
        <v>308.64999999999998</v>
      </c>
      <c r="G1625" t="s">
        <v>2</v>
      </c>
      <c r="H1625" t="s">
        <v>9</v>
      </c>
      <c r="I1625" t="str">
        <f t="shared" si="25"/>
        <v>Africa</v>
      </c>
    </row>
    <row r="1626" spans="1:9" x14ac:dyDescent="0.3">
      <c r="A1626" t="s">
        <v>1552</v>
      </c>
      <c r="B1626">
        <v>94</v>
      </c>
      <c r="C1626" t="s">
        <v>82</v>
      </c>
      <c r="D1626">
        <v>52</v>
      </c>
      <c r="E1626">
        <v>64</v>
      </c>
      <c r="F1626">
        <v>4.78</v>
      </c>
      <c r="G1626" t="s">
        <v>18</v>
      </c>
      <c r="H1626" t="s">
        <v>12</v>
      </c>
      <c r="I1626" t="str">
        <f t="shared" si="25"/>
        <v>Africa</v>
      </c>
    </row>
    <row r="1627" spans="1:9" x14ac:dyDescent="0.3">
      <c r="A1627" t="s">
        <v>1553</v>
      </c>
      <c r="B1627">
        <v>95</v>
      </c>
      <c r="C1627" t="s">
        <v>45</v>
      </c>
      <c r="D1627">
        <v>52</v>
      </c>
      <c r="E1627">
        <v>74</v>
      </c>
      <c r="F1627">
        <v>286.60000000000002</v>
      </c>
      <c r="G1627" t="s">
        <v>2</v>
      </c>
      <c r="H1627" t="s">
        <v>9</v>
      </c>
      <c r="I1627" t="str">
        <f t="shared" si="25"/>
        <v>Africa</v>
      </c>
    </row>
    <row r="1628" spans="1:9" x14ac:dyDescent="0.3">
      <c r="A1628" t="s">
        <v>1554</v>
      </c>
      <c r="B1628">
        <v>97</v>
      </c>
      <c r="C1628" t="s">
        <v>45</v>
      </c>
      <c r="D1628">
        <v>56</v>
      </c>
      <c r="E1628">
        <v>78</v>
      </c>
      <c r="F1628">
        <v>7.05</v>
      </c>
      <c r="G1628" t="s">
        <v>18</v>
      </c>
      <c r="H1628" t="s">
        <v>12</v>
      </c>
      <c r="I1628" t="str">
        <f t="shared" si="25"/>
        <v>Africa</v>
      </c>
    </row>
    <row r="1629" spans="1:9" x14ac:dyDescent="0.3">
      <c r="A1629" t="s">
        <v>1331</v>
      </c>
      <c r="B1629">
        <v>95</v>
      </c>
      <c r="C1629" t="s">
        <v>45</v>
      </c>
      <c r="D1629">
        <v>55</v>
      </c>
      <c r="E1629">
        <v>77</v>
      </c>
      <c r="F1629">
        <v>6.17</v>
      </c>
      <c r="G1629" t="s">
        <v>18</v>
      </c>
      <c r="H1629" t="s">
        <v>16</v>
      </c>
      <c r="I1629" t="str">
        <f t="shared" si="25"/>
        <v>Asia-Pacific</v>
      </c>
    </row>
    <row r="1630" spans="1:9" x14ac:dyDescent="0.3">
      <c r="A1630" t="s">
        <v>1555</v>
      </c>
      <c r="B1630">
        <v>94</v>
      </c>
      <c r="C1630" t="s">
        <v>45</v>
      </c>
      <c r="D1630">
        <v>60</v>
      </c>
      <c r="E1630">
        <v>76</v>
      </c>
      <c r="F1630">
        <v>5.88</v>
      </c>
      <c r="G1630" t="s">
        <v>18</v>
      </c>
      <c r="H1630" t="s">
        <v>22</v>
      </c>
      <c r="I1630" t="str">
        <f t="shared" si="25"/>
        <v>America</v>
      </c>
    </row>
    <row r="1631" spans="1:9" x14ac:dyDescent="0.3">
      <c r="A1631" t="s">
        <v>1367</v>
      </c>
      <c r="B1631">
        <v>94</v>
      </c>
      <c r="C1631" t="s">
        <v>45</v>
      </c>
      <c r="D1631">
        <v>60</v>
      </c>
      <c r="E1631">
        <v>78</v>
      </c>
      <c r="F1631">
        <v>5.28</v>
      </c>
      <c r="G1631" t="s">
        <v>18</v>
      </c>
      <c r="H1631" t="s">
        <v>12</v>
      </c>
      <c r="I1631" t="str">
        <f t="shared" si="25"/>
        <v>Africa</v>
      </c>
    </row>
    <row r="1632" spans="1:9" x14ac:dyDescent="0.3">
      <c r="A1632" t="s">
        <v>1556</v>
      </c>
      <c r="B1632">
        <v>94</v>
      </c>
      <c r="C1632" t="s">
        <v>45</v>
      </c>
      <c r="D1632">
        <v>56</v>
      </c>
      <c r="E1632">
        <v>78</v>
      </c>
      <c r="F1632">
        <v>7.05</v>
      </c>
      <c r="G1632" t="s">
        <v>18</v>
      </c>
      <c r="H1632" t="s">
        <v>14</v>
      </c>
      <c r="I1632" t="str">
        <f t="shared" si="25"/>
        <v>America</v>
      </c>
    </row>
    <row r="1633" spans="1:9" x14ac:dyDescent="0.3">
      <c r="A1633" t="s">
        <v>1557</v>
      </c>
      <c r="B1633">
        <v>95</v>
      </c>
      <c r="C1633" t="s">
        <v>45</v>
      </c>
      <c r="D1633">
        <v>54</v>
      </c>
      <c r="E1633">
        <v>76</v>
      </c>
      <c r="F1633">
        <v>17.61</v>
      </c>
      <c r="G1633" t="s">
        <v>18</v>
      </c>
      <c r="H1633" t="s">
        <v>18</v>
      </c>
      <c r="I1633" t="str">
        <f t="shared" si="25"/>
        <v>America</v>
      </c>
    </row>
    <row r="1634" spans="1:9" x14ac:dyDescent="0.3">
      <c r="A1634" t="s">
        <v>1558</v>
      </c>
      <c r="B1634">
        <v>95</v>
      </c>
      <c r="C1634" t="s">
        <v>45</v>
      </c>
      <c r="D1634">
        <v>60</v>
      </c>
      <c r="E1634">
        <v>80</v>
      </c>
      <c r="F1634">
        <v>5.28</v>
      </c>
      <c r="G1634" t="s">
        <v>18</v>
      </c>
      <c r="H1634" t="s">
        <v>12</v>
      </c>
      <c r="I1634" t="str">
        <f t="shared" si="25"/>
        <v>Africa</v>
      </c>
    </row>
    <row r="1635" spans="1:9" x14ac:dyDescent="0.3">
      <c r="A1635" t="s">
        <v>1559</v>
      </c>
      <c r="B1635">
        <v>94</v>
      </c>
      <c r="C1635" t="s">
        <v>45</v>
      </c>
      <c r="D1635">
        <v>55</v>
      </c>
      <c r="E1635">
        <v>78</v>
      </c>
      <c r="F1635">
        <v>5.73</v>
      </c>
      <c r="G1635" t="s">
        <v>18</v>
      </c>
      <c r="H1635" t="s">
        <v>21</v>
      </c>
      <c r="I1635" t="str">
        <f t="shared" si="25"/>
        <v>America</v>
      </c>
    </row>
    <row r="1636" spans="1:9" x14ac:dyDescent="0.3">
      <c r="A1636" t="s">
        <v>1560</v>
      </c>
      <c r="B1636">
        <v>95</v>
      </c>
      <c r="C1636" t="s">
        <v>45</v>
      </c>
      <c r="D1636">
        <v>56</v>
      </c>
      <c r="E1636">
        <v>78</v>
      </c>
      <c r="F1636">
        <v>5.29</v>
      </c>
      <c r="G1636" t="s">
        <v>18</v>
      </c>
      <c r="H1636" t="s">
        <v>12</v>
      </c>
      <c r="I1636" t="str">
        <f t="shared" si="25"/>
        <v>Africa</v>
      </c>
    </row>
    <row r="1637" spans="1:9" x14ac:dyDescent="0.3">
      <c r="A1637" t="s">
        <v>1561</v>
      </c>
      <c r="B1637">
        <v>96</v>
      </c>
      <c r="C1637" t="s">
        <v>45</v>
      </c>
      <c r="D1637">
        <v>57</v>
      </c>
      <c r="E1637">
        <v>80</v>
      </c>
      <c r="F1637">
        <v>22.05</v>
      </c>
      <c r="G1637" t="s">
        <v>18</v>
      </c>
      <c r="H1637" t="s">
        <v>5</v>
      </c>
      <c r="I1637" t="str">
        <f t="shared" si="25"/>
        <v>America</v>
      </c>
    </row>
    <row r="1638" spans="1:9" x14ac:dyDescent="0.3">
      <c r="A1638" t="s">
        <v>1562</v>
      </c>
      <c r="B1638">
        <v>95</v>
      </c>
      <c r="C1638" t="s">
        <v>45</v>
      </c>
      <c r="D1638">
        <v>56</v>
      </c>
      <c r="E1638">
        <v>78</v>
      </c>
      <c r="F1638">
        <v>52.86</v>
      </c>
      <c r="G1638" t="s">
        <v>11</v>
      </c>
      <c r="H1638" t="s">
        <v>9</v>
      </c>
      <c r="I1638" t="str">
        <f t="shared" si="25"/>
        <v>Africa</v>
      </c>
    </row>
    <row r="1639" spans="1:9" x14ac:dyDescent="0.3">
      <c r="A1639" t="s">
        <v>1563</v>
      </c>
      <c r="B1639">
        <v>94</v>
      </c>
      <c r="C1639" t="s">
        <v>45</v>
      </c>
      <c r="D1639">
        <v>57</v>
      </c>
      <c r="E1639">
        <v>77</v>
      </c>
      <c r="F1639">
        <v>4.7</v>
      </c>
      <c r="G1639" t="s">
        <v>18</v>
      </c>
      <c r="H1639" t="s">
        <v>12</v>
      </c>
      <c r="I1639" t="str">
        <f t="shared" si="25"/>
        <v>Africa</v>
      </c>
    </row>
    <row r="1640" spans="1:9" x14ac:dyDescent="0.3">
      <c r="A1640" t="s">
        <v>1564</v>
      </c>
      <c r="B1640">
        <v>95</v>
      </c>
      <c r="C1640" t="s">
        <v>45</v>
      </c>
      <c r="D1640">
        <v>56</v>
      </c>
      <c r="E1640">
        <v>82</v>
      </c>
      <c r="F1640">
        <v>6.4</v>
      </c>
      <c r="G1640" t="s">
        <v>29</v>
      </c>
      <c r="H1640" t="s">
        <v>3</v>
      </c>
      <c r="I1640" t="str">
        <f t="shared" si="25"/>
        <v>America</v>
      </c>
    </row>
    <row r="1641" spans="1:9" x14ac:dyDescent="0.3">
      <c r="A1641" t="s">
        <v>1565</v>
      </c>
      <c r="B1641">
        <v>96</v>
      </c>
      <c r="C1641" t="s">
        <v>45</v>
      </c>
      <c r="D1641">
        <v>56</v>
      </c>
      <c r="E1641">
        <v>82</v>
      </c>
      <c r="F1641">
        <v>19.82</v>
      </c>
      <c r="G1641" t="s">
        <v>18</v>
      </c>
      <c r="H1641" t="s">
        <v>18</v>
      </c>
      <c r="I1641" t="str">
        <f t="shared" si="25"/>
        <v>America</v>
      </c>
    </row>
    <row r="1642" spans="1:9" x14ac:dyDescent="0.3">
      <c r="A1642" t="s">
        <v>1566</v>
      </c>
      <c r="B1642">
        <v>94</v>
      </c>
      <c r="C1642" t="s">
        <v>41</v>
      </c>
      <c r="D1642">
        <v>58</v>
      </c>
      <c r="E1642">
        <v>84</v>
      </c>
      <c r="F1642">
        <v>6.61</v>
      </c>
      <c r="G1642" t="s">
        <v>18</v>
      </c>
      <c r="H1642" t="s">
        <v>5</v>
      </c>
      <c r="I1642" t="str">
        <f t="shared" si="25"/>
        <v>America</v>
      </c>
    </row>
    <row r="1643" spans="1:9" x14ac:dyDescent="0.3">
      <c r="A1643" t="s">
        <v>1567</v>
      </c>
      <c r="B1643">
        <v>96</v>
      </c>
      <c r="C1643" t="s">
        <v>45</v>
      </c>
      <c r="D1643">
        <v>56</v>
      </c>
      <c r="E1643">
        <v>78</v>
      </c>
      <c r="F1643">
        <v>6</v>
      </c>
      <c r="G1643" t="s">
        <v>18</v>
      </c>
      <c r="H1643" t="s">
        <v>12</v>
      </c>
      <c r="I1643" t="str">
        <f t="shared" si="25"/>
        <v>Africa</v>
      </c>
    </row>
    <row r="1644" spans="1:9" x14ac:dyDescent="0.3">
      <c r="A1644" t="s">
        <v>1568</v>
      </c>
      <c r="B1644">
        <v>95</v>
      </c>
      <c r="C1644" t="s">
        <v>45</v>
      </c>
      <c r="D1644">
        <v>54</v>
      </c>
      <c r="E1644">
        <v>74</v>
      </c>
      <c r="F1644">
        <v>6</v>
      </c>
      <c r="G1644" t="s">
        <v>18</v>
      </c>
      <c r="H1644" t="s">
        <v>9</v>
      </c>
      <c r="I1644" t="str">
        <f t="shared" si="25"/>
        <v>Africa</v>
      </c>
    </row>
    <row r="1645" spans="1:9" x14ac:dyDescent="0.3">
      <c r="A1645" t="s">
        <v>1569</v>
      </c>
      <c r="B1645">
        <v>94</v>
      </c>
      <c r="C1645" t="s">
        <v>45</v>
      </c>
      <c r="D1645">
        <v>54</v>
      </c>
      <c r="E1645">
        <v>68</v>
      </c>
      <c r="F1645">
        <v>11.02</v>
      </c>
      <c r="G1645" t="s">
        <v>18</v>
      </c>
      <c r="H1645" t="s">
        <v>15</v>
      </c>
      <c r="I1645" t="str">
        <f t="shared" si="25"/>
        <v>America</v>
      </c>
    </row>
    <row r="1646" spans="1:9" x14ac:dyDescent="0.3">
      <c r="A1646" t="s">
        <v>1570</v>
      </c>
      <c r="B1646">
        <v>94</v>
      </c>
      <c r="C1646" t="s">
        <v>45</v>
      </c>
      <c r="D1646">
        <v>52</v>
      </c>
      <c r="E1646">
        <v>70</v>
      </c>
      <c r="F1646">
        <v>6.47</v>
      </c>
      <c r="G1646" t="s">
        <v>18</v>
      </c>
      <c r="H1646" t="s">
        <v>15</v>
      </c>
      <c r="I1646" t="str">
        <f t="shared" si="25"/>
        <v>America</v>
      </c>
    </row>
    <row r="1647" spans="1:9" x14ac:dyDescent="0.3">
      <c r="A1647" t="s">
        <v>1571</v>
      </c>
      <c r="B1647">
        <v>96</v>
      </c>
      <c r="C1647" t="s">
        <v>82</v>
      </c>
      <c r="D1647">
        <v>45</v>
      </c>
      <c r="E1647">
        <v>58</v>
      </c>
      <c r="F1647">
        <v>1152.42</v>
      </c>
      <c r="G1647" t="s">
        <v>2</v>
      </c>
      <c r="H1647" t="s">
        <v>5</v>
      </c>
      <c r="I1647" t="str">
        <f t="shared" si="25"/>
        <v>America</v>
      </c>
    </row>
    <row r="1648" spans="1:9" x14ac:dyDescent="0.3">
      <c r="A1648" t="s">
        <v>1572</v>
      </c>
      <c r="B1648">
        <v>94</v>
      </c>
      <c r="C1648" t="s">
        <v>541</v>
      </c>
      <c r="D1648">
        <v>44</v>
      </c>
      <c r="E1648">
        <v>54</v>
      </c>
      <c r="F1648">
        <v>509.25</v>
      </c>
      <c r="G1648" t="s">
        <v>2</v>
      </c>
      <c r="H1648" t="s">
        <v>15</v>
      </c>
      <c r="I1648" t="str">
        <f t="shared" si="25"/>
        <v>America</v>
      </c>
    </row>
    <row r="1649" spans="1:9" x14ac:dyDescent="0.3">
      <c r="A1649" t="s">
        <v>1573</v>
      </c>
      <c r="B1649">
        <v>94</v>
      </c>
      <c r="C1649" t="s">
        <v>45</v>
      </c>
      <c r="D1649">
        <v>58</v>
      </c>
      <c r="E1649">
        <v>80</v>
      </c>
      <c r="F1649">
        <v>4.63</v>
      </c>
      <c r="G1649" t="s">
        <v>2</v>
      </c>
      <c r="H1649" t="s">
        <v>9</v>
      </c>
      <c r="I1649" t="str">
        <f t="shared" si="25"/>
        <v>Africa</v>
      </c>
    </row>
    <row r="1650" spans="1:9" x14ac:dyDescent="0.3">
      <c r="A1650" t="s">
        <v>801</v>
      </c>
      <c r="B1650">
        <v>94</v>
      </c>
      <c r="C1650" t="s">
        <v>45</v>
      </c>
      <c r="D1650">
        <v>57</v>
      </c>
      <c r="E1650">
        <v>78</v>
      </c>
      <c r="F1650">
        <v>5.29</v>
      </c>
      <c r="G1650" t="s">
        <v>18</v>
      </c>
      <c r="H1650" t="s">
        <v>12</v>
      </c>
      <c r="I1650" t="str">
        <f t="shared" si="25"/>
        <v>Africa</v>
      </c>
    </row>
    <row r="1651" spans="1:9" x14ac:dyDescent="0.3">
      <c r="A1651" t="s">
        <v>1574</v>
      </c>
      <c r="B1651">
        <v>94</v>
      </c>
      <c r="C1651" t="s">
        <v>45</v>
      </c>
      <c r="D1651">
        <v>58</v>
      </c>
      <c r="E1651">
        <v>77</v>
      </c>
      <c r="F1651">
        <v>5</v>
      </c>
      <c r="G1651" t="s">
        <v>18</v>
      </c>
      <c r="H1651" t="s">
        <v>9</v>
      </c>
      <c r="I1651" t="str">
        <f t="shared" si="25"/>
        <v>Africa</v>
      </c>
    </row>
    <row r="1652" spans="1:9" x14ac:dyDescent="0.3">
      <c r="A1652" t="s">
        <v>1331</v>
      </c>
      <c r="B1652">
        <v>95</v>
      </c>
      <c r="C1652" t="s">
        <v>82</v>
      </c>
      <c r="D1652">
        <v>51</v>
      </c>
      <c r="E1652">
        <v>62</v>
      </c>
      <c r="F1652">
        <v>4.4800000000000004</v>
      </c>
      <c r="G1652" t="s">
        <v>18</v>
      </c>
      <c r="H1652" t="s">
        <v>16</v>
      </c>
      <c r="I1652" t="str">
        <f t="shared" si="25"/>
        <v>Asia-Pacific</v>
      </c>
    </row>
    <row r="1653" spans="1:9" x14ac:dyDescent="0.3">
      <c r="A1653" t="s">
        <v>1575</v>
      </c>
      <c r="B1653">
        <v>95</v>
      </c>
      <c r="C1653" t="s">
        <v>45</v>
      </c>
      <c r="D1653">
        <v>56</v>
      </c>
      <c r="E1653">
        <v>78</v>
      </c>
      <c r="F1653">
        <v>7.35</v>
      </c>
      <c r="G1653" t="s">
        <v>18</v>
      </c>
      <c r="H1653" t="s">
        <v>12</v>
      </c>
      <c r="I1653" t="str">
        <f t="shared" si="25"/>
        <v>Africa</v>
      </c>
    </row>
    <row r="1654" spans="1:9" x14ac:dyDescent="0.3">
      <c r="A1654" t="s">
        <v>1576</v>
      </c>
      <c r="B1654">
        <v>96</v>
      </c>
      <c r="C1654" t="s">
        <v>41</v>
      </c>
      <c r="D1654">
        <v>58</v>
      </c>
      <c r="E1654">
        <v>84</v>
      </c>
      <c r="F1654">
        <v>6.17</v>
      </c>
      <c r="G1654" t="s">
        <v>18</v>
      </c>
      <c r="H1654" t="s">
        <v>12</v>
      </c>
      <c r="I1654" t="str">
        <f t="shared" si="25"/>
        <v>Africa</v>
      </c>
    </row>
    <row r="1655" spans="1:9" x14ac:dyDescent="0.3">
      <c r="A1655" t="s">
        <v>1577</v>
      </c>
      <c r="B1655">
        <v>96</v>
      </c>
      <c r="C1655" t="s">
        <v>45</v>
      </c>
      <c r="D1655">
        <v>55</v>
      </c>
      <c r="E1655">
        <v>74</v>
      </c>
      <c r="F1655">
        <v>5.57</v>
      </c>
      <c r="G1655" t="s">
        <v>18</v>
      </c>
      <c r="H1655" t="s">
        <v>12</v>
      </c>
      <c r="I1655" t="str">
        <f t="shared" si="25"/>
        <v>Africa</v>
      </c>
    </row>
    <row r="1656" spans="1:9" x14ac:dyDescent="0.3">
      <c r="A1656" t="s">
        <v>1237</v>
      </c>
      <c r="B1656">
        <v>94</v>
      </c>
      <c r="C1656" t="s">
        <v>45</v>
      </c>
      <c r="D1656">
        <v>55</v>
      </c>
      <c r="E1656">
        <v>75</v>
      </c>
      <c r="F1656">
        <v>5.29</v>
      </c>
      <c r="G1656" t="s">
        <v>18</v>
      </c>
      <c r="H1656" t="s">
        <v>5</v>
      </c>
      <c r="I1656" t="str">
        <f t="shared" si="25"/>
        <v>America</v>
      </c>
    </row>
    <row r="1657" spans="1:9" x14ac:dyDescent="0.3">
      <c r="A1657" t="s">
        <v>1578</v>
      </c>
      <c r="B1657">
        <v>95</v>
      </c>
      <c r="C1657" t="s">
        <v>45</v>
      </c>
      <c r="D1657">
        <v>58</v>
      </c>
      <c r="E1657">
        <v>78</v>
      </c>
      <c r="F1657">
        <v>5.51</v>
      </c>
      <c r="G1657" t="s">
        <v>18</v>
      </c>
      <c r="H1657" t="s">
        <v>9</v>
      </c>
      <c r="I1657" t="str">
        <f t="shared" si="25"/>
        <v>Africa</v>
      </c>
    </row>
    <row r="1658" spans="1:9" x14ac:dyDescent="0.3">
      <c r="A1658" t="s">
        <v>1579</v>
      </c>
      <c r="B1658">
        <v>94</v>
      </c>
      <c r="C1658" t="s">
        <v>45</v>
      </c>
      <c r="D1658">
        <v>52</v>
      </c>
      <c r="E1658">
        <v>74</v>
      </c>
      <c r="F1658">
        <v>6.17</v>
      </c>
      <c r="G1658" t="s">
        <v>18</v>
      </c>
      <c r="H1658" t="s">
        <v>16</v>
      </c>
      <c r="I1658" t="str">
        <f t="shared" si="25"/>
        <v>Asia-Pacific</v>
      </c>
    </row>
    <row r="1659" spans="1:9" x14ac:dyDescent="0.3">
      <c r="A1659" t="s">
        <v>1580</v>
      </c>
      <c r="B1659">
        <v>94</v>
      </c>
      <c r="C1659" t="s">
        <v>41</v>
      </c>
      <c r="D1659">
        <v>65</v>
      </c>
      <c r="E1659">
        <v>78</v>
      </c>
      <c r="F1659">
        <v>4.7</v>
      </c>
      <c r="G1659" t="s">
        <v>18</v>
      </c>
      <c r="H1659" t="s">
        <v>9</v>
      </c>
      <c r="I1659" t="str">
        <f t="shared" si="25"/>
        <v>Africa</v>
      </c>
    </row>
    <row r="1660" spans="1:9" x14ac:dyDescent="0.3">
      <c r="A1660" t="s">
        <v>1581</v>
      </c>
      <c r="B1660">
        <v>96</v>
      </c>
      <c r="C1660" t="s">
        <v>45</v>
      </c>
      <c r="D1660">
        <v>56</v>
      </c>
      <c r="E1660">
        <v>80</v>
      </c>
      <c r="F1660">
        <v>4.8499999999999996</v>
      </c>
      <c r="G1660" t="s">
        <v>2</v>
      </c>
      <c r="H1660" t="s">
        <v>12</v>
      </c>
      <c r="I1660" t="str">
        <f t="shared" si="25"/>
        <v>Africa</v>
      </c>
    </row>
    <row r="1661" spans="1:9" x14ac:dyDescent="0.3">
      <c r="A1661" t="s">
        <v>1582</v>
      </c>
      <c r="B1661">
        <v>95</v>
      </c>
      <c r="C1661" t="s">
        <v>45</v>
      </c>
      <c r="D1661">
        <v>56</v>
      </c>
      <c r="E1661">
        <v>78</v>
      </c>
      <c r="F1661">
        <v>5.29</v>
      </c>
      <c r="G1661" t="s">
        <v>18</v>
      </c>
      <c r="H1661" t="s">
        <v>12</v>
      </c>
      <c r="I1661" t="str">
        <f t="shared" si="25"/>
        <v>Africa</v>
      </c>
    </row>
    <row r="1662" spans="1:9" x14ac:dyDescent="0.3">
      <c r="A1662" t="s">
        <v>1583</v>
      </c>
      <c r="B1662">
        <v>95</v>
      </c>
      <c r="C1662" t="s">
        <v>45</v>
      </c>
      <c r="D1662">
        <v>56</v>
      </c>
      <c r="E1662">
        <v>78</v>
      </c>
      <c r="F1662">
        <v>4.1900000000000004</v>
      </c>
      <c r="G1662" t="s">
        <v>2</v>
      </c>
      <c r="H1662" t="s">
        <v>9</v>
      </c>
      <c r="I1662" t="str">
        <f t="shared" si="25"/>
        <v>Africa</v>
      </c>
    </row>
    <row r="1663" spans="1:9" x14ac:dyDescent="0.3">
      <c r="A1663" t="s">
        <v>1584</v>
      </c>
      <c r="B1663">
        <v>94</v>
      </c>
      <c r="C1663" t="s">
        <v>45</v>
      </c>
      <c r="D1663">
        <v>54</v>
      </c>
      <c r="E1663">
        <v>75</v>
      </c>
      <c r="F1663">
        <v>4.41</v>
      </c>
      <c r="G1663" t="s">
        <v>18</v>
      </c>
      <c r="H1663" t="s">
        <v>12</v>
      </c>
      <c r="I1663" t="str">
        <f t="shared" si="25"/>
        <v>Africa</v>
      </c>
    </row>
    <row r="1664" spans="1:9" x14ac:dyDescent="0.3">
      <c r="A1664" t="s">
        <v>1585</v>
      </c>
      <c r="B1664">
        <v>94</v>
      </c>
      <c r="C1664" t="s">
        <v>41</v>
      </c>
      <c r="D1664">
        <v>69</v>
      </c>
      <c r="E1664">
        <v>84</v>
      </c>
      <c r="F1664">
        <v>2557.3200000000002</v>
      </c>
      <c r="G1664" t="s">
        <v>2</v>
      </c>
      <c r="H1664" t="s">
        <v>9</v>
      </c>
      <c r="I1664" t="str">
        <f t="shared" si="25"/>
        <v>Africa</v>
      </c>
    </row>
    <row r="1665" spans="1:9" x14ac:dyDescent="0.3">
      <c r="A1665" t="s">
        <v>1586</v>
      </c>
      <c r="B1665">
        <v>94</v>
      </c>
      <c r="C1665" t="s">
        <v>45</v>
      </c>
      <c r="D1665">
        <v>54</v>
      </c>
      <c r="E1665">
        <v>73</v>
      </c>
      <c r="F1665">
        <v>4.7</v>
      </c>
      <c r="G1665" t="s">
        <v>18</v>
      </c>
      <c r="H1665" t="s">
        <v>12</v>
      </c>
      <c r="I1665" t="str">
        <f t="shared" si="25"/>
        <v>Africa</v>
      </c>
    </row>
    <row r="1666" spans="1:9" x14ac:dyDescent="0.3">
      <c r="A1666" t="s">
        <v>1587</v>
      </c>
      <c r="B1666">
        <v>94</v>
      </c>
      <c r="C1666" t="s">
        <v>45</v>
      </c>
      <c r="D1666">
        <v>57</v>
      </c>
      <c r="E1666">
        <v>80</v>
      </c>
      <c r="F1666">
        <v>4.8499999999999996</v>
      </c>
      <c r="G1666" t="s">
        <v>18</v>
      </c>
      <c r="H1666" t="s">
        <v>9</v>
      </c>
      <c r="I1666" t="str">
        <f t="shared" si="25"/>
        <v>Africa</v>
      </c>
    </row>
    <row r="1667" spans="1:9" x14ac:dyDescent="0.3">
      <c r="A1667" t="s">
        <v>1588</v>
      </c>
      <c r="B1667">
        <v>94</v>
      </c>
      <c r="C1667" t="s">
        <v>45</v>
      </c>
      <c r="D1667">
        <v>52</v>
      </c>
      <c r="E1667">
        <v>76</v>
      </c>
      <c r="F1667">
        <v>255.51</v>
      </c>
      <c r="G1667" t="s">
        <v>2</v>
      </c>
      <c r="H1667" t="s">
        <v>9</v>
      </c>
      <c r="I1667" t="str">
        <f t="shared" ref="I1667:I1730" si="26">_xlfn.XLOOKUP(H1667, $M$2:$M$50, $N$2:$N$50, "Other")</f>
        <v>Africa</v>
      </c>
    </row>
    <row r="1668" spans="1:9" x14ac:dyDescent="0.3">
      <c r="A1668" t="s">
        <v>1589</v>
      </c>
      <c r="B1668">
        <v>94</v>
      </c>
      <c r="C1668" t="s">
        <v>82</v>
      </c>
      <c r="D1668">
        <v>50</v>
      </c>
      <c r="E1668">
        <v>69</v>
      </c>
      <c r="F1668">
        <v>4</v>
      </c>
      <c r="G1668" t="s">
        <v>30</v>
      </c>
      <c r="H1668" t="s">
        <v>16</v>
      </c>
      <c r="I1668" t="str">
        <f t="shared" si="26"/>
        <v>Asia-Pacific</v>
      </c>
    </row>
    <row r="1669" spans="1:9" x14ac:dyDescent="0.3">
      <c r="A1669" t="s">
        <v>1590</v>
      </c>
      <c r="B1669">
        <v>94</v>
      </c>
      <c r="C1669" t="s">
        <v>45</v>
      </c>
      <c r="D1669">
        <v>54</v>
      </c>
      <c r="E1669">
        <v>74</v>
      </c>
      <c r="F1669">
        <v>4.26</v>
      </c>
      <c r="G1669" t="s">
        <v>18</v>
      </c>
      <c r="H1669" t="s">
        <v>16</v>
      </c>
      <c r="I1669" t="str">
        <f t="shared" si="26"/>
        <v>Asia-Pacific</v>
      </c>
    </row>
    <row r="1670" spans="1:9" x14ac:dyDescent="0.3">
      <c r="A1670" t="s">
        <v>1591</v>
      </c>
      <c r="B1670">
        <v>94</v>
      </c>
      <c r="C1670" t="s">
        <v>41</v>
      </c>
      <c r="D1670">
        <v>58</v>
      </c>
      <c r="E1670">
        <v>90</v>
      </c>
      <c r="F1670">
        <v>5.28</v>
      </c>
      <c r="G1670" t="s">
        <v>18</v>
      </c>
      <c r="H1670" t="s">
        <v>9</v>
      </c>
      <c r="I1670" t="str">
        <f t="shared" si="26"/>
        <v>Africa</v>
      </c>
    </row>
    <row r="1671" spans="1:9" x14ac:dyDescent="0.3">
      <c r="A1671" t="s">
        <v>1592</v>
      </c>
      <c r="B1671">
        <v>94</v>
      </c>
      <c r="C1671" t="s">
        <v>45</v>
      </c>
      <c r="D1671">
        <v>54</v>
      </c>
      <c r="E1671">
        <v>79</v>
      </c>
      <c r="F1671">
        <v>4.7</v>
      </c>
      <c r="G1671" t="s">
        <v>18</v>
      </c>
      <c r="H1671" t="s">
        <v>9</v>
      </c>
      <c r="I1671" t="str">
        <f t="shared" si="26"/>
        <v>Africa</v>
      </c>
    </row>
    <row r="1672" spans="1:9" x14ac:dyDescent="0.3">
      <c r="A1672" t="s">
        <v>1593</v>
      </c>
      <c r="B1672">
        <v>96</v>
      </c>
      <c r="C1672" t="s">
        <v>45</v>
      </c>
      <c r="D1672">
        <v>56</v>
      </c>
      <c r="E1672">
        <v>78</v>
      </c>
      <c r="F1672">
        <v>4.9400000000000004</v>
      </c>
      <c r="G1672" t="s">
        <v>18</v>
      </c>
      <c r="H1672" t="s">
        <v>9</v>
      </c>
      <c r="I1672" t="str">
        <f t="shared" si="26"/>
        <v>Africa</v>
      </c>
    </row>
    <row r="1673" spans="1:9" x14ac:dyDescent="0.3">
      <c r="A1673" t="s">
        <v>1594</v>
      </c>
      <c r="B1673">
        <v>95</v>
      </c>
      <c r="C1673" t="s">
        <v>41</v>
      </c>
      <c r="D1673">
        <v>58</v>
      </c>
      <c r="E1673">
        <v>84</v>
      </c>
      <c r="F1673">
        <v>21.83</v>
      </c>
      <c r="G1673" t="s">
        <v>18</v>
      </c>
      <c r="H1673" t="s">
        <v>5</v>
      </c>
      <c r="I1673" t="str">
        <f t="shared" si="26"/>
        <v>America</v>
      </c>
    </row>
    <row r="1674" spans="1:9" x14ac:dyDescent="0.3">
      <c r="A1674" t="s">
        <v>1595</v>
      </c>
      <c r="B1674">
        <v>94</v>
      </c>
      <c r="C1674" t="s">
        <v>45</v>
      </c>
      <c r="D1674">
        <v>54</v>
      </c>
      <c r="E1674">
        <v>78</v>
      </c>
      <c r="F1674">
        <v>50</v>
      </c>
      <c r="G1674" t="s">
        <v>11</v>
      </c>
      <c r="H1674" t="s">
        <v>9</v>
      </c>
      <c r="I1674" t="str">
        <f t="shared" si="26"/>
        <v>Africa</v>
      </c>
    </row>
    <row r="1675" spans="1:9" x14ac:dyDescent="0.3">
      <c r="A1675" t="s">
        <v>1596</v>
      </c>
      <c r="B1675">
        <v>94</v>
      </c>
      <c r="C1675" t="s">
        <v>45</v>
      </c>
      <c r="D1675">
        <v>56</v>
      </c>
      <c r="E1675">
        <v>80</v>
      </c>
      <c r="F1675">
        <v>4.9400000000000004</v>
      </c>
      <c r="G1675" t="s">
        <v>18</v>
      </c>
      <c r="H1675" t="s">
        <v>9</v>
      </c>
      <c r="I1675" t="str">
        <f t="shared" si="26"/>
        <v>Africa</v>
      </c>
    </row>
    <row r="1676" spans="1:9" x14ac:dyDescent="0.3">
      <c r="A1676" t="s">
        <v>1597</v>
      </c>
      <c r="B1676">
        <v>94</v>
      </c>
      <c r="C1676" t="s">
        <v>45</v>
      </c>
      <c r="D1676">
        <v>56</v>
      </c>
      <c r="E1676">
        <v>80</v>
      </c>
      <c r="F1676">
        <v>5.28</v>
      </c>
      <c r="G1676" t="s">
        <v>18</v>
      </c>
      <c r="H1676" t="s">
        <v>7</v>
      </c>
      <c r="I1676" t="str">
        <f t="shared" si="26"/>
        <v>America</v>
      </c>
    </row>
    <row r="1677" spans="1:9" x14ac:dyDescent="0.3">
      <c r="A1677" t="s">
        <v>1598</v>
      </c>
      <c r="B1677">
        <v>94</v>
      </c>
      <c r="C1677" t="s">
        <v>45</v>
      </c>
      <c r="D1677">
        <v>54</v>
      </c>
      <c r="E1677">
        <v>76</v>
      </c>
      <c r="F1677">
        <v>6.4</v>
      </c>
      <c r="G1677" t="s">
        <v>29</v>
      </c>
      <c r="H1677" t="s">
        <v>9</v>
      </c>
      <c r="I1677" t="str">
        <f t="shared" si="26"/>
        <v>Africa</v>
      </c>
    </row>
    <row r="1678" spans="1:9" x14ac:dyDescent="0.3">
      <c r="A1678" t="s">
        <v>1417</v>
      </c>
      <c r="B1678">
        <v>95</v>
      </c>
      <c r="C1678" t="s">
        <v>45</v>
      </c>
      <c r="D1678">
        <v>50</v>
      </c>
      <c r="E1678">
        <v>73</v>
      </c>
      <c r="F1678">
        <v>9.41</v>
      </c>
      <c r="G1678" t="s">
        <v>18</v>
      </c>
      <c r="H1678" t="s">
        <v>14</v>
      </c>
      <c r="I1678" t="str">
        <f t="shared" si="26"/>
        <v>America</v>
      </c>
    </row>
    <row r="1679" spans="1:9" x14ac:dyDescent="0.3">
      <c r="A1679" t="s">
        <v>1599</v>
      </c>
      <c r="B1679">
        <v>96</v>
      </c>
      <c r="C1679" t="s">
        <v>45</v>
      </c>
      <c r="D1679">
        <v>54</v>
      </c>
      <c r="E1679">
        <v>76</v>
      </c>
      <c r="F1679">
        <v>5.73</v>
      </c>
      <c r="G1679" t="s">
        <v>18</v>
      </c>
      <c r="H1679" t="s">
        <v>9</v>
      </c>
      <c r="I1679" t="str">
        <f t="shared" si="26"/>
        <v>Africa</v>
      </c>
    </row>
    <row r="1680" spans="1:9" x14ac:dyDescent="0.3">
      <c r="A1680" t="s">
        <v>1600</v>
      </c>
      <c r="B1680">
        <v>95</v>
      </c>
      <c r="C1680" t="s">
        <v>45</v>
      </c>
      <c r="D1680">
        <v>60</v>
      </c>
      <c r="E1680">
        <v>80</v>
      </c>
      <c r="F1680">
        <v>6.03</v>
      </c>
      <c r="G1680" t="s">
        <v>18</v>
      </c>
      <c r="H1680" t="s">
        <v>15</v>
      </c>
      <c r="I1680" t="str">
        <f t="shared" si="26"/>
        <v>America</v>
      </c>
    </row>
    <row r="1681" spans="1:9" x14ac:dyDescent="0.3">
      <c r="A1681" t="s">
        <v>1601</v>
      </c>
      <c r="B1681">
        <v>94</v>
      </c>
      <c r="C1681" t="s">
        <v>41</v>
      </c>
      <c r="D1681">
        <v>65</v>
      </c>
      <c r="E1681">
        <v>81</v>
      </c>
      <c r="F1681">
        <v>5</v>
      </c>
      <c r="G1681" t="s">
        <v>18</v>
      </c>
      <c r="H1681" t="s">
        <v>14</v>
      </c>
      <c r="I1681" t="str">
        <f t="shared" si="26"/>
        <v>America</v>
      </c>
    </row>
    <row r="1682" spans="1:9" x14ac:dyDescent="0.3">
      <c r="A1682" t="s">
        <v>1565</v>
      </c>
      <c r="B1682">
        <v>94</v>
      </c>
      <c r="C1682" t="s">
        <v>45</v>
      </c>
      <c r="D1682">
        <v>58</v>
      </c>
      <c r="E1682">
        <v>83</v>
      </c>
      <c r="F1682">
        <v>17.61</v>
      </c>
      <c r="G1682" t="s">
        <v>18</v>
      </c>
      <c r="H1682" t="s">
        <v>18</v>
      </c>
      <c r="I1682" t="str">
        <f t="shared" si="26"/>
        <v>America</v>
      </c>
    </row>
    <row r="1683" spans="1:9" x14ac:dyDescent="0.3">
      <c r="A1683" t="s">
        <v>1602</v>
      </c>
      <c r="B1683">
        <v>94</v>
      </c>
      <c r="C1683" t="s">
        <v>41</v>
      </c>
      <c r="D1683">
        <v>66</v>
      </c>
      <c r="E1683">
        <v>83</v>
      </c>
      <c r="F1683">
        <v>3.89</v>
      </c>
      <c r="G1683" t="s">
        <v>18</v>
      </c>
      <c r="H1683" t="s">
        <v>3</v>
      </c>
      <c r="I1683" t="str">
        <f t="shared" si="26"/>
        <v>America</v>
      </c>
    </row>
    <row r="1684" spans="1:9" x14ac:dyDescent="0.3">
      <c r="A1684" t="s">
        <v>1603</v>
      </c>
      <c r="B1684">
        <v>94</v>
      </c>
      <c r="C1684" t="s">
        <v>45</v>
      </c>
      <c r="D1684">
        <v>55</v>
      </c>
      <c r="E1684">
        <v>81</v>
      </c>
      <c r="F1684">
        <v>3.08</v>
      </c>
      <c r="G1684" t="s">
        <v>18</v>
      </c>
      <c r="H1684" t="s">
        <v>3</v>
      </c>
      <c r="I1684" t="str">
        <f t="shared" si="26"/>
        <v>America</v>
      </c>
    </row>
    <row r="1685" spans="1:9" x14ac:dyDescent="0.3">
      <c r="A1685" t="s">
        <v>1604</v>
      </c>
      <c r="B1685">
        <v>94</v>
      </c>
      <c r="C1685" t="s">
        <v>41</v>
      </c>
      <c r="D1685">
        <v>60</v>
      </c>
      <c r="E1685">
        <v>84</v>
      </c>
      <c r="F1685">
        <v>110.23</v>
      </c>
      <c r="G1685" t="s">
        <v>2</v>
      </c>
      <c r="H1685" t="s">
        <v>12</v>
      </c>
      <c r="I1685" t="str">
        <f t="shared" si="26"/>
        <v>Africa</v>
      </c>
    </row>
    <row r="1686" spans="1:9" x14ac:dyDescent="0.3">
      <c r="A1686" t="s">
        <v>1605</v>
      </c>
      <c r="B1686">
        <v>95</v>
      </c>
      <c r="C1686" t="s">
        <v>45</v>
      </c>
      <c r="D1686">
        <v>53</v>
      </c>
      <c r="E1686">
        <v>80</v>
      </c>
      <c r="F1686">
        <v>22.05</v>
      </c>
      <c r="G1686" t="s">
        <v>18</v>
      </c>
      <c r="H1686" t="s">
        <v>5</v>
      </c>
      <c r="I1686" t="str">
        <f t="shared" si="26"/>
        <v>America</v>
      </c>
    </row>
    <row r="1687" spans="1:9" x14ac:dyDescent="0.3">
      <c r="A1687" t="s">
        <v>1606</v>
      </c>
      <c r="B1687">
        <v>94</v>
      </c>
      <c r="C1687" t="s">
        <v>45</v>
      </c>
      <c r="D1687">
        <v>48</v>
      </c>
      <c r="E1687">
        <v>78</v>
      </c>
      <c r="F1687">
        <v>6.17</v>
      </c>
      <c r="G1687" t="s">
        <v>18</v>
      </c>
      <c r="H1687" t="s">
        <v>9</v>
      </c>
      <c r="I1687" t="str">
        <f t="shared" si="26"/>
        <v>Africa</v>
      </c>
    </row>
    <row r="1688" spans="1:9" x14ac:dyDescent="0.3">
      <c r="A1688" t="s">
        <v>1607</v>
      </c>
      <c r="B1688">
        <v>94</v>
      </c>
      <c r="C1688" t="s">
        <v>45</v>
      </c>
      <c r="D1688">
        <v>52</v>
      </c>
      <c r="E1688">
        <v>80</v>
      </c>
      <c r="F1688">
        <v>5.57</v>
      </c>
      <c r="G1688" t="s">
        <v>18</v>
      </c>
      <c r="H1688" t="s">
        <v>4</v>
      </c>
      <c r="I1688" t="str">
        <f t="shared" si="26"/>
        <v>America</v>
      </c>
    </row>
    <row r="1689" spans="1:9" x14ac:dyDescent="0.3">
      <c r="A1689" t="s">
        <v>1608</v>
      </c>
      <c r="B1689">
        <v>94</v>
      </c>
      <c r="C1689" t="s">
        <v>45</v>
      </c>
      <c r="D1689">
        <v>57</v>
      </c>
      <c r="E1689">
        <v>84</v>
      </c>
      <c r="F1689">
        <v>5.23</v>
      </c>
      <c r="G1689" t="s">
        <v>18</v>
      </c>
      <c r="H1689" t="s">
        <v>9</v>
      </c>
      <c r="I1689" t="str">
        <f t="shared" si="26"/>
        <v>Africa</v>
      </c>
    </row>
    <row r="1690" spans="1:9" x14ac:dyDescent="0.3">
      <c r="A1690" t="s">
        <v>1609</v>
      </c>
      <c r="B1690">
        <v>94</v>
      </c>
      <c r="C1690" t="s">
        <v>45</v>
      </c>
      <c r="D1690">
        <v>54</v>
      </c>
      <c r="E1690">
        <v>74</v>
      </c>
      <c r="F1690">
        <v>5.28</v>
      </c>
      <c r="G1690" t="s">
        <v>18</v>
      </c>
      <c r="H1690" t="s">
        <v>23</v>
      </c>
      <c r="I1690" t="str">
        <f t="shared" si="26"/>
        <v>Africa</v>
      </c>
    </row>
    <row r="1691" spans="1:9" x14ac:dyDescent="0.3">
      <c r="A1691" t="s">
        <v>1610</v>
      </c>
      <c r="B1691">
        <v>95</v>
      </c>
      <c r="C1691" t="s">
        <v>45</v>
      </c>
      <c r="D1691">
        <v>54</v>
      </c>
      <c r="E1691">
        <v>86</v>
      </c>
      <c r="F1691">
        <v>23.37</v>
      </c>
      <c r="G1691" t="s">
        <v>18</v>
      </c>
      <c r="H1691" t="s">
        <v>5</v>
      </c>
      <c r="I1691" t="str">
        <f t="shared" si="26"/>
        <v>America</v>
      </c>
    </row>
    <row r="1692" spans="1:9" x14ac:dyDescent="0.3">
      <c r="A1692" t="s">
        <v>1611</v>
      </c>
      <c r="B1692">
        <v>94</v>
      </c>
      <c r="C1692" t="s">
        <v>41</v>
      </c>
      <c r="D1692">
        <v>62</v>
      </c>
      <c r="E1692">
        <v>84</v>
      </c>
      <c r="F1692">
        <v>4.99</v>
      </c>
      <c r="G1692" t="s">
        <v>18</v>
      </c>
      <c r="H1692" t="s">
        <v>9</v>
      </c>
      <c r="I1692" t="str">
        <f t="shared" si="26"/>
        <v>Africa</v>
      </c>
    </row>
    <row r="1693" spans="1:9" x14ac:dyDescent="0.3">
      <c r="A1693" t="s">
        <v>1612</v>
      </c>
      <c r="B1693">
        <v>94</v>
      </c>
      <c r="C1693" t="s">
        <v>45</v>
      </c>
      <c r="D1693">
        <v>60</v>
      </c>
      <c r="E1693">
        <v>80</v>
      </c>
      <c r="F1693">
        <v>5.59</v>
      </c>
      <c r="G1693" t="s">
        <v>18</v>
      </c>
      <c r="H1693" t="s">
        <v>9</v>
      </c>
      <c r="I1693" t="str">
        <f t="shared" si="26"/>
        <v>Africa</v>
      </c>
    </row>
    <row r="1694" spans="1:9" x14ac:dyDescent="0.3">
      <c r="A1694" t="s">
        <v>1613</v>
      </c>
      <c r="B1694">
        <v>96</v>
      </c>
      <c r="C1694" t="s">
        <v>45</v>
      </c>
      <c r="D1694">
        <v>57</v>
      </c>
      <c r="E1694">
        <v>82</v>
      </c>
      <c r="F1694">
        <v>5.13</v>
      </c>
      <c r="G1694" t="s">
        <v>18</v>
      </c>
      <c r="H1694" t="s">
        <v>9</v>
      </c>
      <c r="I1694" t="str">
        <f t="shared" si="26"/>
        <v>Africa</v>
      </c>
    </row>
    <row r="1695" spans="1:9" x14ac:dyDescent="0.3">
      <c r="A1695" t="s">
        <v>1614</v>
      </c>
      <c r="B1695">
        <v>94</v>
      </c>
      <c r="C1695" t="s">
        <v>45</v>
      </c>
      <c r="D1695">
        <v>57</v>
      </c>
      <c r="E1695">
        <v>82</v>
      </c>
      <c r="F1695">
        <v>39.65</v>
      </c>
      <c r="G1695" t="s">
        <v>11</v>
      </c>
      <c r="H1695" t="s">
        <v>9</v>
      </c>
      <c r="I1695" t="str">
        <f t="shared" si="26"/>
        <v>Africa</v>
      </c>
    </row>
    <row r="1696" spans="1:9" x14ac:dyDescent="0.3">
      <c r="A1696" t="s">
        <v>1615</v>
      </c>
      <c r="B1696">
        <v>94</v>
      </c>
      <c r="C1696" t="s">
        <v>41</v>
      </c>
      <c r="D1696">
        <v>64</v>
      </c>
      <c r="E1696">
        <v>78</v>
      </c>
      <c r="F1696">
        <v>8</v>
      </c>
      <c r="G1696" t="s">
        <v>18</v>
      </c>
      <c r="H1696" t="s">
        <v>4</v>
      </c>
      <c r="I1696" t="str">
        <f t="shared" si="26"/>
        <v>America</v>
      </c>
    </row>
    <row r="1697" spans="1:9" x14ac:dyDescent="0.3">
      <c r="A1697" t="s">
        <v>1616</v>
      </c>
      <c r="B1697">
        <v>94</v>
      </c>
      <c r="C1697" t="s">
        <v>45</v>
      </c>
      <c r="D1697">
        <v>55</v>
      </c>
      <c r="E1697">
        <v>80</v>
      </c>
      <c r="F1697">
        <v>4.34</v>
      </c>
      <c r="G1697" t="s">
        <v>18</v>
      </c>
      <c r="H1697" t="s">
        <v>12</v>
      </c>
      <c r="I1697" t="str">
        <f t="shared" si="26"/>
        <v>Africa</v>
      </c>
    </row>
    <row r="1698" spans="1:9" x14ac:dyDescent="0.3">
      <c r="A1698" t="s">
        <v>1617</v>
      </c>
      <c r="B1698">
        <v>94</v>
      </c>
      <c r="C1698" t="s">
        <v>41</v>
      </c>
      <c r="D1698">
        <v>64</v>
      </c>
      <c r="E1698">
        <v>84</v>
      </c>
      <c r="F1698">
        <v>5.22</v>
      </c>
      <c r="G1698" t="s">
        <v>18</v>
      </c>
      <c r="H1698" t="s">
        <v>9</v>
      </c>
      <c r="I1698" t="str">
        <f t="shared" si="26"/>
        <v>Africa</v>
      </c>
    </row>
    <row r="1699" spans="1:9" x14ac:dyDescent="0.3">
      <c r="A1699" t="s">
        <v>1618</v>
      </c>
      <c r="B1699">
        <v>94</v>
      </c>
      <c r="C1699" t="s">
        <v>45</v>
      </c>
      <c r="D1699">
        <v>54</v>
      </c>
      <c r="E1699">
        <v>78</v>
      </c>
      <c r="F1699">
        <v>5.14</v>
      </c>
      <c r="G1699" t="s">
        <v>18</v>
      </c>
      <c r="H1699" t="s">
        <v>12</v>
      </c>
      <c r="I1699" t="str">
        <f t="shared" si="26"/>
        <v>Africa</v>
      </c>
    </row>
    <row r="1700" spans="1:9" x14ac:dyDescent="0.3">
      <c r="A1700" t="s">
        <v>890</v>
      </c>
      <c r="B1700">
        <v>94</v>
      </c>
      <c r="C1700" t="s">
        <v>45</v>
      </c>
      <c r="D1700">
        <v>56</v>
      </c>
      <c r="E1700">
        <v>78</v>
      </c>
      <c r="F1700">
        <v>15.41</v>
      </c>
      <c r="G1700" t="s">
        <v>18</v>
      </c>
      <c r="H1700" t="s">
        <v>18</v>
      </c>
      <c r="I1700" t="str">
        <f t="shared" si="26"/>
        <v>America</v>
      </c>
    </row>
    <row r="1701" spans="1:9" x14ac:dyDescent="0.3">
      <c r="A1701" t="s">
        <v>1619</v>
      </c>
      <c r="B1701">
        <v>95</v>
      </c>
      <c r="C1701" t="s">
        <v>41</v>
      </c>
      <c r="D1701">
        <v>60</v>
      </c>
      <c r="E1701">
        <v>82</v>
      </c>
      <c r="F1701">
        <v>5.44</v>
      </c>
      <c r="G1701" t="s">
        <v>18</v>
      </c>
      <c r="H1701" t="s">
        <v>15</v>
      </c>
      <c r="I1701" t="str">
        <f t="shared" si="26"/>
        <v>America</v>
      </c>
    </row>
    <row r="1702" spans="1:9" x14ac:dyDescent="0.3">
      <c r="A1702" t="s">
        <v>1620</v>
      </c>
      <c r="B1702">
        <v>95</v>
      </c>
      <c r="C1702" t="s">
        <v>45</v>
      </c>
      <c r="D1702">
        <v>56</v>
      </c>
      <c r="E1702">
        <v>72</v>
      </c>
      <c r="F1702">
        <v>5.14</v>
      </c>
      <c r="G1702" t="s">
        <v>18</v>
      </c>
      <c r="H1702" t="s">
        <v>9</v>
      </c>
      <c r="I1702" t="str">
        <f t="shared" si="26"/>
        <v>Africa</v>
      </c>
    </row>
    <row r="1703" spans="1:9" x14ac:dyDescent="0.3">
      <c r="A1703" t="s">
        <v>1621</v>
      </c>
      <c r="B1703">
        <v>94</v>
      </c>
      <c r="C1703" t="s">
        <v>45</v>
      </c>
      <c r="D1703">
        <v>60</v>
      </c>
      <c r="E1703">
        <v>80</v>
      </c>
      <c r="F1703">
        <v>4.63</v>
      </c>
      <c r="G1703" t="s">
        <v>21</v>
      </c>
      <c r="H1703" t="s">
        <v>21</v>
      </c>
      <c r="I1703" t="str">
        <f t="shared" si="26"/>
        <v>America</v>
      </c>
    </row>
    <row r="1704" spans="1:9" x14ac:dyDescent="0.3">
      <c r="A1704" t="s">
        <v>1622</v>
      </c>
      <c r="B1704">
        <v>95</v>
      </c>
      <c r="C1704" t="s">
        <v>41</v>
      </c>
      <c r="D1704">
        <v>62</v>
      </c>
      <c r="E1704">
        <v>84</v>
      </c>
      <c r="F1704">
        <v>132.28</v>
      </c>
      <c r="G1704" t="s">
        <v>2</v>
      </c>
      <c r="H1704" t="s">
        <v>9</v>
      </c>
      <c r="I1704" t="str">
        <f t="shared" si="26"/>
        <v>Africa</v>
      </c>
    </row>
    <row r="1705" spans="1:9" x14ac:dyDescent="0.3">
      <c r="A1705" t="s">
        <v>1623</v>
      </c>
      <c r="B1705">
        <v>94</v>
      </c>
      <c r="C1705" t="s">
        <v>45</v>
      </c>
      <c r="D1705">
        <v>53</v>
      </c>
      <c r="E1705">
        <v>81</v>
      </c>
      <c r="F1705">
        <v>110.23</v>
      </c>
      <c r="G1705" t="s">
        <v>2</v>
      </c>
      <c r="H1705" t="s">
        <v>9</v>
      </c>
      <c r="I1705" t="str">
        <f t="shared" si="26"/>
        <v>Africa</v>
      </c>
    </row>
    <row r="1706" spans="1:9" x14ac:dyDescent="0.3">
      <c r="A1706" t="s">
        <v>1624</v>
      </c>
      <c r="B1706">
        <v>95</v>
      </c>
      <c r="C1706" t="s">
        <v>45</v>
      </c>
      <c r="D1706">
        <v>52</v>
      </c>
      <c r="E1706">
        <v>78</v>
      </c>
      <c r="F1706">
        <v>15.43</v>
      </c>
      <c r="G1706" t="s">
        <v>18</v>
      </c>
      <c r="H1706" t="s">
        <v>14</v>
      </c>
      <c r="I1706" t="str">
        <f t="shared" si="26"/>
        <v>America</v>
      </c>
    </row>
    <row r="1707" spans="1:9" x14ac:dyDescent="0.3">
      <c r="A1707" t="s">
        <v>1625</v>
      </c>
      <c r="B1707">
        <v>94</v>
      </c>
      <c r="C1707" t="s">
        <v>45</v>
      </c>
      <c r="D1707">
        <v>54</v>
      </c>
      <c r="E1707">
        <v>82</v>
      </c>
      <c r="F1707">
        <v>5.14</v>
      </c>
      <c r="G1707" t="s">
        <v>18</v>
      </c>
      <c r="H1707" t="s">
        <v>9</v>
      </c>
      <c r="I1707" t="str">
        <f t="shared" si="26"/>
        <v>Africa</v>
      </c>
    </row>
    <row r="1708" spans="1:9" x14ac:dyDescent="0.3">
      <c r="A1708" t="s">
        <v>748</v>
      </c>
      <c r="B1708">
        <v>94</v>
      </c>
      <c r="C1708" t="s">
        <v>45</v>
      </c>
      <c r="D1708">
        <v>55</v>
      </c>
      <c r="E1708">
        <v>78</v>
      </c>
      <c r="F1708">
        <v>4.5599999999999996</v>
      </c>
      <c r="G1708" t="s">
        <v>18</v>
      </c>
      <c r="H1708" t="s">
        <v>9</v>
      </c>
      <c r="I1708" t="str">
        <f t="shared" si="26"/>
        <v>Africa</v>
      </c>
    </row>
    <row r="1709" spans="1:9" x14ac:dyDescent="0.3">
      <c r="A1709" t="s">
        <v>1626</v>
      </c>
      <c r="B1709">
        <v>95</v>
      </c>
      <c r="C1709" t="s">
        <v>45</v>
      </c>
      <c r="D1709">
        <v>58</v>
      </c>
      <c r="E1709">
        <v>80</v>
      </c>
      <c r="F1709">
        <v>5.14</v>
      </c>
      <c r="G1709" t="s">
        <v>18</v>
      </c>
      <c r="H1709" t="s">
        <v>5</v>
      </c>
      <c r="I1709" t="str">
        <f t="shared" si="26"/>
        <v>America</v>
      </c>
    </row>
    <row r="1710" spans="1:9" x14ac:dyDescent="0.3">
      <c r="A1710" t="s">
        <v>1627</v>
      </c>
      <c r="B1710">
        <v>94</v>
      </c>
      <c r="C1710" t="s">
        <v>41</v>
      </c>
      <c r="D1710">
        <v>60</v>
      </c>
      <c r="E1710">
        <v>84</v>
      </c>
      <c r="F1710">
        <v>4.55</v>
      </c>
      <c r="G1710" t="s">
        <v>18</v>
      </c>
      <c r="H1710" t="s">
        <v>12</v>
      </c>
      <c r="I1710" t="str">
        <f t="shared" si="26"/>
        <v>Africa</v>
      </c>
    </row>
    <row r="1711" spans="1:9" x14ac:dyDescent="0.3">
      <c r="A1711" t="s">
        <v>1628</v>
      </c>
      <c r="B1711">
        <v>94</v>
      </c>
      <c r="C1711" t="s">
        <v>45</v>
      </c>
      <c r="D1711">
        <v>53</v>
      </c>
      <c r="E1711">
        <v>77</v>
      </c>
      <c r="F1711">
        <v>4.8499999999999996</v>
      </c>
      <c r="G1711" t="s">
        <v>18</v>
      </c>
      <c r="H1711" t="s">
        <v>15</v>
      </c>
      <c r="I1711" t="str">
        <f t="shared" si="26"/>
        <v>America</v>
      </c>
    </row>
    <row r="1712" spans="1:9" x14ac:dyDescent="0.3">
      <c r="A1712" t="s">
        <v>1629</v>
      </c>
      <c r="B1712">
        <v>95</v>
      </c>
      <c r="C1712" t="s">
        <v>45</v>
      </c>
      <c r="D1712">
        <v>60</v>
      </c>
      <c r="E1712">
        <v>76</v>
      </c>
      <c r="F1712">
        <v>616.74</v>
      </c>
      <c r="G1712" t="s">
        <v>2</v>
      </c>
      <c r="H1712" t="s">
        <v>5</v>
      </c>
      <c r="I1712" t="str">
        <f t="shared" si="26"/>
        <v>America</v>
      </c>
    </row>
    <row r="1713" spans="1:9" x14ac:dyDescent="0.3">
      <c r="A1713" t="s">
        <v>1630</v>
      </c>
      <c r="B1713">
        <v>97</v>
      </c>
      <c r="C1713" t="s">
        <v>45</v>
      </c>
      <c r="D1713">
        <v>59</v>
      </c>
      <c r="E1713">
        <v>82</v>
      </c>
      <c r="F1713">
        <v>27.34</v>
      </c>
      <c r="G1713" t="s">
        <v>18</v>
      </c>
      <c r="H1713" t="s">
        <v>5</v>
      </c>
      <c r="I1713" t="str">
        <f t="shared" si="26"/>
        <v>America</v>
      </c>
    </row>
    <row r="1714" spans="1:9" x14ac:dyDescent="0.3">
      <c r="A1714" t="s">
        <v>1631</v>
      </c>
      <c r="B1714">
        <v>95</v>
      </c>
      <c r="C1714" t="s">
        <v>45</v>
      </c>
      <c r="D1714">
        <v>54</v>
      </c>
      <c r="E1714">
        <v>76</v>
      </c>
      <c r="F1714">
        <v>5.23</v>
      </c>
      <c r="G1714" t="s">
        <v>18</v>
      </c>
      <c r="H1714" t="s">
        <v>9</v>
      </c>
      <c r="I1714" t="str">
        <f t="shared" si="26"/>
        <v>Africa</v>
      </c>
    </row>
    <row r="1715" spans="1:9" x14ac:dyDescent="0.3">
      <c r="A1715" t="s">
        <v>1632</v>
      </c>
      <c r="B1715">
        <v>94</v>
      </c>
      <c r="C1715" t="s">
        <v>45</v>
      </c>
      <c r="D1715">
        <v>60</v>
      </c>
      <c r="E1715">
        <v>77</v>
      </c>
      <c r="F1715">
        <v>4.37</v>
      </c>
      <c r="G1715" t="s">
        <v>18</v>
      </c>
      <c r="H1715" t="s">
        <v>14</v>
      </c>
      <c r="I1715" t="str">
        <f t="shared" si="26"/>
        <v>America</v>
      </c>
    </row>
    <row r="1716" spans="1:9" x14ac:dyDescent="0.3">
      <c r="A1716" t="s">
        <v>1633</v>
      </c>
      <c r="B1716">
        <v>95</v>
      </c>
      <c r="C1716" t="s">
        <v>45</v>
      </c>
      <c r="D1716">
        <v>59</v>
      </c>
      <c r="E1716">
        <v>78</v>
      </c>
      <c r="F1716">
        <v>5.8</v>
      </c>
      <c r="G1716" t="s">
        <v>18</v>
      </c>
      <c r="H1716" t="s">
        <v>7</v>
      </c>
      <c r="I1716" t="str">
        <f t="shared" si="26"/>
        <v>America</v>
      </c>
    </row>
    <row r="1717" spans="1:9" x14ac:dyDescent="0.3">
      <c r="A1717" t="s">
        <v>1634</v>
      </c>
      <c r="B1717">
        <v>94</v>
      </c>
      <c r="C1717" t="s">
        <v>41</v>
      </c>
      <c r="D1717">
        <v>62</v>
      </c>
      <c r="E1717">
        <v>87</v>
      </c>
      <c r="F1717">
        <v>9</v>
      </c>
      <c r="G1717" t="s">
        <v>18</v>
      </c>
      <c r="H1717" t="s">
        <v>9</v>
      </c>
      <c r="I1717" t="str">
        <f t="shared" si="26"/>
        <v>Africa</v>
      </c>
    </row>
    <row r="1718" spans="1:9" x14ac:dyDescent="0.3">
      <c r="A1718" t="s">
        <v>1635</v>
      </c>
      <c r="B1718">
        <v>94</v>
      </c>
      <c r="C1718" t="s">
        <v>45</v>
      </c>
      <c r="D1718">
        <v>50</v>
      </c>
      <c r="E1718">
        <v>79</v>
      </c>
      <c r="F1718">
        <v>5.62</v>
      </c>
      <c r="G1718" t="s">
        <v>18</v>
      </c>
      <c r="H1718" t="s">
        <v>9</v>
      </c>
      <c r="I1718" t="str">
        <f t="shared" si="26"/>
        <v>Africa</v>
      </c>
    </row>
    <row r="1719" spans="1:9" x14ac:dyDescent="0.3">
      <c r="A1719" t="s">
        <v>1636</v>
      </c>
      <c r="B1719">
        <v>95</v>
      </c>
      <c r="C1719" t="s">
        <v>82</v>
      </c>
      <c r="D1719">
        <v>49</v>
      </c>
      <c r="E1719">
        <v>68</v>
      </c>
      <c r="F1719">
        <v>5.73</v>
      </c>
      <c r="G1719" t="s">
        <v>18</v>
      </c>
      <c r="H1719" t="s">
        <v>12</v>
      </c>
      <c r="I1719" t="str">
        <f t="shared" si="26"/>
        <v>Africa</v>
      </c>
    </row>
    <row r="1720" spans="1:9" x14ac:dyDescent="0.3">
      <c r="A1720" t="s">
        <v>1637</v>
      </c>
      <c r="B1720">
        <v>94</v>
      </c>
      <c r="C1720" t="s">
        <v>45</v>
      </c>
      <c r="D1720">
        <v>54</v>
      </c>
      <c r="E1720">
        <v>68</v>
      </c>
      <c r="F1720">
        <v>5.29</v>
      </c>
      <c r="G1720" t="s">
        <v>18</v>
      </c>
      <c r="H1720" t="s">
        <v>12</v>
      </c>
      <c r="I1720" t="str">
        <f t="shared" si="26"/>
        <v>Africa</v>
      </c>
    </row>
    <row r="1721" spans="1:9" x14ac:dyDescent="0.3">
      <c r="A1721" t="s">
        <v>1638</v>
      </c>
      <c r="B1721">
        <v>95</v>
      </c>
      <c r="C1721" t="s">
        <v>541</v>
      </c>
      <c r="D1721">
        <v>44</v>
      </c>
      <c r="E1721">
        <v>56</v>
      </c>
      <c r="F1721">
        <v>396.83</v>
      </c>
      <c r="G1721" t="s">
        <v>2</v>
      </c>
      <c r="H1721" t="s">
        <v>12</v>
      </c>
      <c r="I1721" t="str">
        <f t="shared" si="26"/>
        <v>Africa</v>
      </c>
    </row>
    <row r="1722" spans="1:9" x14ac:dyDescent="0.3">
      <c r="A1722" t="s">
        <v>1639</v>
      </c>
      <c r="B1722">
        <v>94</v>
      </c>
      <c r="C1722" t="s">
        <v>82</v>
      </c>
      <c r="D1722">
        <v>48</v>
      </c>
      <c r="E1722">
        <v>60</v>
      </c>
      <c r="F1722">
        <v>352.73</v>
      </c>
      <c r="G1722" t="s">
        <v>2</v>
      </c>
      <c r="H1722" t="s">
        <v>9</v>
      </c>
      <c r="I1722" t="str">
        <f t="shared" si="26"/>
        <v>Africa</v>
      </c>
    </row>
    <row r="1723" spans="1:9" x14ac:dyDescent="0.3">
      <c r="A1723" t="s">
        <v>1640</v>
      </c>
      <c r="B1723">
        <v>94</v>
      </c>
      <c r="C1723" t="s">
        <v>82</v>
      </c>
      <c r="D1723">
        <v>45</v>
      </c>
      <c r="E1723">
        <v>57</v>
      </c>
      <c r="F1723">
        <v>308.64</v>
      </c>
      <c r="G1723" t="s">
        <v>2</v>
      </c>
      <c r="H1723" t="s">
        <v>9</v>
      </c>
      <c r="I1723" t="str">
        <f t="shared" si="26"/>
        <v>Africa</v>
      </c>
    </row>
    <row r="1724" spans="1:9" x14ac:dyDescent="0.3">
      <c r="A1724" t="s">
        <v>1641</v>
      </c>
      <c r="B1724">
        <v>94</v>
      </c>
      <c r="C1724" t="s">
        <v>541</v>
      </c>
      <c r="D1724">
        <v>44</v>
      </c>
      <c r="E1724">
        <v>56</v>
      </c>
      <c r="F1724">
        <v>308.64</v>
      </c>
      <c r="G1724" t="s">
        <v>2</v>
      </c>
      <c r="H1724" t="s">
        <v>16</v>
      </c>
      <c r="I1724" t="str">
        <f t="shared" si="26"/>
        <v>Asia-Pacific</v>
      </c>
    </row>
    <row r="1725" spans="1:9" x14ac:dyDescent="0.3">
      <c r="A1725" t="s">
        <v>1642</v>
      </c>
      <c r="B1725">
        <v>94</v>
      </c>
      <c r="C1725" t="s">
        <v>541</v>
      </c>
      <c r="D1725">
        <v>45</v>
      </c>
      <c r="E1725">
        <v>54</v>
      </c>
      <c r="F1725">
        <v>396.83</v>
      </c>
      <c r="G1725" t="s">
        <v>2</v>
      </c>
      <c r="H1725" t="s">
        <v>12</v>
      </c>
      <c r="I1725" t="str">
        <f t="shared" si="26"/>
        <v>Africa</v>
      </c>
    </row>
    <row r="1726" spans="1:9" x14ac:dyDescent="0.3">
      <c r="A1726" t="s">
        <v>1643</v>
      </c>
      <c r="B1726">
        <v>95</v>
      </c>
      <c r="C1726" t="s">
        <v>41</v>
      </c>
      <c r="D1726">
        <v>63</v>
      </c>
      <c r="E1726">
        <v>86</v>
      </c>
      <c r="F1726">
        <v>8</v>
      </c>
      <c r="G1726" t="s">
        <v>18</v>
      </c>
      <c r="H1726" t="s">
        <v>5</v>
      </c>
      <c r="I1726" t="str">
        <f t="shared" si="26"/>
        <v>America</v>
      </c>
    </row>
    <row r="1727" spans="1:9" x14ac:dyDescent="0.3">
      <c r="A1727" t="s">
        <v>1644</v>
      </c>
      <c r="B1727">
        <v>95</v>
      </c>
      <c r="C1727" t="s">
        <v>45</v>
      </c>
      <c r="D1727">
        <v>55</v>
      </c>
      <c r="E1727">
        <v>75</v>
      </c>
      <c r="F1727">
        <v>5.29</v>
      </c>
      <c r="G1727" t="s">
        <v>18</v>
      </c>
      <c r="H1727" t="s">
        <v>150</v>
      </c>
      <c r="I1727" t="str">
        <f t="shared" si="26"/>
        <v>NULL</v>
      </c>
    </row>
    <row r="1728" spans="1:9" x14ac:dyDescent="0.3">
      <c r="A1728" t="s">
        <v>1645</v>
      </c>
      <c r="B1728">
        <v>94</v>
      </c>
      <c r="C1728" t="s">
        <v>41</v>
      </c>
      <c r="D1728">
        <v>61</v>
      </c>
      <c r="E1728">
        <v>85</v>
      </c>
      <c r="F1728">
        <v>8</v>
      </c>
      <c r="G1728" t="s">
        <v>18</v>
      </c>
      <c r="H1728" t="s">
        <v>15</v>
      </c>
      <c r="I1728" t="str">
        <f t="shared" si="26"/>
        <v>America</v>
      </c>
    </row>
    <row r="1729" spans="1:9" x14ac:dyDescent="0.3">
      <c r="A1729" t="s">
        <v>1646</v>
      </c>
      <c r="B1729">
        <v>96</v>
      </c>
      <c r="C1729" t="s">
        <v>45</v>
      </c>
      <c r="D1729">
        <v>53</v>
      </c>
      <c r="E1729">
        <v>70</v>
      </c>
      <c r="F1729">
        <v>17.64</v>
      </c>
      <c r="G1729" t="s">
        <v>18</v>
      </c>
      <c r="H1729" t="s">
        <v>5</v>
      </c>
      <c r="I1729" t="str">
        <f t="shared" si="26"/>
        <v>America</v>
      </c>
    </row>
    <row r="1730" spans="1:9" x14ac:dyDescent="0.3">
      <c r="A1730" t="s">
        <v>1647</v>
      </c>
      <c r="B1730">
        <v>95</v>
      </c>
      <c r="C1730" t="s">
        <v>45</v>
      </c>
      <c r="D1730">
        <v>55</v>
      </c>
      <c r="E1730">
        <v>75</v>
      </c>
      <c r="F1730">
        <v>13.8</v>
      </c>
      <c r="G1730" t="s">
        <v>18</v>
      </c>
      <c r="H1730" t="s">
        <v>5</v>
      </c>
      <c r="I1730" t="str">
        <f t="shared" si="26"/>
        <v>America</v>
      </c>
    </row>
    <row r="1731" spans="1:9" x14ac:dyDescent="0.3">
      <c r="A1731" t="s">
        <v>1258</v>
      </c>
      <c r="B1731">
        <v>95</v>
      </c>
      <c r="C1731" t="s">
        <v>45</v>
      </c>
      <c r="D1731">
        <v>54</v>
      </c>
      <c r="E1731">
        <v>77</v>
      </c>
      <c r="F1731">
        <v>4.4800000000000004</v>
      </c>
      <c r="G1731" t="s">
        <v>18</v>
      </c>
      <c r="H1731" t="s">
        <v>150</v>
      </c>
      <c r="I1731" t="str">
        <f t="shared" ref="I1731:I1794" si="27">_xlfn.XLOOKUP(H1731, $M$2:$M$50, $N$2:$N$50, "Other")</f>
        <v>NULL</v>
      </c>
    </row>
    <row r="1732" spans="1:9" x14ac:dyDescent="0.3">
      <c r="A1732" t="s">
        <v>1258</v>
      </c>
      <c r="B1732">
        <v>95</v>
      </c>
      <c r="C1732" t="s">
        <v>41</v>
      </c>
      <c r="D1732">
        <v>66</v>
      </c>
      <c r="E1732">
        <v>82</v>
      </c>
      <c r="F1732">
        <v>11.02</v>
      </c>
      <c r="G1732" t="s">
        <v>2</v>
      </c>
      <c r="H1732" t="s">
        <v>150</v>
      </c>
      <c r="I1732" t="str">
        <f t="shared" si="27"/>
        <v>NULL</v>
      </c>
    </row>
    <row r="1733" spans="1:9" x14ac:dyDescent="0.3">
      <c r="A1733" t="s">
        <v>1648</v>
      </c>
      <c r="B1733">
        <v>95</v>
      </c>
      <c r="C1733" t="s">
        <v>41</v>
      </c>
      <c r="D1733">
        <v>68</v>
      </c>
      <c r="E1733">
        <v>82</v>
      </c>
      <c r="F1733">
        <v>8</v>
      </c>
      <c r="G1733" t="s">
        <v>18</v>
      </c>
      <c r="H1733" t="s">
        <v>22</v>
      </c>
      <c r="I1733" t="str">
        <f t="shared" si="27"/>
        <v>America</v>
      </c>
    </row>
    <row r="1734" spans="1:9" x14ac:dyDescent="0.3">
      <c r="A1734" t="s">
        <v>1649</v>
      </c>
      <c r="B1734">
        <v>94</v>
      </c>
      <c r="C1734" t="s">
        <v>41</v>
      </c>
      <c r="D1734">
        <v>64</v>
      </c>
      <c r="E1734">
        <v>84</v>
      </c>
      <c r="F1734">
        <v>19.84</v>
      </c>
      <c r="G1734" t="s">
        <v>18</v>
      </c>
      <c r="H1734" t="s">
        <v>5</v>
      </c>
      <c r="I1734" t="str">
        <f t="shared" si="27"/>
        <v>America</v>
      </c>
    </row>
    <row r="1735" spans="1:9" x14ac:dyDescent="0.3">
      <c r="A1735" t="s">
        <v>1258</v>
      </c>
      <c r="B1735">
        <v>94</v>
      </c>
      <c r="C1735" t="s">
        <v>45</v>
      </c>
      <c r="D1735">
        <v>59</v>
      </c>
      <c r="E1735">
        <v>70</v>
      </c>
      <c r="F1735">
        <v>5.56</v>
      </c>
      <c r="G1735" t="s">
        <v>18</v>
      </c>
      <c r="H1735" t="s">
        <v>9</v>
      </c>
      <c r="I1735" t="str">
        <f t="shared" si="27"/>
        <v>Africa</v>
      </c>
    </row>
    <row r="1736" spans="1:9" x14ac:dyDescent="0.3">
      <c r="A1736" t="s">
        <v>1650</v>
      </c>
      <c r="B1736">
        <v>94</v>
      </c>
      <c r="C1736" t="s">
        <v>41</v>
      </c>
      <c r="D1736">
        <v>66</v>
      </c>
      <c r="E1736">
        <v>90</v>
      </c>
      <c r="F1736">
        <v>22.05</v>
      </c>
      <c r="G1736" t="s">
        <v>18</v>
      </c>
      <c r="H1736" t="s">
        <v>5</v>
      </c>
      <c r="I1736" t="str">
        <f t="shared" si="27"/>
        <v>America</v>
      </c>
    </row>
    <row r="1737" spans="1:9" x14ac:dyDescent="0.3">
      <c r="A1737" t="s">
        <v>1651</v>
      </c>
      <c r="B1737">
        <v>94</v>
      </c>
      <c r="C1737" t="s">
        <v>45</v>
      </c>
      <c r="D1737">
        <v>58</v>
      </c>
      <c r="E1737">
        <v>77</v>
      </c>
      <c r="F1737">
        <v>5.51</v>
      </c>
      <c r="G1737" t="s">
        <v>18</v>
      </c>
      <c r="H1737" t="s">
        <v>21</v>
      </c>
      <c r="I1737" t="str">
        <f t="shared" si="27"/>
        <v>America</v>
      </c>
    </row>
    <row r="1738" spans="1:9" x14ac:dyDescent="0.3">
      <c r="A1738" t="s">
        <v>1652</v>
      </c>
      <c r="B1738">
        <v>95</v>
      </c>
      <c r="C1738" t="s">
        <v>41</v>
      </c>
      <c r="D1738">
        <v>63</v>
      </c>
      <c r="E1738">
        <v>86</v>
      </c>
      <c r="F1738">
        <v>5.29</v>
      </c>
      <c r="G1738" t="s">
        <v>18</v>
      </c>
      <c r="H1738" t="s">
        <v>9</v>
      </c>
      <c r="I1738" t="str">
        <f t="shared" si="27"/>
        <v>Africa</v>
      </c>
    </row>
    <row r="1739" spans="1:9" x14ac:dyDescent="0.3">
      <c r="A1739" t="s">
        <v>1653</v>
      </c>
      <c r="B1739">
        <v>94</v>
      </c>
      <c r="C1739" t="s">
        <v>41</v>
      </c>
      <c r="D1739">
        <v>65</v>
      </c>
      <c r="E1739">
        <v>88</v>
      </c>
      <c r="F1739">
        <v>8.82</v>
      </c>
      <c r="G1739" t="s">
        <v>18</v>
      </c>
      <c r="H1739" t="s">
        <v>5</v>
      </c>
      <c r="I1739" t="str">
        <f t="shared" si="27"/>
        <v>America</v>
      </c>
    </row>
    <row r="1740" spans="1:9" x14ac:dyDescent="0.3">
      <c r="A1740" t="s">
        <v>1654</v>
      </c>
      <c r="B1740">
        <v>96</v>
      </c>
      <c r="C1740" t="s">
        <v>45</v>
      </c>
      <c r="D1740">
        <v>63</v>
      </c>
      <c r="E1740">
        <v>74</v>
      </c>
      <c r="F1740">
        <v>188</v>
      </c>
      <c r="G1740" t="s">
        <v>11</v>
      </c>
      <c r="H1740" t="s">
        <v>9</v>
      </c>
      <c r="I1740" t="str">
        <f t="shared" si="27"/>
        <v>Africa</v>
      </c>
    </row>
    <row r="1741" spans="1:9" x14ac:dyDescent="0.3">
      <c r="A1741" t="s">
        <v>1655</v>
      </c>
      <c r="B1741">
        <v>94</v>
      </c>
      <c r="C1741" t="s">
        <v>41</v>
      </c>
      <c r="D1741">
        <v>64</v>
      </c>
      <c r="E1741">
        <v>85</v>
      </c>
      <c r="F1741">
        <v>21.16</v>
      </c>
      <c r="G1741" t="s">
        <v>18</v>
      </c>
      <c r="H1741" t="s">
        <v>5</v>
      </c>
      <c r="I1741" t="str">
        <f t="shared" si="27"/>
        <v>America</v>
      </c>
    </row>
    <row r="1742" spans="1:9" x14ac:dyDescent="0.3">
      <c r="A1742" t="s">
        <v>1656</v>
      </c>
      <c r="B1742">
        <v>95</v>
      </c>
      <c r="C1742" t="s">
        <v>45</v>
      </c>
      <c r="D1742">
        <v>52</v>
      </c>
      <c r="E1742">
        <v>73</v>
      </c>
      <c r="F1742">
        <v>22.02</v>
      </c>
      <c r="G1742" t="s">
        <v>18</v>
      </c>
      <c r="H1742" t="s">
        <v>5</v>
      </c>
      <c r="I1742" t="str">
        <f t="shared" si="27"/>
        <v>America</v>
      </c>
    </row>
    <row r="1743" spans="1:9" x14ac:dyDescent="0.3">
      <c r="A1743" t="s">
        <v>1657</v>
      </c>
      <c r="B1743">
        <v>94</v>
      </c>
      <c r="C1743" t="s">
        <v>45</v>
      </c>
      <c r="D1743">
        <v>59</v>
      </c>
      <c r="E1743">
        <v>79</v>
      </c>
      <c r="F1743">
        <v>5.51</v>
      </c>
      <c r="G1743" t="s">
        <v>18</v>
      </c>
      <c r="H1743" t="s">
        <v>21</v>
      </c>
      <c r="I1743" t="str">
        <f t="shared" si="27"/>
        <v>America</v>
      </c>
    </row>
    <row r="1744" spans="1:9" x14ac:dyDescent="0.3">
      <c r="A1744" t="s">
        <v>1658</v>
      </c>
      <c r="B1744">
        <v>95</v>
      </c>
      <c r="C1744" t="s">
        <v>45</v>
      </c>
      <c r="D1744">
        <v>57</v>
      </c>
      <c r="E1744">
        <v>70</v>
      </c>
      <c r="F1744">
        <v>6.17</v>
      </c>
      <c r="G1744" t="s">
        <v>18</v>
      </c>
      <c r="H1744" t="s">
        <v>12</v>
      </c>
      <c r="I1744" t="str">
        <f t="shared" si="27"/>
        <v>Africa</v>
      </c>
    </row>
    <row r="1745" spans="1:9" x14ac:dyDescent="0.3">
      <c r="A1745" t="s">
        <v>1659</v>
      </c>
      <c r="B1745">
        <v>94</v>
      </c>
      <c r="C1745" t="s">
        <v>41</v>
      </c>
      <c r="D1745">
        <v>63</v>
      </c>
      <c r="E1745">
        <v>85</v>
      </c>
      <c r="F1745">
        <v>5.44</v>
      </c>
      <c r="G1745" t="s">
        <v>18</v>
      </c>
      <c r="H1745" t="s">
        <v>15</v>
      </c>
      <c r="I1745" t="str">
        <f t="shared" si="27"/>
        <v>America</v>
      </c>
    </row>
    <row r="1746" spans="1:9" x14ac:dyDescent="0.3">
      <c r="A1746" t="s">
        <v>1660</v>
      </c>
      <c r="B1746">
        <v>95</v>
      </c>
      <c r="C1746" t="s">
        <v>41</v>
      </c>
      <c r="D1746">
        <v>63</v>
      </c>
      <c r="E1746">
        <v>91</v>
      </c>
      <c r="F1746">
        <v>5.29</v>
      </c>
      <c r="G1746" t="s">
        <v>18</v>
      </c>
      <c r="H1746" t="s">
        <v>22</v>
      </c>
      <c r="I1746" t="str">
        <f t="shared" si="27"/>
        <v>America</v>
      </c>
    </row>
    <row r="1747" spans="1:9" x14ac:dyDescent="0.3">
      <c r="A1747" t="s">
        <v>1661</v>
      </c>
      <c r="B1747">
        <v>94</v>
      </c>
      <c r="C1747" t="s">
        <v>45</v>
      </c>
      <c r="D1747">
        <v>60</v>
      </c>
      <c r="E1747">
        <v>78</v>
      </c>
      <c r="F1747">
        <v>5.28</v>
      </c>
      <c r="G1747" t="s">
        <v>18</v>
      </c>
      <c r="H1747" t="s">
        <v>12</v>
      </c>
      <c r="I1747" t="str">
        <f t="shared" si="27"/>
        <v>Africa</v>
      </c>
    </row>
    <row r="1748" spans="1:9" x14ac:dyDescent="0.3">
      <c r="A1748" t="s">
        <v>1662</v>
      </c>
      <c r="B1748">
        <v>96</v>
      </c>
      <c r="C1748" t="s">
        <v>82</v>
      </c>
      <c r="D1748">
        <v>49</v>
      </c>
      <c r="E1748">
        <v>72</v>
      </c>
      <c r="F1748">
        <v>22.02</v>
      </c>
      <c r="G1748" t="s">
        <v>18</v>
      </c>
      <c r="H1748" t="s">
        <v>5</v>
      </c>
      <c r="I1748" t="str">
        <f t="shared" si="27"/>
        <v>America</v>
      </c>
    </row>
    <row r="1749" spans="1:9" x14ac:dyDescent="0.3">
      <c r="A1749" t="s">
        <v>1663</v>
      </c>
      <c r="B1749">
        <v>94</v>
      </c>
      <c r="C1749" t="s">
        <v>82</v>
      </c>
      <c r="D1749">
        <v>52</v>
      </c>
      <c r="E1749">
        <v>60</v>
      </c>
      <c r="F1749">
        <v>4.41</v>
      </c>
      <c r="G1749" t="s">
        <v>18</v>
      </c>
      <c r="H1749" t="s">
        <v>150</v>
      </c>
      <c r="I1749" t="str">
        <f t="shared" si="27"/>
        <v>NULL</v>
      </c>
    </row>
    <row r="1750" spans="1:9" x14ac:dyDescent="0.3">
      <c r="A1750" t="s">
        <v>1664</v>
      </c>
      <c r="B1750">
        <v>94</v>
      </c>
      <c r="C1750" t="s">
        <v>45</v>
      </c>
      <c r="D1750">
        <v>52</v>
      </c>
      <c r="E1750">
        <v>72</v>
      </c>
      <c r="F1750">
        <v>7.63</v>
      </c>
      <c r="G1750" t="s">
        <v>18</v>
      </c>
      <c r="H1750" t="s">
        <v>9</v>
      </c>
      <c r="I1750" t="str">
        <f t="shared" si="27"/>
        <v>Africa</v>
      </c>
    </row>
    <row r="1751" spans="1:9" x14ac:dyDescent="0.3">
      <c r="A1751" t="s">
        <v>1665</v>
      </c>
      <c r="B1751">
        <v>94</v>
      </c>
      <c r="C1751" t="s">
        <v>45</v>
      </c>
      <c r="D1751">
        <v>58</v>
      </c>
      <c r="E1751">
        <v>76</v>
      </c>
      <c r="F1751">
        <v>4.9800000000000004</v>
      </c>
      <c r="G1751" t="s">
        <v>18</v>
      </c>
      <c r="H1751" t="s">
        <v>9</v>
      </c>
      <c r="I1751" t="str">
        <f t="shared" si="27"/>
        <v>Africa</v>
      </c>
    </row>
    <row r="1752" spans="1:9" x14ac:dyDescent="0.3">
      <c r="A1752" t="s">
        <v>1666</v>
      </c>
      <c r="B1752">
        <v>96</v>
      </c>
      <c r="C1752" t="s">
        <v>82</v>
      </c>
      <c r="D1752">
        <v>48</v>
      </c>
      <c r="E1752">
        <v>59</v>
      </c>
      <c r="F1752">
        <v>5.73</v>
      </c>
      <c r="G1752" t="s">
        <v>18</v>
      </c>
      <c r="H1752" t="s">
        <v>5</v>
      </c>
      <c r="I1752" t="str">
        <f t="shared" si="27"/>
        <v>America</v>
      </c>
    </row>
    <row r="1753" spans="1:9" x14ac:dyDescent="0.3">
      <c r="A1753" t="s">
        <v>474</v>
      </c>
      <c r="B1753">
        <v>94</v>
      </c>
      <c r="C1753" t="s">
        <v>45</v>
      </c>
      <c r="D1753">
        <v>56</v>
      </c>
      <c r="E1753">
        <v>74</v>
      </c>
      <c r="F1753">
        <v>4.7300000000000004</v>
      </c>
      <c r="G1753" t="s">
        <v>18</v>
      </c>
      <c r="H1753" t="s">
        <v>12</v>
      </c>
      <c r="I1753" t="str">
        <f t="shared" si="27"/>
        <v>Africa</v>
      </c>
    </row>
    <row r="1754" spans="1:9" x14ac:dyDescent="0.3">
      <c r="A1754" t="s">
        <v>1667</v>
      </c>
      <c r="B1754">
        <v>95</v>
      </c>
      <c r="C1754" t="s">
        <v>45</v>
      </c>
      <c r="D1754">
        <v>57</v>
      </c>
      <c r="E1754">
        <v>78</v>
      </c>
      <c r="F1754">
        <v>4.6399999999999997</v>
      </c>
      <c r="G1754" t="s">
        <v>18</v>
      </c>
      <c r="H1754" t="s">
        <v>15</v>
      </c>
      <c r="I1754" t="str">
        <f t="shared" si="27"/>
        <v>America</v>
      </c>
    </row>
    <row r="1755" spans="1:9" x14ac:dyDescent="0.3">
      <c r="A1755" t="s">
        <v>1668</v>
      </c>
      <c r="B1755">
        <v>94</v>
      </c>
      <c r="C1755" t="s">
        <v>41</v>
      </c>
      <c r="D1755">
        <v>62</v>
      </c>
      <c r="E1755">
        <v>87</v>
      </c>
      <c r="F1755">
        <v>8</v>
      </c>
      <c r="G1755" t="s">
        <v>30</v>
      </c>
      <c r="H1755" t="s">
        <v>21</v>
      </c>
      <c r="I1755" t="str">
        <f t="shared" si="27"/>
        <v>America</v>
      </c>
    </row>
    <row r="1756" spans="1:9" x14ac:dyDescent="0.3">
      <c r="A1756" t="s">
        <v>1669</v>
      </c>
      <c r="B1756">
        <v>95</v>
      </c>
      <c r="C1756" t="s">
        <v>41</v>
      </c>
      <c r="D1756">
        <v>66</v>
      </c>
      <c r="E1756">
        <v>87</v>
      </c>
      <c r="F1756">
        <v>5.88</v>
      </c>
      <c r="G1756" t="s">
        <v>18</v>
      </c>
      <c r="H1756" t="s">
        <v>9</v>
      </c>
      <c r="I1756" t="str">
        <f t="shared" si="27"/>
        <v>Africa</v>
      </c>
    </row>
    <row r="1757" spans="1:9" x14ac:dyDescent="0.3">
      <c r="A1757" t="s">
        <v>1670</v>
      </c>
      <c r="B1757">
        <v>95</v>
      </c>
      <c r="C1757" t="s">
        <v>541</v>
      </c>
      <c r="D1757">
        <v>43</v>
      </c>
      <c r="E1757">
        <v>52</v>
      </c>
      <c r="F1757">
        <v>0.22</v>
      </c>
      <c r="G1757" t="s">
        <v>2</v>
      </c>
      <c r="H1757" t="s">
        <v>17</v>
      </c>
      <c r="I1757" t="str">
        <f t="shared" si="27"/>
        <v>Africa</v>
      </c>
    </row>
    <row r="1758" spans="1:9" x14ac:dyDescent="0.3">
      <c r="A1758" t="s">
        <v>1671</v>
      </c>
      <c r="B1758">
        <v>94</v>
      </c>
      <c r="C1758" t="s">
        <v>541</v>
      </c>
      <c r="D1758">
        <v>44</v>
      </c>
      <c r="E1758">
        <v>50</v>
      </c>
      <c r="F1758">
        <v>0.44</v>
      </c>
      <c r="G1758" t="s">
        <v>2</v>
      </c>
      <c r="H1758" t="s">
        <v>4</v>
      </c>
      <c r="I1758" t="str">
        <f t="shared" si="27"/>
        <v>America</v>
      </c>
    </row>
    <row r="1759" spans="1:9" x14ac:dyDescent="0.3">
      <c r="A1759" t="s">
        <v>1672</v>
      </c>
      <c r="B1759">
        <v>94</v>
      </c>
      <c r="C1759" t="s">
        <v>45</v>
      </c>
      <c r="D1759">
        <v>55</v>
      </c>
      <c r="E1759">
        <v>78</v>
      </c>
      <c r="F1759">
        <v>5.57</v>
      </c>
      <c r="G1759" t="s">
        <v>18</v>
      </c>
      <c r="H1759" t="s">
        <v>9</v>
      </c>
      <c r="I1759" t="str">
        <f t="shared" si="27"/>
        <v>Africa</v>
      </c>
    </row>
    <row r="1760" spans="1:9" x14ac:dyDescent="0.3">
      <c r="A1760" t="s">
        <v>1673</v>
      </c>
      <c r="B1760">
        <v>95</v>
      </c>
      <c r="C1760" t="s">
        <v>45</v>
      </c>
      <c r="D1760">
        <v>55</v>
      </c>
      <c r="E1760">
        <v>76</v>
      </c>
      <c r="F1760">
        <v>4.2300000000000004</v>
      </c>
      <c r="G1760" t="s">
        <v>18</v>
      </c>
      <c r="H1760" t="s">
        <v>12</v>
      </c>
      <c r="I1760" t="str">
        <f t="shared" si="27"/>
        <v>Africa</v>
      </c>
    </row>
    <row r="1761" spans="1:9" x14ac:dyDescent="0.3">
      <c r="A1761" t="s">
        <v>1674</v>
      </c>
      <c r="B1761">
        <v>96</v>
      </c>
      <c r="C1761" t="s">
        <v>41</v>
      </c>
      <c r="D1761">
        <v>67</v>
      </c>
      <c r="E1761">
        <v>88</v>
      </c>
      <c r="F1761">
        <v>22.49</v>
      </c>
      <c r="G1761" t="s">
        <v>18</v>
      </c>
      <c r="H1761" t="s">
        <v>5</v>
      </c>
      <c r="I1761" t="str">
        <f t="shared" si="27"/>
        <v>America</v>
      </c>
    </row>
    <row r="1762" spans="1:9" x14ac:dyDescent="0.3">
      <c r="A1762" t="s">
        <v>1675</v>
      </c>
      <c r="B1762">
        <v>94</v>
      </c>
      <c r="C1762" t="s">
        <v>45</v>
      </c>
      <c r="D1762">
        <v>58</v>
      </c>
      <c r="E1762">
        <v>71</v>
      </c>
      <c r="F1762">
        <v>16.41</v>
      </c>
      <c r="G1762" t="s">
        <v>18</v>
      </c>
      <c r="H1762" t="s">
        <v>9</v>
      </c>
      <c r="I1762" t="str">
        <f t="shared" si="27"/>
        <v>Africa</v>
      </c>
    </row>
    <row r="1763" spans="1:9" x14ac:dyDescent="0.3">
      <c r="A1763" t="s">
        <v>1676</v>
      </c>
      <c r="B1763">
        <v>94</v>
      </c>
      <c r="C1763" t="s">
        <v>45</v>
      </c>
      <c r="D1763">
        <v>60</v>
      </c>
      <c r="E1763">
        <v>75</v>
      </c>
      <c r="F1763">
        <v>4.4800000000000004</v>
      </c>
      <c r="G1763" t="s">
        <v>18</v>
      </c>
      <c r="H1763" t="s">
        <v>12</v>
      </c>
      <c r="I1763" t="str">
        <f t="shared" si="27"/>
        <v>Africa</v>
      </c>
    </row>
    <row r="1764" spans="1:9" x14ac:dyDescent="0.3">
      <c r="A1764" t="s">
        <v>1677</v>
      </c>
      <c r="B1764">
        <v>95</v>
      </c>
      <c r="C1764" t="s">
        <v>45</v>
      </c>
      <c r="D1764">
        <v>54</v>
      </c>
      <c r="E1764">
        <v>70</v>
      </c>
      <c r="F1764">
        <v>5.14</v>
      </c>
      <c r="G1764" t="s">
        <v>18</v>
      </c>
      <c r="H1764" t="s">
        <v>12</v>
      </c>
      <c r="I1764" t="str">
        <f t="shared" si="27"/>
        <v>Africa</v>
      </c>
    </row>
    <row r="1765" spans="1:9" x14ac:dyDescent="0.3">
      <c r="A1765" t="s">
        <v>1678</v>
      </c>
      <c r="B1765">
        <v>95</v>
      </c>
      <c r="C1765" t="s">
        <v>45</v>
      </c>
      <c r="D1765">
        <v>59</v>
      </c>
      <c r="E1765">
        <v>75</v>
      </c>
      <c r="F1765">
        <v>3.97</v>
      </c>
      <c r="G1765" t="s">
        <v>18</v>
      </c>
      <c r="H1765" t="s">
        <v>12</v>
      </c>
      <c r="I1765" t="str">
        <f t="shared" si="27"/>
        <v>Africa</v>
      </c>
    </row>
    <row r="1766" spans="1:9" x14ac:dyDescent="0.3">
      <c r="A1766" t="s">
        <v>1679</v>
      </c>
      <c r="B1766">
        <v>94</v>
      </c>
      <c r="C1766" t="s">
        <v>45</v>
      </c>
      <c r="D1766">
        <v>57</v>
      </c>
      <c r="E1766">
        <v>76</v>
      </c>
      <c r="F1766">
        <v>6.61</v>
      </c>
      <c r="G1766" t="s">
        <v>18</v>
      </c>
      <c r="H1766" t="s">
        <v>9</v>
      </c>
      <c r="I1766" t="str">
        <f t="shared" si="27"/>
        <v>Africa</v>
      </c>
    </row>
    <row r="1767" spans="1:9" x14ac:dyDescent="0.3">
      <c r="A1767" t="s">
        <v>1680</v>
      </c>
      <c r="B1767">
        <v>96</v>
      </c>
      <c r="C1767" t="s">
        <v>45</v>
      </c>
      <c r="D1767">
        <v>58</v>
      </c>
      <c r="E1767">
        <v>72</v>
      </c>
      <c r="F1767">
        <v>17.64</v>
      </c>
      <c r="G1767" t="s">
        <v>18</v>
      </c>
      <c r="H1767" t="s">
        <v>5</v>
      </c>
      <c r="I1767" t="str">
        <f t="shared" si="27"/>
        <v>America</v>
      </c>
    </row>
    <row r="1768" spans="1:9" x14ac:dyDescent="0.3">
      <c r="A1768" t="s">
        <v>1681</v>
      </c>
      <c r="B1768">
        <v>94</v>
      </c>
      <c r="C1768" t="s">
        <v>82</v>
      </c>
      <c r="D1768">
        <v>48</v>
      </c>
      <c r="E1768">
        <v>60</v>
      </c>
      <c r="F1768">
        <v>4.3899999999999997</v>
      </c>
      <c r="G1768" t="s">
        <v>18</v>
      </c>
      <c r="H1768" t="s">
        <v>150</v>
      </c>
      <c r="I1768" t="str">
        <f t="shared" si="27"/>
        <v>NULL</v>
      </c>
    </row>
    <row r="1769" spans="1:9" x14ac:dyDescent="0.3">
      <c r="A1769" t="s">
        <v>1682</v>
      </c>
      <c r="B1769">
        <v>97</v>
      </c>
      <c r="C1769" t="s">
        <v>82</v>
      </c>
      <c r="D1769">
        <v>52</v>
      </c>
      <c r="E1769">
        <v>66</v>
      </c>
      <c r="F1769">
        <v>26.43</v>
      </c>
      <c r="G1769" t="s">
        <v>18</v>
      </c>
      <c r="H1769" t="s">
        <v>5</v>
      </c>
      <c r="I1769" t="str">
        <f t="shared" si="27"/>
        <v>America</v>
      </c>
    </row>
    <row r="1770" spans="1:9" x14ac:dyDescent="0.3">
      <c r="A1770" t="s">
        <v>1683</v>
      </c>
      <c r="B1770">
        <v>94</v>
      </c>
      <c r="C1770" t="s">
        <v>82</v>
      </c>
      <c r="D1770">
        <v>47</v>
      </c>
      <c r="E1770">
        <v>60</v>
      </c>
      <c r="F1770">
        <v>3.81</v>
      </c>
      <c r="G1770" t="s">
        <v>18</v>
      </c>
      <c r="H1770" t="s">
        <v>3</v>
      </c>
      <c r="I1770" t="str">
        <f t="shared" si="27"/>
        <v>America</v>
      </c>
    </row>
    <row r="1771" spans="1:9" x14ac:dyDescent="0.3">
      <c r="A1771" t="s">
        <v>1684</v>
      </c>
      <c r="B1771">
        <v>94</v>
      </c>
      <c r="C1771" t="s">
        <v>45</v>
      </c>
      <c r="D1771">
        <v>55</v>
      </c>
      <c r="E1771">
        <v>69</v>
      </c>
      <c r="F1771">
        <v>4.12</v>
      </c>
      <c r="G1771" t="s">
        <v>18</v>
      </c>
      <c r="H1771" t="s">
        <v>150</v>
      </c>
      <c r="I1771" t="str">
        <f t="shared" si="27"/>
        <v>NULL</v>
      </c>
    </row>
    <row r="1772" spans="1:9" x14ac:dyDescent="0.3">
      <c r="A1772" t="s">
        <v>1685</v>
      </c>
      <c r="B1772">
        <v>96</v>
      </c>
      <c r="C1772" t="s">
        <v>45</v>
      </c>
      <c r="D1772">
        <v>54</v>
      </c>
      <c r="E1772">
        <v>76</v>
      </c>
      <c r="F1772">
        <v>7.33</v>
      </c>
      <c r="G1772" t="s">
        <v>18</v>
      </c>
      <c r="H1772" t="s">
        <v>12</v>
      </c>
      <c r="I1772" t="str">
        <f t="shared" si="27"/>
        <v>Africa</v>
      </c>
    </row>
    <row r="1773" spans="1:9" x14ac:dyDescent="0.3">
      <c r="A1773" t="s">
        <v>1686</v>
      </c>
      <c r="B1773">
        <v>94</v>
      </c>
      <c r="C1773" t="s">
        <v>45</v>
      </c>
      <c r="D1773">
        <v>54</v>
      </c>
      <c r="E1773">
        <v>74</v>
      </c>
      <c r="F1773">
        <v>6.17</v>
      </c>
      <c r="G1773" t="s">
        <v>18</v>
      </c>
      <c r="H1773" t="s">
        <v>24</v>
      </c>
      <c r="I1773" t="str">
        <f t="shared" si="27"/>
        <v>Africa</v>
      </c>
    </row>
    <row r="1774" spans="1:9" x14ac:dyDescent="0.3">
      <c r="A1774" t="s">
        <v>1687</v>
      </c>
      <c r="B1774">
        <v>94</v>
      </c>
      <c r="C1774" t="s">
        <v>41</v>
      </c>
      <c r="D1774">
        <v>65</v>
      </c>
      <c r="E1774">
        <v>87</v>
      </c>
      <c r="F1774">
        <v>4.41</v>
      </c>
      <c r="G1774" t="s">
        <v>18</v>
      </c>
      <c r="H1774" t="s">
        <v>9</v>
      </c>
      <c r="I1774" t="str">
        <f t="shared" si="27"/>
        <v>Africa</v>
      </c>
    </row>
    <row r="1775" spans="1:9" x14ac:dyDescent="0.3">
      <c r="A1775" t="s">
        <v>1688</v>
      </c>
      <c r="B1775">
        <v>94</v>
      </c>
      <c r="C1775" t="s">
        <v>45</v>
      </c>
      <c r="D1775">
        <v>54</v>
      </c>
      <c r="E1775">
        <v>74</v>
      </c>
      <c r="F1775">
        <v>8.3800000000000008</v>
      </c>
      <c r="G1775" t="s">
        <v>18</v>
      </c>
      <c r="H1775" t="s">
        <v>8</v>
      </c>
      <c r="I1775" t="str">
        <f t="shared" si="27"/>
        <v>Africa</v>
      </c>
    </row>
    <row r="1776" spans="1:9" x14ac:dyDescent="0.3">
      <c r="A1776" t="s">
        <v>1689</v>
      </c>
      <c r="B1776">
        <v>94</v>
      </c>
      <c r="C1776" t="s">
        <v>41</v>
      </c>
      <c r="D1776">
        <v>78</v>
      </c>
      <c r="E1776">
        <v>99</v>
      </c>
      <c r="F1776">
        <v>5.58</v>
      </c>
      <c r="G1776" t="s">
        <v>18</v>
      </c>
      <c r="H1776" t="s">
        <v>21</v>
      </c>
      <c r="I1776" t="str">
        <f t="shared" si="27"/>
        <v>America</v>
      </c>
    </row>
    <row r="1777" spans="1:9" x14ac:dyDescent="0.3">
      <c r="A1777" t="s">
        <v>935</v>
      </c>
      <c r="B1777">
        <v>95</v>
      </c>
      <c r="C1777" t="s">
        <v>45</v>
      </c>
      <c r="D1777">
        <v>57</v>
      </c>
      <c r="E1777">
        <v>78</v>
      </c>
      <c r="F1777">
        <v>5.59</v>
      </c>
      <c r="G1777" t="s">
        <v>18</v>
      </c>
      <c r="H1777" t="s">
        <v>9</v>
      </c>
      <c r="I1777" t="str">
        <f t="shared" si="27"/>
        <v>Africa</v>
      </c>
    </row>
    <row r="1778" spans="1:9" x14ac:dyDescent="0.3">
      <c r="A1778" t="s">
        <v>1690</v>
      </c>
      <c r="B1778">
        <v>94</v>
      </c>
      <c r="C1778" t="s">
        <v>45</v>
      </c>
      <c r="D1778">
        <v>61</v>
      </c>
      <c r="E1778">
        <v>79</v>
      </c>
      <c r="F1778">
        <v>3.75</v>
      </c>
      <c r="G1778" t="s">
        <v>2</v>
      </c>
      <c r="H1778" t="s">
        <v>9</v>
      </c>
      <c r="I1778" t="str">
        <f t="shared" si="27"/>
        <v>Africa</v>
      </c>
    </row>
    <row r="1779" spans="1:9" x14ac:dyDescent="0.3">
      <c r="A1779" t="s">
        <v>1691</v>
      </c>
      <c r="B1779">
        <v>94</v>
      </c>
      <c r="C1779" t="s">
        <v>41</v>
      </c>
      <c r="D1779">
        <v>62</v>
      </c>
      <c r="E1779">
        <v>88</v>
      </c>
      <c r="F1779">
        <v>5.29</v>
      </c>
      <c r="G1779" t="s">
        <v>18</v>
      </c>
      <c r="H1779" t="s">
        <v>9</v>
      </c>
      <c r="I1779" t="str">
        <f t="shared" si="27"/>
        <v>Africa</v>
      </c>
    </row>
    <row r="1780" spans="1:9" x14ac:dyDescent="0.3">
      <c r="A1780" t="s">
        <v>1467</v>
      </c>
      <c r="B1780">
        <v>94</v>
      </c>
      <c r="C1780" t="s">
        <v>45</v>
      </c>
      <c r="D1780">
        <v>55</v>
      </c>
      <c r="E1780">
        <v>72</v>
      </c>
      <c r="F1780">
        <v>3.53</v>
      </c>
      <c r="G1780" t="s">
        <v>31</v>
      </c>
      <c r="H1780" t="s">
        <v>150</v>
      </c>
      <c r="I1780" t="str">
        <f t="shared" si="27"/>
        <v>NULL</v>
      </c>
    </row>
    <row r="1781" spans="1:9" x14ac:dyDescent="0.3">
      <c r="A1781" t="s">
        <v>1692</v>
      </c>
      <c r="B1781">
        <v>94</v>
      </c>
      <c r="C1781" t="s">
        <v>82</v>
      </c>
      <c r="D1781">
        <v>47</v>
      </c>
      <c r="E1781">
        <v>56</v>
      </c>
      <c r="F1781">
        <v>0.44</v>
      </c>
      <c r="G1781" t="s">
        <v>2</v>
      </c>
      <c r="H1781" t="s">
        <v>14</v>
      </c>
      <c r="I1781" t="str">
        <f t="shared" si="27"/>
        <v>America</v>
      </c>
    </row>
    <row r="1782" spans="1:9" x14ac:dyDescent="0.3">
      <c r="A1782" t="s">
        <v>1693</v>
      </c>
      <c r="B1782">
        <v>94</v>
      </c>
      <c r="C1782" t="s">
        <v>41</v>
      </c>
      <c r="D1782">
        <v>68</v>
      </c>
      <c r="E1782">
        <v>92</v>
      </c>
      <c r="F1782">
        <v>5.59</v>
      </c>
      <c r="G1782" t="s">
        <v>18</v>
      </c>
      <c r="H1782" t="s">
        <v>15</v>
      </c>
      <c r="I1782" t="str">
        <f t="shared" si="27"/>
        <v>America</v>
      </c>
    </row>
    <row r="1783" spans="1:9" x14ac:dyDescent="0.3">
      <c r="A1783" t="s">
        <v>1694</v>
      </c>
      <c r="B1783">
        <v>94</v>
      </c>
      <c r="C1783" t="s">
        <v>41</v>
      </c>
      <c r="D1783">
        <v>66</v>
      </c>
      <c r="E1783">
        <v>99</v>
      </c>
      <c r="F1783">
        <v>264.32</v>
      </c>
      <c r="G1783" t="s">
        <v>2</v>
      </c>
      <c r="H1783" t="s">
        <v>150</v>
      </c>
      <c r="I1783" t="str">
        <f t="shared" si="27"/>
        <v>NULL</v>
      </c>
    </row>
    <row r="1784" spans="1:9" x14ac:dyDescent="0.3">
      <c r="A1784" t="s">
        <v>1695</v>
      </c>
      <c r="B1784">
        <v>95</v>
      </c>
      <c r="C1784" t="s">
        <v>41</v>
      </c>
      <c r="D1784">
        <v>63</v>
      </c>
      <c r="E1784">
        <v>81</v>
      </c>
      <c r="F1784">
        <v>5.14</v>
      </c>
      <c r="G1784" t="s">
        <v>18</v>
      </c>
      <c r="H1784" t="s">
        <v>5</v>
      </c>
      <c r="I1784" t="str">
        <f t="shared" si="27"/>
        <v>America</v>
      </c>
    </row>
    <row r="1785" spans="1:9" x14ac:dyDescent="0.3">
      <c r="A1785" t="s">
        <v>1696</v>
      </c>
      <c r="B1785">
        <v>94</v>
      </c>
      <c r="C1785" t="s">
        <v>45</v>
      </c>
      <c r="D1785">
        <v>54</v>
      </c>
      <c r="E1785">
        <v>70</v>
      </c>
      <c r="F1785">
        <v>5.29</v>
      </c>
      <c r="G1785" t="s">
        <v>18</v>
      </c>
      <c r="H1785" t="s">
        <v>16</v>
      </c>
      <c r="I1785" t="str">
        <f t="shared" si="27"/>
        <v>Asia-Pacific</v>
      </c>
    </row>
    <row r="1786" spans="1:9" x14ac:dyDescent="0.3">
      <c r="A1786" t="s">
        <v>955</v>
      </c>
      <c r="B1786">
        <v>94</v>
      </c>
      <c r="C1786" t="s">
        <v>82</v>
      </c>
      <c r="D1786">
        <v>52</v>
      </c>
      <c r="E1786">
        <v>68</v>
      </c>
      <c r="F1786">
        <v>231.11</v>
      </c>
      <c r="G1786" t="s">
        <v>2</v>
      </c>
      <c r="H1786" t="s">
        <v>150</v>
      </c>
      <c r="I1786" t="str">
        <f t="shared" si="27"/>
        <v>NULL</v>
      </c>
    </row>
    <row r="1787" spans="1:9" x14ac:dyDescent="0.3">
      <c r="A1787" t="s">
        <v>1697</v>
      </c>
      <c r="B1787">
        <v>96</v>
      </c>
      <c r="C1787" t="s">
        <v>45</v>
      </c>
      <c r="D1787">
        <v>59</v>
      </c>
      <c r="E1787">
        <v>80</v>
      </c>
      <c r="F1787">
        <v>466.67</v>
      </c>
      <c r="G1787" t="s">
        <v>11</v>
      </c>
      <c r="H1787" t="s">
        <v>150</v>
      </c>
      <c r="I1787" t="str">
        <f t="shared" si="27"/>
        <v>NULL</v>
      </c>
    </row>
    <row r="1788" spans="1:9" x14ac:dyDescent="0.3">
      <c r="A1788" t="s">
        <v>1698</v>
      </c>
      <c r="B1788">
        <v>94</v>
      </c>
      <c r="C1788" t="s">
        <v>45</v>
      </c>
      <c r="D1788">
        <v>60</v>
      </c>
      <c r="E1788">
        <v>74</v>
      </c>
      <c r="F1788">
        <v>187.2</v>
      </c>
      <c r="G1788" t="s">
        <v>11</v>
      </c>
      <c r="H1788" t="s">
        <v>150</v>
      </c>
      <c r="I1788" t="str">
        <f t="shared" si="27"/>
        <v>NULL</v>
      </c>
    </row>
    <row r="1789" spans="1:9" x14ac:dyDescent="0.3">
      <c r="A1789" t="s">
        <v>1699</v>
      </c>
      <c r="B1789">
        <v>95</v>
      </c>
      <c r="C1789" t="s">
        <v>45</v>
      </c>
      <c r="D1789">
        <v>60</v>
      </c>
      <c r="E1789">
        <v>79</v>
      </c>
      <c r="F1789">
        <v>5.42</v>
      </c>
      <c r="G1789" t="s">
        <v>18</v>
      </c>
      <c r="H1789" t="s">
        <v>12</v>
      </c>
      <c r="I1789" t="str">
        <f t="shared" si="27"/>
        <v>Africa</v>
      </c>
    </row>
    <row r="1790" spans="1:9" x14ac:dyDescent="0.3">
      <c r="A1790" t="s">
        <v>1700</v>
      </c>
      <c r="B1790">
        <v>94</v>
      </c>
      <c r="C1790" t="s">
        <v>45</v>
      </c>
      <c r="D1790">
        <v>58</v>
      </c>
      <c r="E1790">
        <v>72</v>
      </c>
      <c r="F1790">
        <v>9.1</v>
      </c>
      <c r="G1790" t="s">
        <v>18</v>
      </c>
      <c r="H1790" t="s">
        <v>9</v>
      </c>
      <c r="I1790" t="str">
        <f t="shared" si="27"/>
        <v>Africa</v>
      </c>
    </row>
    <row r="1791" spans="1:9" x14ac:dyDescent="0.3">
      <c r="A1791" t="s">
        <v>1701</v>
      </c>
      <c r="B1791">
        <v>95</v>
      </c>
      <c r="C1791" t="s">
        <v>41</v>
      </c>
      <c r="D1791">
        <v>64</v>
      </c>
      <c r="E1791">
        <v>94</v>
      </c>
      <c r="F1791">
        <v>4.26</v>
      </c>
      <c r="G1791" t="s">
        <v>18</v>
      </c>
      <c r="H1791" t="s">
        <v>9</v>
      </c>
      <c r="I1791" t="str">
        <f t="shared" si="27"/>
        <v>Africa</v>
      </c>
    </row>
    <row r="1792" spans="1:9" x14ac:dyDescent="0.3">
      <c r="A1792" t="s">
        <v>1377</v>
      </c>
      <c r="B1792">
        <v>95</v>
      </c>
      <c r="C1792" t="s">
        <v>41</v>
      </c>
      <c r="D1792">
        <v>62</v>
      </c>
      <c r="E1792">
        <v>88</v>
      </c>
      <c r="F1792">
        <v>21.38</v>
      </c>
      <c r="G1792" t="s">
        <v>18</v>
      </c>
      <c r="H1792" t="s">
        <v>150</v>
      </c>
      <c r="I1792" t="str">
        <f t="shared" si="27"/>
        <v>NULL</v>
      </c>
    </row>
    <row r="1793" spans="1:9" x14ac:dyDescent="0.3">
      <c r="A1793" t="s">
        <v>1702</v>
      </c>
      <c r="B1793">
        <v>94</v>
      </c>
      <c r="C1793" t="s">
        <v>82</v>
      </c>
      <c r="D1793">
        <v>47</v>
      </c>
      <c r="E1793">
        <v>65</v>
      </c>
      <c r="F1793">
        <v>5.29</v>
      </c>
      <c r="G1793" t="s">
        <v>18</v>
      </c>
      <c r="H1793" t="s">
        <v>16</v>
      </c>
      <c r="I1793" t="str">
        <f t="shared" si="27"/>
        <v>Asia-Pacific</v>
      </c>
    </row>
    <row r="1794" spans="1:9" x14ac:dyDescent="0.3">
      <c r="A1794" t="s">
        <v>1696</v>
      </c>
      <c r="B1794">
        <v>94</v>
      </c>
      <c r="C1794" t="s">
        <v>45</v>
      </c>
      <c r="D1794">
        <v>56</v>
      </c>
      <c r="E1794">
        <v>70</v>
      </c>
      <c r="F1794">
        <v>5.07</v>
      </c>
      <c r="G1794" t="s">
        <v>18</v>
      </c>
      <c r="H1794" t="s">
        <v>16</v>
      </c>
      <c r="I1794" t="str">
        <f t="shared" si="27"/>
        <v>Asia-Pacific</v>
      </c>
    </row>
    <row r="1795" spans="1:9" x14ac:dyDescent="0.3">
      <c r="A1795" t="s">
        <v>1703</v>
      </c>
      <c r="B1795">
        <v>94</v>
      </c>
      <c r="C1795" t="s">
        <v>82</v>
      </c>
      <c r="D1795">
        <v>49</v>
      </c>
      <c r="E1795">
        <v>62</v>
      </c>
      <c r="F1795">
        <v>2.65</v>
      </c>
      <c r="G1795" t="s">
        <v>2</v>
      </c>
      <c r="H1795" t="s">
        <v>9</v>
      </c>
      <c r="I1795" t="str">
        <f t="shared" ref="I1795:I1858" si="28">_xlfn.XLOOKUP(H1795, $M$2:$M$50, $N$2:$N$50, "Other")</f>
        <v>Africa</v>
      </c>
    </row>
    <row r="1796" spans="1:9" x14ac:dyDescent="0.3">
      <c r="A1796" t="s">
        <v>1704</v>
      </c>
      <c r="B1796">
        <v>94</v>
      </c>
      <c r="C1796" t="s">
        <v>41</v>
      </c>
      <c r="D1796">
        <v>65</v>
      </c>
      <c r="E1796">
        <v>86</v>
      </c>
      <c r="F1796">
        <v>8.08</v>
      </c>
      <c r="G1796" t="s">
        <v>18</v>
      </c>
      <c r="H1796" t="s">
        <v>14</v>
      </c>
      <c r="I1796" t="str">
        <f t="shared" si="28"/>
        <v>America</v>
      </c>
    </row>
    <row r="1797" spans="1:9" x14ac:dyDescent="0.3">
      <c r="A1797" t="s">
        <v>1705</v>
      </c>
      <c r="B1797">
        <v>96</v>
      </c>
      <c r="C1797" t="s">
        <v>45</v>
      </c>
      <c r="D1797">
        <v>57</v>
      </c>
      <c r="E1797">
        <v>83</v>
      </c>
      <c r="F1797">
        <v>16.23</v>
      </c>
      <c r="G1797" t="s">
        <v>18</v>
      </c>
      <c r="H1797" t="s">
        <v>5</v>
      </c>
      <c r="I1797" t="str">
        <f t="shared" si="28"/>
        <v>America</v>
      </c>
    </row>
    <row r="1798" spans="1:9" x14ac:dyDescent="0.3">
      <c r="A1798" t="s">
        <v>1706</v>
      </c>
      <c r="B1798">
        <v>94</v>
      </c>
      <c r="C1798" t="s">
        <v>41</v>
      </c>
      <c r="D1798">
        <v>65</v>
      </c>
      <c r="E1798">
        <v>85</v>
      </c>
      <c r="F1798">
        <v>5.29</v>
      </c>
      <c r="G1798" t="s">
        <v>18</v>
      </c>
      <c r="H1798" t="s">
        <v>9</v>
      </c>
      <c r="I1798" t="str">
        <f t="shared" si="28"/>
        <v>Africa</v>
      </c>
    </row>
    <row r="1799" spans="1:9" x14ac:dyDescent="0.3">
      <c r="A1799" t="s">
        <v>1682</v>
      </c>
      <c r="B1799">
        <v>96</v>
      </c>
      <c r="C1799" t="s">
        <v>45</v>
      </c>
      <c r="D1799">
        <v>57</v>
      </c>
      <c r="E1799">
        <v>81</v>
      </c>
      <c r="F1799">
        <v>21.72</v>
      </c>
      <c r="G1799" t="s">
        <v>18</v>
      </c>
      <c r="H1799" t="s">
        <v>5</v>
      </c>
      <c r="I1799" t="str">
        <f t="shared" si="28"/>
        <v>America</v>
      </c>
    </row>
    <row r="1800" spans="1:9" x14ac:dyDescent="0.3">
      <c r="A1800" t="s">
        <v>1707</v>
      </c>
      <c r="B1800">
        <v>94</v>
      </c>
      <c r="C1800" t="s">
        <v>45</v>
      </c>
      <c r="D1800">
        <v>58</v>
      </c>
      <c r="E1800">
        <v>81</v>
      </c>
      <c r="F1800">
        <v>5.29</v>
      </c>
      <c r="G1800" t="s">
        <v>18</v>
      </c>
      <c r="H1800" t="s">
        <v>12</v>
      </c>
      <c r="I1800" t="str">
        <f t="shared" si="28"/>
        <v>Africa</v>
      </c>
    </row>
    <row r="1801" spans="1:9" x14ac:dyDescent="0.3">
      <c r="A1801" t="s">
        <v>1708</v>
      </c>
      <c r="B1801">
        <v>95</v>
      </c>
      <c r="C1801" t="s">
        <v>45</v>
      </c>
      <c r="D1801">
        <v>56</v>
      </c>
      <c r="E1801">
        <v>77</v>
      </c>
      <c r="F1801">
        <v>5.14</v>
      </c>
      <c r="G1801" t="s">
        <v>18</v>
      </c>
      <c r="H1801" t="s">
        <v>12</v>
      </c>
      <c r="I1801" t="str">
        <f t="shared" si="28"/>
        <v>Africa</v>
      </c>
    </row>
    <row r="1802" spans="1:9" x14ac:dyDescent="0.3">
      <c r="A1802" t="s">
        <v>1709</v>
      </c>
      <c r="B1802">
        <v>94</v>
      </c>
      <c r="C1802" t="s">
        <v>45</v>
      </c>
      <c r="D1802">
        <v>56</v>
      </c>
      <c r="E1802">
        <v>72</v>
      </c>
      <c r="F1802">
        <v>6</v>
      </c>
      <c r="G1802" t="s">
        <v>30</v>
      </c>
      <c r="H1802" t="s">
        <v>150</v>
      </c>
      <c r="I1802" t="str">
        <f t="shared" si="28"/>
        <v>NULL</v>
      </c>
    </row>
    <row r="1803" spans="1:9" x14ac:dyDescent="0.3">
      <c r="A1803" t="s">
        <v>1710</v>
      </c>
      <c r="B1803">
        <v>94</v>
      </c>
      <c r="C1803" t="s">
        <v>82</v>
      </c>
      <c r="D1803">
        <v>50</v>
      </c>
      <c r="E1803">
        <v>62</v>
      </c>
      <c r="F1803">
        <v>110.23</v>
      </c>
      <c r="G1803" t="s">
        <v>2</v>
      </c>
      <c r="H1803" t="s">
        <v>150</v>
      </c>
      <c r="I1803" t="str">
        <f t="shared" si="28"/>
        <v>NULL</v>
      </c>
    </row>
    <row r="1804" spans="1:9" x14ac:dyDescent="0.3">
      <c r="A1804" t="s">
        <v>1711</v>
      </c>
      <c r="B1804">
        <v>95</v>
      </c>
      <c r="C1804" t="s">
        <v>45</v>
      </c>
      <c r="D1804">
        <v>55</v>
      </c>
      <c r="E1804">
        <v>75</v>
      </c>
      <c r="F1804">
        <v>4.92</v>
      </c>
      <c r="G1804" t="s">
        <v>18</v>
      </c>
      <c r="H1804" t="s">
        <v>9</v>
      </c>
      <c r="I1804" t="str">
        <f t="shared" si="28"/>
        <v>Africa</v>
      </c>
    </row>
    <row r="1805" spans="1:9" x14ac:dyDescent="0.3">
      <c r="A1805" t="s">
        <v>1712</v>
      </c>
      <c r="B1805">
        <v>94</v>
      </c>
      <c r="C1805" t="s">
        <v>41</v>
      </c>
      <c r="D1805">
        <v>60</v>
      </c>
      <c r="E1805">
        <v>83</v>
      </c>
      <c r="F1805">
        <v>5.22</v>
      </c>
      <c r="G1805" t="s">
        <v>18</v>
      </c>
      <c r="H1805" t="s">
        <v>9</v>
      </c>
      <c r="I1805" t="str">
        <f t="shared" si="28"/>
        <v>Africa</v>
      </c>
    </row>
    <row r="1806" spans="1:9" x14ac:dyDescent="0.3">
      <c r="A1806" t="s">
        <v>1713</v>
      </c>
      <c r="B1806">
        <v>94</v>
      </c>
      <c r="C1806" t="s">
        <v>41</v>
      </c>
      <c r="D1806">
        <v>65</v>
      </c>
      <c r="E1806">
        <v>88</v>
      </c>
      <c r="F1806">
        <v>3.97</v>
      </c>
      <c r="G1806" t="s">
        <v>2</v>
      </c>
      <c r="H1806" t="s">
        <v>9</v>
      </c>
      <c r="I1806" t="str">
        <f t="shared" si="28"/>
        <v>Africa</v>
      </c>
    </row>
    <row r="1807" spans="1:9" x14ac:dyDescent="0.3">
      <c r="A1807" t="s">
        <v>1714</v>
      </c>
      <c r="B1807">
        <v>94</v>
      </c>
      <c r="C1807" t="s">
        <v>82</v>
      </c>
      <c r="D1807">
        <v>53</v>
      </c>
      <c r="E1807">
        <v>68</v>
      </c>
      <c r="F1807">
        <v>5.29</v>
      </c>
      <c r="G1807" t="s">
        <v>18</v>
      </c>
      <c r="H1807" t="s">
        <v>12</v>
      </c>
      <c r="I1807" t="str">
        <f t="shared" si="28"/>
        <v>Africa</v>
      </c>
    </row>
    <row r="1808" spans="1:9" x14ac:dyDescent="0.3">
      <c r="A1808" t="s">
        <v>1715</v>
      </c>
      <c r="B1808">
        <v>94</v>
      </c>
      <c r="C1808" t="s">
        <v>82</v>
      </c>
      <c r="D1808">
        <v>49</v>
      </c>
      <c r="E1808">
        <v>65</v>
      </c>
      <c r="F1808">
        <v>5.73</v>
      </c>
      <c r="G1808" t="s">
        <v>18</v>
      </c>
      <c r="H1808" t="s">
        <v>12</v>
      </c>
      <c r="I1808" t="str">
        <f t="shared" si="28"/>
        <v>Africa</v>
      </c>
    </row>
    <row r="1809" spans="1:9" x14ac:dyDescent="0.3">
      <c r="A1809" t="s">
        <v>1716</v>
      </c>
      <c r="B1809">
        <v>94</v>
      </c>
      <c r="C1809" t="s">
        <v>45</v>
      </c>
      <c r="D1809">
        <v>58</v>
      </c>
      <c r="E1809">
        <v>83</v>
      </c>
      <c r="F1809">
        <v>5.29</v>
      </c>
      <c r="G1809" t="s">
        <v>18</v>
      </c>
      <c r="H1809" t="s">
        <v>9</v>
      </c>
      <c r="I1809" t="str">
        <f t="shared" si="28"/>
        <v>Africa</v>
      </c>
    </row>
    <row r="1810" spans="1:9" x14ac:dyDescent="0.3">
      <c r="A1810" t="s">
        <v>1717</v>
      </c>
      <c r="B1810">
        <v>95</v>
      </c>
      <c r="C1810" t="s">
        <v>45</v>
      </c>
      <c r="D1810">
        <v>56</v>
      </c>
      <c r="E1810">
        <v>79</v>
      </c>
      <c r="F1810">
        <v>220.46</v>
      </c>
      <c r="G1810" t="s">
        <v>2</v>
      </c>
      <c r="H1810" t="s">
        <v>12</v>
      </c>
      <c r="I1810" t="str">
        <f t="shared" si="28"/>
        <v>Africa</v>
      </c>
    </row>
    <row r="1811" spans="1:9" x14ac:dyDescent="0.3">
      <c r="A1811" t="s">
        <v>1718</v>
      </c>
      <c r="B1811">
        <v>95</v>
      </c>
      <c r="C1811" t="s">
        <v>82</v>
      </c>
      <c r="D1811">
        <v>52</v>
      </c>
      <c r="E1811">
        <v>65</v>
      </c>
      <c r="F1811">
        <v>4.3899999999999997</v>
      </c>
      <c r="G1811" t="s">
        <v>18</v>
      </c>
      <c r="H1811" t="s">
        <v>9</v>
      </c>
      <c r="I1811" t="str">
        <f t="shared" si="28"/>
        <v>Africa</v>
      </c>
    </row>
    <row r="1812" spans="1:9" x14ac:dyDescent="0.3">
      <c r="A1812" t="s">
        <v>1719</v>
      </c>
      <c r="B1812">
        <v>94</v>
      </c>
      <c r="C1812" t="s">
        <v>82</v>
      </c>
      <c r="D1812">
        <v>48</v>
      </c>
      <c r="E1812">
        <v>54</v>
      </c>
      <c r="F1812">
        <v>127.87</v>
      </c>
      <c r="G1812" t="s">
        <v>2</v>
      </c>
      <c r="H1812" t="s">
        <v>150</v>
      </c>
      <c r="I1812" t="str">
        <f t="shared" si="28"/>
        <v>NULL</v>
      </c>
    </row>
    <row r="1813" spans="1:9" x14ac:dyDescent="0.3">
      <c r="A1813" t="s">
        <v>1720</v>
      </c>
      <c r="B1813">
        <v>96</v>
      </c>
      <c r="C1813" t="s">
        <v>41</v>
      </c>
      <c r="D1813">
        <v>71</v>
      </c>
      <c r="E1813">
        <v>89</v>
      </c>
      <c r="F1813">
        <v>19.84</v>
      </c>
      <c r="G1813" t="s">
        <v>18</v>
      </c>
      <c r="H1813" t="s">
        <v>150</v>
      </c>
      <c r="I1813" t="str">
        <f t="shared" si="28"/>
        <v>NULL</v>
      </c>
    </row>
    <row r="1814" spans="1:9" x14ac:dyDescent="0.3">
      <c r="A1814" t="s">
        <v>1721</v>
      </c>
      <c r="B1814">
        <v>94</v>
      </c>
      <c r="C1814" t="s">
        <v>82</v>
      </c>
      <c r="D1814">
        <v>53</v>
      </c>
      <c r="E1814">
        <v>66</v>
      </c>
      <c r="F1814">
        <v>5</v>
      </c>
      <c r="G1814" t="s">
        <v>18</v>
      </c>
      <c r="H1814" t="s">
        <v>9</v>
      </c>
      <c r="I1814" t="str">
        <f t="shared" si="28"/>
        <v>Africa</v>
      </c>
    </row>
    <row r="1815" spans="1:9" x14ac:dyDescent="0.3">
      <c r="A1815" t="s">
        <v>1722</v>
      </c>
      <c r="B1815">
        <v>95</v>
      </c>
      <c r="C1815" t="s">
        <v>41</v>
      </c>
      <c r="D1815">
        <v>64</v>
      </c>
      <c r="E1815">
        <v>85</v>
      </c>
      <c r="F1815">
        <v>7.35</v>
      </c>
      <c r="G1815" t="s">
        <v>18</v>
      </c>
      <c r="H1815" t="s">
        <v>9</v>
      </c>
      <c r="I1815" t="str">
        <f t="shared" si="28"/>
        <v>Africa</v>
      </c>
    </row>
    <row r="1816" spans="1:9" x14ac:dyDescent="0.3">
      <c r="A1816" t="s">
        <v>1565</v>
      </c>
      <c r="B1816">
        <v>94</v>
      </c>
      <c r="C1816" t="s">
        <v>82</v>
      </c>
      <c r="D1816">
        <v>53</v>
      </c>
      <c r="E1816">
        <v>68</v>
      </c>
      <c r="F1816">
        <v>15.85</v>
      </c>
      <c r="G1816" t="s">
        <v>18</v>
      </c>
      <c r="H1816" t="s">
        <v>150</v>
      </c>
      <c r="I1816" t="str">
        <f t="shared" si="28"/>
        <v>NULL</v>
      </c>
    </row>
    <row r="1817" spans="1:9" x14ac:dyDescent="0.3">
      <c r="A1817" t="s">
        <v>1723</v>
      </c>
      <c r="B1817">
        <v>95</v>
      </c>
      <c r="C1817" t="s">
        <v>41</v>
      </c>
      <c r="D1817">
        <v>66</v>
      </c>
      <c r="E1817">
        <v>84</v>
      </c>
      <c r="F1817">
        <v>121.4</v>
      </c>
      <c r="G1817" t="s">
        <v>18</v>
      </c>
      <c r="H1817" t="s">
        <v>9</v>
      </c>
      <c r="I1817" t="str">
        <f t="shared" si="28"/>
        <v>Africa</v>
      </c>
    </row>
    <row r="1818" spans="1:9" x14ac:dyDescent="0.3">
      <c r="A1818" t="s">
        <v>1724</v>
      </c>
      <c r="B1818">
        <v>95</v>
      </c>
      <c r="C1818" t="s">
        <v>82</v>
      </c>
      <c r="D1818">
        <v>49</v>
      </c>
      <c r="E1818">
        <v>66</v>
      </c>
      <c r="F1818">
        <v>4.41</v>
      </c>
      <c r="G1818" t="s">
        <v>2</v>
      </c>
      <c r="H1818" t="s">
        <v>12</v>
      </c>
      <c r="I1818" t="str">
        <f t="shared" si="28"/>
        <v>Africa</v>
      </c>
    </row>
    <row r="1819" spans="1:9" x14ac:dyDescent="0.3">
      <c r="A1819" t="s">
        <v>1725</v>
      </c>
      <c r="B1819">
        <v>95</v>
      </c>
      <c r="C1819" t="s">
        <v>41</v>
      </c>
      <c r="D1819">
        <v>62</v>
      </c>
      <c r="E1819">
        <v>88</v>
      </c>
      <c r="F1819">
        <v>17.64</v>
      </c>
      <c r="G1819" t="s">
        <v>18</v>
      </c>
      <c r="H1819" t="s">
        <v>150</v>
      </c>
      <c r="I1819" t="str">
        <f t="shared" si="28"/>
        <v>NULL</v>
      </c>
    </row>
    <row r="1820" spans="1:9" x14ac:dyDescent="0.3">
      <c r="A1820" t="s">
        <v>1258</v>
      </c>
      <c r="B1820">
        <v>95</v>
      </c>
      <c r="C1820" t="s">
        <v>45</v>
      </c>
      <c r="D1820">
        <v>59</v>
      </c>
      <c r="E1820">
        <v>78</v>
      </c>
      <c r="F1820">
        <v>5.07</v>
      </c>
      <c r="G1820" t="s">
        <v>18</v>
      </c>
      <c r="H1820" t="s">
        <v>150</v>
      </c>
      <c r="I1820" t="str">
        <f t="shared" si="28"/>
        <v>NULL</v>
      </c>
    </row>
    <row r="1821" spans="1:9" x14ac:dyDescent="0.3">
      <c r="A1821" t="s">
        <v>1726</v>
      </c>
      <c r="B1821">
        <v>95</v>
      </c>
      <c r="C1821" t="s">
        <v>45</v>
      </c>
      <c r="D1821">
        <v>55</v>
      </c>
      <c r="E1821">
        <v>73</v>
      </c>
      <c r="F1821">
        <v>5.29</v>
      </c>
      <c r="G1821" t="s">
        <v>18</v>
      </c>
      <c r="H1821" t="s">
        <v>9</v>
      </c>
      <c r="I1821" t="str">
        <f t="shared" si="28"/>
        <v>Africa</v>
      </c>
    </row>
    <row r="1822" spans="1:9" x14ac:dyDescent="0.3">
      <c r="A1822" t="s">
        <v>1727</v>
      </c>
      <c r="B1822">
        <v>95</v>
      </c>
      <c r="C1822" t="s">
        <v>41</v>
      </c>
      <c r="D1822">
        <v>67</v>
      </c>
      <c r="E1822">
        <v>88</v>
      </c>
      <c r="F1822">
        <v>16</v>
      </c>
      <c r="G1822" t="s">
        <v>18</v>
      </c>
      <c r="H1822" t="s">
        <v>5</v>
      </c>
      <c r="I1822" t="str">
        <f t="shared" si="28"/>
        <v>America</v>
      </c>
    </row>
    <row r="1823" spans="1:9" x14ac:dyDescent="0.3">
      <c r="A1823" t="s">
        <v>1728</v>
      </c>
      <c r="B1823">
        <v>94</v>
      </c>
      <c r="C1823" t="s">
        <v>82</v>
      </c>
      <c r="D1823">
        <v>50</v>
      </c>
      <c r="E1823">
        <v>65</v>
      </c>
      <c r="F1823">
        <v>27.34</v>
      </c>
      <c r="G1823" t="s">
        <v>18</v>
      </c>
      <c r="H1823" t="s">
        <v>5</v>
      </c>
      <c r="I1823" t="str">
        <f t="shared" si="28"/>
        <v>America</v>
      </c>
    </row>
    <row r="1824" spans="1:9" x14ac:dyDescent="0.3">
      <c r="A1824" t="s">
        <v>1729</v>
      </c>
      <c r="B1824">
        <v>94</v>
      </c>
      <c r="C1824" t="s">
        <v>82</v>
      </c>
      <c r="D1824">
        <v>46</v>
      </c>
      <c r="E1824">
        <v>64</v>
      </c>
      <c r="F1824">
        <v>3.67</v>
      </c>
      <c r="G1824" t="s">
        <v>18</v>
      </c>
      <c r="H1824" t="s">
        <v>150</v>
      </c>
      <c r="I1824" t="str">
        <f t="shared" si="28"/>
        <v>NULL</v>
      </c>
    </row>
    <row r="1825" spans="1:9" x14ac:dyDescent="0.3">
      <c r="A1825" t="s">
        <v>1730</v>
      </c>
      <c r="B1825">
        <v>94</v>
      </c>
      <c r="C1825" t="s">
        <v>45</v>
      </c>
      <c r="D1825">
        <v>57</v>
      </c>
      <c r="E1825">
        <v>73</v>
      </c>
      <c r="F1825">
        <v>5.29</v>
      </c>
      <c r="G1825" t="s">
        <v>18</v>
      </c>
      <c r="H1825" t="s">
        <v>22</v>
      </c>
      <c r="I1825" t="str">
        <f t="shared" si="28"/>
        <v>America</v>
      </c>
    </row>
    <row r="1826" spans="1:9" x14ac:dyDescent="0.3">
      <c r="A1826" t="s">
        <v>1731</v>
      </c>
      <c r="B1826">
        <v>94</v>
      </c>
      <c r="C1826" t="s">
        <v>82</v>
      </c>
      <c r="D1826">
        <v>49</v>
      </c>
      <c r="E1826">
        <v>64</v>
      </c>
      <c r="F1826">
        <v>10.67</v>
      </c>
      <c r="G1826" t="s">
        <v>18</v>
      </c>
      <c r="H1826" t="s">
        <v>12</v>
      </c>
      <c r="I1826" t="str">
        <f t="shared" si="28"/>
        <v>Africa</v>
      </c>
    </row>
    <row r="1827" spans="1:9" x14ac:dyDescent="0.3">
      <c r="A1827" t="s">
        <v>1732</v>
      </c>
      <c r="B1827">
        <v>95</v>
      </c>
      <c r="C1827" t="s">
        <v>82</v>
      </c>
      <c r="D1827">
        <v>51</v>
      </c>
      <c r="E1827">
        <v>67</v>
      </c>
      <c r="F1827">
        <v>8.82</v>
      </c>
      <c r="G1827" t="s">
        <v>18</v>
      </c>
      <c r="H1827" t="s">
        <v>9</v>
      </c>
      <c r="I1827" t="str">
        <f t="shared" si="28"/>
        <v>Africa</v>
      </c>
    </row>
    <row r="1828" spans="1:9" x14ac:dyDescent="0.3">
      <c r="A1828" t="s">
        <v>1733</v>
      </c>
      <c r="B1828">
        <v>95</v>
      </c>
      <c r="C1828" t="s">
        <v>41</v>
      </c>
      <c r="D1828">
        <v>74</v>
      </c>
      <c r="E1828">
        <v>101</v>
      </c>
      <c r="F1828">
        <v>21.3</v>
      </c>
      <c r="G1828" t="s">
        <v>18</v>
      </c>
      <c r="H1828" t="s">
        <v>5</v>
      </c>
      <c r="I1828" t="str">
        <f t="shared" si="28"/>
        <v>America</v>
      </c>
    </row>
    <row r="1829" spans="1:9" x14ac:dyDescent="0.3">
      <c r="A1829" t="s">
        <v>1734</v>
      </c>
      <c r="B1829">
        <v>94</v>
      </c>
      <c r="C1829" t="s">
        <v>82</v>
      </c>
      <c r="D1829">
        <v>54</v>
      </c>
      <c r="E1829">
        <v>66</v>
      </c>
      <c r="F1829">
        <v>3.82</v>
      </c>
      <c r="G1829" t="s">
        <v>18</v>
      </c>
      <c r="H1829" t="s">
        <v>12</v>
      </c>
      <c r="I1829" t="str">
        <f t="shared" si="28"/>
        <v>Africa</v>
      </c>
    </row>
    <row r="1830" spans="1:9" x14ac:dyDescent="0.3">
      <c r="A1830" t="s">
        <v>1735</v>
      </c>
      <c r="B1830">
        <v>94</v>
      </c>
      <c r="C1830" t="s">
        <v>41</v>
      </c>
      <c r="D1830">
        <v>64</v>
      </c>
      <c r="E1830">
        <v>89</v>
      </c>
      <c r="F1830">
        <v>9.1</v>
      </c>
      <c r="G1830" t="s">
        <v>18</v>
      </c>
      <c r="H1830" t="s">
        <v>9</v>
      </c>
      <c r="I1830" t="str">
        <f t="shared" si="28"/>
        <v>Africa</v>
      </c>
    </row>
    <row r="1831" spans="1:9" x14ac:dyDescent="0.3">
      <c r="A1831" t="s">
        <v>1736</v>
      </c>
      <c r="B1831">
        <v>94</v>
      </c>
      <c r="C1831" t="s">
        <v>82</v>
      </c>
      <c r="D1831">
        <v>52</v>
      </c>
      <c r="E1831">
        <v>69</v>
      </c>
      <c r="F1831">
        <v>4.9800000000000004</v>
      </c>
      <c r="G1831" t="s">
        <v>18</v>
      </c>
      <c r="H1831" t="s">
        <v>9</v>
      </c>
      <c r="I1831" t="str">
        <f t="shared" si="28"/>
        <v>Africa</v>
      </c>
    </row>
    <row r="1832" spans="1:9" x14ac:dyDescent="0.3">
      <c r="A1832" t="s">
        <v>1537</v>
      </c>
      <c r="B1832">
        <v>95</v>
      </c>
      <c r="C1832" t="s">
        <v>45</v>
      </c>
      <c r="D1832">
        <v>54</v>
      </c>
      <c r="E1832">
        <v>78</v>
      </c>
      <c r="F1832">
        <v>5.44</v>
      </c>
      <c r="G1832" t="s">
        <v>18</v>
      </c>
      <c r="H1832" t="s">
        <v>16</v>
      </c>
      <c r="I1832" t="str">
        <f t="shared" si="28"/>
        <v>Asia-Pacific</v>
      </c>
    </row>
    <row r="1833" spans="1:9" x14ac:dyDescent="0.3">
      <c r="A1833" t="s">
        <v>1737</v>
      </c>
      <c r="B1833">
        <v>94</v>
      </c>
      <c r="C1833" t="s">
        <v>45</v>
      </c>
      <c r="D1833">
        <v>56</v>
      </c>
      <c r="E1833">
        <v>76</v>
      </c>
      <c r="F1833">
        <v>4.9800000000000004</v>
      </c>
      <c r="G1833" t="s">
        <v>18</v>
      </c>
      <c r="H1833" t="s">
        <v>9</v>
      </c>
      <c r="I1833" t="str">
        <f t="shared" si="28"/>
        <v>Africa</v>
      </c>
    </row>
    <row r="1834" spans="1:9" x14ac:dyDescent="0.3">
      <c r="A1834" t="s">
        <v>1738</v>
      </c>
      <c r="B1834">
        <v>95</v>
      </c>
      <c r="C1834" t="s">
        <v>82</v>
      </c>
      <c r="D1834">
        <v>47</v>
      </c>
      <c r="E1834">
        <v>62</v>
      </c>
      <c r="F1834">
        <v>352.74</v>
      </c>
      <c r="G1834" t="s">
        <v>2</v>
      </c>
      <c r="H1834" t="s">
        <v>12</v>
      </c>
      <c r="I1834" t="str">
        <f t="shared" si="28"/>
        <v>Africa</v>
      </c>
    </row>
    <row r="1835" spans="1:9" x14ac:dyDescent="0.3">
      <c r="A1835" t="s">
        <v>1739</v>
      </c>
      <c r="B1835">
        <v>94</v>
      </c>
      <c r="C1835" t="s">
        <v>82</v>
      </c>
      <c r="D1835">
        <v>52</v>
      </c>
      <c r="E1835">
        <v>68</v>
      </c>
      <c r="F1835">
        <v>220.46</v>
      </c>
      <c r="G1835" t="s">
        <v>2</v>
      </c>
      <c r="H1835" t="s">
        <v>9</v>
      </c>
      <c r="I1835" t="str">
        <f t="shared" si="28"/>
        <v>Africa</v>
      </c>
    </row>
    <row r="1836" spans="1:9" x14ac:dyDescent="0.3">
      <c r="A1836" t="s">
        <v>1740</v>
      </c>
      <c r="B1836">
        <v>95</v>
      </c>
      <c r="C1836" t="s">
        <v>82</v>
      </c>
      <c r="D1836">
        <v>42</v>
      </c>
      <c r="E1836">
        <v>63</v>
      </c>
      <c r="F1836">
        <v>9.98</v>
      </c>
      <c r="G1836" t="s">
        <v>18</v>
      </c>
      <c r="H1836" t="s">
        <v>5</v>
      </c>
      <c r="I1836" t="str">
        <f t="shared" si="28"/>
        <v>America</v>
      </c>
    </row>
    <row r="1837" spans="1:9" x14ac:dyDescent="0.3">
      <c r="A1837" t="s">
        <v>1741</v>
      </c>
      <c r="B1837">
        <v>95</v>
      </c>
      <c r="C1837" t="s">
        <v>45</v>
      </c>
      <c r="D1837">
        <v>61</v>
      </c>
      <c r="E1837">
        <v>77</v>
      </c>
      <c r="F1837">
        <v>15.41</v>
      </c>
      <c r="G1837" t="s">
        <v>18</v>
      </c>
      <c r="H1837" t="s">
        <v>150</v>
      </c>
      <c r="I1837" t="str">
        <f t="shared" si="28"/>
        <v>NULL</v>
      </c>
    </row>
    <row r="1838" spans="1:9" x14ac:dyDescent="0.3">
      <c r="A1838" t="s">
        <v>1730</v>
      </c>
      <c r="B1838">
        <v>94</v>
      </c>
      <c r="C1838" t="s">
        <v>45</v>
      </c>
      <c r="D1838">
        <v>56</v>
      </c>
      <c r="E1838">
        <v>73</v>
      </c>
      <c r="F1838">
        <v>5.29</v>
      </c>
      <c r="G1838" t="s">
        <v>18</v>
      </c>
      <c r="H1838" t="s">
        <v>22</v>
      </c>
      <c r="I1838" t="str">
        <f t="shared" si="28"/>
        <v>America</v>
      </c>
    </row>
    <row r="1839" spans="1:9" x14ac:dyDescent="0.3">
      <c r="A1839" t="s">
        <v>1742</v>
      </c>
      <c r="B1839">
        <v>94</v>
      </c>
      <c r="C1839" t="s">
        <v>41</v>
      </c>
      <c r="D1839">
        <v>61</v>
      </c>
      <c r="E1839">
        <v>81</v>
      </c>
      <c r="F1839">
        <v>20.72</v>
      </c>
      <c r="G1839" t="s">
        <v>18</v>
      </c>
      <c r="H1839" t="s">
        <v>5</v>
      </c>
      <c r="I1839" t="str">
        <f t="shared" si="28"/>
        <v>America</v>
      </c>
    </row>
    <row r="1840" spans="1:9" x14ac:dyDescent="0.3">
      <c r="A1840" t="s">
        <v>580</v>
      </c>
      <c r="B1840">
        <v>94</v>
      </c>
      <c r="C1840" t="s">
        <v>41</v>
      </c>
      <c r="D1840">
        <v>72</v>
      </c>
      <c r="E1840">
        <v>87</v>
      </c>
      <c r="F1840">
        <v>9.6999999999999993</v>
      </c>
      <c r="G1840" t="s">
        <v>18</v>
      </c>
      <c r="H1840" t="s">
        <v>7</v>
      </c>
      <c r="I1840" t="str">
        <f t="shared" si="28"/>
        <v>America</v>
      </c>
    </row>
    <row r="1841" spans="1:9" x14ac:dyDescent="0.3">
      <c r="A1841" t="s">
        <v>1743</v>
      </c>
      <c r="B1841">
        <v>94</v>
      </c>
      <c r="C1841" t="s">
        <v>45</v>
      </c>
      <c r="D1841">
        <v>53</v>
      </c>
      <c r="E1841">
        <v>70</v>
      </c>
      <c r="F1841">
        <v>5.86</v>
      </c>
      <c r="G1841" t="s">
        <v>18</v>
      </c>
      <c r="H1841" t="s">
        <v>12</v>
      </c>
      <c r="I1841" t="str">
        <f t="shared" si="28"/>
        <v>Africa</v>
      </c>
    </row>
    <row r="1842" spans="1:9" x14ac:dyDescent="0.3">
      <c r="A1842" t="s">
        <v>1744</v>
      </c>
      <c r="B1842">
        <v>95</v>
      </c>
      <c r="C1842" t="s">
        <v>45</v>
      </c>
      <c r="D1842">
        <v>62</v>
      </c>
      <c r="E1842">
        <v>75</v>
      </c>
      <c r="F1842">
        <v>217.47</v>
      </c>
      <c r="G1842" t="s">
        <v>18</v>
      </c>
      <c r="H1842" t="s">
        <v>9</v>
      </c>
      <c r="I1842" t="str">
        <f t="shared" si="28"/>
        <v>Africa</v>
      </c>
    </row>
    <row r="1843" spans="1:9" x14ac:dyDescent="0.3">
      <c r="A1843" t="s">
        <v>1745</v>
      </c>
      <c r="B1843">
        <v>95</v>
      </c>
      <c r="C1843" t="s">
        <v>45</v>
      </c>
      <c r="D1843">
        <v>53</v>
      </c>
      <c r="E1843">
        <v>76</v>
      </c>
      <c r="F1843">
        <v>97.39</v>
      </c>
      <c r="G1843" t="s">
        <v>18</v>
      </c>
      <c r="H1843" t="s">
        <v>14</v>
      </c>
      <c r="I1843" t="str">
        <f t="shared" si="28"/>
        <v>America</v>
      </c>
    </row>
    <row r="1844" spans="1:9" x14ac:dyDescent="0.3">
      <c r="A1844" t="s">
        <v>1746</v>
      </c>
      <c r="B1844">
        <v>94</v>
      </c>
      <c r="C1844" t="s">
        <v>45</v>
      </c>
      <c r="D1844">
        <v>61</v>
      </c>
      <c r="E1844">
        <v>79</v>
      </c>
      <c r="F1844">
        <v>5.28</v>
      </c>
      <c r="G1844" t="s">
        <v>18</v>
      </c>
      <c r="H1844" t="s">
        <v>12</v>
      </c>
      <c r="I1844" t="str">
        <f t="shared" si="28"/>
        <v>Africa</v>
      </c>
    </row>
    <row r="1845" spans="1:9" x14ac:dyDescent="0.3">
      <c r="A1845" t="s">
        <v>1747</v>
      </c>
      <c r="B1845">
        <v>94</v>
      </c>
      <c r="C1845" t="s">
        <v>45</v>
      </c>
      <c r="D1845">
        <v>59</v>
      </c>
      <c r="E1845">
        <v>75</v>
      </c>
      <c r="F1845">
        <v>4.92</v>
      </c>
      <c r="G1845" t="s">
        <v>18</v>
      </c>
      <c r="H1845" t="s">
        <v>9</v>
      </c>
      <c r="I1845" t="str">
        <f t="shared" si="28"/>
        <v>Africa</v>
      </c>
    </row>
    <row r="1846" spans="1:9" x14ac:dyDescent="0.3">
      <c r="A1846" t="s">
        <v>1054</v>
      </c>
      <c r="B1846">
        <v>94</v>
      </c>
      <c r="C1846" t="s">
        <v>82</v>
      </c>
      <c r="D1846">
        <v>52</v>
      </c>
      <c r="E1846">
        <v>62</v>
      </c>
      <c r="F1846">
        <v>5.29</v>
      </c>
      <c r="G1846" t="s">
        <v>18</v>
      </c>
      <c r="H1846" t="s">
        <v>12</v>
      </c>
      <c r="I1846" t="str">
        <f t="shared" si="28"/>
        <v>Africa</v>
      </c>
    </row>
    <row r="1847" spans="1:9" x14ac:dyDescent="0.3">
      <c r="A1847" t="s">
        <v>1748</v>
      </c>
      <c r="B1847">
        <v>94</v>
      </c>
      <c r="C1847" t="s">
        <v>41</v>
      </c>
      <c r="D1847">
        <v>62</v>
      </c>
      <c r="E1847">
        <v>84</v>
      </c>
      <c r="F1847">
        <v>5.24</v>
      </c>
      <c r="G1847" t="s">
        <v>18</v>
      </c>
      <c r="H1847" t="s">
        <v>9</v>
      </c>
      <c r="I1847" t="str">
        <f t="shared" si="28"/>
        <v>Africa</v>
      </c>
    </row>
    <row r="1848" spans="1:9" x14ac:dyDescent="0.3">
      <c r="A1848" t="s">
        <v>1749</v>
      </c>
      <c r="B1848">
        <v>94</v>
      </c>
      <c r="C1848" t="s">
        <v>45</v>
      </c>
      <c r="D1848">
        <v>53</v>
      </c>
      <c r="E1848">
        <v>71</v>
      </c>
      <c r="F1848">
        <v>43.82</v>
      </c>
      <c r="G1848" t="s">
        <v>18</v>
      </c>
      <c r="H1848" t="s">
        <v>12</v>
      </c>
      <c r="I1848" t="str">
        <f t="shared" si="28"/>
        <v>Africa</v>
      </c>
    </row>
    <row r="1849" spans="1:9" x14ac:dyDescent="0.3">
      <c r="A1849" t="s">
        <v>1750</v>
      </c>
      <c r="B1849">
        <v>94</v>
      </c>
      <c r="C1849" t="s">
        <v>82</v>
      </c>
      <c r="D1849">
        <v>52</v>
      </c>
      <c r="E1849">
        <v>68</v>
      </c>
      <c r="F1849">
        <v>4.12</v>
      </c>
      <c r="G1849" t="s">
        <v>18</v>
      </c>
      <c r="H1849" t="s">
        <v>9</v>
      </c>
      <c r="I1849" t="str">
        <f t="shared" si="28"/>
        <v>Africa</v>
      </c>
    </row>
    <row r="1850" spans="1:9" x14ac:dyDescent="0.3">
      <c r="A1850" t="s">
        <v>1751</v>
      </c>
      <c r="B1850">
        <v>94</v>
      </c>
      <c r="C1850" t="s">
        <v>45</v>
      </c>
      <c r="D1850">
        <v>56</v>
      </c>
      <c r="E1850">
        <v>66</v>
      </c>
      <c r="F1850">
        <v>5.14</v>
      </c>
      <c r="G1850" t="s">
        <v>18</v>
      </c>
      <c r="H1850" t="s">
        <v>9</v>
      </c>
      <c r="I1850" t="str">
        <f t="shared" si="28"/>
        <v>Africa</v>
      </c>
    </row>
    <row r="1851" spans="1:9" x14ac:dyDescent="0.3">
      <c r="A1851" t="s">
        <v>1752</v>
      </c>
      <c r="B1851">
        <v>94</v>
      </c>
      <c r="C1851" t="s">
        <v>45</v>
      </c>
      <c r="D1851">
        <v>56</v>
      </c>
      <c r="E1851">
        <v>72</v>
      </c>
      <c r="F1851">
        <v>4.37</v>
      </c>
      <c r="G1851" t="s">
        <v>18</v>
      </c>
      <c r="H1851" t="s">
        <v>150</v>
      </c>
      <c r="I1851" t="str">
        <f t="shared" si="28"/>
        <v>NULL</v>
      </c>
    </row>
    <row r="1852" spans="1:9" x14ac:dyDescent="0.3">
      <c r="A1852" t="s">
        <v>1753</v>
      </c>
      <c r="B1852">
        <v>95</v>
      </c>
      <c r="C1852" t="s">
        <v>82</v>
      </c>
      <c r="D1852">
        <v>50</v>
      </c>
      <c r="E1852">
        <v>55</v>
      </c>
      <c r="F1852">
        <v>6.17</v>
      </c>
      <c r="G1852" t="s">
        <v>18</v>
      </c>
      <c r="H1852" t="s">
        <v>12</v>
      </c>
      <c r="I1852" t="str">
        <f t="shared" si="28"/>
        <v>Africa</v>
      </c>
    </row>
    <row r="1853" spans="1:9" x14ac:dyDescent="0.3">
      <c r="A1853" t="s">
        <v>1754</v>
      </c>
      <c r="B1853">
        <v>94</v>
      </c>
      <c r="C1853" t="s">
        <v>45</v>
      </c>
      <c r="D1853">
        <v>55</v>
      </c>
      <c r="E1853">
        <v>78</v>
      </c>
      <c r="F1853">
        <v>188</v>
      </c>
      <c r="G1853" t="s">
        <v>11</v>
      </c>
      <c r="H1853" t="s">
        <v>150</v>
      </c>
      <c r="I1853" t="str">
        <f t="shared" si="28"/>
        <v>NULL</v>
      </c>
    </row>
    <row r="1854" spans="1:9" x14ac:dyDescent="0.3">
      <c r="A1854" t="s">
        <v>1755</v>
      </c>
      <c r="B1854">
        <v>94</v>
      </c>
      <c r="C1854" t="s">
        <v>45</v>
      </c>
      <c r="D1854">
        <v>59</v>
      </c>
      <c r="E1854">
        <v>74</v>
      </c>
      <c r="F1854">
        <v>10</v>
      </c>
      <c r="G1854" t="s">
        <v>30</v>
      </c>
      <c r="H1854" t="s">
        <v>9</v>
      </c>
      <c r="I1854" t="str">
        <f t="shared" si="28"/>
        <v>Africa</v>
      </c>
    </row>
    <row r="1855" spans="1:9" x14ac:dyDescent="0.3">
      <c r="A1855" t="s">
        <v>1331</v>
      </c>
      <c r="B1855">
        <v>94</v>
      </c>
      <c r="C1855" t="s">
        <v>82</v>
      </c>
      <c r="D1855">
        <v>54</v>
      </c>
      <c r="E1855">
        <v>66</v>
      </c>
      <c r="F1855">
        <v>5.14</v>
      </c>
      <c r="G1855" t="s">
        <v>18</v>
      </c>
      <c r="H1855" t="s">
        <v>16</v>
      </c>
      <c r="I1855" t="str">
        <f t="shared" si="28"/>
        <v>Asia-Pacific</v>
      </c>
    </row>
    <row r="1856" spans="1:9" x14ac:dyDescent="0.3">
      <c r="A1856" t="s">
        <v>1756</v>
      </c>
      <c r="B1856">
        <v>97</v>
      </c>
      <c r="C1856" t="s">
        <v>45</v>
      </c>
      <c r="D1856">
        <v>58</v>
      </c>
      <c r="E1856">
        <v>80</v>
      </c>
      <c r="F1856">
        <v>22.02</v>
      </c>
      <c r="G1856" t="s">
        <v>18</v>
      </c>
      <c r="H1856" t="s">
        <v>5</v>
      </c>
      <c r="I1856" t="str">
        <f t="shared" si="28"/>
        <v>America</v>
      </c>
    </row>
    <row r="1857" spans="1:9" x14ac:dyDescent="0.3">
      <c r="A1857" t="s">
        <v>1757</v>
      </c>
      <c r="B1857">
        <v>94</v>
      </c>
      <c r="C1857" t="s">
        <v>45</v>
      </c>
      <c r="D1857">
        <v>58</v>
      </c>
      <c r="E1857">
        <v>80</v>
      </c>
      <c r="F1857">
        <v>5.29</v>
      </c>
      <c r="G1857" t="s">
        <v>18</v>
      </c>
      <c r="H1857" t="s">
        <v>5</v>
      </c>
      <c r="I1857" t="str">
        <f t="shared" si="28"/>
        <v>America</v>
      </c>
    </row>
    <row r="1858" spans="1:9" x14ac:dyDescent="0.3">
      <c r="A1858" t="s">
        <v>1758</v>
      </c>
      <c r="B1858">
        <v>94</v>
      </c>
      <c r="C1858" t="s">
        <v>41</v>
      </c>
      <c r="D1858">
        <v>64</v>
      </c>
      <c r="E1858">
        <v>80</v>
      </c>
      <c r="F1858">
        <v>4.8499999999999996</v>
      </c>
      <c r="G1858" t="s">
        <v>18</v>
      </c>
      <c r="H1858" t="s">
        <v>22</v>
      </c>
      <c r="I1858" t="str">
        <f t="shared" si="28"/>
        <v>America</v>
      </c>
    </row>
    <row r="1859" spans="1:9" x14ac:dyDescent="0.3">
      <c r="A1859" t="s">
        <v>1759</v>
      </c>
      <c r="B1859">
        <v>94</v>
      </c>
      <c r="C1859" t="s">
        <v>41</v>
      </c>
      <c r="D1859">
        <v>72</v>
      </c>
      <c r="E1859">
        <v>87</v>
      </c>
      <c r="F1859">
        <v>7.94</v>
      </c>
      <c r="G1859" t="s">
        <v>18</v>
      </c>
      <c r="H1859" t="s">
        <v>5</v>
      </c>
      <c r="I1859" t="str">
        <f t="shared" ref="I1859:I1922" si="29">_xlfn.XLOOKUP(H1859, $M$2:$M$50, $N$2:$N$50, "Other")</f>
        <v>America</v>
      </c>
    </row>
    <row r="1860" spans="1:9" x14ac:dyDescent="0.3">
      <c r="A1860" t="s">
        <v>1760</v>
      </c>
      <c r="B1860">
        <v>94</v>
      </c>
      <c r="C1860" t="s">
        <v>45</v>
      </c>
      <c r="D1860">
        <v>57</v>
      </c>
      <c r="E1860">
        <v>74</v>
      </c>
      <c r="F1860">
        <v>5.26</v>
      </c>
      <c r="G1860" t="s">
        <v>18</v>
      </c>
      <c r="H1860" t="s">
        <v>15</v>
      </c>
      <c r="I1860" t="str">
        <f t="shared" si="29"/>
        <v>America</v>
      </c>
    </row>
    <row r="1861" spans="1:9" x14ac:dyDescent="0.3">
      <c r="A1861" t="s">
        <v>1761</v>
      </c>
      <c r="B1861">
        <v>94</v>
      </c>
      <c r="C1861" t="s">
        <v>45</v>
      </c>
      <c r="D1861">
        <v>56</v>
      </c>
      <c r="E1861">
        <v>76</v>
      </c>
      <c r="F1861">
        <v>211.64</v>
      </c>
      <c r="G1861" t="s">
        <v>2</v>
      </c>
      <c r="H1861" t="s">
        <v>5</v>
      </c>
      <c r="I1861" t="str">
        <f t="shared" si="29"/>
        <v>America</v>
      </c>
    </row>
    <row r="1862" spans="1:9" x14ac:dyDescent="0.3">
      <c r="A1862" t="s">
        <v>1762</v>
      </c>
      <c r="B1862">
        <v>94</v>
      </c>
      <c r="C1862" t="s">
        <v>45</v>
      </c>
      <c r="D1862">
        <v>57</v>
      </c>
      <c r="E1862">
        <v>79</v>
      </c>
      <c r="F1862">
        <v>89</v>
      </c>
      <c r="G1862" t="s">
        <v>11</v>
      </c>
      <c r="H1862" t="s">
        <v>15</v>
      </c>
      <c r="I1862" t="str">
        <f t="shared" si="29"/>
        <v>America</v>
      </c>
    </row>
    <row r="1863" spans="1:9" x14ac:dyDescent="0.3">
      <c r="A1863" t="s">
        <v>1763</v>
      </c>
      <c r="B1863">
        <v>94</v>
      </c>
      <c r="C1863" t="s">
        <v>45</v>
      </c>
      <c r="D1863">
        <v>59</v>
      </c>
      <c r="E1863">
        <v>77</v>
      </c>
      <c r="F1863">
        <v>25</v>
      </c>
      <c r="G1863" t="s">
        <v>30</v>
      </c>
      <c r="H1863" t="s">
        <v>5</v>
      </c>
      <c r="I1863" t="str">
        <f t="shared" si="29"/>
        <v>America</v>
      </c>
    </row>
    <row r="1864" spans="1:9" x14ac:dyDescent="0.3">
      <c r="A1864" t="s">
        <v>1764</v>
      </c>
      <c r="B1864">
        <v>94</v>
      </c>
      <c r="C1864" t="s">
        <v>541</v>
      </c>
      <c r="D1864">
        <v>44</v>
      </c>
      <c r="E1864">
        <v>50</v>
      </c>
      <c r="F1864">
        <v>4.6900000000000004</v>
      </c>
      <c r="G1864" t="s">
        <v>18</v>
      </c>
      <c r="H1864" t="s">
        <v>21</v>
      </c>
      <c r="I1864" t="str">
        <f t="shared" si="29"/>
        <v>America</v>
      </c>
    </row>
    <row r="1865" spans="1:9" x14ac:dyDescent="0.3">
      <c r="A1865" t="s">
        <v>1765</v>
      </c>
      <c r="B1865">
        <v>94</v>
      </c>
      <c r="C1865" t="s">
        <v>45</v>
      </c>
      <c r="D1865">
        <v>58</v>
      </c>
      <c r="E1865">
        <v>73</v>
      </c>
      <c r="F1865">
        <v>5.86</v>
      </c>
      <c r="G1865" t="s">
        <v>18</v>
      </c>
      <c r="H1865" t="s">
        <v>12</v>
      </c>
      <c r="I1865" t="str">
        <f t="shared" si="29"/>
        <v>Africa</v>
      </c>
    </row>
    <row r="1866" spans="1:9" x14ac:dyDescent="0.3">
      <c r="A1866" t="s">
        <v>1766</v>
      </c>
      <c r="B1866">
        <v>95</v>
      </c>
      <c r="C1866" t="s">
        <v>45</v>
      </c>
      <c r="D1866">
        <v>57</v>
      </c>
      <c r="E1866">
        <v>82</v>
      </c>
      <c r="F1866">
        <v>5</v>
      </c>
      <c r="G1866" t="s">
        <v>18</v>
      </c>
      <c r="H1866" t="s">
        <v>9</v>
      </c>
      <c r="I1866" t="str">
        <f t="shared" si="29"/>
        <v>Africa</v>
      </c>
    </row>
    <row r="1867" spans="1:9" x14ac:dyDescent="0.3">
      <c r="A1867" t="s">
        <v>1767</v>
      </c>
      <c r="B1867">
        <v>94</v>
      </c>
      <c r="C1867" t="s">
        <v>41</v>
      </c>
      <c r="D1867">
        <v>62</v>
      </c>
      <c r="E1867">
        <v>87</v>
      </c>
      <c r="F1867">
        <v>95</v>
      </c>
      <c r="G1867" t="s">
        <v>30</v>
      </c>
      <c r="H1867" t="s">
        <v>9</v>
      </c>
      <c r="I1867" t="str">
        <f t="shared" si="29"/>
        <v>Africa</v>
      </c>
    </row>
    <row r="1868" spans="1:9" x14ac:dyDescent="0.3">
      <c r="A1868" t="s">
        <v>1768</v>
      </c>
      <c r="B1868">
        <v>94</v>
      </c>
      <c r="C1868" t="s">
        <v>45</v>
      </c>
      <c r="D1868">
        <v>56</v>
      </c>
      <c r="E1868">
        <v>74</v>
      </c>
      <c r="F1868">
        <v>5.44</v>
      </c>
      <c r="G1868" t="s">
        <v>18</v>
      </c>
      <c r="H1868" t="s">
        <v>12</v>
      </c>
      <c r="I1868" t="str">
        <f t="shared" si="29"/>
        <v>Africa</v>
      </c>
    </row>
    <row r="1869" spans="1:9" x14ac:dyDescent="0.3">
      <c r="A1869" t="s">
        <v>1769</v>
      </c>
      <c r="B1869">
        <v>95</v>
      </c>
      <c r="C1869" t="s">
        <v>45</v>
      </c>
      <c r="D1869">
        <v>57</v>
      </c>
      <c r="E1869">
        <v>74</v>
      </c>
      <c r="F1869">
        <v>7.64</v>
      </c>
      <c r="G1869" t="s">
        <v>18</v>
      </c>
      <c r="H1869" t="s">
        <v>5</v>
      </c>
      <c r="I1869" t="str">
        <f t="shared" si="29"/>
        <v>America</v>
      </c>
    </row>
    <row r="1870" spans="1:9" x14ac:dyDescent="0.3">
      <c r="A1870" t="s">
        <v>1770</v>
      </c>
      <c r="B1870">
        <v>94</v>
      </c>
      <c r="C1870" t="s">
        <v>82</v>
      </c>
      <c r="D1870">
        <v>49</v>
      </c>
      <c r="E1870">
        <v>71</v>
      </c>
      <c r="F1870">
        <v>4.26</v>
      </c>
      <c r="G1870" t="s">
        <v>18</v>
      </c>
      <c r="H1870" t="s">
        <v>12</v>
      </c>
      <c r="I1870" t="str">
        <f t="shared" si="29"/>
        <v>Africa</v>
      </c>
    </row>
    <row r="1871" spans="1:9" x14ac:dyDescent="0.3">
      <c r="A1871" t="s">
        <v>1696</v>
      </c>
      <c r="B1871">
        <v>96</v>
      </c>
      <c r="C1871" t="s">
        <v>82</v>
      </c>
      <c r="D1871">
        <v>53</v>
      </c>
      <c r="E1871">
        <v>68</v>
      </c>
      <c r="F1871">
        <v>5.29</v>
      </c>
      <c r="G1871" t="s">
        <v>18</v>
      </c>
      <c r="H1871" t="s">
        <v>16</v>
      </c>
      <c r="I1871" t="str">
        <f t="shared" si="29"/>
        <v>Asia-Pacific</v>
      </c>
    </row>
    <row r="1872" spans="1:9" x14ac:dyDescent="0.3">
      <c r="A1872" t="s">
        <v>1771</v>
      </c>
      <c r="B1872">
        <v>94</v>
      </c>
      <c r="C1872" t="s">
        <v>45</v>
      </c>
      <c r="D1872">
        <v>54</v>
      </c>
      <c r="E1872">
        <v>76</v>
      </c>
      <c r="F1872">
        <v>5.58</v>
      </c>
      <c r="G1872" t="s">
        <v>18</v>
      </c>
      <c r="H1872" t="s">
        <v>9</v>
      </c>
      <c r="I1872" t="str">
        <f t="shared" si="29"/>
        <v>Africa</v>
      </c>
    </row>
    <row r="1873" spans="1:9" x14ac:dyDescent="0.3">
      <c r="A1873" t="s">
        <v>1772</v>
      </c>
      <c r="B1873">
        <v>95</v>
      </c>
      <c r="C1873" t="s">
        <v>45</v>
      </c>
      <c r="D1873">
        <v>57</v>
      </c>
      <c r="E1873">
        <v>77</v>
      </c>
      <c r="F1873">
        <v>5.22</v>
      </c>
      <c r="G1873" t="s">
        <v>18</v>
      </c>
      <c r="H1873" t="s">
        <v>12</v>
      </c>
      <c r="I1873" t="str">
        <f t="shared" si="29"/>
        <v>Africa</v>
      </c>
    </row>
    <row r="1874" spans="1:9" x14ac:dyDescent="0.3">
      <c r="A1874" t="s">
        <v>1773</v>
      </c>
      <c r="B1874">
        <v>94</v>
      </c>
      <c r="C1874" t="s">
        <v>45</v>
      </c>
      <c r="D1874">
        <v>59</v>
      </c>
      <c r="E1874">
        <v>76</v>
      </c>
      <c r="F1874">
        <v>4.26</v>
      </c>
      <c r="G1874" t="s">
        <v>18</v>
      </c>
      <c r="H1874" t="s">
        <v>9</v>
      </c>
      <c r="I1874" t="str">
        <f t="shared" si="29"/>
        <v>Africa</v>
      </c>
    </row>
    <row r="1875" spans="1:9" x14ac:dyDescent="0.3">
      <c r="A1875" t="s">
        <v>1774</v>
      </c>
      <c r="B1875">
        <v>94</v>
      </c>
      <c r="C1875" t="s">
        <v>82</v>
      </c>
      <c r="D1875">
        <v>54</v>
      </c>
      <c r="E1875">
        <v>66</v>
      </c>
      <c r="F1875">
        <v>3.81</v>
      </c>
      <c r="G1875" t="s">
        <v>18</v>
      </c>
      <c r="H1875" t="s">
        <v>3</v>
      </c>
      <c r="I1875" t="str">
        <f t="shared" si="29"/>
        <v>America</v>
      </c>
    </row>
    <row r="1876" spans="1:9" x14ac:dyDescent="0.3">
      <c r="A1876" t="s">
        <v>1775</v>
      </c>
      <c r="B1876">
        <v>94</v>
      </c>
      <c r="C1876" t="s">
        <v>41</v>
      </c>
      <c r="D1876">
        <v>64</v>
      </c>
      <c r="E1876">
        <v>82</v>
      </c>
      <c r="F1876">
        <v>4.8499999999999996</v>
      </c>
      <c r="G1876" t="s">
        <v>18</v>
      </c>
      <c r="H1876" t="s">
        <v>19</v>
      </c>
      <c r="I1876" t="str">
        <f t="shared" si="29"/>
        <v>Asia-Pacific</v>
      </c>
    </row>
    <row r="1877" spans="1:9" x14ac:dyDescent="0.3">
      <c r="A1877" t="s">
        <v>935</v>
      </c>
      <c r="B1877">
        <v>94</v>
      </c>
      <c r="C1877" t="s">
        <v>82</v>
      </c>
      <c r="D1877">
        <v>52</v>
      </c>
      <c r="E1877">
        <v>61</v>
      </c>
      <c r="F1877">
        <v>5</v>
      </c>
      <c r="G1877" t="s">
        <v>18</v>
      </c>
      <c r="H1877" t="s">
        <v>9</v>
      </c>
      <c r="I1877" t="str">
        <f t="shared" si="29"/>
        <v>Africa</v>
      </c>
    </row>
    <row r="1878" spans="1:9" x14ac:dyDescent="0.3">
      <c r="A1878" t="s">
        <v>1776</v>
      </c>
      <c r="B1878">
        <v>94</v>
      </c>
      <c r="C1878" t="s">
        <v>45</v>
      </c>
      <c r="D1878">
        <v>57</v>
      </c>
      <c r="E1878">
        <v>73</v>
      </c>
      <c r="F1878">
        <v>4.8499999999999996</v>
      </c>
      <c r="G1878" t="s">
        <v>18</v>
      </c>
      <c r="H1878" t="s">
        <v>9</v>
      </c>
      <c r="I1878" t="str">
        <f t="shared" si="29"/>
        <v>Africa</v>
      </c>
    </row>
    <row r="1879" spans="1:9" x14ac:dyDescent="0.3">
      <c r="A1879" t="s">
        <v>1777</v>
      </c>
      <c r="B1879">
        <v>95</v>
      </c>
      <c r="C1879" t="s">
        <v>45</v>
      </c>
      <c r="D1879">
        <v>57</v>
      </c>
      <c r="E1879">
        <v>73</v>
      </c>
      <c r="F1879">
        <v>4.8499999999999996</v>
      </c>
      <c r="G1879" t="s">
        <v>18</v>
      </c>
      <c r="H1879" t="s">
        <v>9</v>
      </c>
      <c r="I1879" t="str">
        <f t="shared" si="29"/>
        <v>Africa</v>
      </c>
    </row>
    <row r="1880" spans="1:9" x14ac:dyDescent="0.3">
      <c r="A1880" t="s">
        <v>1778</v>
      </c>
      <c r="B1880">
        <v>94</v>
      </c>
      <c r="C1880" t="s">
        <v>45</v>
      </c>
      <c r="D1880">
        <v>57</v>
      </c>
      <c r="E1880">
        <v>77</v>
      </c>
      <c r="F1880">
        <v>5.73</v>
      </c>
      <c r="G1880" t="s">
        <v>18</v>
      </c>
      <c r="H1880" t="s">
        <v>9</v>
      </c>
      <c r="I1880" t="str">
        <f t="shared" si="29"/>
        <v>Africa</v>
      </c>
    </row>
    <row r="1881" spans="1:9" x14ac:dyDescent="0.3">
      <c r="A1881" t="s">
        <v>1779</v>
      </c>
      <c r="B1881">
        <v>94</v>
      </c>
      <c r="C1881" t="s">
        <v>45</v>
      </c>
      <c r="D1881">
        <v>58</v>
      </c>
      <c r="E1881">
        <v>80</v>
      </c>
      <c r="F1881">
        <v>450</v>
      </c>
      <c r="G1881" t="s">
        <v>2</v>
      </c>
      <c r="H1881" t="s">
        <v>9</v>
      </c>
      <c r="I1881" t="str">
        <f t="shared" si="29"/>
        <v>Africa</v>
      </c>
    </row>
    <row r="1882" spans="1:9" x14ac:dyDescent="0.3">
      <c r="A1882" t="s">
        <v>1780</v>
      </c>
      <c r="B1882">
        <v>94</v>
      </c>
      <c r="C1882" t="s">
        <v>41</v>
      </c>
      <c r="D1882">
        <v>65</v>
      </c>
      <c r="E1882">
        <v>90</v>
      </c>
      <c r="F1882">
        <v>5.07</v>
      </c>
      <c r="G1882" t="s">
        <v>2</v>
      </c>
      <c r="H1882" t="s">
        <v>9</v>
      </c>
      <c r="I1882" t="str">
        <f t="shared" si="29"/>
        <v>Africa</v>
      </c>
    </row>
    <row r="1883" spans="1:9" x14ac:dyDescent="0.3">
      <c r="A1883" t="s">
        <v>1781</v>
      </c>
      <c r="B1883">
        <v>95</v>
      </c>
      <c r="C1883" t="s">
        <v>45</v>
      </c>
      <c r="D1883">
        <v>55</v>
      </c>
      <c r="E1883">
        <v>72</v>
      </c>
      <c r="F1883">
        <v>450</v>
      </c>
      <c r="G1883" t="s">
        <v>2</v>
      </c>
      <c r="H1883" t="s">
        <v>12</v>
      </c>
      <c r="I1883" t="str">
        <f t="shared" si="29"/>
        <v>Africa</v>
      </c>
    </row>
    <row r="1884" spans="1:9" x14ac:dyDescent="0.3">
      <c r="A1884" t="s">
        <v>1782</v>
      </c>
      <c r="B1884">
        <v>95</v>
      </c>
      <c r="C1884" t="s">
        <v>45</v>
      </c>
      <c r="D1884">
        <v>59</v>
      </c>
      <c r="E1884">
        <v>77</v>
      </c>
      <c r="F1884">
        <v>5.29</v>
      </c>
      <c r="G1884" t="s">
        <v>18</v>
      </c>
      <c r="H1884" t="s">
        <v>9</v>
      </c>
      <c r="I1884" t="str">
        <f t="shared" si="29"/>
        <v>Africa</v>
      </c>
    </row>
    <row r="1885" spans="1:9" x14ac:dyDescent="0.3">
      <c r="A1885" t="s">
        <v>643</v>
      </c>
      <c r="B1885">
        <v>95</v>
      </c>
      <c r="C1885" t="s">
        <v>82</v>
      </c>
      <c r="D1885">
        <v>52</v>
      </c>
      <c r="E1885">
        <v>63</v>
      </c>
      <c r="F1885">
        <v>13.33</v>
      </c>
      <c r="G1885" t="s">
        <v>18</v>
      </c>
      <c r="H1885" t="s">
        <v>14</v>
      </c>
      <c r="I1885" t="str">
        <f t="shared" si="29"/>
        <v>America</v>
      </c>
    </row>
    <row r="1886" spans="1:9" x14ac:dyDescent="0.3">
      <c r="A1886" t="s">
        <v>690</v>
      </c>
      <c r="B1886">
        <v>94</v>
      </c>
      <c r="C1886" t="s">
        <v>45</v>
      </c>
      <c r="D1886">
        <v>60</v>
      </c>
      <c r="E1886">
        <v>79</v>
      </c>
      <c r="F1886">
        <v>4.51</v>
      </c>
      <c r="G1886" t="s">
        <v>18</v>
      </c>
      <c r="H1886" t="s">
        <v>14</v>
      </c>
      <c r="I1886" t="str">
        <f t="shared" si="29"/>
        <v>America</v>
      </c>
    </row>
    <row r="1887" spans="1:9" x14ac:dyDescent="0.3">
      <c r="A1887" t="s">
        <v>1783</v>
      </c>
      <c r="B1887">
        <v>94</v>
      </c>
      <c r="C1887" t="s">
        <v>45</v>
      </c>
      <c r="D1887">
        <v>58</v>
      </c>
      <c r="E1887">
        <v>73</v>
      </c>
      <c r="F1887">
        <v>5.73</v>
      </c>
      <c r="G1887" t="s">
        <v>18</v>
      </c>
      <c r="H1887" t="s">
        <v>14</v>
      </c>
      <c r="I1887" t="str">
        <f t="shared" si="29"/>
        <v>America</v>
      </c>
    </row>
    <row r="1888" spans="1:9" x14ac:dyDescent="0.3">
      <c r="A1888" t="s">
        <v>1784</v>
      </c>
      <c r="B1888">
        <v>94</v>
      </c>
      <c r="C1888" t="s">
        <v>82</v>
      </c>
      <c r="D1888">
        <v>50</v>
      </c>
      <c r="E1888">
        <v>60</v>
      </c>
      <c r="F1888">
        <v>4.63</v>
      </c>
      <c r="G1888" t="s">
        <v>18</v>
      </c>
      <c r="H1888" t="s">
        <v>150</v>
      </c>
      <c r="I1888" t="str">
        <f t="shared" si="29"/>
        <v>NULL</v>
      </c>
    </row>
    <row r="1889" spans="1:9" x14ac:dyDescent="0.3">
      <c r="A1889" t="s">
        <v>1785</v>
      </c>
      <c r="B1889">
        <v>94</v>
      </c>
      <c r="C1889" t="s">
        <v>45</v>
      </c>
      <c r="D1889">
        <v>60</v>
      </c>
      <c r="E1889">
        <v>81</v>
      </c>
      <c r="F1889">
        <v>3.97</v>
      </c>
      <c r="G1889" t="s">
        <v>18</v>
      </c>
      <c r="H1889" t="s">
        <v>9</v>
      </c>
      <c r="I1889" t="str">
        <f t="shared" si="29"/>
        <v>Africa</v>
      </c>
    </row>
    <row r="1890" spans="1:9" x14ac:dyDescent="0.3">
      <c r="A1890" t="s">
        <v>1786</v>
      </c>
      <c r="B1890">
        <v>94</v>
      </c>
      <c r="C1890" t="s">
        <v>41</v>
      </c>
      <c r="D1890">
        <v>63</v>
      </c>
      <c r="E1890">
        <v>85</v>
      </c>
      <c r="F1890">
        <v>4.04</v>
      </c>
      <c r="G1890" t="s">
        <v>18</v>
      </c>
      <c r="H1890" t="s">
        <v>9</v>
      </c>
      <c r="I1890" t="str">
        <f t="shared" si="29"/>
        <v>Africa</v>
      </c>
    </row>
    <row r="1891" spans="1:9" x14ac:dyDescent="0.3">
      <c r="A1891" t="s">
        <v>1787</v>
      </c>
      <c r="B1891">
        <v>94</v>
      </c>
      <c r="C1891" t="s">
        <v>45</v>
      </c>
      <c r="D1891">
        <v>53</v>
      </c>
      <c r="E1891">
        <v>71</v>
      </c>
      <c r="F1891">
        <v>4.26</v>
      </c>
      <c r="G1891" t="s">
        <v>18</v>
      </c>
      <c r="H1891" t="s">
        <v>17</v>
      </c>
      <c r="I1891" t="str">
        <f t="shared" si="29"/>
        <v>Africa</v>
      </c>
    </row>
    <row r="1892" spans="1:9" x14ac:dyDescent="0.3">
      <c r="A1892" t="s">
        <v>1788</v>
      </c>
      <c r="B1892">
        <v>96</v>
      </c>
      <c r="C1892" t="s">
        <v>41</v>
      </c>
      <c r="D1892">
        <v>63</v>
      </c>
      <c r="E1892">
        <v>81</v>
      </c>
      <c r="F1892">
        <v>5.66</v>
      </c>
      <c r="G1892" t="s">
        <v>18</v>
      </c>
      <c r="H1892" t="s">
        <v>9</v>
      </c>
      <c r="I1892" t="str">
        <f t="shared" si="29"/>
        <v>Africa</v>
      </c>
    </row>
    <row r="1893" spans="1:9" x14ac:dyDescent="0.3">
      <c r="A1893" t="s">
        <v>1789</v>
      </c>
      <c r="B1893">
        <v>95</v>
      </c>
      <c r="C1893" t="s">
        <v>41</v>
      </c>
      <c r="D1893">
        <v>66</v>
      </c>
      <c r="E1893">
        <v>88</v>
      </c>
      <c r="F1893">
        <v>4.41</v>
      </c>
      <c r="G1893" t="s">
        <v>18</v>
      </c>
      <c r="H1893" t="s">
        <v>9</v>
      </c>
      <c r="I1893" t="str">
        <f t="shared" si="29"/>
        <v>Africa</v>
      </c>
    </row>
    <row r="1894" spans="1:9" x14ac:dyDescent="0.3">
      <c r="A1894" t="s">
        <v>1790</v>
      </c>
      <c r="B1894">
        <v>96</v>
      </c>
      <c r="C1894" t="s">
        <v>82</v>
      </c>
      <c r="D1894">
        <v>54</v>
      </c>
      <c r="E1894">
        <v>67</v>
      </c>
      <c r="F1894">
        <v>4.9800000000000004</v>
      </c>
      <c r="G1894" t="s">
        <v>18</v>
      </c>
      <c r="H1894" t="s">
        <v>12</v>
      </c>
      <c r="I1894" t="str">
        <f t="shared" si="29"/>
        <v>Africa</v>
      </c>
    </row>
    <row r="1895" spans="1:9" x14ac:dyDescent="0.3">
      <c r="A1895" t="s">
        <v>1791</v>
      </c>
      <c r="B1895">
        <v>95</v>
      </c>
      <c r="C1895" t="s">
        <v>41</v>
      </c>
      <c r="D1895">
        <v>64</v>
      </c>
      <c r="E1895">
        <v>84</v>
      </c>
      <c r="F1895">
        <v>4.26</v>
      </c>
      <c r="G1895" t="s">
        <v>18</v>
      </c>
      <c r="H1895" t="s">
        <v>12</v>
      </c>
      <c r="I1895" t="str">
        <f t="shared" si="29"/>
        <v>Africa</v>
      </c>
    </row>
    <row r="1896" spans="1:9" x14ac:dyDescent="0.3">
      <c r="A1896" t="s">
        <v>1792</v>
      </c>
      <c r="B1896">
        <v>94</v>
      </c>
      <c r="C1896" t="s">
        <v>45</v>
      </c>
      <c r="D1896">
        <v>55</v>
      </c>
      <c r="E1896">
        <v>68</v>
      </c>
      <c r="F1896">
        <v>5.59</v>
      </c>
      <c r="G1896" t="s">
        <v>18</v>
      </c>
      <c r="H1896" t="s">
        <v>21</v>
      </c>
      <c r="I1896" t="str">
        <f t="shared" si="29"/>
        <v>America</v>
      </c>
    </row>
    <row r="1897" spans="1:9" x14ac:dyDescent="0.3">
      <c r="A1897" t="s">
        <v>1790</v>
      </c>
      <c r="B1897">
        <v>95</v>
      </c>
      <c r="C1897" t="s">
        <v>82</v>
      </c>
      <c r="D1897">
        <v>51</v>
      </c>
      <c r="E1897">
        <v>59</v>
      </c>
      <c r="F1897">
        <v>4.7</v>
      </c>
      <c r="G1897" t="s">
        <v>18</v>
      </c>
      <c r="H1897" t="s">
        <v>12</v>
      </c>
      <c r="I1897" t="str">
        <f t="shared" si="29"/>
        <v>Africa</v>
      </c>
    </row>
    <row r="1898" spans="1:9" x14ac:dyDescent="0.3">
      <c r="A1898" t="s">
        <v>1793</v>
      </c>
      <c r="B1898">
        <v>94</v>
      </c>
      <c r="C1898" t="s">
        <v>45</v>
      </c>
      <c r="D1898">
        <v>56</v>
      </c>
      <c r="E1898">
        <v>71</v>
      </c>
      <c r="F1898">
        <v>5</v>
      </c>
      <c r="G1898" t="s">
        <v>18</v>
      </c>
      <c r="H1898" t="s">
        <v>9</v>
      </c>
      <c r="I1898" t="str">
        <f t="shared" si="29"/>
        <v>Africa</v>
      </c>
    </row>
    <row r="1899" spans="1:9" x14ac:dyDescent="0.3">
      <c r="A1899" t="s">
        <v>1794</v>
      </c>
      <c r="B1899">
        <v>95</v>
      </c>
      <c r="C1899" t="s">
        <v>41</v>
      </c>
      <c r="D1899">
        <v>66</v>
      </c>
      <c r="E1899">
        <v>85</v>
      </c>
      <c r="F1899">
        <v>15</v>
      </c>
      <c r="G1899" t="s">
        <v>30</v>
      </c>
      <c r="H1899" t="s">
        <v>9</v>
      </c>
      <c r="I1899" t="str">
        <f t="shared" si="29"/>
        <v>Africa</v>
      </c>
    </row>
    <row r="1900" spans="1:9" x14ac:dyDescent="0.3">
      <c r="A1900" t="s">
        <v>1795</v>
      </c>
      <c r="B1900">
        <v>94</v>
      </c>
      <c r="C1900" t="s">
        <v>41</v>
      </c>
      <c r="D1900">
        <v>64</v>
      </c>
      <c r="E1900">
        <v>80</v>
      </c>
      <c r="F1900">
        <v>143.30000000000001</v>
      </c>
      <c r="G1900" t="s">
        <v>2</v>
      </c>
      <c r="H1900" t="s">
        <v>9</v>
      </c>
      <c r="I1900" t="str">
        <f t="shared" si="29"/>
        <v>Africa</v>
      </c>
    </row>
    <row r="1901" spans="1:9" x14ac:dyDescent="0.3">
      <c r="A1901" t="s">
        <v>1796</v>
      </c>
      <c r="B1901">
        <v>96</v>
      </c>
      <c r="C1901" t="s">
        <v>82</v>
      </c>
      <c r="D1901">
        <v>50</v>
      </c>
      <c r="E1901">
        <v>65</v>
      </c>
      <c r="F1901">
        <v>220.46</v>
      </c>
      <c r="G1901" t="s">
        <v>2</v>
      </c>
      <c r="H1901" t="s">
        <v>9</v>
      </c>
      <c r="I1901" t="str">
        <f t="shared" si="29"/>
        <v>Africa</v>
      </c>
    </row>
    <row r="1902" spans="1:9" x14ac:dyDescent="0.3">
      <c r="A1902" t="s">
        <v>1797</v>
      </c>
      <c r="B1902">
        <v>96</v>
      </c>
      <c r="C1902" t="s">
        <v>45</v>
      </c>
      <c r="D1902">
        <v>57</v>
      </c>
      <c r="E1902">
        <v>78</v>
      </c>
      <c r="F1902">
        <v>26.46</v>
      </c>
      <c r="G1902" t="s">
        <v>18</v>
      </c>
      <c r="H1902" t="s">
        <v>5</v>
      </c>
      <c r="I1902" t="str">
        <f t="shared" si="29"/>
        <v>America</v>
      </c>
    </row>
    <row r="1903" spans="1:9" x14ac:dyDescent="0.3">
      <c r="A1903" t="s">
        <v>1798</v>
      </c>
      <c r="B1903">
        <v>95</v>
      </c>
      <c r="C1903" t="s">
        <v>82</v>
      </c>
      <c r="D1903">
        <v>52</v>
      </c>
      <c r="E1903">
        <v>62</v>
      </c>
      <c r="F1903">
        <v>4.26</v>
      </c>
      <c r="G1903" t="s">
        <v>18</v>
      </c>
      <c r="H1903" t="s">
        <v>12</v>
      </c>
      <c r="I1903" t="str">
        <f t="shared" si="29"/>
        <v>Africa</v>
      </c>
    </row>
    <row r="1904" spans="1:9" x14ac:dyDescent="0.3">
      <c r="A1904" t="s">
        <v>1799</v>
      </c>
      <c r="B1904">
        <v>96</v>
      </c>
      <c r="C1904" t="s">
        <v>41</v>
      </c>
      <c r="D1904">
        <v>66</v>
      </c>
      <c r="E1904">
        <v>88</v>
      </c>
      <c r="F1904">
        <v>21.3</v>
      </c>
      <c r="G1904" t="s">
        <v>18</v>
      </c>
      <c r="H1904" t="s">
        <v>5</v>
      </c>
      <c r="I1904" t="str">
        <f t="shared" si="29"/>
        <v>America</v>
      </c>
    </row>
    <row r="1905" spans="1:9" x14ac:dyDescent="0.3">
      <c r="A1905" t="s">
        <v>1800</v>
      </c>
      <c r="B1905">
        <v>94</v>
      </c>
      <c r="C1905" t="s">
        <v>45</v>
      </c>
      <c r="D1905">
        <v>59</v>
      </c>
      <c r="E1905">
        <v>74</v>
      </c>
      <c r="F1905">
        <v>4.63</v>
      </c>
      <c r="G1905" t="s">
        <v>18</v>
      </c>
      <c r="H1905" t="s">
        <v>9</v>
      </c>
      <c r="I1905" t="str">
        <f t="shared" si="29"/>
        <v>Africa</v>
      </c>
    </row>
    <row r="1906" spans="1:9" x14ac:dyDescent="0.3">
      <c r="A1906" t="s">
        <v>1258</v>
      </c>
      <c r="B1906">
        <v>95</v>
      </c>
      <c r="C1906" t="s">
        <v>45</v>
      </c>
      <c r="D1906">
        <v>56</v>
      </c>
      <c r="E1906">
        <v>78</v>
      </c>
      <c r="F1906">
        <v>3.75</v>
      </c>
      <c r="G1906" t="s">
        <v>18</v>
      </c>
      <c r="H1906" t="s">
        <v>150</v>
      </c>
      <c r="I1906" t="str">
        <f t="shared" si="29"/>
        <v>NULL</v>
      </c>
    </row>
    <row r="1907" spans="1:9" x14ac:dyDescent="0.3">
      <c r="A1907" t="s">
        <v>1801</v>
      </c>
      <c r="B1907">
        <v>94</v>
      </c>
      <c r="C1907" t="s">
        <v>45</v>
      </c>
      <c r="D1907">
        <v>60</v>
      </c>
      <c r="E1907">
        <v>75</v>
      </c>
      <c r="F1907">
        <v>22.02</v>
      </c>
      <c r="G1907" t="s">
        <v>18</v>
      </c>
      <c r="H1907" t="s">
        <v>5</v>
      </c>
      <c r="I1907" t="str">
        <f t="shared" si="29"/>
        <v>America</v>
      </c>
    </row>
    <row r="1908" spans="1:9" x14ac:dyDescent="0.3">
      <c r="A1908" t="s">
        <v>492</v>
      </c>
      <c r="B1908">
        <v>94</v>
      </c>
      <c r="C1908" t="s">
        <v>45</v>
      </c>
      <c r="D1908">
        <v>56</v>
      </c>
      <c r="E1908">
        <v>72</v>
      </c>
      <c r="F1908">
        <v>5</v>
      </c>
      <c r="G1908" t="s">
        <v>18</v>
      </c>
      <c r="H1908" t="s">
        <v>12</v>
      </c>
      <c r="I1908" t="str">
        <f t="shared" si="29"/>
        <v>Africa</v>
      </c>
    </row>
    <row r="1909" spans="1:9" x14ac:dyDescent="0.3">
      <c r="A1909" t="s">
        <v>1802</v>
      </c>
      <c r="B1909">
        <v>94</v>
      </c>
      <c r="C1909" t="s">
        <v>82</v>
      </c>
      <c r="D1909">
        <v>50</v>
      </c>
      <c r="E1909">
        <v>62</v>
      </c>
      <c r="F1909">
        <v>220.46</v>
      </c>
      <c r="G1909" t="s">
        <v>2</v>
      </c>
      <c r="H1909" t="s">
        <v>9</v>
      </c>
      <c r="I1909" t="str">
        <f t="shared" si="29"/>
        <v>Africa</v>
      </c>
    </row>
    <row r="1910" spans="1:9" x14ac:dyDescent="0.3">
      <c r="A1910" t="s">
        <v>1803</v>
      </c>
      <c r="B1910">
        <v>94</v>
      </c>
      <c r="C1910" t="s">
        <v>45</v>
      </c>
      <c r="D1910">
        <v>59</v>
      </c>
      <c r="E1910">
        <v>73</v>
      </c>
      <c r="F1910">
        <v>4.1100000000000003</v>
      </c>
      <c r="G1910" t="s">
        <v>18</v>
      </c>
      <c r="H1910" t="s">
        <v>9</v>
      </c>
      <c r="I1910" t="str">
        <f t="shared" si="29"/>
        <v>Africa</v>
      </c>
    </row>
    <row r="1911" spans="1:9" x14ac:dyDescent="0.3">
      <c r="A1911" t="s">
        <v>1804</v>
      </c>
      <c r="B1911">
        <v>94</v>
      </c>
      <c r="C1911" t="s">
        <v>82</v>
      </c>
      <c r="D1911">
        <v>49</v>
      </c>
      <c r="E1911">
        <v>59</v>
      </c>
      <c r="F1911">
        <v>3.08</v>
      </c>
      <c r="G1911" t="s">
        <v>18</v>
      </c>
      <c r="H1911" t="s">
        <v>150</v>
      </c>
      <c r="I1911" t="str">
        <f t="shared" si="29"/>
        <v>NULL</v>
      </c>
    </row>
    <row r="1912" spans="1:9" x14ac:dyDescent="0.3">
      <c r="A1912" t="s">
        <v>1805</v>
      </c>
      <c r="B1912">
        <v>94</v>
      </c>
      <c r="C1912" t="s">
        <v>45</v>
      </c>
      <c r="D1912">
        <v>56</v>
      </c>
      <c r="E1912">
        <v>68</v>
      </c>
      <c r="F1912">
        <v>4.7</v>
      </c>
      <c r="G1912" t="s">
        <v>18</v>
      </c>
      <c r="H1912" t="s">
        <v>12</v>
      </c>
      <c r="I1912" t="str">
        <f t="shared" si="29"/>
        <v>Africa</v>
      </c>
    </row>
    <row r="1913" spans="1:9" x14ac:dyDescent="0.3">
      <c r="A1913" t="s">
        <v>1806</v>
      </c>
      <c r="B1913">
        <v>95</v>
      </c>
      <c r="C1913" t="s">
        <v>82</v>
      </c>
      <c r="D1913">
        <v>49</v>
      </c>
      <c r="E1913">
        <v>66</v>
      </c>
      <c r="F1913">
        <v>19.11</v>
      </c>
      <c r="G1913" t="s">
        <v>18</v>
      </c>
      <c r="H1913" t="s">
        <v>9</v>
      </c>
      <c r="I1913" t="str">
        <f t="shared" si="29"/>
        <v>Africa</v>
      </c>
    </row>
    <row r="1914" spans="1:9" x14ac:dyDescent="0.3">
      <c r="A1914" t="s">
        <v>1807</v>
      </c>
      <c r="B1914">
        <v>94</v>
      </c>
      <c r="C1914" t="s">
        <v>45</v>
      </c>
      <c r="D1914">
        <v>53</v>
      </c>
      <c r="E1914">
        <v>79</v>
      </c>
      <c r="F1914">
        <v>3.56</v>
      </c>
      <c r="G1914" t="s">
        <v>18</v>
      </c>
      <c r="H1914" t="s">
        <v>9</v>
      </c>
      <c r="I1914" t="str">
        <f t="shared" si="29"/>
        <v>Africa</v>
      </c>
    </row>
    <row r="1915" spans="1:9" x14ac:dyDescent="0.3">
      <c r="A1915" t="s">
        <v>1808</v>
      </c>
      <c r="B1915">
        <v>94</v>
      </c>
      <c r="C1915" t="s">
        <v>45</v>
      </c>
      <c r="D1915">
        <v>58</v>
      </c>
      <c r="E1915">
        <v>75</v>
      </c>
      <c r="F1915">
        <v>4.79</v>
      </c>
      <c r="G1915" t="s">
        <v>18</v>
      </c>
      <c r="H1915" t="s">
        <v>9</v>
      </c>
      <c r="I1915" t="str">
        <f t="shared" si="29"/>
        <v>Africa</v>
      </c>
    </row>
    <row r="1916" spans="1:9" x14ac:dyDescent="0.3">
      <c r="A1916" t="s">
        <v>1809</v>
      </c>
      <c r="B1916">
        <v>94</v>
      </c>
      <c r="C1916" t="s">
        <v>45</v>
      </c>
      <c r="D1916">
        <v>57</v>
      </c>
      <c r="E1916">
        <v>71</v>
      </c>
      <c r="F1916">
        <v>5.29</v>
      </c>
      <c r="G1916" t="s">
        <v>18</v>
      </c>
      <c r="H1916" t="s">
        <v>12</v>
      </c>
      <c r="I1916" t="str">
        <f t="shared" si="29"/>
        <v>Africa</v>
      </c>
    </row>
    <row r="1917" spans="1:9" x14ac:dyDescent="0.3">
      <c r="A1917" t="s">
        <v>1810</v>
      </c>
      <c r="B1917">
        <v>94</v>
      </c>
      <c r="C1917" t="s">
        <v>45</v>
      </c>
      <c r="D1917">
        <v>58</v>
      </c>
      <c r="E1917">
        <v>75</v>
      </c>
      <c r="F1917">
        <v>26.43</v>
      </c>
      <c r="G1917" t="s">
        <v>18</v>
      </c>
      <c r="H1917" t="s">
        <v>5</v>
      </c>
      <c r="I1917" t="str">
        <f t="shared" si="29"/>
        <v>America</v>
      </c>
    </row>
    <row r="1918" spans="1:9" x14ac:dyDescent="0.3">
      <c r="A1918" t="s">
        <v>1811</v>
      </c>
      <c r="B1918">
        <v>94</v>
      </c>
      <c r="C1918" t="s">
        <v>45</v>
      </c>
      <c r="D1918">
        <v>53</v>
      </c>
      <c r="E1918">
        <v>72</v>
      </c>
      <c r="F1918">
        <v>35</v>
      </c>
      <c r="G1918" t="s">
        <v>30</v>
      </c>
      <c r="H1918" t="s">
        <v>5</v>
      </c>
      <c r="I1918" t="str">
        <f t="shared" si="29"/>
        <v>America</v>
      </c>
    </row>
    <row r="1919" spans="1:9" x14ac:dyDescent="0.3">
      <c r="A1919" t="s">
        <v>1812</v>
      </c>
      <c r="B1919">
        <v>94</v>
      </c>
      <c r="C1919" t="s">
        <v>45</v>
      </c>
      <c r="D1919">
        <v>55</v>
      </c>
      <c r="E1919">
        <v>75</v>
      </c>
      <c r="F1919">
        <v>15.85</v>
      </c>
      <c r="G1919" t="s">
        <v>18</v>
      </c>
      <c r="H1919" t="s">
        <v>18</v>
      </c>
      <c r="I1919" t="str">
        <f t="shared" si="29"/>
        <v>America</v>
      </c>
    </row>
    <row r="1920" spans="1:9" x14ac:dyDescent="0.3">
      <c r="A1920" t="s">
        <v>1813</v>
      </c>
      <c r="B1920">
        <v>94</v>
      </c>
      <c r="C1920" t="s">
        <v>82</v>
      </c>
      <c r="D1920">
        <v>53</v>
      </c>
      <c r="E1920">
        <v>68</v>
      </c>
      <c r="F1920">
        <v>4.8499999999999996</v>
      </c>
      <c r="G1920" t="s">
        <v>18</v>
      </c>
      <c r="H1920" t="s">
        <v>16</v>
      </c>
      <c r="I1920" t="str">
        <f t="shared" si="29"/>
        <v>Asia-Pacific</v>
      </c>
    </row>
    <row r="1921" spans="1:9" x14ac:dyDescent="0.3">
      <c r="A1921" t="s">
        <v>1814</v>
      </c>
      <c r="B1921">
        <v>95</v>
      </c>
      <c r="C1921" t="s">
        <v>82</v>
      </c>
      <c r="D1921">
        <v>52</v>
      </c>
      <c r="E1921">
        <v>68</v>
      </c>
      <c r="F1921">
        <v>19.11</v>
      </c>
      <c r="G1921" t="s">
        <v>18</v>
      </c>
      <c r="H1921" t="s">
        <v>5</v>
      </c>
      <c r="I1921" t="str">
        <f t="shared" si="29"/>
        <v>America</v>
      </c>
    </row>
    <row r="1922" spans="1:9" x14ac:dyDescent="0.3">
      <c r="A1922" t="s">
        <v>1815</v>
      </c>
      <c r="B1922">
        <v>94</v>
      </c>
      <c r="C1922" t="s">
        <v>41</v>
      </c>
      <c r="D1922">
        <v>63</v>
      </c>
      <c r="E1922">
        <v>82</v>
      </c>
      <c r="F1922">
        <v>5.1100000000000003</v>
      </c>
      <c r="G1922" t="s">
        <v>18</v>
      </c>
      <c r="H1922" t="s">
        <v>21</v>
      </c>
      <c r="I1922" t="str">
        <f t="shared" si="29"/>
        <v>America</v>
      </c>
    </row>
    <row r="1923" spans="1:9" x14ac:dyDescent="0.3">
      <c r="A1923" t="s">
        <v>1816</v>
      </c>
      <c r="B1923">
        <v>94</v>
      </c>
      <c r="C1923" t="s">
        <v>45</v>
      </c>
      <c r="D1923">
        <v>55</v>
      </c>
      <c r="E1923">
        <v>68</v>
      </c>
      <c r="F1923">
        <v>5</v>
      </c>
      <c r="G1923" t="s">
        <v>18</v>
      </c>
      <c r="H1923" t="s">
        <v>10</v>
      </c>
      <c r="I1923" t="str">
        <f t="shared" ref="I1923:I1986" si="30">_xlfn.XLOOKUP(H1923, $M$2:$M$50, $N$2:$N$50, "Other")</f>
        <v>America</v>
      </c>
    </row>
    <row r="1924" spans="1:9" x14ac:dyDescent="0.3">
      <c r="A1924" t="s">
        <v>1817</v>
      </c>
      <c r="B1924">
        <v>94</v>
      </c>
      <c r="C1924" t="s">
        <v>82</v>
      </c>
      <c r="D1924">
        <v>55</v>
      </c>
      <c r="E1924">
        <v>66</v>
      </c>
      <c r="F1924">
        <v>1234.57</v>
      </c>
      <c r="G1924" t="s">
        <v>2</v>
      </c>
      <c r="H1924" t="s">
        <v>5</v>
      </c>
      <c r="I1924" t="str">
        <f t="shared" si="30"/>
        <v>America</v>
      </c>
    </row>
    <row r="1925" spans="1:9" x14ac:dyDescent="0.3">
      <c r="A1925" t="s">
        <v>1818</v>
      </c>
      <c r="B1925">
        <v>94</v>
      </c>
      <c r="C1925" t="s">
        <v>41</v>
      </c>
      <c r="D1925">
        <v>65</v>
      </c>
      <c r="E1925">
        <v>84</v>
      </c>
      <c r="F1925">
        <v>837.74</v>
      </c>
      <c r="G1925" t="s">
        <v>2</v>
      </c>
      <c r="H1925" t="s">
        <v>150</v>
      </c>
      <c r="I1925" t="str">
        <f t="shared" si="30"/>
        <v>NULL</v>
      </c>
    </row>
    <row r="1926" spans="1:9" x14ac:dyDescent="0.3">
      <c r="A1926" t="s">
        <v>1819</v>
      </c>
      <c r="B1926">
        <v>94</v>
      </c>
      <c r="C1926" t="s">
        <v>45</v>
      </c>
      <c r="D1926">
        <v>58</v>
      </c>
      <c r="E1926">
        <v>71</v>
      </c>
      <c r="F1926">
        <v>35</v>
      </c>
      <c r="G1926" t="s">
        <v>30</v>
      </c>
      <c r="H1926" t="s">
        <v>5</v>
      </c>
      <c r="I1926" t="str">
        <f t="shared" si="30"/>
        <v>America</v>
      </c>
    </row>
    <row r="1927" spans="1:9" x14ac:dyDescent="0.3">
      <c r="A1927" t="s">
        <v>1820</v>
      </c>
      <c r="B1927">
        <v>94</v>
      </c>
      <c r="C1927" t="s">
        <v>82</v>
      </c>
      <c r="D1927">
        <v>52</v>
      </c>
      <c r="E1927">
        <v>66</v>
      </c>
      <c r="F1927">
        <v>3.97</v>
      </c>
      <c r="G1927" t="s">
        <v>18</v>
      </c>
      <c r="H1927" t="s">
        <v>9</v>
      </c>
      <c r="I1927" t="str">
        <f t="shared" si="30"/>
        <v>Africa</v>
      </c>
    </row>
    <row r="1928" spans="1:9" x14ac:dyDescent="0.3">
      <c r="A1928" t="s">
        <v>1821</v>
      </c>
      <c r="B1928">
        <v>95</v>
      </c>
      <c r="C1928" t="s">
        <v>82</v>
      </c>
      <c r="D1928">
        <v>52</v>
      </c>
      <c r="E1928">
        <v>66</v>
      </c>
      <c r="F1928">
        <v>4.26</v>
      </c>
      <c r="G1928" t="s">
        <v>18</v>
      </c>
      <c r="H1928" t="s">
        <v>12</v>
      </c>
      <c r="I1928" t="str">
        <f t="shared" si="30"/>
        <v>Africa</v>
      </c>
    </row>
    <row r="1929" spans="1:9" x14ac:dyDescent="0.3">
      <c r="A1929" t="s">
        <v>1550</v>
      </c>
      <c r="B1929">
        <v>94</v>
      </c>
      <c r="C1929" t="s">
        <v>41</v>
      </c>
      <c r="D1929">
        <v>59</v>
      </c>
      <c r="E1929">
        <v>84</v>
      </c>
      <c r="F1929">
        <v>4.41</v>
      </c>
      <c r="G1929" t="s">
        <v>18</v>
      </c>
      <c r="H1929" t="s">
        <v>9</v>
      </c>
      <c r="I1929" t="str">
        <f t="shared" si="30"/>
        <v>Africa</v>
      </c>
    </row>
    <row r="1930" spans="1:9" x14ac:dyDescent="0.3">
      <c r="A1930" t="s">
        <v>1822</v>
      </c>
      <c r="B1930">
        <v>94</v>
      </c>
      <c r="C1930" t="s">
        <v>45</v>
      </c>
      <c r="D1930">
        <v>56</v>
      </c>
      <c r="E1930">
        <v>82</v>
      </c>
      <c r="F1930">
        <v>23.36</v>
      </c>
      <c r="G1930" t="s">
        <v>18</v>
      </c>
      <c r="H1930" t="s">
        <v>5</v>
      </c>
      <c r="I1930" t="str">
        <f t="shared" si="30"/>
        <v>America</v>
      </c>
    </row>
    <row r="1931" spans="1:9" x14ac:dyDescent="0.3">
      <c r="A1931" t="s">
        <v>580</v>
      </c>
      <c r="B1931">
        <v>95</v>
      </c>
      <c r="C1931" t="s">
        <v>82</v>
      </c>
      <c r="D1931">
        <v>50</v>
      </c>
      <c r="E1931">
        <v>65</v>
      </c>
      <c r="F1931">
        <v>8.82</v>
      </c>
      <c r="G1931" t="s">
        <v>18</v>
      </c>
      <c r="H1931" t="s">
        <v>7</v>
      </c>
      <c r="I1931" t="str">
        <f t="shared" si="30"/>
        <v>America</v>
      </c>
    </row>
    <row r="1932" spans="1:9" x14ac:dyDescent="0.3">
      <c r="A1932" t="s">
        <v>1823</v>
      </c>
      <c r="B1932">
        <v>94</v>
      </c>
      <c r="C1932" t="s">
        <v>82</v>
      </c>
      <c r="D1932">
        <v>51</v>
      </c>
      <c r="E1932">
        <v>55</v>
      </c>
      <c r="F1932">
        <v>4.5599999999999996</v>
      </c>
      <c r="G1932" t="s">
        <v>18</v>
      </c>
      <c r="H1932" t="s">
        <v>12</v>
      </c>
      <c r="I1932" t="str">
        <f t="shared" si="30"/>
        <v>Africa</v>
      </c>
    </row>
    <row r="1933" spans="1:9" x14ac:dyDescent="0.3">
      <c r="A1933" t="s">
        <v>1824</v>
      </c>
      <c r="B1933">
        <v>94</v>
      </c>
      <c r="C1933" t="s">
        <v>82</v>
      </c>
      <c r="D1933">
        <v>52</v>
      </c>
      <c r="E1933">
        <v>60</v>
      </c>
      <c r="F1933">
        <v>11.76</v>
      </c>
      <c r="G1933" t="s">
        <v>18</v>
      </c>
      <c r="H1933" t="s">
        <v>18</v>
      </c>
      <c r="I1933" t="str">
        <f t="shared" si="30"/>
        <v>America</v>
      </c>
    </row>
    <row r="1934" spans="1:9" x14ac:dyDescent="0.3">
      <c r="A1934" t="s">
        <v>1825</v>
      </c>
      <c r="B1934">
        <v>94</v>
      </c>
      <c r="C1934" t="s">
        <v>45</v>
      </c>
      <c r="D1934">
        <v>57</v>
      </c>
      <c r="E1934">
        <v>75</v>
      </c>
      <c r="F1934">
        <v>9.69</v>
      </c>
      <c r="G1934" t="s">
        <v>18</v>
      </c>
      <c r="H1934" t="s">
        <v>18</v>
      </c>
      <c r="I1934" t="str">
        <f t="shared" si="30"/>
        <v>America</v>
      </c>
    </row>
    <row r="1935" spans="1:9" x14ac:dyDescent="0.3">
      <c r="A1935" t="s">
        <v>1826</v>
      </c>
      <c r="B1935">
        <v>94</v>
      </c>
      <c r="C1935" t="s">
        <v>45</v>
      </c>
      <c r="D1935">
        <v>58</v>
      </c>
      <c r="E1935">
        <v>74</v>
      </c>
      <c r="F1935">
        <v>4.5599999999999996</v>
      </c>
      <c r="G1935" t="s">
        <v>18</v>
      </c>
      <c r="H1935" t="s">
        <v>9</v>
      </c>
      <c r="I1935" t="str">
        <f t="shared" si="30"/>
        <v>Africa</v>
      </c>
    </row>
    <row r="1936" spans="1:9" x14ac:dyDescent="0.3">
      <c r="A1936" t="s">
        <v>1827</v>
      </c>
      <c r="B1936">
        <v>96</v>
      </c>
      <c r="C1936" t="s">
        <v>45</v>
      </c>
      <c r="D1936">
        <v>60</v>
      </c>
      <c r="E1936">
        <v>81</v>
      </c>
      <c r="F1936">
        <v>26.34</v>
      </c>
      <c r="G1936" t="s">
        <v>18</v>
      </c>
      <c r="H1936" t="s">
        <v>14</v>
      </c>
      <c r="I1936" t="str">
        <f t="shared" si="30"/>
        <v>America</v>
      </c>
    </row>
    <row r="1937" spans="1:9" x14ac:dyDescent="0.3">
      <c r="A1937" t="s">
        <v>1828</v>
      </c>
      <c r="B1937">
        <v>94</v>
      </c>
      <c r="C1937" t="s">
        <v>45</v>
      </c>
      <c r="D1937">
        <v>55</v>
      </c>
      <c r="E1937">
        <v>68</v>
      </c>
      <c r="F1937">
        <v>4.41</v>
      </c>
      <c r="G1937" t="s">
        <v>18</v>
      </c>
      <c r="H1937" t="s">
        <v>12</v>
      </c>
      <c r="I1937" t="str">
        <f t="shared" si="30"/>
        <v>Africa</v>
      </c>
    </row>
    <row r="1938" spans="1:9" x14ac:dyDescent="0.3">
      <c r="A1938" t="s">
        <v>1829</v>
      </c>
      <c r="B1938">
        <v>94</v>
      </c>
      <c r="C1938" t="s">
        <v>41</v>
      </c>
      <c r="D1938">
        <v>64</v>
      </c>
      <c r="E1938">
        <v>81</v>
      </c>
      <c r="F1938">
        <v>5.23</v>
      </c>
      <c r="G1938" t="s">
        <v>31</v>
      </c>
      <c r="H1938" t="s">
        <v>9</v>
      </c>
      <c r="I1938" t="str">
        <f t="shared" si="30"/>
        <v>Africa</v>
      </c>
    </row>
    <row r="1939" spans="1:9" x14ac:dyDescent="0.3">
      <c r="A1939" t="s">
        <v>1830</v>
      </c>
      <c r="B1939">
        <v>94</v>
      </c>
      <c r="C1939" t="s">
        <v>82</v>
      </c>
      <c r="D1939">
        <v>49</v>
      </c>
      <c r="E1939">
        <v>62</v>
      </c>
      <c r="F1939">
        <v>352.74</v>
      </c>
      <c r="G1939" t="s">
        <v>2</v>
      </c>
      <c r="H1939" t="s">
        <v>12</v>
      </c>
      <c r="I1939" t="str">
        <f t="shared" si="30"/>
        <v>Africa</v>
      </c>
    </row>
    <row r="1940" spans="1:9" x14ac:dyDescent="0.3">
      <c r="A1940" t="s">
        <v>1831</v>
      </c>
      <c r="B1940">
        <v>95</v>
      </c>
      <c r="C1940" t="s">
        <v>82</v>
      </c>
      <c r="D1940">
        <v>53</v>
      </c>
      <c r="E1940">
        <v>65</v>
      </c>
      <c r="F1940">
        <v>4.7</v>
      </c>
      <c r="G1940" t="s">
        <v>18</v>
      </c>
      <c r="H1940" t="s">
        <v>12</v>
      </c>
      <c r="I1940" t="str">
        <f t="shared" si="30"/>
        <v>Africa</v>
      </c>
    </row>
    <row r="1941" spans="1:9" x14ac:dyDescent="0.3">
      <c r="A1941" t="s">
        <v>1832</v>
      </c>
      <c r="B1941">
        <v>94</v>
      </c>
      <c r="C1941" t="s">
        <v>45</v>
      </c>
      <c r="D1941">
        <v>57</v>
      </c>
      <c r="E1941">
        <v>72</v>
      </c>
      <c r="F1941">
        <v>4.41</v>
      </c>
      <c r="G1941" t="s">
        <v>18</v>
      </c>
      <c r="H1941" t="s">
        <v>9</v>
      </c>
      <c r="I1941" t="str">
        <f t="shared" si="30"/>
        <v>Africa</v>
      </c>
    </row>
    <row r="1942" spans="1:9" x14ac:dyDescent="0.3">
      <c r="A1942" t="s">
        <v>1833</v>
      </c>
      <c r="B1942">
        <v>94</v>
      </c>
      <c r="C1942" t="s">
        <v>82</v>
      </c>
      <c r="D1942">
        <v>51</v>
      </c>
      <c r="E1942">
        <v>62</v>
      </c>
      <c r="F1942">
        <v>4.3</v>
      </c>
      <c r="G1942" t="s">
        <v>18</v>
      </c>
      <c r="H1942" t="s">
        <v>9</v>
      </c>
      <c r="I1942" t="str">
        <f t="shared" si="30"/>
        <v>Africa</v>
      </c>
    </row>
    <row r="1943" spans="1:9" x14ac:dyDescent="0.3">
      <c r="A1943" t="s">
        <v>1834</v>
      </c>
      <c r="B1943">
        <v>94</v>
      </c>
      <c r="C1943" t="s">
        <v>45</v>
      </c>
      <c r="D1943">
        <v>54</v>
      </c>
      <c r="E1943">
        <v>77</v>
      </c>
      <c r="F1943">
        <v>4.8499999999999996</v>
      </c>
      <c r="G1943" t="s">
        <v>18</v>
      </c>
      <c r="H1943" t="s">
        <v>16</v>
      </c>
      <c r="I1943" t="str">
        <f t="shared" si="30"/>
        <v>Asia-Pacific</v>
      </c>
    </row>
    <row r="1944" spans="1:9" x14ac:dyDescent="0.3">
      <c r="A1944" t="s">
        <v>1412</v>
      </c>
      <c r="B1944">
        <v>94</v>
      </c>
      <c r="C1944" t="s">
        <v>45</v>
      </c>
      <c r="D1944">
        <v>54</v>
      </c>
      <c r="E1944">
        <v>73</v>
      </c>
      <c r="F1944">
        <v>4.1100000000000003</v>
      </c>
      <c r="G1944" t="s">
        <v>18</v>
      </c>
      <c r="H1944" t="s">
        <v>16</v>
      </c>
      <c r="I1944" t="str">
        <f t="shared" si="30"/>
        <v>Asia-Pacific</v>
      </c>
    </row>
    <row r="1945" spans="1:9" x14ac:dyDescent="0.3">
      <c r="A1945" t="s">
        <v>1835</v>
      </c>
      <c r="B1945">
        <v>94</v>
      </c>
      <c r="C1945" t="s">
        <v>45</v>
      </c>
      <c r="D1945">
        <v>56</v>
      </c>
      <c r="E1945">
        <v>76</v>
      </c>
      <c r="F1945">
        <v>5</v>
      </c>
      <c r="G1945" t="s">
        <v>18</v>
      </c>
      <c r="H1945" t="s">
        <v>150</v>
      </c>
      <c r="I1945" t="str">
        <f t="shared" si="30"/>
        <v>NULL</v>
      </c>
    </row>
    <row r="1946" spans="1:9" x14ac:dyDescent="0.3">
      <c r="A1946" t="s">
        <v>1836</v>
      </c>
      <c r="B1946">
        <v>94</v>
      </c>
      <c r="C1946" t="s">
        <v>45</v>
      </c>
      <c r="D1946">
        <v>58</v>
      </c>
      <c r="E1946">
        <v>75</v>
      </c>
      <c r="F1946">
        <v>4.8499999999999996</v>
      </c>
      <c r="G1946" t="s">
        <v>18</v>
      </c>
      <c r="H1946" t="s">
        <v>9</v>
      </c>
      <c r="I1946" t="str">
        <f t="shared" si="30"/>
        <v>Africa</v>
      </c>
    </row>
    <row r="1947" spans="1:9" x14ac:dyDescent="0.3">
      <c r="A1947" t="s">
        <v>1837</v>
      </c>
      <c r="B1947">
        <v>94</v>
      </c>
      <c r="C1947" t="s">
        <v>45</v>
      </c>
      <c r="D1947">
        <v>51</v>
      </c>
      <c r="E1947">
        <v>75</v>
      </c>
      <c r="F1947">
        <v>20.16</v>
      </c>
      <c r="G1947" t="s">
        <v>18</v>
      </c>
      <c r="H1947" t="s">
        <v>18</v>
      </c>
      <c r="I1947" t="str">
        <f t="shared" si="30"/>
        <v>America</v>
      </c>
    </row>
    <row r="1948" spans="1:9" x14ac:dyDescent="0.3">
      <c r="A1948" t="s">
        <v>1537</v>
      </c>
      <c r="B1948">
        <v>95</v>
      </c>
      <c r="C1948" t="s">
        <v>82</v>
      </c>
      <c r="D1948">
        <v>52</v>
      </c>
      <c r="E1948">
        <v>68</v>
      </c>
      <c r="F1948">
        <v>4.41</v>
      </c>
      <c r="G1948" t="s">
        <v>18</v>
      </c>
      <c r="H1948" t="s">
        <v>16</v>
      </c>
      <c r="I1948" t="str">
        <f t="shared" si="30"/>
        <v>Asia-Pacific</v>
      </c>
    </row>
    <row r="1949" spans="1:9" x14ac:dyDescent="0.3">
      <c r="A1949" t="s">
        <v>1838</v>
      </c>
      <c r="B1949">
        <v>94</v>
      </c>
      <c r="C1949" t="s">
        <v>82</v>
      </c>
      <c r="D1949">
        <v>49</v>
      </c>
      <c r="E1949">
        <v>65</v>
      </c>
      <c r="F1949">
        <v>286.60000000000002</v>
      </c>
      <c r="G1949" t="s">
        <v>2</v>
      </c>
      <c r="H1949" t="s">
        <v>9</v>
      </c>
      <c r="I1949" t="str">
        <f t="shared" si="30"/>
        <v>Africa</v>
      </c>
    </row>
    <row r="1950" spans="1:9" x14ac:dyDescent="0.3">
      <c r="A1950" t="s">
        <v>1839</v>
      </c>
      <c r="B1950">
        <v>94</v>
      </c>
      <c r="C1950" t="s">
        <v>45</v>
      </c>
      <c r="D1950">
        <v>59</v>
      </c>
      <c r="E1950">
        <v>72</v>
      </c>
      <c r="F1950">
        <v>198.41</v>
      </c>
      <c r="G1950" t="s">
        <v>2</v>
      </c>
      <c r="H1950" t="s">
        <v>9</v>
      </c>
      <c r="I1950" t="str">
        <f t="shared" si="30"/>
        <v>Africa</v>
      </c>
    </row>
    <row r="1951" spans="1:9" x14ac:dyDescent="0.3">
      <c r="A1951" t="s">
        <v>1840</v>
      </c>
      <c r="B1951">
        <v>94</v>
      </c>
      <c r="C1951" t="s">
        <v>541</v>
      </c>
      <c r="D1951">
        <v>46</v>
      </c>
      <c r="E1951">
        <v>53</v>
      </c>
      <c r="F1951">
        <v>286.60000000000002</v>
      </c>
      <c r="G1951" t="s">
        <v>2</v>
      </c>
      <c r="H1951" t="s">
        <v>12</v>
      </c>
      <c r="I1951" t="str">
        <f t="shared" si="30"/>
        <v>Africa</v>
      </c>
    </row>
    <row r="1952" spans="1:9" x14ac:dyDescent="0.3">
      <c r="A1952" t="s">
        <v>1841</v>
      </c>
      <c r="B1952">
        <v>94</v>
      </c>
      <c r="C1952" t="s">
        <v>41</v>
      </c>
      <c r="D1952">
        <v>61</v>
      </c>
      <c r="E1952">
        <v>93</v>
      </c>
      <c r="F1952">
        <v>288</v>
      </c>
      <c r="G1952" t="s">
        <v>11</v>
      </c>
      <c r="H1952" t="s">
        <v>5</v>
      </c>
      <c r="I1952" t="str">
        <f t="shared" si="30"/>
        <v>America</v>
      </c>
    </row>
    <row r="1953" spans="1:9" x14ac:dyDescent="0.3">
      <c r="A1953" t="s">
        <v>1842</v>
      </c>
      <c r="B1953">
        <v>94</v>
      </c>
      <c r="C1953" t="s">
        <v>45</v>
      </c>
      <c r="D1953">
        <v>59</v>
      </c>
      <c r="E1953">
        <v>76</v>
      </c>
      <c r="F1953">
        <v>3.97</v>
      </c>
      <c r="G1953" t="s">
        <v>18</v>
      </c>
      <c r="H1953" t="s">
        <v>16</v>
      </c>
      <c r="I1953" t="str">
        <f t="shared" si="30"/>
        <v>Asia-Pacific</v>
      </c>
    </row>
    <row r="1954" spans="1:9" x14ac:dyDescent="0.3">
      <c r="A1954" t="s">
        <v>1843</v>
      </c>
      <c r="B1954">
        <v>94</v>
      </c>
      <c r="C1954" t="s">
        <v>45</v>
      </c>
      <c r="D1954">
        <v>56</v>
      </c>
      <c r="E1954">
        <v>83</v>
      </c>
      <c r="F1954">
        <v>588</v>
      </c>
      <c r="G1954" t="s">
        <v>11</v>
      </c>
      <c r="H1954" t="s">
        <v>5</v>
      </c>
      <c r="I1954" t="str">
        <f t="shared" si="30"/>
        <v>America</v>
      </c>
    </row>
    <row r="1955" spans="1:9" x14ac:dyDescent="0.3">
      <c r="A1955" t="s">
        <v>1844</v>
      </c>
      <c r="B1955">
        <v>95</v>
      </c>
      <c r="C1955" t="s">
        <v>45</v>
      </c>
      <c r="D1955">
        <v>56</v>
      </c>
      <c r="E1955">
        <v>81</v>
      </c>
      <c r="F1955">
        <v>500</v>
      </c>
      <c r="G1955" t="s">
        <v>2</v>
      </c>
      <c r="H1955" t="s">
        <v>9</v>
      </c>
      <c r="I1955" t="str">
        <f t="shared" si="30"/>
        <v>Africa</v>
      </c>
    </row>
    <row r="1956" spans="1:9" x14ac:dyDescent="0.3">
      <c r="A1956" t="s">
        <v>1845</v>
      </c>
      <c r="B1956">
        <v>96</v>
      </c>
      <c r="C1956" t="s">
        <v>41</v>
      </c>
      <c r="D1956">
        <v>64</v>
      </c>
      <c r="E1956">
        <v>83</v>
      </c>
      <c r="F1956">
        <v>4.5599999999999996</v>
      </c>
      <c r="G1956" t="s">
        <v>18</v>
      </c>
      <c r="H1956" t="s">
        <v>9</v>
      </c>
      <c r="I1956" t="str">
        <f t="shared" si="30"/>
        <v>Africa</v>
      </c>
    </row>
    <row r="1957" spans="1:9" x14ac:dyDescent="0.3">
      <c r="A1957" t="s">
        <v>1846</v>
      </c>
      <c r="B1957">
        <v>94</v>
      </c>
      <c r="C1957" t="s">
        <v>82</v>
      </c>
      <c r="D1957">
        <v>53</v>
      </c>
      <c r="E1957">
        <v>66</v>
      </c>
      <c r="F1957">
        <v>5.5</v>
      </c>
      <c r="G1957" t="s">
        <v>18</v>
      </c>
      <c r="H1957" t="s">
        <v>150</v>
      </c>
      <c r="I1957" t="str">
        <f t="shared" si="30"/>
        <v>NULL</v>
      </c>
    </row>
    <row r="1958" spans="1:9" x14ac:dyDescent="0.3">
      <c r="A1958" t="s">
        <v>1847</v>
      </c>
      <c r="B1958">
        <v>96</v>
      </c>
      <c r="C1958" t="s">
        <v>45</v>
      </c>
      <c r="D1958">
        <v>52</v>
      </c>
      <c r="E1958">
        <v>73</v>
      </c>
      <c r="F1958">
        <v>5.29</v>
      </c>
      <c r="G1958" t="s">
        <v>18</v>
      </c>
      <c r="H1958" t="s">
        <v>9</v>
      </c>
      <c r="I1958" t="str">
        <f t="shared" si="30"/>
        <v>Africa</v>
      </c>
    </row>
    <row r="1959" spans="1:9" x14ac:dyDescent="0.3">
      <c r="A1959" t="s">
        <v>1848</v>
      </c>
      <c r="B1959">
        <v>94</v>
      </c>
      <c r="C1959" t="s">
        <v>45</v>
      </c>
      <c r="D1959">
        <v>55</v>
      </c>
      <c r="E1959">
        <v>79</v>
      </c>
      <c r="F1959">
        <v>4.9800000000000004</v>
      </c>
      <c r="G1959" t="s">
        <v>18</v>
      </c>
      <c r="H1959" t="s">
        <v>21</v>
      </c>
      <c r="I1959" t="str">
        <f t="shared" si="30"/>
        <v>America</v>
      </c>
    </row>
    <row r="1960" spans="1:9" x14ac:dyDescent="0.3">
      <c r="A1960" t="s">
        <v>1849</v>
      </c>
      <c r="B1960">
        <v>95</v>
      </c>
      <c r="C1960" t="s">
        <v>45</v>
      </c>
      <c r="D1960">
        <v>56</v>
      </c>
      <c r="E1960">
        <v>73</v>
      </c>
      <c r="F1960">
        <v>4.12</v>
      </c>
      <c r="G1960" t="s">
        <v>18</v>
      </c>
      <c r="H1960" t="s">
        <v>17</v>
      </c>
      <c r="I1960" t="str">
        <f t="shared" si="30"/>
        <v>Africa</v>
      </c>
    </row>
    <row r="1961" spans="1:9" x14ac:dyDescent="0.3">
      <c r="A1961" t="s">
        <v>1850</v>
      </c>
      <c r="B1961">
        <v>95</v>
      </c>
      <c r="C1961" t="s">
        <v>82</v>
      </c>
      <c r="D1961">
        <v>45</v>
      </c>
      <c r="E1961">
        <v>67</v>
      </c>
      <c r="F1961">
        <v>3.82</v>
      </c>
      <c r="G1961" t="s">
        <v>18</v>
      </c>
      <c r="H1961" t="s">
        <v>12</v>
      </c>
      <c r="I1961" t="str">
        <f t="shared" si="30"/>
        <v>Africa</v>
      </c>
    </row>
    <row r="1962" spans="1:9" x14ac:dyDescent="0.3">
      <c r="A1962" t="s">
        <v>1851</v>
      </c>
      <c r="B1962">
        <v>94</v>
      </c>
      <c r="C1962" t="s">
        <v>45</v>
      </c>
      <c r="D1962">
        <v>56</v>
      </c>
      <c r="E1962">
        <v>78</v>
      </c>
      <c r="F1962">
        <v>4.41</v>
      </c>
      <c r="G1962" t="s">
        <v>18</v>
      </c>
      <c r="H1962" t="s">
        <v>9</v>
      </c>
      <c r="I1962" t="str">
        <f t="shared" si="30"/>
        <v>Africa</v>
      </c>
    </row>
    <row r="1963" spans="1:9" x14ac:dyDescent="0.3">
      <c r="A1963" t="s">
        <v>1852</v>
      </c>
      <c r="B1963">
        <v>94</v>
      </c>
      <c r="C1963" t="s">
        <v>45</v>
      </c>
      <c r="D1963">
        <v>57</v>
      </c>
      <c r="E1963">
        <v>72</v>
      </c>
      <c r="F1963">
        <v>6.17</v>
      </c>
      <c r="G1963" t="s">
        <v>18</v>
      </c>
      <c r="H1963" t="s">
        <v>9</v>
      </c>
      <c r="I1963" t="str">
        <f t="shared" si="30"/>
        <v>Africa</v>
      </c>
    </row>
    <row r="1964" spans="1:9" x14ac:dyDescent="0.3">
      <c r="A1964" t="s">
        <v>1853</v>
      </c>
      <c r="B1964">
        <v>95</v>
      </c>
      <c r="C1964" t="s">
        <v>82</v>
      </c>
      <c r="D1964">
        <v>49</v>
      </c>
      <c r="E1964">
        <v>69</v>
      </c>
      <c r="F1964">
        <v>4.7</v>
      </c>
      <c r="G1964" t="s">
        <v>18</v>
      </c>
      <c r="H1964" t="s">
        <v>12</v>
      </c>
      <c r="I1964" t="str">
        <f t="shared" si="30"/>
        <v>Africa</v>
      </c>
    </row>
    <row r="1965" spans="1:9" x14ac:dyDescent="0.3">
      <c r="A1965" t="s">
        <v>1854</v>
      </c>
      <c r="B1965">
        <v>94</v>
      </c>
      <c r="C1965" t="s">
        <v>541</v>
      </c>
      <c r="D1965">
        <v>46</v>
      </c>
      <c r="E1965">
        <v>55</v>
      </c>
      <c r="F1965">
        <v>4.1100000000000003</v>
      </c>
      <c r="G1965" t="s">
        <v>18</v>
      </c>
      <c r="H1965" t="s">
        <v>24</v>
      </c>
      <c r="I1965" t="str">
        <f t="shared" si="30"/>
        <v>Africa</v>
      </c>
    </row>
    <row r="1966" spans="1:9" x14ac:dyDescent="0.3">
      <c r="A1966" t="s">
        <v>1855</v>
      </c>
      <c r="B1966">
        <v>96</v>
      </c>
      <c r="C1966" t="s">
        <v>41</v>
      </c>
      <c r="D1966">
        <v>66</v>
      </c>
      <c r="E1966">
        <v>86</v>
      </c>
      <c r="F1966">
        <v>104.84</v>
      </c>
      <c r="G1966" t="s">
        <v>18</v>
      </c>
      <c r="H1966" t="s">
        <v>5</v>
      </c>
      <c r="I1966" t="str">
        <f t="shared" si="30"/>
        <v>America</v>
      </c>
    </row>
    <row r="1967" spans="1:9" x14ac:dyDescent="0.3">
      <c r="A1967" t="s">
        <v>1856</v>
      </c>
      <c r="B1967">
        <v>94</v>
      </c>
      <c r="C1967" t="s">
        <v>45</v>
      </c>
      <c r="D1967">
        <v>59</v>
      </c>
      <c r="E1967">
        <v>69</v>
      </c>
      <c r="F1967">
        <v>4.76</v>
      </c>
      <c r="G1967" t="s">
        <v>18</v>
      </c>
      <c r="H1967" t="s">
        <v>16</v>
      </c>
      <c r="I1967" t="str">
        <f t="shared" si="30"/>
        <v>Asia-Pacific</v>
      </c>
    </row>
    <row r="1968" spans="1:9" x14ac:dyDescent="0.3">
      <c r="A1968" t="s">
        <v>1631</v>
      </c>
      <c r="B1968">
        <v>94</v>
      </c>
      <c r="C1968" t="s">
        <v>45</v>
      </c>
      <c r="D1968">
        <v>56</v>
      </c>
      <c r="E1968">
        <v>73</v>
      </c>
      <c r="F1968">
        <v>4.41</v>
      </c>
      <c r="G1968" t="s">
        <v>18</v>
      </c>
      <c r="H1968" t="s">
        <v>9</v>
      </c>
      <c r="I1968" t="str">
        <f t="shared" si="30"/>
        <v>Africa</v>
      </c>
    </row>
    <row r="1969" spans="1:9" x14ac:dyDescent="0.3">
      <c r="A1969" t="s">
        <v>1857</v>
      </c>
      <c r="B1969">
        <v>94</v>
      </c>
      <c r="C1969" t="s">
        <v>82</v>
      </c>
      <c r="D1969">
        <v>53</v>
      </c>
      <c r="E1969">
        <v>63</v>
      </c>
      <c r="F1969">
        <v>5.29</v>
      </c>
      <c r="G1969" t="s">
        <v>18</v>
      </c>
      <c r="H1969" t="s">
        <v>12</v>
      </c>
      <c r="I1969" t="str">
        <f t="shared" si="30"/>
        <v>Africa</v>
      </c>
    </row>
    <row r="1970" spans="1:9" x14ac:dyDescent="0.3">
      <c r="A1970" t="s">
        <v>1858</v>
      </c>
      <c r="B1970">
        <v>94</v>
      </c>
      <c r="C1970" t="s">
        <v>45</v>
      </c>
      <c r="D1970">
        <v>58</v>
      </c>
      <c r="E1970">
        <v>76</v>
      </c>
      <c r="F1970">
        <v>220.46</v>
      </c>
      <c r="G1970" t="s">
        <v>2</v>
      </c>
      <c r="H1970" t="s">
        <v>150</v>
      </c>
      <c r="I1970" t="str">
        <f t="shared" si="30"/>
        <v>NULL</v>
      </c>
    </row>
    <row r="1971" spans="1:9" x14ac:dyDescent="0.3">
      <c r="A1971" t="s">
        <v>1771</v>
      </c>
      <c r="B1971">
        <v>94</v>
      </c>
      <c r="C1971" t="s">
        <v>41</v>
      </c>
      <c r="D1971">
        <v>61</v>
      </c>
      <c r="E1971">
        <v>81</v>
      </c>
      <c r="F1971">
        <v>176.37</v>
      </c>
      <c r="G1971" t="s">
        <v>2</v>
      </c>
      <c r="H1971" t="s">
        <v>9</v>
      </c>
      <c r="I1971" t="str">
        <f t="shared" si="30"/>
        <v>Africa</v>
      </c>
    </row>
    <row r="1972" spans="1:9" x14ac:dyDescent="0.3">
      <c r="A1972" t="s">
        <v>1859</v>
      </c>
      <c r="B1972">
        <v>94</v>
      </c>
      <c r="C1972" t="s">
        <v>45</v>
      </c>
      <c r="D1972">
        <v>55</v>
      </c>
      <c r="E1972">
        <v>75</v>
      </c>
      <c r="F1972">
        <v>40</v>
      </c>
      <c r="G1972" t="s">
        <v>11</v>
      </c>
      <c r="H1972" t="s">
        <v>150</v>
      </c>
      <c r="I1972" t="str">
        <f t="shared" si="30"/>
        <v>NULL</v>
      </c>
    </row>
    <row r="1973" spans="1:9" x14ac:dyDescent="0.3">
      <c r="A1973" t="s">
        <v>1860</v>
      </c>
      <c r="B1973">
        <v>95</v>
      </c>
      <c r="C1973" t="s">
        <v>45</v>
      </c>
      <c r="D1973">
        <v>58</v>
      </c>
      <c r="E1973">
        <v>79</v>
      </c>
      <c r="F1973">
        <v>5.88</v>
      </c>
      <c r="G1973" t="s">
        <v>18</v>
      </c>
      <c r="H1973" t="s">
        <v>10</v>
      </c>
      <c r="I1973" t="str">
        <f t="shared" si="30"/>
        <v>America</v>
      </c>
    </row>
    <row r="1974" spans="1:9" x14ac:dyDescent="0.3">
      <c r="A1974" t="s">
        <v>1861</v>
      </c>
      <c r="B1974">
        <v>94</v>
      </c>
      <c r="C1974" t="s">
        <v>45</v>
      </c>
      <c r="D1974">
        <v>54</v>
      </c>
      <c r="E1974">
        <v>73</v>
      </c>
      <c r="F1974">
        <v>3.86</v>
      </c>
      <c r="G1974" t="s">
        <v>18</v>
      </c>
      <c r="H1974" t="s">
        <v>9</v>
      </c>
      <c r="I1974" t="str">
        <f t="shared" si="30"/>
        <v>Africa</v>
      </c>
    </row>
    <row r="1975" spans="1:9" x14ac:dyDescent="0.3">
      <c r="A1975" t="s">
        <v>1862</v>
      </c>
      <c r="B1975">
        <v>95</v>
      </c>
      <c r="C1975" t="s">
        <v>45</v>
      </c>
      <c r="D1975">
        <v>52</v>
      </c>
      <c r="E1975">
        <v>70</v>
      </c>
      <c r="F1975">
        <v>4.41</v>
      </c>
      <c r="G1975" t="s">
        <v>18</v>
      </c>
      <c r="H1975" t="s">
        <v>9</v>
      </c>
      <c r="I1975" t="str">
        <f t="shared" si="30"/>
        <v>Africa</v>
      </c>
    </row>
    <row r="1976" spans="1:9" x14ac:dyDescent="0.3">
      <c r="A1976" t="s">
        <v>1863</v>
      </c>
      <c r="B1976">
        <v>94</v>
      </c>
      <c r="C1976" t="s">
        <v>45</v>
      </c>
      <c r="D1976">
        <v>53</v>
      </c>
      <c r="E1976">
        <v>69</v>
      </c>
      <c r="F1976">
        <v>4.3899999999999997</v>
      </c>
      <c r="G1976" t="s">
        <v>18</v>
      </c>
      <c r="H1976" t="s">
        <v>9</v>
      </c>
      <c r="I1976" t="str">
        <f t="shared" si="30"/>
        <v>Africa</v>
      </c>
    </row>
    <row r="1977" spans="1:9" x14ac:dyDescent="0.3">
      <c r="A1977" t="s">
        <v>1864</v>
      </c>
      <c r="B1977">
        <v>94</v>
      </c>
      <c r="C1977" t="s">
        <v>45</v>
      </c>
      <c r="D1977">
        <v>54</v>
      </c>
      <c r="E1977">
        <v>71</v>
      </c>
      <c r="F1977">
        <v>29.72</v>
      </c>
      <c r="G1977" t="s">
        <v>18</v>
      </c>
      <c r="H1977" t="s">
        <v>5</v>
      </c>
      <c r="I1977" t="str">
        <f t="shared" si="30"/>
        <v>America</v>
      </c>
    </row>
    <row r="1978" spans="1:9" x14ac:dyDescent="0.3">
      <c r="A1978" t="s">
        <v>1733</v>
      </c>
      <c r="B1978">
        <v>97</v>
      </c>
      <c r="C1978" t="s">
        <v>82</v>
      </c>
      <c r="D1978">
        <v>52</v>
      </c>
      <c r="E1978">
        <v>67</v>
      </c>
      <c r="F1978">
        <v>16.739999999999998</v>
      </c>
      <c r="G1978" t="s">
        <v>18</v>
      </c>
      <c r="H1978" t="s">
        <v>5</v>
      </c>
      <c r="I1978" t="str">
        <f t="shared" si="30"/>
        <v>America</v>
      </c>
    </row>
    <row r="1979" spans="1:9" x14ac:dyDescent="0.3">
      <c r="A1979" t="s">
        <v>1865</v>
      </c>
      <c r="B1979">
        <v>96</v>
      </c>
      <c r="C1979" t="s">
        <v>41</v>
      </c>
      <c r="D1979">
        <v>62</v>
      </c>
      <c r="E1979">
        <v>86</v>
      </c>
      <c r="F1979">
        <v>26.45</v>
      </c>
      <c r="G1979" t="s">
        <v>18</v>
      </c>
      <c r="H1979" t="s">
        <v>5</v>
      </c>
      <c r="I1979" t="str">
        <f t="shared" si="30"/>
        <v>America</v>
      </c>
    </row>
    <row r="1980" spans="1:9" x14ac:dyDescent="0.3">
      <c r="A1980" t="s">
        <v>1866</v>
      </c>
      <c r="B1980">
        <v>95</v>
      </c>
      <c r="C1980" t="s">
        <v>82</v>
      </c>
      <c r="D1980">
        <v>52</v>
      </c>
      <c r="E1980">
        <v>61</v>
      </c>
      <c r="F1980">
        <v>4.8499999999999996</v>
      </c>
      <c r="G1980" t="s">
        <v>18</v>
      </c>
      <c r="H1980" t="s">
        <v>12</v>
      </c>
      <c r="I1980" t="str">
        <f t="shared" si="30"/>
        <v>Africa</v>
      </c>
    </row>
    <row r="1981" spans="1:9" x14ac:dyDescent="0.3">
      <c r="A1981" t="s">
        <v>1867</v>
      </c>
      <c r="B1981">
        <v>95</v>
      </c>
      <c r="C1981" t="s">
        <v>45</v>
      </c>
      <c r="D1981">
        <v>57</v>
      </c>
      <c r="E1981">
        <v>74</v>
      </c>
      <c r="F1981">
        <v>14.09</v>
      </c>
      <c r="G1981" t="s">
        <v>18</v>
      </c>
      <c r="H1981" t="s">
        <v>5</v>
      </c>
      <c r="I1981" t="str">
        <f t="shared" si="30"/>
        <v>America</v>
      </c>
    </row>
    <row r="1982" spans="1:9" x14ac:dyDescent="0.3">
      <c r="A1982" t="s">
        <v>1868</v>
      </c>
      <c r="B1982">
        <v>95</v>
      </c>
      <c r="C1982" t="s">
        <v>41</v>
      </c>
      <c r="D1982">
        <v>58</v>
      </c>
      <c r="E1982">
        <v>84</v>
      </c>
      <c r="F1982">
        <v>4.41</v>
      </c>
      <c r="G1982" t="s">
        <v>2</v>
      </c>
      <c r="H1982" t="s">
        <v>9</v>
      </c>
      <c r="I1982" t="str">
        <f t="shared" si="30"/>
        <v>Africa</v>
      </c>
    </row>
    <row r="1983" spans="1:9" x14ac:dyDescent="0.3">
      <c r="A1983" t="s">
        <v>1869</v>
      </c>
      <c r="B1983">
        <v>94</v>
      </c>
      <c r="C1983" t="s">
        <v>45</v>
      </c>
      <c r="D1983">
        <v>58</v>
      </c>
      <c r="E1983">
        <v>82</v>
      </c>
      <c r="F1983">
        <v>4.34</v>
      </c>
      <c r="G1983" t="s">
        <v>18</v>
      </c>
      <c r="H1983" t="s">
        <v>17</v>
      </c>
      <c r="I1983" t="str">
        <f t="shared" si="30"/>
        <v>Africa</v>
      </c>
    </row>
    <row r="1984" spans="1:9" x14ac:dyDescent="0.3">
      <c r="A1984" t="s">
        <v>1870</v>
      </c>
      <c r="B1984">
        <v>94</v>
      </c>
      <c r="C1984" t="s">
        <v>41</v>
      </c>
      <c r="D1984">
        <v>63</v>
      </c>
      <c r="E1984">
        <v>79</v>
      </c>
      <c r="F1984">
        <v>9.98</v>
      </c>
      <c r="G1984" t="s">
        <v>18</v>
      </c>
      <c r="H1984" t="s">
        <v>9</v>
      </c>
      <c r="I1984" t="str">
        <f t="shared" si="30"/>
        <v>Africa</v>
      </c>
    </row>
    <row r="1985" spans="1:9" x14ac:dyDescent="0.3">
      <c r="A1985" t="s">
        <v>1871</v>
      </c>
      <c r="B1985">
        <v>94</v>
      </c>
      <c r="C1985" t="s">
        <v>45</v>
      </c>
      <c r="D1985">
        <v>59</v>
      </c>
      <c r="E1985">
        <v>78</v>
      </c>
      <c r="F1985">
        <v>8.8000000000000007</v>
      </c>
      <c r="G1985" t="s">
        <v>18</v>
      </c>
      <c r="H1985" t="s">
        <v>7</v>
      </c>
      <c r="I1985" t="str">
        <f t="shared" si="30"/>
        <v>America</v>
      </c>
    </row>
    <row r="1986" spans="1:9" x14ac:dyDescent="0.3">
      <c r="A1986" t="s">
        <v>717</v>
      </c>
      <c r="B1986">
        <v>94</v>
      </c>
      <c r="C1986" t="s">
        <v>82</v>
      </c>
      <c r="D1986">
        <v>46</v>
      </c>
      <c r="E1986">
        <v>68</v>
      </c>
      <c r="F1986">
        <v>8.81</v>
      </c>
      <c r="G1986" t="s">
        <v>18</v>
      </c>
      <c r="H1986" t="s">
        <v>14</v>
      </c>
      <c r="I1986" t="str">
        <f t="shared" si="30"/>
        <v>America</v>
      </c>
    </row>
    <row r="1987" spans="1:9" x14ac:dyDescent="0.3">
      <c r="A1987" t="s">
        <v>1872</v>
      </c>
      <c r="B1987">
        <v>96</v>
      </c>
      <c r="C1987" t="s">
        <v>45</v>
      </c>
      <c r="D1987">
        <v>58</v>
      </c>
      <c r="E1987">
        <v>81</v>
      </c>
      <c r="F1987">
        <v>15.43</v>
      </c>
      <c r="G1987" t="s">
        <v>18</v>
      </c>
      <c r="H1987" t="s">
        <v>14</v>
      </c>
      <c r="I1987" t="str">
        <f t="shared" ref="I1987:I2050" si="31">_xlfn.XLOOKUP(H1987, $M$2:$M$50, $N$2:$N$50, "Other")</f>
        <v>America</v>
      </c>
    </row>
    <row r="1988" spans="1:9" x14ac:dyDescent="0.3">
      <c r="A1988" t="s">
        <v>1873</v>
      </c>
      <c r="B1988">
        <v>94</v>
      </c>
      <c r="C1988" t="s">
        <v>82</v>
      </c>
      <c r="D1988">
        <v>53</v>
      </c>
      <c r="E1988">
        <v>64</v>
      </c>
      <c r="F1988">
        <v>209.44</v>
      </c>
      <c r="G1988" t="s">
        <v>2</v>
      </c>
      <c r="H1988" t="s">
        <v>9</v>
      </c>
      <c r="I1988" t="str">
        <f t="shared" si="31"/>
        <v>Africa</v>
      </c>
    </row>
    <row r="1989" spans="1:9" x14ac:dyDescent="0.3">
      <c r="A1989" t="s">
        <v>1874</v>
      </c>
      <c r="B1989">
        <v>94</v>
      </c>
      <c r="C1989" t="s">
        <v>82</v>
      </c>
      <c r="D1989">
        <v>47</v>
      </c>
      <c r="E1989">
        <v>59</v>
      </c>
      <c r="F1989">
        <v>0.22</v>
      </c>
      <c r="G1989" t="s">
        <v>2</v>
      </c>
      <c r="H1989" t="s">
        <v>150</v>
      </c>
      <c r="I1989" t="str">
        <f t="shared" si="31"/>
        <v>NULL</v>
      </c>
    </row>
    <row r="1990" spans="1:9" x14ac:dyDescent="0.3">
      <c r="A1990" t="s">
        <v>1875</v>
      </c>
      <c r="B1990">
        <v>95</v>
      </c>
      <c r="C1990" t="s">
        <v>45</v>
      </c>
      <c r="D1990">
        <v>56</v>
      </c>
      <c r="E1990">
        <v>71</v>
      </c>
      <c r="F1990">
        <v>10.02</v>
      </c>
      <c r="G1990" t="s">
        <v>18</v>
      </c>
      <c r="H1990" t="s">
        <v>5</v>
      </c>
      <c r="I1990" t="str">
        <f t="shared" si="31"/>
        <v>America</v>
      </c>
    </row>
    <row r="1991" spans="1:9" x14ac:dyDescent="0.3">
      <c r="A1991" t="s">
        <v>1876</v>
      </c>
      <c r="B1991">
        <v>94</v>
      </c>
      <c r="C1991" t="s">
        <v>82</v>
      </c>
      <c r="D1991">
        <v>53</v>
      </c>
      <c r="E1991">
        <v>67</v>
      </c>
      <c r="F1991">
        <v>4.99</v>
      </c>
      <c r="G1991" t="s">
        <v>18</v>
      </c>
      <c r="H1991" t="s">
        <v>12</v>
      </c>
      <c r="I1991" t="str">
        <f t="shared" si="31"/>
        <v>Africa</v>
      </c>
    </row>
    <row r="1992" spans="1:9" x14ac:dyDescent="0.3">
      <c r="A1992" t="s">
        <v>1877</v>
      </c>
      <c r="B1992">
        <v>96</v>
      </c>
      <c r="C1992" t="s">
        <v>45</v>
      </c>
      <c r="D1992">
        <v>61</v>
      </c>
      <c r="E1992">
        <v>76</v>
      </c>
      <c r="F1992">
        <v>7.35</v>
      </c>
      <c r="G1992" t="s">
        <v>18</v>
      </c>
      <c r="H1992" t="s">
        <v>12</v>
      </c>
      <c r="I1992" t="str">
        <f t="shared" si="31"/>
        <v>Africa</v>
      </c>
    </row>
    <row r="1993" spans="1:9" x14ac:dyDescent="0.3">
      <c r="A1993" t="s">
        <v>1878</v>
      </c>
      <c r="B1993">
        <v>94</v>
      </c>
      <c r="C1993" t="s">
        <v>82</v>
      </c>
      <c r="D1993">
        <v>49</v>
      </c>
      <c r="E1993">
        <v>62</v>
      </c>
      <c r="F1993">
        <v>5.57</v>
      </c>
      <c r="G1993" t="s">
        <v>18</v>
      </c>
      <c r="H1993" t="s">
        <v>12</v>
      </c>
      <c r="I1993" t="str">
        <f t="shared" si="31"/>
        <v>Africa</v>
      </c>
    </row>
    <row r="1994" spans="1:9" x14ac:dyDescent="0.3">
      <c r="A1994" t="s">
        <v>1879</v>
      </c>
      <c r="B1994">
        <v>95</v>
      </c>
      <c r="C1994" t="s">
        <v>45</v>
      </c>
      <c r="D1994">
        <v>56</v>
      </c>
      <c r="E1994">
        <v>76</v>
      </c>
      <c r="F1994">
        <v>450</v>
      </c>
      <c r="G1994" t="s">
        <v>2</v>
      </c>
      <c r="H1994" t="s">
        <v>12</v>
      </c>
      <c r="I1994" t="str">
        <f t="shared" si="31"/>
        <v>Africa</v>
      </c>
    </row>
    <row r="1995" spans="1:9" x14ac:dyDescent="0.3">
      <c r="A1995" t="s">
        <v>1880</v>
      </c>
      <c r="B1995">
        <v>95</v>
      </c>
      <c r="C1995" t="s">
        <v>45</v>
      </c>
      <c r="D1995">
        <v>60</v>
      </c>
      <c r="E1995">
        <v>78</v>
      </c>
      <c r="F1995">
        <v>19.84</v>
      </c>
      <c r="G1995" t="s">
        <v>18</v>
      </c>
      <c r="H1995" t="s">
        <v>5</v>
      </c>
      <c r="I1995" t="str">
        <f t="shared" si="31"/>
        <v>America</v>
      </c>
    </row>
    <row r="1996" spans="1:9" x14ac:dyDescent="0.3">
      <c r="A1996" t="s">
        <v>1881</v>
      </c>
      <c r="B1996">
        <v>94</v>
      </c>
      <c r="C1996" t="s">
        <v>45</v>
      </c>
      <c r="D1996">
        <v>58</v>
      </c>
      <c r="E1996">
        <v>74</v>
      </c>
      <c r="F1996">
        <v>11.02</v>
      </c>
      <c r="G1996" t="s">
        <v>18</v>
      </c>
      <c r="H1996" t="s">
        <v>9</v>
      </c>
      <c r="I1996" t="str">
        <f t="shared" si="31"/>
        <v>Africa</v>
      </c>
    </row>
    <row r="1997" spans="1:9" x14ac:dyDescent="0.3">
      <c r="A1997" t="s">
        <v>1882</v>
      </c>
      <c r="B1997">
        <v>94</v>
      </c>
      <c r="C1997" t="s">
        <v>45</v>
      </c>
      <c r="D1997">
        <v>56</v>
      </c>
      <c r="E1997">
        <v>75</v>
      </c>
      <c r="F1997">
        <v>4.41</v>
      </c>
      <c r="G1997" t="s">
        <v>18</v>
      </c>
      <c r="H1997" t="s">
        <v>150</v>
      </c>
      <c r="I1997" t="str">
        <f t="shared" si="31"/>
        <v>NULL</v>
      </c>
    </row>
    <row r="1998" spans="1:9" x14ac:dyDescent="0.3">
      <c r="A1998" t="s">
        <v>1883</v>
      </c>
      <c r="B1998">
        <v>97</v>
      </c>
      <c r="C1998" t="s">
        <v>82</v>
      </c>
      <c r="D1998">
        <v>52</v>
      </c>
      <c r="E1998">
        <v>66</v>
      </c>
      <c r="F1998">
        <v>8.81</v>
      </c>
      <c r="G1998" t="s">
        <v>18</v>
      </c>
      <c r="H1998" t="s">
        <v>5</v>
      </c>
      <c r="I1998" t="str">
        <f t="shared" si="31"/>
        <v>America</v>
      </c>
    </row>
    <row r="1999" spans="1:9" x14ac:dyDescent="0.3">
      <c r="A1999" t="s">
        <v>1865</v>
      </c>
      <c r="B1999">
        <v>94</v>
      </c>
      <c r="C1999" t="s">
        <v>45</v>
      </c>
      <c r="D1999">
        <v>61</v>
      </c>
      <c r="E1999">
        <v>77</v>
      </c>
      <c r="F1999">
        <v>26.45</v>
      </c>
      <c r="G1999" t="s">
        <v>18</v>
      </c>
      <c r="H1999" t="s">
        <v>5</v>
      </c>
      <c r="I1999" t="str">
        <f t="shared" si="31"/>
        <v>America</v>
      </c>
    </row>
    <row r="2000" spans="1:9" x14ac:dyDescent="0.3">
      <c r="A2000" t="s">
        <v>1884</v>
      </c>
      <c r="B2000">
        <v>94</v>
      </c>
      <c r="C2000" t="s">
        <v>82</v>
      </c>
      <c r="D2000">
        <v>53</v>
      </c>
      <c r="E2000">
        <v>66</v>
      </c>
      <c r="F2000">
        <v>4.9800000000000004</v>
      </c>
      <c r="G2000" t="s">
        <v>18</v>
      </c>
      <c r="H2000" t="s">
        <v>9</v>
      </c>
      <c r="I2000" t="str">
        <f t="shared" si="31"/>
        <v>Africa</v>
      </c>
    </row>
    <row r="2001" spans="1:9" x14ac:dyDescent="0.3">
      <c r="A2001" t="s">
        <v>1885</v>
      </c>
      <c r="B2001">
        <v>96</v>
      </c>
      <c r="C2001" t="s">
        <v>45</v>
      </c>
      <c r="D2001">
        <v>52</v>
      </c>
      <c r="E2001">
        <v>73</v>
      </c>
      <c r="F2001">
        <v>17.61</v>
      </c>
      <c r="G2001" t="s">
        <v>18</v>
      </c>
      <c r="H2001" t="s">
        <v>5</v>
      </c>
      <c r="I2001" t="str">
        <f t="shared" si="31"/>
        <v>America</v>
      </c>
    </row>
    <row r="2002" spans="1:9" x14ac:dyDescent="0.3">
      <c r="A2002" t="s">
        <v>1865</v>
      </c>
      <c r="B2002">
        <v>94</v>
      </c>
      <c r="C2002" t="s">
        <v>45</v>
      </c>
      <c r="D2002">
        <v>55</v>
      </c>
      <c r="E2002">
        <v>78</v>
      </c>
      <c r="F2002">
        <v>26.43</v>
      </c>
      <c r="G2002" t="s">
        <v>18</v>
      </c>
      <c r="H2002" t="s">
        <v>5</v>
      </c>
      <c r="I2002" t="str">
        <f t="shared" si="31"/>
        <v>America</v>
      </c>
    </row>
    <row r="2003" spans="1:9" x14ac:dyDescent="0.3">
      <c r="A2003" t="s">
        <v>1886</v>
      </c>
      <c r="B2003">
        <v>94</v>
      </c>
      <c r="C2003" t="s">
        <v>41</v>
      </c>
      <c r="D2003">
        <v>66</v>
      </c>
      <c r="E2003">
        <v>88</v>
      </c>
      <c r="F2003">
        <v>4.41</v>
      </c>
      <c r="G2003" t="s">
        <v>18</v>
      </c>
      <c r="H2003" t="s">
        <v>9</v>
      </c>
      <c r="I2003" t="str">
        <f t="shared" si="31"/>
        <v>Africa</v>
      </c>
    </row>
    <row r="2004" spans="1:9" x14ac:dyDescent="0.3">
      <c r="A2004" t="s">
        <v>1448</v>
      </c>
      <c r="B2004">
        <v>94</v>
      </c>
      <c r="C2004" t="s">
        <v>45</v>
      </c>
      <c r="D2004">
        <v>57</v>
      </c>
      <c r="E2004">
        <v>82</v>
      </c>
      <c r="F2004">
        <v>4.41</v>
      </c>
      <c r="G2004" t="s">
        <v>18</v>
      </c>
      <c r="H2004" t="s">
        <v>16</v>
      </c>
      <c r="I2004" t="str">
        <f t="shared" si="31"/>
        <v>Asia-Pacific</v>
      </c>
    </row>
    <row r="2005" spans="1:9" x14ac:dyDescent="0.3">
      <c r="A2005" t="s">
        <v>1887</v>
      </c>
      <c r="B2005">
        <v>95</v>
      </c>
      <c r="C2005" t="s">
        <v>541</v>
      </c>
      <c r="D2005">
        <v>42</v>
      </c>
      <c r="E2005">
        <v>55</v>
      </c>
      <c r="F2005">
        <v>10.58</v>
      </c>
      <c r="G2005" t="s">
        <v>18</v>
      </c>
      <c r="H2005" t="s">
        <v>18</v>
      </c>
      <c r="I2005" t="str">
        <f t="shared" si="31"/>
        <v>America</v>
      </c>
    </row>
    <row r="2006" spans="1:9" x14ac:dyDescent="0.3">
      <c r="A2006" t="s">
        <v>1888</v>
      </c>
      <c r="B2006">
        <v>94</v>
      </c>
      <c r="C2006" t="s">
        <v>82</v>
      </c>
      <c r="D2006">
        <v>53</v>
      </c>
      <c r="E2006">
        <v>63</v>
      </c>
      <c r="F2006">
        <v>705.47</v>
      </c>
      <c r="G2006" t="s">
        <v>2</v>
      </c>
      <c r="H2006" t="s">
        <v>18</v>
      </c>
      <c r="I2006" t="str">
        <f t="shared" si="31"/>
        <v>America</v>
      </c>
    </row>
    <row r="2007" spans="1:9" x14ac:dyDescent="0.3">
      <c r="A2007" t="s">
        <v>1889</v>
      </c>
      <c r="B2007">
        <v>94</v>
      </c>
      <c r="C2007" t="s">
        <v>82</v>
      </c>
      <c r="D2007">
        <v>51</v>
      </c>
      <c r="E2007">
        <v>61</v>
      </c>
      <c r="F2007">
        <v>5.73</v>
      </c>
      <c r="G2007" t="s">
        <v>18</v>
      </c>
      <c r="H2007" t="s">
        <v>5</v>
      </c>
      <c r="I2007" t="str">
        <f t="shared" si="31"/>
        <v>America</v>
      </c>
    </row>
    <row r="2008" spans="1:9" x14ac:dyDescent="0.3">
      <c r="A2008" t="s">
        <v>1877</v>
      </c>
      <c r="B2008">
        <v>95</v>
      </c>
      <c r="C2008" t="s">
        <v>45</v>
      </c>
      <c r="D2008">
        <v>58</v>
      </c>
      <c r="E2008">
        <v>76</v>
      </c>
      <c r="F2008">
        <v>8.52</v>
      </c>
      <c r="G2008" t="s">
        <v>18</v>
      </c>
      <c r="H2008" t="s">
        <v>12</v>
      </c>
      <c r="I2008" t="str">
        <f t="shared" si="31"/>
        <v>Africa</v>
      </c>
    </row>
    <row r="2009" spans="1:9" x14ac:dyDescent="0.3">
      <c r="A2009" t="s">
        <v>1890</v>
      </c>
      <c r="B2009">
        <v>94</v>
      </c>
      <c r="C2009" t="s">
        <v>45</v>
      </c>
      <c r="D2009">
        <v>58</v>
      </c>
      <c r="E2009">
        <v>73</v>
      </c>
      <c r="F2009">
        <v>3.96</v>
      </c>
      <c r="G2009" t="s">
        <v>18</v>
      </c>
      <c r="H2009" t="s">
        <v>14</v>
      </c>
      <c r="I2009" t="str">
        <f t="shared" si="31"/>
        <v>America</v>
      </c>
    </row>
    <row r="2010" spans="1:9" x14ac:dyDescent="0.3">
      <c r="A2010" t="s">
        <v>1891</v>
      </c>
      <c r="B2010">
        <v>94</v>
      </c>
      <c r="C2010" t="s">
        <v>45</v>
      </c>
      <c r="D2010">
        <v>60</v>
      </c>
      <c r="E2010">
        <v>72</v>
      </c>
      <c r="F2010">
        <v>5.39</v>
      </c>
      <c r="G2010" t="s">
        <v>18</v>
      </c>
      <c r="H2010" t="s">
        <v>14</v>
      </c>
      <c r="I2010" t="str">
        <f t="shared" si="31"/>
        <v>America</v>
      </c>
    </row>
    <row r="2011" spans="1:9" x14ac:dyDescent="0.3">
      <c r="A2011" t="s">
        <v>1892</v>
      </c>
      <c r="B2011">
        <v>97</v>
      </c>
      <c r="C2011" t="s">
        <v>45</v>
      </c>
      <c r="D2011">
        <v>61</v>
      </c>
      <c r="E2011">
        <v>75</v>
      </c>
      <c r="F2011">
        <v>4.8499999999999996</v>
      </c>
      <c r="G2011" t="s">
        <v>18</v>
      </c>
      <c r="H2011" t="s">
        <v>7</v>
      </c>
      <c r="I2011" t="str">
        <f t="shared" si="31"/>
        <v>America</v>
      </c>
    </row>
    <row r="2012" spans="1:9" x14ac:dyDescent="0.3">
      <c r="A2012" t="s">
        <v>1893</v>
      </c>
      <c r="B2012">
        <v>94</v>
      </c>
      <c r="C2012" t="s">
        <v>541</v>
      </c>
      <c r="D2012">
        <v>45</v>
      </c>
      <c r="E2012">
        <v>52</v>
      </c>
      <c r="F2012">
        <v>7.05</v>
      </c>
      <c r="G2012" t="s">
        <v>18</v>
      </c>
      <c r="H2012" t="s">
        <v>12</v>
      </c>
      <c r="I2012" t="str">
        <f t="shared" si="31"/>
        <v>Africa</v>
      </c>
    </row>
    <row r="2013" spans="1:9" x14ac:dyDescent="0.3">
      <c r="A2013" t="s">
        <v>1894</v>
      </c>
      <c r="B2013">
        <v>94</v>
      </c>
      <c r="C2013" t="s">
        <v>82</v>
      </c>
      <c r="D2013">
        <v>54</v>
      </c>
      <c r="E2013">
        <v>63</v>
      </c>
      <c r="F2013">
        <v>4.1900000000000004</v>
      </c>
      <c r="G2013" t="s">
        <v>18</v>
      </c>
      <c r="H2013" t="s">
        <v>14</v>
      </c>
      <c r="I2013" t="str">
        <f t="shared" si="31"/>
        <v>America</v>
      </c>
    </row>
    <row r="2014" spans="1:9" x14ac:dyDescent="0.3">
      <c r="A2014" t="s">
        <v>1895</v>
      </c>
      <c r="B2014">
        <v>94</v>
      </c>
      <c r="C2014" t="s">
        <v>82</v>
      </c>
      <c r="D2014">
        <v>48</v>
      </c>
      <c r="E2014">
        <v>59</v>
      </c>
      <c r="F2014">
        <v>5.22</v>
      </c>
      <c r="G2014" t="s">
        <v>18</v>
      </c>
      <c r="H2014" t="s">
        <v>14</v>
      </c>
      <c r="I2014" t="str">
        <f t="shared" si="31"/>
        <v>America</v>
      </c>
    </row>
    <row r="2015" spans="1:9" x14ac:dyDescent="0.3">
      <c r="A2015" t="s">
        <v>1896</v>
      </c>
      <c r="B2015">
        <v>96</v>
      </c>
      <c r="C2015" t="s">
        <v>82</v>
      </c>
      <c r="D2015">
        <v>47</v>
      </c>
      <c r="E2015">
        <v>59</v>
      </c>
      <c r="F2015">
        <v>308.64999999999998</v>
      </c>
      <c r="G2015" t="s">
        <v>2</v>
      </c>
      <c r="H2015" t="s">
        <v>12</v>
      </c>
      <c r="I2015" t="str">
        <f t="shared" si="31"/>
        <v>Africa</v>
      </c>
    </row>
    <row r="2016" spans="1:9" x14ac:dyDescent="0.3">
      <c r="A2016" t="s">
        <v>1897</v>
      </c>
      <c r="B2016">
        <v>94</v>
      </c>
      <c r="C2016" t="s">
        <v>45</v>
      </c>
      <c r="D2016">
        <v>56</v>
      </c>
      <c r="E2016">
        <v>80</v>
      </c>
      <c r="F2016">
        <v>3.31</v>
      </c>
      <c r="G2016" t="s">
        <v>18</v>
      </c>
      <c r="H2016" t="s">
        <v>21</v>
      </c>
      <c r="I2016" t="str">
        <f t="shared" si="31"/>
        <v>America</v>
      </c>
    </row>
    <row r="2017" spans="1:9" x14ac:dyDescent="0.3">
      <c r="A2017" t="s">
        <v>1898</v>
      </c>
      <c r="B2017">
        <v>94</v>
      </c>
      <c r="C2017" t="s">
        <v>45</v>
      </c>
      <c r="D2017">
        <v>54</v>
      </c>
      <c r="E2017">
        <v>72</v>
      </c>
      <c r="F2017">
        <v>5.88</v>
      </c>
      <c r="G2017" t="s">
        <v>18</v>
      </c>
      <c r="H2017" t="s">
        <v>12</v>
      </c>
      <c r="I2017" t="str">
        <f t="shared" si="31"/>
        <v>Africa</v>
      </c>
    </row>
    <row r="2018" spans="1:9" x14ac:dyDescent="0.3">
      <c r="A2018" t="s">
        <v>1899</v>
      </c>
      <c r="B2018">
        <v>94</v>
      </c>
      <c r="C2018" t="s">
        <v>41</v>
      </c>
      <c r="D2018">
        <v>59</v>
      </c>
      <c r="E2018">
        <v>89</v>
      </c>
      <c r="F2018">
        <v>52.08</v>
      </c>
      <c r="G2018" t="s">
        <v>18</v>
      </c>
      <c r="H2018" t="s">
        <v>9</v>
      </c>
      <c r="I2018" t="str">
        <f t="shared" si="31"/>
        <v>Africa</v>
      </c>
    </row>
    <row r="2019" spans="1:9" x14ac:dyDescent="0.3">
      <c r="A2019" t="s">
        <v>1900</v>
      </c>
      <c r="B2019">
        <v>94</v>
      </c>
      <c r="C2019" t="s">
        <v>82</v>
      </c>
      <c r="D2019">
        <v>55</v>
      </c>
      <c r="E2019">
        <v>64</v>
      </c>
      <c r="F2019">
        <v>9.92</v>
      </c>
      <c r="G2019" t="s">
        <v>18</v>
      </c>
      <c r="H2019" t="s">
        <v>18</v>
      </c>
      <c r="I2019" t="str">
        <f t="shared" si="31"/>
        <v>America</v>
      </c>
    </row>
    <row r="2020" spans="1:9" x14ac:dyDescent="0.3">
      <c r="A2020" t="s">
        <v>663</v>
      </c>
      <c r="B2020">
        <v>95</v>
      </c>
      <c r="C2020" t="s">
        <v>82</v>
      </c>
      <c r="D2020">
        <v>54</v>
      </c>
      <c r="E2020">
        <v>64</v>
      </c>
      <c r="F2020">
        <v>7.71</v>
      </c>
      <c r="G2020" t="s">
        <v>18</v>
      </c>
      <c r="H2020" t="s">
        <v>7</v>
      </c>
      <c r="I2020" t="str">
        <f t="shared" si="31"/>
        <v>America</v>
      </c>
    </row>
    <row r="2021" spans="1:9" x14ac:dyDescent="0.3">
      <c r="A2021" t="s">
        <v>1901</v>
      </c>
      <c r="B2021">
        <v>94</v>
      </c>
      <c r="C2021" t="s">
        <v>45</v>
      </c>
      <c r="D2021">
        <v>53</v>
      </c>
      <c r="E2021">
        <v>70</v>
      </c>
      <c r="F2021">
        <v>4.5599999999999996</v>
      </c>
      <c r="G2021" t="s">
        <v>18</v>
      </c>
      <c r="H2021" t="s">
        <v>7</v>
      </c>
      <c r="I2021" t="str">
        <f t="shared" si="31"/>
        <v>America</v>
      </c>
    </row>
    <row r="2022" spans="1:9" x14ac:dyDescent="0.3">
      <c r="A2022" t="s">
        <v>1902</v>
      </c>
      <c r="B2022">
        <v>94</v>
      </c>
      <c r="C2022" t="s">
        <v>45</v>
      </c>
      <c r="D2022">
        <v>55</v>
      </c>
      <c r="E2022">
        <v>74</v>
      </c>
      <c r="F2022">
        <v>4.7</v>
      </c>
      <c r="G2022" t="s">
        <v>18</v>
      </c>
      <c r="H2022" t="s">
        <v>150</v>
      </c>
      <c r="I2022" t="str">
        <f t="shared" si="31"/>
        <v>NULL</v>
      </c>
    </row>
    <row r="2023" spans="1:9" x14ac:dyDescent="0.3">
      <c r="A2023" t="s">
        <v>1218</v>
      </c>
      <c r="B2023">
        <v>95</v>
      </c>
      <c r="C2023" t="s">
        <v>82</v>
      </c>
      <c r="D2023">
        <v>47</v>
      </c>
      <c r="E2023">
        <v>62</v>
      </c>
      <c r="F2023">
        <v>2.79</v>
      </c>
      <c r="G2023" t="s">
        <v>18</v>
      </c>
      <c r="H2023" t="s">
        <v>150</v>
      </c>
      <c r="I2023" t="str">
        <f t="shared" si="31"/>
        <v>NULL</v>
      </c>
    </row>
    <row r="2024" spans="1:9" x14ac:dyDescent="0.3">
      <c r="A2024" t="s">
        <v>1903</v>
      </c>
      <c r="B2024">
        <v>96</v>
      </c>
      <c r="C2024" t="s">
        <v>82</v>
      </c>
      <c r="D2024">
        <v>52</v>
      </c>
      <c r="E2024">
        <v>63</v>
      </c>
      <c r="F2024">
        <v>11.02</v>
      </c>
      <c r="G2024" t="s">
        <v>2</v>
      </c>
      <c r="H2024" t="s">
        <v>7</v>
      </c>
      <c r="I2024" t="str">
        <f t="shared" si="31"/>
        <v>America</v>
      </c>
    </row>
    <row r="2025" spans="1:9" x14ac:dyDescent="0.3">
      <c r="A2025" t="s">
        <v>1904</v>
      </c>
      <c r="B2025">
        <v>95</v>
      </c>
      <c r="C2025" t="s">
        <v>82</v>
      </c>
      <c r="D2025">
        <v>49</v>
      </c>
      <c r="E2025">
        <v>71</v>
      </c>
      <c r="F2025">
        <v>1146.3800000000001</v>
      </c>
      <c r="G2025" t="s">
        <v>2</v>
      </c>
      <c r="H2025" t="s">
        <v>5</v>
      </c>
      <c r="I2025" t="str">
        <f t="shared" si="31"/>
        <v>America</v>
      </c>
    </row>
    <row r="2026" spans="1:9" x14ac:dyDescent="0.3">
      <c r="A2026" t="s">
        <v>1905</v>
      </c>
      <c r="B2026">
        <v>96</v>
      </c>
      <c r="C2026" t="s">
        <v>82</v>
      </c>
      <c r="D2026">
        <v>54</v>
      </c>
      <c r="E2026">
        <v>67</v>
      </c>
      <c r="F2026">
        <v>3.3</v>
      </c>
      <c r="G2026" t="s">
        <v>18</v>
      </c>
      <c r="H2026" t="s">
        <v>150</v>
      </c>
      <c r="I2026" t="str">
        <f t="shared" si="31"/>
        <v>NULL</v>
      </c>
    </row>
    <row r="2027" spans="1:9" x14ac:dyDescent="0.3">
      <c r="A2027" t="s">
        <v>1906</v>
      </c>
      <c r="B2027">
        <v>97</v>
      </c>
      <c r="C2027" t="s">
        <v>82</v>
      </c>
      <c r="D2027">
        <v>45</v>
      </c>
      <c r="E2027">
        <v>60</v>
      </c>
      <c r="F2027">
        <v>4.8499999999999996</v>
      </c>
      <c r="G2027" t="s">
        <v>18</v>
      </c>
      <c r="H2027" t="s">
        <v>12</v>
      </c>
      <c r="I2027" t="str">
        <f t="shared" si="31"/>
        <v>Africa</v>
      </c>
    </row>
    <row r="2028" spans="1:9" x14ac:dyDescent="0.3">
      <c r="A2028" t="s">
        <v>1907</v>
      </c>
      <c r="B2028">
        <v>95</v>
      </c>
      <c r="C2028" t="s">
        <v>82</v>
      </c>
      <c r="D2028">
        <v>50</v>
      </c>
      <c r="E2028">
        <v>56</v>
      </c>
      <c r="F2028">
        <v>4.41</v>
      </c>
      <c r="G2028" t="s">
        <v>18</v>
      </c>
      <c r="H2028" t="s">
        <v>14</v>
      </c>
      <c r="I2028" t="str">
        <f t="shared" si="31"/>
        <v>America</v>
      </c>
    </row>
    <row r="2029" spans="1:9" x14ac:dyDescent="0.3">
      <c r="A2029" t="s">
        <v>1908</v>
      </c>
      <c r="B2029">
        <v>94</v>
      </c>
      <c r="C2029" t="s">
        <v>82</v>
      </c>
      <c r="D2029">
        <v>48</v>
      </c>
      <c r="E2029">
        <v>70</v>
      </c>
      <c r="F2029">
        <v>4.53</v>
      </c>
      <c r="G2029" t="s">
        <v>18</v>
      </c>
      <c r="H2029" t="s">
        <v>9</v>
      </c>
      <c r="I2029" t="str">
        <f t="shared" si="31"/>
        <v>Africa</v>
      </c>
    </row>
    <row r="2030" spans="1:9" x14ac:dyDescent="0.3">
      <c r="A2030" t="s">
        <v>1909</v>
      </c>
      <c r="B2030">
        <v>94</v>
      </c>
      <c r="C2030" t="s">
        <v>45</v>
      </c>
      <c r="D2030">
        <v>53</v>
      </c>
      <c r="E2030">
        <v>73</v>
      </c>
      <c r="F2030">
        <v>4.12</v>
      </c>
      <c r="G2030" t="s">
        <v>18</v>
      </c>
      <c r="H2030" t="s">
        <v>21</v>
      </c>
      <c r="I2030" t="str">
        <f t="shared" si="31"/>
        <v>America</v>
      </c>
    </row>
    <row r="2031" spans="1:9" x14ac:dyDescent="0.3">
      <c r="A2031" t="s">
        <v>1910</v>
      </c>
      <c r="B2031">
        <v>95</v>
      </c>
      <c r="C2031" t="s">
        <v>45</v>
      </c>
      <c r="D2031">
        <v>54</v>
      </c>
      <c r="E2031">
        <v>80</v>
      </c>
      <c r="F2031">
        <v>4.12</v>
      </c>
      <c r="G2031" t="s">
        <v>18</v>
      </c>
      <c r="H2031" t="s">
        <v>5</v>
      </c>
      <c r="I2031" t="str">
        <f t="shared" si="31"/>
        <v>America</v>
      </c>
    </row>
    <row r="2032" spans="1:9" x14ac:dyDescent="0.3">
      <c r="A2032" t="s">
        <v>1911</v>
      </c>
      <c r="B2032">
        <v>94</v>
      </c>
      <c r="C2032" t="s">
        <v>45</v>
      </c>
      <c r="D2032">
        <v>52</v>
      </c>
      <c r="E2032">
        <v>76</v>
      </c>
      <c r="F2032">
        <v>4.12</v>
      </c>
      <c r="G2032" t="s">
        <v>18</v>
      </c>
      <c r="H2032" t="s">
        <v>5</v>
      </c>
      <c r="I2032" t="str">
        <f t="shared" si="31"/>
        <v>America</v>
      </c>
    </row>
    <row r="2033" spans="1:9" x14ac:dyDescent="0.3">
      <c r="A2033" t="s">
        <v>1912</v>
      </c>
      <c r="B2033">
        <v>94</v>
      </c>
      <c r="C2033" t="s">
        <v>45</v>
      </c>
      <c r="D2033">
        <v>57</v>
      </c>
      <c r="E2033">
        <v>81</v>
      </c>
      <c r="F2033">
        <v>3.67</v>
      </c>
      <c r="G2033" t="s">
        <v>18</v>
      </c>
      <c r="H2033" t="s">
        <v>9</v>
      </c>
      <c r="I2033" t="str">
        <f t="shared" si="31"/>
        <v>Africa</v>
      </c>
    </row>
    <row r="2034" spans="1:9" x14ac:dyDescent="0.3">
      <c r="A2034" t="s">
        <v>1913</v>
      </c>
      <c r="B2034">
        <v>95</v>
      </c>
      <c r="C2034" t="s">
        <v>82</v>
      </c>
      <c r="D2034">
        <v>52</v>
      </c>
      <c r="E2034">
        <v>67</v>
      </c>
      <c r="F2034">
        <v>5.88</v>
      </c>
      <c r="G2034" t="s">
        <v>18</v>
      </c>
      <c r="H2034" t="s">
        <v>12</v>
      </c>
      <c r="I2034" t="str">
        <f t="shared" si="31"/>
        <v>Africa</v>
      </c>
    </row>
    <row r="2035" spans="1:9" x14ac:dyDescent="0.3">
      <c r="A2035" t="s">
        <v>1914</v>
      </c>
      <c r="B2035">
        <v>95</v>
      </c>
      <c r="C2035" t="s">
        <v>82</v>
      </c>
      <c r="D2035">
        <v>50</v>
      </c>
      <c r="E2035">
        <v>68</v>
      </c>
      <c r="F2035">
        <v>8.8000000000000007</v>
      </c>
      <c r="G2035" t="s">
        <v>18</v>
      </c>
      <c r="H2035" t="s">
        <v>12</v>
      </c>
      <c r="I2035" t="str">
        <f t="shared" si="31"/>
        <v>Africa</v>
      </c>
    </row>
    <row r="2036" spans="1:9" x14ac:dyDescent="0.3">
      <c r="A2036" t="s">
        <v>1915</v>
      </c>
      <c r="B2036">
        <v>94</v>
      </c>
      <c r="C2036" t="s">
        <v>45</v>
      </c>
      <c r="D2036">
        <v>51</v>
      </c>
      <c r="E2036">
        <v>75</v>
      </c>
      <c r="F2036">
        <v>6.75</v>
      </c>
      <c r="G2036" t="s">
        <v>18</v>
      </c>
      <c r="H2036" t="s">
        <v>12</v>
      </c>
      <c r="I2036" t="str">
        <f t="shared" si="31"/>
        <v>Africa</v>
      </c>
    </row>
    <row r="2037" spans="1:9" x14ac:dyDescent="0.3">
      <c r="A2037" t="s">
        <v>1916</v>
      </c>
      <c r="B2037">
        <v>94</v>
      </c>
      <c r="C2037" t="s">
        <v>82</v>
      </c>
      <c r="D2037">
        <v>47</v>
      </c>
      <c r="E2037">
        <v>56</v>
      </c>
      <c r="F2037">
        <v>3.75</v>
      </c>
      <c r="G2037" t="s">
        <v>18</v>
      </c>
      <c r="H2037" t="s">
        <v>12</v>
      </c>
      <c r="I2037" t="str">
        <f t="shared" si="31"/>
        <v>Africa</v>
      </c>
    </row>
    <row r="2038" spans="1:9" x14ac:dyDescent="0.3">
      <c r="A2038" t="s">
        <v>1917</v>
      </c>
      <c r="B2038">
        <v>95</v>
      </c>
      <c r="C2038" t="s">
        <v>45</v>
      </c>
      <c r="D2038">
        <v>54</v>
      </c>
      <c r="E2038">
        <v>81</v>
      </c>
      <c r="F2038">
        <v>6.76</v>
      </c>
      <c r="G2038" t="s">
        <v>18</v>
      </c>
      <c r="H2038" t="s">
        <v>12</v>
      </c>
      <c r="I2038" t="str">
        <f t="shared" si="31"/>
        <v>Africa</v>
      </c>
    </row>
    <row r="2039" spans="1:9" x14ac:dyDescent="0.3">
      <c r="A2039" t="s">
        <v>1918</v>
      </c>
      <c r="B2039">
        <v>94</v>
      </c>
      <c r="C2039" t="s">
        <v>541</v>
      </c>
      <c r="D2039">
        <v>37</v>
      </c>
      <c r="E2039">
        <v>49</v>
      </c>
      <c r="F2039">
        <v>4.0999999999999996</v>
      </c>
      <c r="G2039" t="s">
        <v>18</v>
      </c>
      <c r="H2039" t="s">
        <v>12</v>
      </c>
      <c r="I2039" t="str">
        <f t="shared" si="31"/>
        <v>Africa</v>
      </c>
    </row>
    <row r="2040" spans="1:9" x14ac:dyDescent="0.3">
      <c r="A2040" t="s">
        <v>1919</v>
      </c>
      <c r="B2040">
        <v>94</v>
      </c>
      <c r="C2040" t="s">
        <v>82</v>
      </c>
      <c r="D2040">
        <v>49</v>
      </c>
      <c r="E2040">
        <v>56</v>
      </c>
      <c r="F2040">
        <v>4.63</v>
      </c>
      <c r="G2040" t="s">
        <v>18</v>
      </c>
      <c r="H2040" t="s">
        <v>16</v>
      </c>
      <c r="I2040" t="str">
        <f t="shared" si="31"/>
        <v>Asia-Pacific</v>
      </c>
    </row>
    <row r="2041" spans="1:9" x14ac:dyDescent="0.3">
      <c r="A2041" t="s">
        <v>1920</v>
      </c>
      <c r="B2041">
        <v>95</v>
      </c>
      <c r="C2041" t="s">
        <v>541</v>
      </c>
      <c r="D2041">
        <v>39</v>
      </c>
      <c r="E2041">
        <v>54</v>
      </c>
      <c r="F2041">
        <v>3.81</v>
      </c>
      <c r="G2041" t="s">
        <v>18</v>
      </c>
      <c r="H2041" t="s">
        <v>150</v>
      </c>
      <c r="I2041" t="str">
        <f t="shared" si="31"/>
        <v>NULL</v>
      </c>
    </row>
    <row r="2042" spans="1:9" x14ac:dyDescent="0.3">
      <c r="A2042" t="s">
        <v>1921</v>
      </c>
      <c r="B2042">
        <v>94</v>
      </c>
      <c r="C2042" t="s">
        <v>82</v>
      </c>
      <c r="D2042">
        <v>50</v>
      </c>
      <c r="E2042">
        <v>61</v>
      </c>
      <c r="F2042">
        <v>3.53</v>
      </c>
      <c r="G2042" t="s">
        <v>18</v>
      </c>
      <c r="H2042" t="s">
        <v>22</v>
      </c>
      <c r="I2042" t="str">
        <f t="shared" si="31"/>
        <v>America</v>
      </c>
    </row>
    <row r="2043" spans="1:9" x14ac:dyDescent="0.3">
      <c r="A2043" t="s">
        <v>1922</v>
      </c>
      <c r="B2043">
        <v>95</v>
      </c>
      <c r="C2043" t="s">
        <v>45</v>
      </c>
      <c r="D2043">
        <v>53</v>
      </c>
      <c r="E2043">
        <v>69</v>
      </c>
      <c r="F2043">
        <v>4.38</v>
      </c>
      <c r="G2043" t="s">
        <v>18</v>
      </c>
      <c r="H2043" t="s">
        <v>15</v>
      </c>
      <c r="I2043" t="str">
        <f t="shared" si="31"/>
        <v>America</v>
      </c>
    </row>
    <row r="2044" spans="1:9" x14ac:dyDescent="0.3">
      <c r="A2044" t="s">
        <v>1923</v>
      </c>
      <c r="B2044">
        <v>94</v>
      </c>
      <c r="C2044" t="s">
        <v>82</v>
      </c>
      <c r="D2044">
        <v>53</v>
      </c>
      <c r="E2044">
        <v>68</v>
      </c>
      <c r="F2044">
        <v>11.01</v>
      </c>
      <c r="G2044" t="s">
        <v>18</v>
      </c>
      <c r="H2044" t="s">
        <v>5</v>
      </c>
      <c r="I2044" t="str">
        <f t="shared" si="31"/>
        <v>America</v>
      </c>
    </row>
    <row r="2045" spans="1:9" x14ac:dyDescent="0.3">
      <c r="A2045" t="s">
        <v>1924</v>
      </c>
      <c r="B2045">
        <v>95</v>
      </c>
      <c r="C2045" t="s">
        <v>45</v>
      </c>
      <c r="D2045">
        <v>58</v>
      </c>
      <c r="E2045">
        <v>79</v>
      </c>
      <c r="F2045">
        <v>136.36000000000001</v>
      </c>
      <c r="G2045" t="s">
        <v>18</v>
      </c>
      <c r="H2045" t="s">
        <v>7</v>
      </c>
      <c r="I2045" t="str">
        <f t="shared" si="31"/>
        <v>America</v>
      </c>
    </row>
    <row r="2046" spans="1:9" x14ac:dyDescent="0.3">
      <c r="A2046" t="s">
        <v>1925</v>
      </c>
      <c r="B2046">
        <v>95</v>
      </c>
      <c r="C2046" t="s">
        <v>45</v>
      </c>
      <c r="D2046">
        <v>57</v>
      </c>
      <c r="E2046">
        <v>73</v>
      </c>
      <c r="F2046">
        <v>6.17</v>
      </c>
      <c r="G2046" t="s">
        <v>18</v>
      </c>
      <c r="H2046" t="s">
        <v>12</v>
      </c>
      <c r="I2046" t="str">
        <f t="shared" si="31"/>
        <v>Africa</v>
      </c>
    </row>
    <row r="2047" spans="1:9" x14ac:dyDescent="0.3">
      <c r="A2047" t="s">
        <v>1926</v>
      </c>
      <c r="B2047">
        <v>94</v>
      </c>
      <c r="C2047" t="s">
        <v>82</v>
      </c>
      <c r="D2047">
        <v>51</v>
      </c>
      <c r="E2047">
        <v>69</v>
      </c>
      <c r="F2047">
        <v>170.45</v>
      </c>
      <c r="G2047" t="s">
        <v>18</v>
      </c>
      <c r="H2047" t="s">
        <v>12</v>
      </c>
      <c r="I2047" t="str">
        <f t="shared" si="31"/>
        <v>Africa</v>
      </c>
    </row>
    <row r="2048" spans="1:9" x14ac:dyDescent="0.3">
      <c r="A2048" t="s">
        <v>1927</v>
      </c>
      <c r="B2048">
        <v>95</v>
      </c>
      <c r="C2048" t="s">
        <v>45</v>
      </c>
      <c r="D2048">
        <v>57</v>
      </c>
      <c r="E2048">
        <v>68</v>
      </c>
      <c r="F2048">
        <v>8.3800000000000008</v>
      </c>
      <c r="G2048" t="s">
        <v>18</v>
      </c>
      <c r="H2048" t="s">
        <v>14</v>
      </c>
      <c r="I2048" t="str">
        <f t="shared" si="31"/>
        <v>America</v>
      </c>
    </row>
    <row r="2049" spans="1:9" x14ac:dyDescent="0.3">
      <c r="A2049" t="s">
        <v>1928</v>
      </c>
      <c r="B2049">
        <v>94</v>
      </c>
      <c r="C2049" t="s">
        <v>541</v>
      </c>
      <c r="D2049">
        <v>46</v>
      </c>
      <c r="E2049">
        <v>53</v>
      </c>
      <c r="F2049">
        <v>2.86</v>
      </c>
      <c r="G2049" t="s">
        <v>31</v>
      </c>
      <c r="H2049" t="s">
        <v>22</v>
      </c>
      <c r="I2049" t="str">
        <f t="shared" si="31"/>
        <v>America</v>
      </c>
    </row>
    <row r="2050" spans="1:9" x14ac:dyDescent="0.3">
      <c r="A2050" t="s">
        <v>1929</v>
      </c>
      <c r="B2050">
        <v>94</v>
      </c>
      <c r="C2050" t="s">
        <v>82</v>
      </c>
      <c r="D2050">
        <v>50</v>
      </c>
      <c r="E2050">
        <v>59</v>
      </c>
      <c r="F2050">
        <v>4.7</v>
      </c>
      <c r="G2050" t="s">
        <v>18</v>
      </c>
      <c r="H2050" t="s">
        <v>9</v>
      </c>
      <c r="I2050" t="str">
        <f t="shared" si="31"/>
        <v>Africa</v>
      </c>
    </row>
    <row r="2051" spans="1:9" x14ac:dyDescent="0.3">
      <c r="A2051" t="s">
        <v>1930</v>
      </c>
      <c r="B2051">
        <v>94</v>
      </c>
      <c r="C2051" t="s">
        <v>541</v>
      </c>
      <c r="D2051">
        <v>43</v>
      </c>
      <c r="E2051">
        <v>55</v>
      </c>
      <c r="F2051">
        <v>4.1900000000000004</v>
      </c>
      <c r="G2051" t="s">
        <v>18</v>
      </c>
      <c r="H2051" t="s">
        <v>25</v>
      </c>
      <c r="I2051" t="str">
        <f t="shared" ref="I2051:I2114" si="32">_xlfn.XLOOKUP(H2051, $M$2:$M$50, $N$2:$N$50, "Other")</f>
        <v>America</v>
      </c>
    </row>
    <row r="2052" spans="1:9" x14ac:dyDescent="0.3">
      <c r="A2052" t="s">
        <v>1931</v>
      </c>
      <c r="B2052">
        <v>94</v>
      </c>
      <c r="C2052" t="s">
        <v>82</v>
      </c>
      <c r="D2052">
        <v>52</v>
      </c>
      <c r="E2052">
        <v>68</v>
      </c>
      <c r="F2052">
        <v>5.44</v>
      </c>
      <c r="G2052" t="s">
        <v>18</v>
      </c>
      <c r="H2052" t="s">
        <v>12</v>
      </c>
      <c r="I2052" t="str">
        <f t="shared" si="32"/>
        <v>Africa</v>
      </c>
    </row>
    <row r="2053" spans="1:9" x14ac:dyDescent="0.3">
      <c r="A2053" t="s">
        <v>1932</v>
      </c>
      <c r="B2053">
        <v>95</v>
      </c>
      <c r="C2053" t="s">
        <v>82</v>
      </c>
      <c r="D2053">
        <v>53</v>
      </c>
      <c r="E2053">
        <v>59</v>
      </c>
      <c r="F2053">
        <v>4.9800000000000004</v>
      </c>
      <c r="G2053" t="s">
        <v>18</v>
      </c>
      <c r="H2053" t="s">
        <v>7</v>
      </c>
      <c r="I2053" t="str">
        <f t="shared" si="32"/>
        <v>America</v>
      </c>
    </row>
    <row r="2054" spans="1:9" x14ac:dyDescent="0.3">
      <c r="A2054" t="s">
        <v>1933</v>
      </c>
      <c r="B2054">
        <v>95</v>
      </c>
      <c r="C2054" t="s">
        <v>45</v>
      </c>
      <c r="D2054">
        <v>57</v>
      </c>
      <c r="E2054">
        <v>65</v>
      </c>
      <c r="F2054">
        <v>147.72999999999999</v>
      </c>
      <c r="G2054" t="s">
        <v>18</v>
      </c>
      <c r="H2054" t="s">
        <v>14</v>
      </c>
      <c r="I2054" t="str">
        <f t="shared" si="32"/>
        <v>America</v>
      </c>
    </row>
    <row r="2055" spans="1:9" x14ac:dyDescent="0.3">
      <c r="A2055" t="s">
        <v>1934</v>
      </c>
      <c r="B2055">
        <v>95</v>
      </c>
      <c r="C2055" t="s">
        <v>82</v>
      </c>
      <c r="D2055">
        <v>54</v>
      </c>
      <c r="E2055">
        <v>64</v>
      </c>
      <c r="F2055">
        <v>5.95</v>
      </c>
      <c r="G2055" t="s">
        <v>18</v>
      </c>
      <c r="H2055" t="s">
        <v>12</v>
      </c>
      <c r="I2055" t="str">
        <f t="shared" si="32"/>
        <v>Africa</v>
      </c>
    </row>
    <row r="2056" spans="1:9" x14ac:dyDescent="0.3">
      <c r="A2056" t="s">
        <v>1935</v>
      </c>
      <c r="B2056">
        <v>94</v>
      </c>
      <c r="C2056" t="s">
        <v>45</v>
      </c>
      <c r="D2056">
        <v>55</v>
      </c>
      <c r="E2056">
        <v>71</v>
      </c>
      <c r="F2056">
        <v>8.81</v>
      </c>
      <c r="G2056" t="s">
        <v>18</v>
      </c>
      <c r="H2056" t="s">
        <v>18</v>
      </c>
      <c r="I2056" t="str">
        <f t="shared" si="32"/>
        <v>America</v>
      </c>
    </row>
    <row r="2057" spans="1:9" x14ac:dyDescent="0.3">
      <c r="A2057" t="s">
        <v>1936</v>
      </c>
      <c r="B2057">
        <v>94</v>
      </c>
      <c r="C2057" t="s">
        <v>82</v>
      </c>
      <c r="D2057">
        <v>55</v>
      </c>
      <c r="E2057">
        <v>61</v>
      </c>
      <c r="F2057">
        <v>4.63</v>
      </c>
      <c r="G2057" t="s">
        <v>18</v>
      </c>
      <c r="H2057" t="s">
        <v>21</v>
      </c>
      <c r="I2057" t="str">
        <f t="shared" si="32"/>
        <v>America</v>
      </c>
    </row>
    <row r="2058" spans="1:9" x14ac:dyDescent="0.3">
      <c r="A2058" t="s">
        <v>1937</v>
      </c>
      <c r="B2058">
        <v>94</v>
      </c>
      <c r="C2058" t="s">
        <v>45</v>
      </c>
      <c r="D2058">
        <v>54</v>
      </c>
      <c r="E2058">
        <v>78</v>
      </c>
      <c r="F2058">
        <v>264.55</v>
      </c>
      <c r="G2058" t="s">
        <v>2</v>
      </c>
      <c r="H2058" t="s">
        <v>150</v>
      </c>
      <c r="I2058" t="str">
        <f t="shared" si="32"/>
        <v>NULL</v>
      </c>
    </row>
    <row r="2059" spans="1:9" x14ac:dyDescent="0.3">
      <c r="A2059" t="s">
        <v>1938</v>
      </c>
      <c r="B2059">
        <v>95</v>
      </c>
      <c r="C2059" t="s">
        <v>82</v>
      </c>
      <c r="D2059">
        <v>45</v>
      </c>
      <c r="E2059">
        <v>59</v>
      </c>
      <c r="F2059">
        <v>5.59</v>
      </c>
      <c r="G2059" t="s">
        <v>18</v>
      </c>
      <c r="H2059" t="s">
        <v>12</v>
      </c>
      <c r="I2059" t="str">
        <f t="shared" si="32"/>
        <v>Africa</v>
      </c>
    </row>
    <row r="2060" spans="1:9" x14ac:dyDescent="0.3">
      <c r="A2060" t="s">
        <v>1939</v>
      </c>
      <c r="B2060">
        <v>95</v>
      </c>
      <c r="C2060" t="s">
        <v>541</v>
      </c>
      <c r="D2060">
        <v>43</v>
      </c>
      <c r="E2060">
        <v>54</v>
      </c>
      <c r="F2060">
        <v>4.0999999999999996</v>
      </c>
      <c r="G2060" t="s">
        <v>18</v>
      </c>
      <c r="H2060" t="s">
        <v>12</v>
      </c>
      <c r="I2060" t="str">
        <f t="shared" si="32"/>
        <v>Africa</v>
      </c>
    </row>
    <row r="2061" spans="1:9" x14ac:dyDescent="0.3">
      <c r="A2061" t="s">
        <v>1940</v>
      </c>
      <c r="B2061">
        <v>95</v>
      </c>
      <c r="C2061" t="s">
        <v>82</v>
      </c>
      <c r="D2061">
        <v>50</v>
      </c>
      <c r="E2061">
        <v>66</v>
      </c>
      <c r="F2061">
        <v>6.17</v>
      </c>
      <c r="G2061" t="s">
        <v>18</v>
      </c>
      <c r="H2061" t="s">
        <v>12</v>
      </c>
      <c r="I2061" t="str">
        <f t="shared" si="32"/>
        <v>Africa</v>
      </c>
    </row>
    <row r="2062" spans="1:9" x14ac:dyDescent="0.3">
      <c r="A2062" t="s">
        <v>1941</v>
      </c>
      <c r="B2062">
        <v>95</v>
      </c>
      <c r="C2062" t="s">
        <v>82</v>
      </c>
      <c r="D2062">
        <v>50</v>
      </c>
      <c r="E2062">
        <v>66</v>
      </c>
      <c r="F2062">
        <v>4.6900000000000004</v>
      </c>
      <c r="G2062" t="s">
        <v>18</v>
      </c>
      <c r="H2062" t="s">
        <v>9</v>
      </c>
      <c r="I2062" t="str">
        <f t="shared" si="32"/>
        <v>Africa</v>
      </c>
    </row>
    <row r="2063" spans="1:9" x14ac:dyDescent="0.3">
      <c r="A2063" t="s">
        <v>1942</v>
      </c>
      <c r="B2063">
        <v>94</v>
      </c>
      <c r="C2063" t="s">
        <v>45</v>
      </c>
      <c r="D2063">
        <v>57</v>
      </c>
      <c r="E2063">
        <v>73</v>
      </c>
      <c r="F2063">
        <v>119.32</v>
      </c>
      <c r="G2063" t="s">
        <v>18</v>
      </c>
      <c r="H2063" t="s">
        <v>13</v>
      </c>
      <c r="I2063" t="str">
        <f t="shared" si="32"/>
        <v>America</v>
      </c>
    </row>
    <row r="2064" spans="1:9" x14ac:dyDescent="0.3">
      <c r="A2064" t="s">
        <v>1943</v>
      </c>
      <c r="B2064">
        <v>94</v>
      </c>
      <c r="C2064" t="s">
        <v>45</v>
      </c>
      <c r="D2064">
        <v>53</v>
      </c>
      <c r="E2064">
        <v>71</v>
      </c>
      <c r="F2064">
        <v>13.28</v>
      </c>
      <c r="G2064" t="s">
        <v>18</v>
      </c>
      <c r="H2064" t="s">
        <v>18</v>
      </c>
      <c r="I2064" t="str">
        <f t="shared" si="32"/>
        <v>America</v>
      </c>
    </row>
    <row r="2065" spans="1:9" x14ac:dyDescent="0.3">
      <c r="A2065" t="s">
        <v>1944</v>
      </c>
      <c r="B2065">
        <v>94</v>
      </c>
      <c r="C2065" t="s">
        <v>82</v>
      </c>
      <c r="D2065">
        <v>48</v>
      </c>
      <c r="E2065">
        <v>56</v>
      </c>
      <c r="F2065">
        <v>11.16</v>
      </c>
      <c r="G2065" t="s">
        <v>18</v>
      </c>
      <c r="H2065" t="s">
        <v>9</v>
      </c>
      <c r="I2065" t="str">
        <f t="shared" si="32"/>
        <v>Africa</v>
      </c>
    </row>
    <row r="2066" spans="1:9" x14ac:dyDescent="0.3">
      <c r="A2066" t="s">
        <v>1945</v>
      </c>
      <c r="B2066">
        <v>95</v>
      </c>
      <c r="C2066" t="s">
        <v>82</v>
      </c>
      <c r="D2066">
        <v>47</v>
      </c>
      <c r="E2066">
        <v>62</v>
      </c>
      <c r="F2066">
        <v>15.5</v>
      </c>
      <c r="G2066" t="s">
        <v>18</v>
      </c>
      <c r="H2066" t="s">
        <v>5</v>
      </c>
      <c r="I2066" t="str">
        <f t="shared" si="32"/>
        <v>America</v>
      </c>
    </row>
    <row r="2067" spans="1:9" x14ac:dyDescent="0.3">
      <c r="A2067" t="s">
        <v>1946</v>
      </c>
      <c r="B2067">
        <v>94</v>
      </c>
      <c r="C2067" t="s">
        <v>45</v>
      </c>
      <c r="D2067">
        <v>58</v>
      </c>
      <c r="E2067">
        <v>78</v>
      </c>
      <c r="F2067">
        <v>4.3899999999999997</v>
      </c>
      <c r="G2067" t="s">
        <v>18</v>
      </c>
      <c r="H2067" t="s">
        <v>21</v>
      </c>
      <c r="I2067" t="str">
        <f t="shared" si="32"/>
        <v>America</v>
      </c>
    </row>
    <row r="2068" spans="1:9" x14ac:dyDescent="0.3">
      <c r="A2068" t="s">
        <v>1947</v>
      </c>
      <c r="B2068">
        <v>94</v>
      </c>
      <c r="C2068" t="s">
        <v>45</v>
      </c>
      <c r="D2068">
        <v>54</v>
      </c>
      <c r="E2068">
        <v>73</v>
      </c>
      <c r="F2068">
        <v>7.94</v>
      </c>
      <c r="G2068" t="s">
        <v>18</v>
      </c>
      <c r="H2068" t="s">
        <v>13</v>
      </c>
      <c r="I2068" t="str">
        <f t="shared" si="32"/>
        <v>America</v>
      </c>
    </row>
    <row r="2069" spans="1:9" x14ac:dyDescent="0.3">
      <c r="A2069" t="s">
        <v>1948</v>
      </c>
      <c r="B2069">
        <v>94</v>
      </c>
      <c r="C2069" t="s">
        <v>541</v>
      </c>
      <c r="D2069">
        <v>40</v>
      </c>
      <c r="E2069">
        <v>49</v>
      </c>
      <c r="F2069">
        <v>2</v>
      </c>
      <c r="G2069" t="s">
        <v>31</v>
      </c>
      <c r="H2069" t="s">
        <v>150</v>
      </c>
      <c r="I2069" t="str">
        <f t="shared" si="32"/>
        <v>NULL</v>
      </c>
    </row>
    <row r="2070" spans="1:9" x14ac:dyDescent="0.3">
      <c r="A2070" t="s">
        <v>1949</v>
      </c>
      <c r="B2070">
        <v>95</v>
      </c>
      <c r="C2070" t="s">
        <v>82</v>
      </c>
      <c r="D2070">
        <v>46</v>
      </c>
      <c r="E2070">
        <v>67</v>
      </c>
      <c r="F2070">
        <v>11.9</v>
      </c>
      <c r="G2070" t="s">
        <v>18</v>
      </c>
      <c r="H2070" t="s">
        <v>18</v>
      </c>
      <c r="I2070" t="str">
        <f t="shared" si="32"/>
        <v>America</v>
      </c>
    </row>
    <row r="2071" spans="1:9" x14ac:dyDescent="0.3">
      <c r="A2071" t="s">
        <v>1950</v>
      </c>
      <c r="B2071">
        <v>96</v>
      </c>
      <c r="C2071" t="s">
        <v>82</v>
      </c>
      <c r="D2071">
        <v>46</v>
      </c>
      <c r="E2071">
        <v>60</v>
      </c>
      <c r="F2071">
        <v>264.55</v>
      </c>
      <c r="G2071" t="s">
        <v>2</v>
      </c>
      <c r="H2071" t="s">
        <v>150</v>
      </c>
      <c r="I2071" t="str">
        <f t="shared" si="32"/>
        <v>NULL</v>
      </c>
    </row>
    <row r="2072" spans="1:9" x14ac:dyDescent="0.3">
      <c r="A2072" t="s">
        <v>1951</v>
      </c>
      <c r="B2072">
        <v>97</v>
      </c>
      <c r="C2072" t="s">
        <v>82</v>
      </c>
      <c r="D2072">
        <v>48</v>
      </c>
      <c r="E2072">
        <v>58</v>
      </c>
      <c r="F2072">
        <v>4.41</v>
      </c>
      <c r="G2072" t="s">
        <v>18</v>
      </c>
      <c r="H2072" t="s">
        <v>7</v>
      </c>
      <c r="I2072" t="str">
        <f t="shared" si="32"/>
        <v>America</v>
      </c>
    </row>
    <row r="2073" spans="1:9" x14ac:dyDescent="0.3">
      <c r="A2073" t="s">
        <v>1952</v>
      </c>
      <c r="B2073">
        <v>94</v>
      </c>
      <c r="C2073" t="s">
        <v>45</v>
      </c>
      <c r="D2073">
        <v>55</v>
      </c>
      <c r="E2073">
        <v>83</v>
      </c>
      <c r="F2073">
        <v>264.55</v>
      </c>
      <c r="G2073" t="s">
        <v>2</v>
      </c>
      <c r="H2073" t="s">
        <v>12</v>
      </c>
      <c r="I2073" t="str">
        <f t="shared" si="32"/>
        <v>Africa</v>
      </c>
    </row>
    <row r="2074" spans="1:9" x14ac:dyDescent="0.3">
      <c r="A2074" t="s">
        <v>1953</v>
      </c>
      <c r="B2074">
        <v>94</v>
      </c>
      <c r="C2074" t="s">
        <v>45</v>
      </c>
      <c r="D2074">
        <v>49</v>
      </c>
      <c r="E2074">
        <v>73</v>
      </c>
      <c r="F2074">
        <v>4.3899999999999997</v>
      </c>
      <c r="G2074" t="s">
        <v>18</v>
      </c>
      <c r="H2074" t="s">
        <v>12</v>
      </c>
      <c r="I2074" t="str">
        <f t="shared" si="32"/>
        <v>Africa</v>
      </c>
    </row>
    <row r="2075" spans="1:9" x14ac:dyDescent="0.3">
      <c r="A2075" t="s">
        <v>1954</v>
      </c>
      <c r="B2075">
        <v>94</v>
      </c>
      <c r="C2075" t="s">
        <v>45</v>
      </c>
      <c r="D2075">
        <v>56</v>
      </c>
      <c r="E2075">
        <v>69</v>
      </c>
      <c r="F2075">
        <v>3.51</v>
      </c>
      <c r="G2075" t="s">
        <v>18</v>
      </c>
      <c r="H2075" t="s">
        <v>21</v>
      </c>
      <c r="I2075" t="str">
        <f t="shared" si="32"/>
        <v>America</v>
      </c>
    </row>
    <row r="2076" spans="1:9" x14ac:dyDescent="0.3">
      <c r="A2076" t="s">
        <v>1955</v>
      </c>
      <c r="B2076">
        <v>94</v>
      </c>
      <c r="C2076" t="s">
        <v>82</v>
      </c>
      <c r="D2076">
        <v>52</v>
      </c>
      <c r="E2076">
        <v>68</v>
      </c>
      <c r="F2076">
        <v>15.5</v>
      </c>
      <c r="G2076" t="s">
        <v>18</v>
      </c>
      <c r="H2076" t="s">
        <v>5</v>
      </c>
      <c r="I2076" t="str">
        <f t="shared" si="32"/>
        <v>America</v>
      </c>
    </row>
    <row r="2077" spans="1:9" x14ac:dyDescent="0.3">
      <c r="A2077" t="s">
        <v>1956</v>
      </c>
      <c r="B2077">
        <v>94</v>
      </c>
      <c r="C2077" t="s">
        <v>82</v>
      </c>
      <c r="D2077">
        <v>49</v>
      </c>
      <c r="E2077">
        <v>62</v>
      </c>
      <c r="F2077">
        <v>12.35</v>
      </c>
      <c r="G2077" t="s">
        <v>18</v>
      </c>
      <c r="H2077" t="s">
        <v>5</v>
      </c>
      <c r="I2077" t="str">
        <f t="shared" si="32"/>
        <v>America</v>
      </c>
    </row>
    <row r="2078" spans="1:9" x14ac:dyDescent="0.3">
      <c r="A2078" t="s">
        <v>1957</v>
      </c>
      <c r="B2078">
        <v>95</v>
      </c>
      <c r="C2078" t="s">
        <v>82</v>
      </c>
      <c r="D2078">
        <v>48</v>
      </c>
      <c r="E2078">
        <v>57</v>
      </c>
      <c r="F2078">
        <v>3.31</v>
      </c>
      <c r="G2078" t="s">
        <v>31</v>
      </c>
      <c r="H2078" t="s">
        <v>150</v>
      </c>
      <c r="I2078" t="str">
        <f t="shared" si="32"/>
        <v>NULL</v>
      </c>
    </row>
    <row r="2079" spans="1:9" x14ac:dyDescent="0.3">
      <c r="A2079" t="s">
        <v>1870</v>
      </c>
      <c r="B2079">
        <v>96</v>
      </c>
      <c r="C2079" t="s">
        <v>82</v>
      </c>
      <c r="D2079">
        <v>50</v>
      </c>
      <c r="E2079">
        <v>65</v>
      </c>
      <c r="F2079">
        <v>11.16</v>
      </c>
      <c r="G2079" t="s">
        <v>18</v>
      </c>
      <c r="H2079" t="s">
        <v>9</v>
      </c>
      <c r="I2079" t="str">
        <f t="shared" si="32"/>
        <v>Africa</v>
      </c>
    </row>
    <row r="2080" spans="1:9" x14ac:dyDescent="0.3">
      <c r="A2080" t="s">
        <v>1958</v>
      </c>
      <c r="B2080">
        <v>94</v>
      </c>
      <c r="C2080" t="s">
        <v>45</v>
      </c>
      <c r="D2080">
        <v>58</v>
      </c>
      <c r="E2080">
        <v>83</v>
      </c>
      <c r="F2080">
        <v>3.51</v>
      </c>
      <c r="G2080" t="s">
        <v>18</v>
      </c>
      <c r="H2080" t="s">
        <v>16</v>
      </c>
      <c r="I2080" t="str">
        <f t="shared" si="32"/>
        <v>Asia-Pacific</v>
      </c>
    </row>
    <row r="2081" spans="1:9" x14ac:dyDescent="0.3">
      <c r="A2081" t="s">
        <v>1959</v>
      </c>
      <c r="B2081">
        <v>95</v>
      </c>
      <c r="C2081" t="s">
        <v>45</v>
      </c>
      <c r="D2081">
        <v>57</v>
      </c>
      <c r="E2081">
        <v>76</v>
      </c>
      <c r="F2081">
        <v>3.81</v>
      </c>
      <c r="G2081" t="s">
        <v>18</v>
      </c>
      <c r="H2081" t="s">
        <v>9</v>
      </c>
      <c r="I2081" t="str">
        <f t="shared" si="32"/>
        <v>Africa</v>
      </c>
    </row>
    <row r="2082" spans="1:9" x14ac:dyDescent="0.3">
      <c r="A2082" t="s">
        <v>1960</v>
      </c>
      <c r="B2082">
        <v>94</v>
      </c>
      <c r="C2082" t="s">
        <v>82</v>
      </c>
      <c r="D2082">
        <v>48</v>
      </c>
      <c r="E2082">
        <v>57</v>
      </c>
      <c r="F2082">
        <v>3.53</v>
      </c>
      <c r="G2082" t="s">
        <v>31</v>
      </c>
      <c r="H2082" t="s">
        <v>21</v>
      </c>
      <c r="I2082" t="str">
        <f t="shared" si="32"/>
        <v>America</v>
      </c>
    </row>
    <row r="2083" spans="1:9" x14ac:dyDescent="0.3">
      <c r="A2083" t="s">
        <v>1961</v>
      </c>
      <c r="B2083">
        <v>94</v>
      </c>
      <c r="C2083" t="s">
        <v>82</v>
      </c>
      <c r="D2083">
        <v>47</v>
      </c>
      <c r="E2083">
        <v>62</v>
      </c>
      <c r="F2083">
        <v>3.88</v>
      </c>
      <c r="G2083" t="s">
        <v>31</v>
      </c>
      <c r="H2083" t="s">
        <v>20</v>
      </c>
      <c r="I2083" t="str">
        <f t="shared" si="32"/>
        <v>Africa</v>
      </c>
    </row>
    <row r="2084" spans="1:9" x14ac:dyDescent="0.3">
      <c r="A2084" t="s">
        <v>1962</v>
      </c>
      <c r="B2084">
        <v>95</v>
      </c>
      <c r="C2084" t="s">
        <v>45</v>
      </c>
      <c r="D2084">
        <v>63</v>
      </c>
      <c r="E2084">
        <v>72</v>
      </c>
      <c r="F2084">
        <v>4.9800000000000004</v>
      </c>
      <c r="G2084" t="s">
        <v>18</v>
      </c>
      <c r="H2084" t="s">
        <v>14</v>
      </c>
      <c r="I2084" t="str">
        <f t="shared" si="32"/>
        <v>America</v>
      </c>
    </row>
    <row r="2085" spans="1:9" x14ac:dyDescent="0.3">
      <c r="A2085" t="s">
        <v>1963</v>
      </c>
      <c r="B2085">
        <v>94</v>
      </c>
      <c r="C2085" t="s">
        <v>45</v>
      </c>
      <c r="D2085">
        <v>53</v>
      </c>
      <c r="E2085">
        <v>72</v>
      </c>
      <c r="F2085">
        <v>105.11</v>
      </c>
      <c r="G2085" t="s">
        <v>18</v>
      </c>
      <c r="H2085" t="s">
        <v>9</v>
      </c>
      <c r="I2085" t="str">
        <f t="shared" si="32"/>
        <v>Africa</v>
      </c>
    </row>
    <row r="2086" spans="1:9" x14ac:dyDescent="0.3">
      <c r="A2086" t="s">
        <v>1964</v>
      </c>
      <c r="B2086">
        <v>95</v>
      </c>
      <c r="C2086" t="s">
        <v>45</v>
      </c>
      <c r="D2086">
        <v>54</v>
      </c>
      <c r="E2086">
        <v>76</v>
      </c>
      <c r="F2086">
        <v>113.64</v>
      </c>
      <c r="G2086" t="s">
        <v>18</v>
      </c>
      <c r="H2086" t="s">
        <v>9</v>
      </c>
      <c r="I2086" t="str">
        <f t="shared" si="32"/>
        <v>Africa</v>
      </c>
    </row>
    <row r="2087" spans="1:9" x14ac:dyDescent="0.3">
      <c r="A2087" t="s">
        <v>1919</v>
      </c>
      <c r="B2087">
        <v>94</v>
      </c>
      <c r="C2087" t="s">
        <v>82</v>
      </c>
      <c r="D2087">
        <v>46</v>
      </c>
      <c r="E2087">
        <v>60</v>
      </c>
      <c r="F2087">
        <v>3.2</v>
      </c>
      <c r="G2087" t="s">
        <v>18</v>
      </c>
      <c r="H2087" t="s">
        <v>16</v>
      </c>
      <c r="I2087" t="str">
        <f t="shared" si="32"/>
        <v>Asia-Pacific</v>
      </c>
    </row>
    <row r="2088" spans="1:9" x14ac:dyDescent="0.3">
      <c r="A2088" t="s">
        <v>1550</v>
      </c>
      <c r="B2088">
        <v>94</v>
      </c>
      <c r="C2088" t="s">
        <v>45</v>
      </c>
      <c r="D2088">
        <v>59</v>
      </c>
      <c r="E2088">
        <v>82</v>
      </c>
      <c r="F2088">
        <v>3.82</v>
      </c>
      <c r="G2088" t="s">
        <v>18</v>
      </c>
      <c r="H2088" t="s">
        <v>9</v>
      </c>
      <c r="I2088" t="str">
        <f t="shared" si="32"/>
        <v>Africa</v>
      </c>
    </row>
    <row r="2089" spans="1:9" x14ac:dyDescent="0.3">
      <c r="A2089" t="s">
        <v>1965</v>
      </c>
      <c r="B2089">
        <v>94</v>
      </c>
      <c r="C2089" t="s">
        <v>82</v>
      </c>
      <c r="D2089">
        <v>49</v>
      </c>
      <c r="E2089">
        <v>71</v>
      </c>
      <c r="F2089">
        <v>385.01</v>
      </c>
      <c r="G2089" t="s">
        <v>18</v>
      </c>
      <c r="H2089" t="s">
        <v>16</v>
      </c>
      <c r="I2089" t="str">
        <f t="shared" si="32"/>
        <v>Asia-Pacific</v>
      </c>
    </row>
    <row r="2090" spans="1:9" x14ac:dyDescent="0.3">
      <c r="A2090" t="s">
        <v>1966</v>
      </c>
      <c r="B2090">
        <v>94</v>
      </c>
      <c r="C2090" t="s">
        <v>541</v>
      </c>
      <c r="D2090">
        <v>39</v>
      </c>
      <c r="E2090">
        <v>53</v>
      </c>
      <c r="F2090">
        <v>1245.71</v>
      </c>
      <c r="G2090" t="s">
        <v>18</v>
      </c>
      <c r="H2090" t="s">
        <v>16</v>
      </c>
      <c r="I2090" t="str">
        <f t="shared" si="32"/>
        <v>Asia-Pacific</v>
      </c>
    </row>
    <row r="2091" spans="1:9" x14ac:dyDescent="0.3">
      <c r="A2091" t="s">
        <v>1967</v>
      </c>
      <c r="B2091">
        <v>94</v>
      </c>
      <c r="C2091" t="s">
        <v>41</v>
      </c>
      <c r="D2091">
        <v>62</v>
      </c>
      <c r="E2091">
        <v>89</v>
      </c>
      <c r="F2091">
        <v>10.7</v>
      </c>
      <c r="G2091" t="s">
        <v>18</v>
      </c>
      <c r="H2091" t="s">
        <v>150</v>
      </c>
      <c r="I2091" t="str">
        <f t="shared" si="32"/>
        <v>NULL</v>
      </c>
    </row>
    <row r="2092" spans="1:9" x14ac:dyDescent="0.3">
      <c r="A2092" t="s">
        <v>1968</v>
      </c>
      <c r="B2092">
        <v>97</v>
      </c>
      <c r="C2092" t="s">
        <v>45</v>
      </c>
      <c r="D2092">
        <v>49</v>
      </c>
      <c r="E2092">
        <v>78</v>
      </c>
      <c r="F2092">
        <v>6.37</v>
      </c>
      <c r="G2092" t="s">
        <v>2</v>
      </c>
      <c r="H2092" t="s">
        <v>9</v>
      </c>
      <c r="I2092" t="str">
        <f t="shared" si="32"/>
        <v>Africa</v>
      </c>
    </row>
    <row r="2093" spans="1:9" x14ac:dyDescent="0.3">
      <c r="A2093" t="s">
        <v>1969</v>
      </c>
      <c r="B2093">
        <v>96</v>
      </c>
      <c r="C2093" t="s">
        <v>82</v>
      </c>
      <c r="D2093">
        <v>49</v>
      </c>
      <c r="E2093">
        <v>64</v>
      </c>
      <c r="F2093">
        <v>79.66</v>
      </c>
      <c r="G2093" t="s">
        <v>2</v>
      </c>
      <c r="H2093" t="s">
        <v>12</v>
      </c>
      <c r="I2093" t="str">
        <f t="shared" si="32"/>
        <v>Africa</v>
      </c>
    </row>
    <row r="2094" spans="1:9" x14ac:dyDescent="0.3">
      <c r="A2094" t="s">
        <v>1970</v>
      </c>
      <c r="B2094">
        <v>95</v>
      </c>
      <c r="C2094" t="s">
        <v>45</v>
      </c>
      <c r="D2094">
        <v>55</v>
      </c>
      <c r="E2094">
        <v>77</v>
      </c>
      <c r="F2094">
        <v>5.33</v>
      </c>
      <c r="G2094" t="s">
        <v>18</v>
      </c>
      <c r="H2094" t="s">
        <v>15</v>
      </c>
      <c r="I2094" t="str">
        <f t="shared" si="32"/>
        <v>America</v>
      </c>
    </row>
    <row r="2095" spans="1:9" x14ac:dyDescent="0.3">
      <c r="A2095" t="s">
        <v>1971</v>
      </c>
      <c r="B2095">
        <v>94</v>
      </c>
      <c r="C2095" t="s">
        <v>82</v>
      </c>
      <c r="D2095">
        <v>51</v>
      </c>
      <c r="E2095">
        <v>70</v>
      </c>
      <c r="F2095">
        <v>93.62</v>
      </c>
      <c r="G2095" t="s">
        <v>18</v>
      </c>
      <c r="H2095" t="s">
        <v>9</v>
      </c>
      <c r="I2095" t="str">
        <f t="shared" si="32"/>
        <v>Africa</v>
      </c>
    </row>
    <row r="2096" spans="1:9" x14ac:dyDescent="0.3">
      <c r="A2096" t="s">
        <v>442</v>
      </c>
      <c r="B2096">
        <v>94</v>
      </c>
      <c r="C2096" t="s">
        <v>45</v>
      </c>
      <c r="D2096">
        <v>52</v>
      </c>
      <c r="E2096">
        <v>82</v>
      </c>
      <c r="F2096">
        <v>45.88</v>
      </c>
      <c r="G2096" t="s">
        <v>18</v>
      </c>
      <c r="H2096" t="s">
        <v>12</v>
      </c>
      <c r="I2096" t="str">
        <f t="shared" si="32"/>
        <v>Africa</v>
      </c>
    </row>
    <row r="2097" spans="1:9" x14ac:dyDescent="0.3">
      <c r="A2097" t="s">
        <v>1972</v>
      </c>
      <c r="B2097">
        <v>95</v>
      </c>
      <c r="C2097" t="s">
        <v>45</v>
      </c>
      <c r="D2097">
        <v>55</v>
      </c>
      <c r="E2097">
        <v>82</v>
      </c>
      <c r="F2097">
        <v>11.29</v>
      </c>
      <c r="G2097" t="s">
        <v>18</v>
      </c>
      <c r="H2097" t="s">
        <v>5</v>
      </c>
      <c r="I2097" t="str">
        <f t="shared" si="32"/>
        <v>America</v>
      </c>
    </row>
    <row r="2098" spans="1:9" x14ac:dyDescent="0.3">
      <c r="A2098" t="s">
        <v>1506</v>
      </c>
      <c r="B2098">
        <v>94</v>
      </c>
      <c r="C2098" t="s">
        <v>45</v>
      </c>
      <c r="D2098">
        <v>58</v>
      </c>
      <c r="E2098">
        <v>73</v>
      </c>
      <c r="F2098">
        <v>5.18</v>
      </c>
      <c r="G2098" t="s">
        <v>18</v>
      </c>
      <c r="H2098" t="s">
        <v>16</v>
      </c>
      <c r="I2098" t="str">
        <f t="shared" si="32"/>
        <v>Asia-Pacific</v>
      </c>
    </row>
    <row r="2099" spans="1:9" x14ac:dyDescent="0.3">
      <c r="A2099" t="s">
        <v>1973</v>
      </c>
      <c r="B2099">
        <v>95</v>
      </c>
      <c r="C2099" t="s">
        <v>45</v>
      </c>
      <c r="D2099">
        <v>53</v>
      </c>
      <c r="E2099">
        <v>75</v>
      </c>
      <c r="F2099">
        <v>233.63</v>
      </c>
      <c r="G2099" t="s">
        <v>18</v>
      </c>
      <c r="H2099" t="s">
        <v>12</v>
      </c>
      <c r="I2099" t="str">
        <f t="shared" si="32"/>
        <v>Africa</v>
      </c>
    </row>
    <row r="2100" spans="1:9" x14ac:dyDescent="0.3">
      <c r="A2100" t="s">
        <v>1974</v>
      </c>
      <c r="B2100">
        <v>95</v>
      </c>
      <c r="C2100" t="s">
        <v>45</v>
      </c>
      <c r="D2100">
        <v>55</v>
      </c>
      <c r="E2100">
        <v>79</v>
      </c>
      <c r="F2100">
        <v>123.6</v>
      </c>
      <c r="G2100" t="s">
        <v>18</v>
      </c>
      <c r="H2100" t="s">
        <v>5</v>
      </c>
      <c r="I2100" t="str">
        <f t="shared" si="32"/>
        <v>America</v>
      </c>
    </row>
    <row r="2101" spans="1:9" x14ac:dyDescent="0.3">
      <c r="A2101" t="s">
        <v>1975</v>
      </c>
      <c r="B2101">
        <v>94</v>
      </c>
      <c r="C2101" t="s">
        <v>82</v>
      </c>
      <c r="D2101">
        <v>45</v>
      </c>
      <c r="E2101">
        <v>61</v>
      </c>
      <c r="F2101">
        <v>98.18</v>
      </c>
      <c r="G2101" t="s">
        <v>18</v>
      </c>
      <c r="H2101" t="s">
        <v>9</v>
      </c>
      <c r="I2101" t="str">
        <f t="shared" si="32"/>
        <v>Africa</v>
      </c>
    </row>
    <row r="2102" spans="1:9" x14ac:dyDescent="0.3">
      <c r="A2102" t="s">
        <v>1976</v>
      </c>
      <c r="B2102">
        <v>96</v>
      </c>
      <c r="C2102" t="s">
        <v>41</v>
      </c>
      <c r="D2102">
        <v>59</v>
      </c>
      <c r="E2102">
        <v>99</v>
      </c>
      <c r="F2102">
        <v>123.62</v>
      </c>
      <c r="G2102" t="s">
        <v>18</v>
      </c>
      <c r="H2102" t="s">
        <v>5</v>
      </c>
      <c r="I2102" t="str">
        <f t="shared" si="32"/>
        <v>America</v>
      </c>
    </row>
    <row r="2103" spans="1:9" x14ac:dyDescent="0.3">
      <c r="A2103" t="s">
        <v>1977</v>
      </c>
      <c r="B2103">
        <v>94</v>
      </c>
      <c r="C2103" t="s">
        <v>82</v>
      </c>
      <c r="D2103">
        <v>44</v>
      </c>
      <c r="E2103">
        <v>73</v>
      </c>
      <c r="F2103">
        <v>219.28</v>
      </c>
      <c r="G2103" t="s">
        <v>18</v>
      </c>
      <c r="H2103" t="s">
        <v>5</v>
      </c>
      <c r="I2103" t="str">
        <f t="shared" si="32"/>
        <v>America</v>
      </c>
    </row>
    <row r="2104" spans="1:9" x14ac:dyDescent="0.3">
      <c r="A2104" t="s">
        <v>1978</v>
      </c>
      <c r="B2104">
        <v>95</v>
      </c>
      <c r="C2104" t="s">
        <v>82</v>
      </c>
      <c r="D2104">
        <v>49</v>
      </c>
      <c r="E2104">
        <v>69</v>
      </c>
      <c r="F2104">
        <v>32.869999999999997</v>
      </c>
      <c r="G2104" t="s">
        <v>18</v>
      </c>
      <c r="H2104" t="s">
        <v>18</v>
      </c>
      <c r="I2104" t="str">
        <f t="shared" si="32"/>
        <v>America</v>
      </c>
    </row>
    <row r="2105" spans="1:9" x14ac:dyDescent="0.3">
      <c r="A2105" t="s">
        <v>1979</v>
      </c>
      <c r="B2105">
        <v>96</v>
      </c>
      <c r="C2105" t="s">
        <v>41</v>
      </c>
      <c r="D2105">
        <v>57</v>
      </c>
      <c r="E2105">
        <v>90</v>
      </c>
      <c r="F2105">
        <v>76.13</v>
      </c>
      <c r="G2105" t="s">
        <v>18</v>
      </c>
      <c r="H2105" t="s">
        <v>12</v>
      </c>
      <c r="I2105" t="str">
        <f t="shared" si="32"/>
        <v>Africa</v>
      </c>
    </row>
    <row r="2106" spans="1:9" x14ac:dyDescent="0.3">
      <c r="A2106" t="s">
        <v>1980</v>
      </c>
      <c r="B2106">
        <v>95</v>
      </c>
      <c r="C2106" t="s">
        <v>45</v>
      </c>
      <c r="D2106">
        <v>53</v>
      </c>
      <c r="E2106">
        <v>77</v>
      </c>
      <c r="F2106">
        <v>5.53</v>
      </c>
      <c r="G2106" t="s">
        <v>18</v>
      </c>
      <c r="H2106" t="s">
        <v>24</v>
      </c>
      <c r="I2106" t="str">
        <f t="shared" si="32"/>
        <v>Africa</v>
      </c>
    </row>
    <row r="2107" spans="1:9" x14ac:dyDescent="0.3">
      <c r="A2107" t="s">
        <v>1981</v>
      </c>
      <c r="B2107">
        <v>94</v>
      </c>
      <c r="C2107" t="s">
        <v>541</v>
      </c>
      <c r="D2107">
        <v>37</v>
      </c>
      <c r="E2107">
        <v>47</v>
      </c>
      <c r="F2107">
        <v>68.180000000000007</v>
      </c>
      <c r="G2107" t="s">
        <v>18</v>
      </c>
      <c r="H2107" t="s">
        <v>150</v>
      </c>
      <c r="I2107" t="str">
        <f t="shared" si="32"/>
        <v>NULL</v>
      </c>
    </row>
    <row r="2108" spans="1:9" x14ac:dyDescent="0.3">
      <c r="A2108" t="s">
        <v>1982</v>
      </c>
      <c r="B2108">
        <v>95</v>
      </c>
      <c r="C2108" t="s">
        <v>41</v>
      </c>
      <c r="D2108">
        <v>65</v>
      </c>
      <c r="E2108">
        <v>91</v>
      </c>
      <c r="F2108">
        <v>22.96</v>
      </c>
      <c r="G2108" t="s">
        <v>18</v>
      </c>
      <c r="H2108" t="s">
        <v>9</v>
      </c>
      <c r="I2108" t="str">
        <f t="shared" si="32"/>
        <v>Africa</v>
      </c>
    </row>
    <row r="2109" spans="1:9" x14ac:dyDescent="0.3">
      <c r="A2109" t="s">
        <v>1967</v>
      </c>
      <c r="B2109">
        <v>95</v>
      </c>
      <c r="C2109" t="s">
        <v>82</v>
      </c>
      <c r="D2109">
        <v>51</v>
      </c>
      <c r="E2109">
        <v>66</v>
      </c>
      <c r="F2109">
        <v>6.42</v>
      </c>
      <c r="G2109" t="s">
        <v>18</v>
      </c>
      <c r="H2109" t="s">
        <v>150</v>
      </c>
      <c r="I2109" t="str">
        <f t="shared" si="32"/>
        <v>NULL</v>
      </c>
    </row>
    <row r="2110" spans="1:9" x14ac:dyDescent="0.3">
      <c r="A2110" t="s">
        <v>1983</v>
      </c>
      <c r="B2110">
        <v>95</v>
      </c>
      <c r="C2110" t="s">
        <v>82</v>
      </c>
      <c r="D2110">
        <v>47</v>
      </c>
      <c r="E2110">
        <v>58</v>
      </c>
      <c r="F2110">
        <v>104.06</v>
      </c>
      <c r="G2110" t="s">
        <v>18</v>
      </c>
      <c r="H2110" t="s">
        <v>12</v>
      </c>
      <c r="I2110" t="str">
        <f t="shared" si="32"/>
        <v>Africa</v>
      </c>
    </row>
    <row r="2111" spans="1:9" x14ac:dyDescent="0.3">
      <c r="A2111" t="s">
        <v>1984</v>
      </c>
      <c r="B2111">
        <v>97</v>
      </c>
      <c r="C2111" t="s">
        <v>41</v>
      </c>
      <c r="D2111">
        <v>62</v>
      </c>
      <c r="E2111">
        <v>83</v>
      </c>
      <c r="F2111">
        <v>2008.52</v>
      </c>
      <c r="G2111" t="s">
        <v>18</v>
      </c>
      <c r="H2111" t="s">
        <v>18</v>
      </c>
      <c r="I2111" t="str">
        <f t="shared" si="32"/>
        <v>America</v>
      </c>
    </row>
    <row r="2112" spans="1:9" x14ac:dyDescent="0.3">
      <c r="A2112" t="s">
        <v>1985</v>
      </c>
      <c r="B2112">
        <v>96</v>
      </c>
      <c r="C2112" t="s">
        <v>45</v>
      </c>
      <c r="D2112">
        <v>56</v>
      </c>
      <c r="E2112">
        <v>75</v>
      </c>
      <c r="F2112">
        <v>12.45</v>
      </c>
      <c r="G2112" t="s">
        <v>18</v>
      </c>
      <c r="H2112" t="s">
        <v>12</v>
      </c>
      <c r="I2112" t="str">
        <f t="shared" si="32"/>
        <v>Africa</v>
      </c>
    </row>
    <row r="2113" spans="1:9" x14ac:dyDescent="0.3">
      <c r="A2113" t="s">
        <v>1986</v>
      </c>
      <c r="B2113">
        <v>95</v>
      </c>
      <c r="C2113" t="s">
        <v>82</v>
      </c>
      <c r="D2113">
        <v>52</v>
      </c>
      <c r="E2113">
        <v>69</v>
      </c>
      <c r="F2113">
        <v>5.75</v>
      </c>
      <c r="G2113" t="s">
        <v>18</v>
      </c>
      <c r="H2113" t="s">
        <v>12</v>
      </c>
      <c r="I2113" t="str">
        <f t="shared" si="32"/>
        <v>Africa</v>
      </c>
    </row>
    <row r="2114" spans="1:9" x14ac:dyDescent="0.3">
      <c r="A2114" t="s">
        <v>1877</v>
      </c>
      <c r="B2114">
        <v>96</v>
      </c>
      <c r="C2114" t="s">
        <v>82</v>
      </c>
      <c r="D2114">
        <v>49</v>
      </c>
      <c r="E2114">
        <v>69</v>
      </c>
      <c r="F2114">
        <v>32.869999999999997</v>
      </c>
      <c r="G2114" t="s">
        <v>18</v>
      </c>
      <c r="H2114" t="s">
        <v>12</v>
      </c>
      <c r="I2114" t="str">
        <f t="shared" si="32"/>
        <v>Africa</v>
      </c>
    </row>
    <row r="2115" spans="1:9" x14ac:dyDescent="0.3">
      <c r="A2115" t="s">
        <v>1332</v>
      </c>
      <c r="B2115">
        <v>94</v>
      </c>
      <c r="C2115" t="s">
        <v>45</v>
      </c>
      <c r="D2115">
        <v>55</v>
      </c>
      <c r="E2115">
        <v>75</v>
      </c>
      <c r="F2115">
        <v>22.05</v>
      </c>
      <c r="G2115" t="s">
        <v>18</v>
      </c>
      <c r="H2115" t="s">
        <v>16</v>
      </c>
      <c r="I2115" t="str">
        <f t="shared" ref="I2115:I2178" si="33">_xlfn.XLOOKUP(H2115, $M$2:$M$50, $N$2:$N$50, "Other")</f>
        <v>Asia-Pacific</v>
      </c>
    </row>
    <row r="2116" spans="1:9" x14ac:dyDescent="0.3">
      <c r="A2116" t="s">
        <v>1987</v>
      </c>
      <c r="B2116">
        <v>95</v>
      </c>
      <c r="C2116" t="s">
        <v>45</v>
      </c>
      <c r="D2116">
        <v>57</v>
      </c>
      <c r="E2116">
        <v>81</v>
      </c>
      <c r="F2116">
        <v>10.37</v>
      </c>
      <c r="G2116" t="s">
        <v>18</v>
      </c>
      <c r="H2116" t="s">
        <v>5</v>
      </c>
      <c r="I2116" t="str">
        <f t="shared" si="33"/>
        <v>America</v>
      </c>
    </row>
    <row r="2117" spans="1:9" x14ac:dyDescent="0.3">
      <c r="A2117" t="s">
        <v>1506</v>
      </c>
      <c r="B2117">
        <v>94</v>
      </c>
      <c r="C2117" t="s">
        <v>45</v>
      </c>
      <c r="D2117">
        <v>50</v>
      </c>
      <c r="E2117">
        <v>74</v>
      </c>
      <c r="F2117">
        <v>63.49</v>
      </c>
      <c r="G2117" t="s">
        <v>18</v>
      </c>
      <c r="H2117" t="s">
        <v>16</v>
      </c>
      <c r="I2117" t="str">
        <f t="shared" si="33"/>
        <v>Asia-Pacific</v>
      </c>
    </row>
    <row r="2118" spans="1:9" x14ac:dyDescent="0.3">
      <c r="A2118" t="s">
        <v>1988</v>
      </c>
      <c r="B2118">
        <v>95</v>
      </c>
      <c r="C2118" t="s">
        <v>41</v>
      </c>
      <c r="D2118">
        <v>71</v>
      </c>
      <c r="E2118">
        <v>98</v>
      </c>
      <c r="F2118">
        <v>24.18</v>
      </c>
      <c r="G2118" t="s">
        <v>18</v>
      </c>
      <c r="H2118" t="s">
        <v>9</v>
      </c>
      <c r="I2118" t="str">
        <f t="shared" si="33"/>
        <v>Africa</v>
      </c>
    </row>
    <row r="2119" spans="1:9" x14ac:dyDescent="0.3">
      <c r="A2119" t="s">
        <v>1458</v>
      </c>
      <c r="B2119">
        <v>95</v>
      </c>
      <c r="C2119" t="s">
        <v>41</v>
      </c>
      <c r="D2119">
        <v>71</v>
      </c>
      <c r="E2119">
        <v>99</v>
      </c>
      <c r="F2119">
        <v>11.95</v>
      </c>
      <c r="G2119" t="s">
        <v>18</v>
      </c>
      <c r="H2119" t="s">
        <v>21</v>
      </c>
      <c r="I2119" t="str">
        <f t="shared" si="33"/>
        <v>America</v>
      </c>
    </row>
    <row r="2120" spans="1:9" x14ac:dyDescent="0.3">
      <c r="A2120" t="s">
        <v>1989</v>
      </c>
      <c r="B2120">
        <v>94</v>
      </c>
      <c r="C2120" t="s">
        <v>82</v>
      </c>
      <c r="D2120">
        <v>50</v>
      </c>
      <c r="E2120">
        <v>56</v>
      </c>
      <c r="F2120">
        <v>5.07</v>
      </c>
      <c r="G2120" t="s">
        <v>18</v>
      </c>
      <c r="H2120" t="s">
        <v>21</v>
      </c>
      <c r="I2120" t="str">
        <f t="shared" si="33"/>
        <v>America</v>
      </c>
    </row>
    <row r="2121" spans="1:9" x14ac:dyDescent="0.3">
      <c r="A2121" t="s">
        <v>1990</v>
      </c>
      <c r="B2121">
        <v>94</v>
      </c>
      <c r="C2121" t="s">
        <v>41</v>
      </c>
      <c r="D2121">
        <v>57</v>
      </c>
      <c r="E2121">
        <v>86</v>
      </c>
      <c r="F2121">
        <v>200.59</v>
      </c>
      <c r="G2121" t="s">
        <v>18</v>
      </c>
      <c r="H2121" t="s">
        <v>5</v>
      </c>
      <c r="I2121" t="str">
        <f t="shared" si="33"/>
        <v>America</v>
      </c>
    </row>
    <row r="2122" spans="1:9" x14ac:dyDescent="0.3">
      <c r="A2122" t="s">
        <v>1991</v>
      </c>
      <c r="B2122">
        <v>95</v>
      </c>
      <c r="C2122" t="s">
        <v>45</v>
      </c>
      <c r="D2122">
        <v>54</v>
      </c>
      <c r="E2122">
        <v>71</v>
      </c>
      <c r="F2122">
        <v>51.92</v>
      </c>
      <c r="G2122" t="s">
        <v>18</v>
      </c>
      <c r="H2122" t="s">
        <v>5</v>
      </c>
      <c r="I2122" t="str">
        <f t="shared" si="33"/>
        <v>America</v>
      </c>
    </row>
    <row r="2123" spans="1:9" x14ac:dyDescent="0.3">
      <c r="A2123" t="s">
        <v>1992</v>
      </c>
      <c r="B2123">
        <v>94</v>
      </c>
      <c r="C2123" t="s">
        <v>45</v>
      </c>
      <c r="D2123">
        <v>54</v>
      </c>
      <c r="E2123">
        <v>79</v>
      </c>
      <c r="F2123">
        <v>118.06</v>
      </c>
      <c r="G2123" t="s">
        <v>18</v>
      </c>
      <c r="H2123" t="s">
        <v>5</v>
      </c>
      <c r="I2123" t="str">
        <f t="shared" si="33"/>
        <v>America</v>
      </c>
    </row>
    <row r="2124" spans="1:9" x14ac:dyDescent="0.3">
      <c r="A2124" t="s">
        <v>1993</v>
      </c>
      <c r="B2124">
        <v>94</v>
      </c>
      <c r="C2124" t="s">
        <v>41</v>
      </c>
      <c r="D2124">
        <v>57</v>
      </c>
      <c r="E2124">
        <v>85</v>
      </c>
      <c r="F2124">
        <v>41.72</v>
      </c>
      <c r="G2124" t="s">
        <v>18</v>
      </c>
      <c r="H2124" t="s">
        <v>9</v>
      </c>
      <c r="I2124" t="str">
        <f t="shared" si="33"/>
        <v>Africa</v>
      </c>
    </row>
    <row r="2125" spans="1:9" x14ac:dyDescent="0.3">
      <c r="A2125" t="s">
        <v>1994</v>
      </c>
      <c r="B2125">
        <v>94</v>
      </c>
      <c r="C2125" t="s">
        <v>82</v>
      </c>
      <c r="D2125">
        <v>48</v>
      </c>
      <c r="E2125">
        <v>63</v>
      </c>
      <c r="F2125">
        <v>122.58</v>
      </c>
      <c r="G2125" t="s">
        <v>18</v>
      </c>
      <c r="H2125" t="s">
        <v>12</v>
      </c>
      <c r="I2125" t="str">
        <f t="shared" si="33"/>
        <v>Africa</v>
      </c>
    </row>
    <row r="2126" spans="1:9" x14ac:dyDescent="0.3">
      <c r="A2126" t="s">
        <v>1995</v>
      </c>
      <c r="B2126">
        <v>94</v>
      </c>
      <c r="C2126" t="s">
        <v>41</v>
      </c>
      <c r="D2126">
        <v>75</v>
      </c>
      <c r="E2126">
        <v>97</v>
      </c>
      <c r="F2126">
        <v>9.4700000000000006</v>
      </c>
      <c r="G2126" t="s">
        <v>18</v>
      </c>
      <c r="H2126" t="s">
        <v>21</v>
      </c>
      <c r="I2126" t="str">
        <f t="shared" si="33"/>
        <v>America</v>
      </c>
    </row>
    <row r="2127" spans="1:9" x14ac:dyDescent="0.3">
      <c r="A2127" t="s">
        <v>1996</v>
      </c>
      <c r="B2127">
        <v>95</v>
      </c>
      <c r="C2127" t="s">
        <v>82</v>
      </c>
      <c r="D2127">
        <v>44</v>
      </c>
      <c r="E2127">
        <v>63</v>
      </c>
      <c r="F2127">
        <v>168.52</v>
      </c>
      <c r="G2127" t="s">
        <v>18</v>
      </c>
      <c r="H2127" t="s">
        <v>20</v>
      </c>
      <c r="I2127" t="str">
        <f t="shared" si="33"/>
        <v>Africa</v>
      </c>
    </row>
    <row r="2128" spans="1:9" x14ac:dyDescent="0.3">
      <c r="A2128" t="s">
        <v>1997</v>
      </c>
      <c r="B2128">
        <v>94</v>
      </c>
      <c r="C2128" t="s">
        <v>45</v>
      </c>
      <c r="D2128">
        <v>52</v>
      </c>
      <c r="E2128">
        <v>73</v>
      </c>
      <c r="F2128">
        <v>54.07</v>
      </c>
      <c r="G2128" t="s">
        <v>18</v>
      </c>
      <c r="H2128" t="s">
        <v>9</v>
      </c>
      <c r="I2128" t="str">
        <f t="shared" si="33"/>
        <v>Africa</v>
      </c>
    </row>
    <row r="2129" spans="1:9" x14ac:dyDescent="0.3">
      <c r="A2129" t="s">
        <v>1998</v>
      </c>
      <c r="B2129">
        <v>94</v>
      </c>
      <c r="C2129" t="s">
        <v>541</v>
      </c>
      <c r="D2129">
        <v>42</v>
      </c>
      <c r="E2129">
        <v>46</v>
      </c>
      <c r="F2129">
        <v>213.26</v>
      </c>
      <c r="G2129" t="s">
        <v>18</v>
      </c>
      <c r="H2129" t="s">
        <v>12</v>
      </c>
      <c r="I2129" t="str">
        <f t="shared" si="33"/>
        <v>Africa</v>
      </c>
    </row>
    <row r="2130" spans="1:9" x14ac:dyDescent="0.3">
      <c r="A2130" t="s">
        <v>1999</v>
      </c>
      <c r="B2130">
        <v>96</v>
      </c>
      <c r="C2130" t="s">
        <v>541</v>
      </c>
      <c r="D2130">
        <v>46</v>
      </c>
      <c r="E2130">
        <v>54</v>
      </c>
      <c r="F2130">
        <v>134.6</v>
      </c>
      <c r="G2130" t="s">
        <v>18</v>
      </c>
      <c r="H2130" t="s">
        <v>12</v>
      </c>
      <c r="I2130" t="str">
        <f t="shared" si="33"/>
        <v>Africa</v>
      </c>
    </row>
    <row r="2131" spans="1:9" x14ac:dyDescent="0.3">
      <c r="A2131" t="s">
        <v>2000</v>
      </c>
      <c r="B2131">
        <v>94</v>
      </c>
      <c r="C2131" t="s">
        <v>82</v>
      </c>
      <c r="D2131">
        <v>55</v>
      </c>
      <c r="E2131">
        <v>65</v>
      </c>
      <c r="F2131">
        <v>416.54</v>
      </c>
      <c r="G2131" t="s">
        <v>18</v>
      </c>
      <c r="H2131" t="s">
        <v>3</v>
      </c>
      <c r="I2131" t="str">
        <f t="shared" si="33"/>
        <v>America</v>
      </c>
    </row>
    <row r="2132" spans="1:9" x14ac:dyDescent="0.3">
      <c r="A2132" t="s">
        <v>1910</v>
      </c>
      <c r="B2132">
        <v>95</v>
      </c>
      <c r="C2132" t="s">
        <v>41</v>
      </c>
      <c r="D2132">
        <v>64</v>
      </c>
      <c r="E2132">
        <v>82</v>
      </c>
      <c r="F2132">
        <v>72.290000000000006</v>
      </c>
      <c r="G2132" t="s">
        <v>18</v>
      </c>
      <c r="H2132" t="s">
        <v>5</v>
      </c>
      <c r="I2132" t="str">
        <f t="shared" si="33"/>
        <v>America</v>
      </c>
    </row>
    <row r="2133" spans="1:9" x14ac:dyDescent="0.3">
      <c r="A2133" t="s">
        <v>2001</v>
      </c>
      <c r="B2133">
        <v>94</v>
      </c>
      <c r="C2133" t="s">
        <v>82</v>
      </c>
      <c r="D2133">
        <v>49</v>
      </c>
      <c r="E2133">
        <v>65</v>
      </c>
      <c r="F2133">
        <v>106.56</v>
      </c>
      <c r="G2133" t="s">
        <v>18</v>
      </c>
      <c r="H2133" t="s">
        <v>9</v>
      </c>
      <c r="I2133" t="str">
        <f t="shared" si="33"/>
        <v>Africa</v>
      </c>
    </row>
    <row r="2134" spans="1:9" x14ac:dyDescent="0.3">
      <c r="A2134" t="s">
        <v>2002</v>
      </c>
      <c r="B2134">
        <v>94</v>
      </c>
      <c r="C2134" t="s">
        <v>45</v>
      </c>
      <c r="D2134">
        <v>58</v>
      </c>
      <c r="E2134">
        <v>72</v>
      </c>
      <c r="F2134">
        <v>6.51</v>
      </c>
      <c r="G2134" t="s">
        <v>18</v>
      </c>
      <c r="H2134" t="s">
        <v>7</v>
      </c>
      <c r="I2134" t="str">
        <f t="shared" si="33"/>
        <v>America</v>
      </c>
    </row>
    <row r="2135" spans="1:9" x14ac:dyDescent="0.3">
      <c r="A2135" t="s">
        <v>1877</v>
      </c>
      <c r="B2135">
        <v>97</v>
      </c>
      <c r="C2135" t="s">
        <v>82</v>
      </c>
      <c r="D2135">
        <v>53</v>
      </c>
      <c r="E2135">
        <v>65</v>
      </c>
      <c r="F2135">
        <v>13.31</v>
      </c>
      <c r="G2135" t="s">
        <v>18</v>
      </c>
      <c r="H2135" t="s">
        <v>12</v>
      </c>
      <c r="I2135" t="str">
        <f t="shared" si="33"/>
        <v>Africa</v>
      </c>
    </row>
    <row r="2136" spans="1:9" x14ac:dyDescent="0.3">
      <c r="A2136" t="s">
        <v>1506</v>
      </c>
      <c r="B2136">
        <v>96</v>
      </c>
      <c r="C2136" t="s">
        <v>45</v>
      </c>
      <c r="D2136">
        <v>58</v>
      </c>
      <c r="E2136">
        <v>78</v>
      </c>
      <c r="F2136">
        <v>260.88</v>
      </c>
      <c r="G2136" t="s">
        <v>18</v>
      </c>
      <c r="H2136" t="s">
        <v>16</v>
      </c>
      <c r="I2136" t="str">
        <f t="shared" si="33"/>
        <v>Asia-Pacific</v>
      </c>
    </row>
    <row r="2137" spans="1:9" x14ac:dyDescent="0.3">
      <c r="A2137" t="s">
        <v>2003</v>
      </c>
      <c r="B2137">
        <v>95</v>
      </c>
      <c r="C2137" t="s">
        <v>82</v>
      </c>
      <c r="D2137">
        <v>51</v>
      </c>
      <c r="E2137">
        <v>62</v>
      </c>
      <c r="F2137">
        <v>4.3499999999999996</v>
      </c>
      <c r="G2137" t="s">
        <v>18</v>
      </c>
      <c r="H2137" t="s">
        <v>14</v>
      </c>
      <c r="I2137" t="str">
        <f t="shared" si="33"/>
        <v>America</v>
      </c>
    </row>
    <row r="2138" spans="1:9" x14ac:dyDescent="0.3">
      <c r="A2138" t="s">
        <v>2004</v>
      </c>
      <c r="B2138">
        <v>95</v>
      </c>
      <c r="C2138" t="s">
        <v>82</v>
      </c>
      <c r="D2138">
        <v>52</v>
      </c>
      <c r="E2138">
        <v>59</v>
      </c>
      <c r="F2138">
        <v>4.7</v>
      </c>
      <c r="G2138" t="s">
        <v>18</v>
      </c>
      <c r="H2138" t="s">
        <v>14</v>
      </c>
      <c r="I2138" t="str">
        <f t="shared" si="33"/>
        <v>America</v>
      </c>
    </row>
    <row r="2139" spans="1:9" x14ac:dyDescent="0.3">
      <c r="A2139" t="s">
        <v>2005</v>
      </c>
      <c r="B2139">
        <v>94</v>
      </c>
      <c r="C2139" t="s">
        <v>45</v>
      </c>
      <c r="D2139">
        <v>56</v>
      </c>
      <c r="E2139">
        <v>66</v>
      </c>
      <c r="F2139">
        <v>462.48</v>
      </c>
      <c r="G2139" t="s">
        <v>18</v>
      </c>
      <c r="H2139" t="s">
        <v>14</v>
      </c>
      <c r="I2139" t="str">
        <f t="shared" si="33"/>
        <v>America</v>
      </c>
    </row>
    <row r="2140" spans="1:9" x14ac:dyDescent="0.3">
      <c r="A2140" t="s">
        <v>2006</v>
      </c>
      <c r="B2140">
        <v>94</v>
      </c>
      <c r="C2140" t="s">
        <v>45</v>
      </c>
      <c r="D2140">
        <v>52</v>
      </c>
      <c r="E2140">
        <v>75</v>
      </c>
      <c r="F2140">
        <v>140.51</v>
      </c>
      <c r="G2140" t="s">
        <v>18</v>
      </c>
      <c r="H2140" t="s">
        <v>5</v>
      </c>
      <c r="I2140" t="str">
        <f t="shared" si="33"/>
        <v>America</v>
      </c>
    </row>
    <row r="2141" spans="1:9" x14ac:dyDescent="0.3">
      <c r="A2141" t="s">
        <v>2007</v>
      </c>
      <c r="B2141">
        <v>94</v>
      </c>
      <c r="C2141" t="s">
        <v>45</v>
      </c>
      <c r="D2141">
        <v>59</v>
      </c>
      <c r="E2141">
        <v>79</v>
      </c>
      <c r="F2141">
        <v>100.77</v>
      </c>
      <c r="G2141" t="s">
        <v>18</v>
      </c>
      <c r="H2141" t="s">
        <v>15</v>
      </c>
      <c r="I2141" t="str">
        <f t="shared" si="33"/>
        <v>America</v>
      </c>
    </row>
    <row r="2142" spans="1:9" x14ac:dyDescent="0.3">
      <c r="A2142" t="s">
        <v>2008</v>
      </c>
      <c r="B2142">
        <v>95</v>
      </c>
      <c r="C2142" t="s">
        <v>82</v>
      </c>
      <c r="D2142">
        <v>53</v>
      </c>
      <c r="E2142">
        <v>65</v>
      </c>
      <c r="F2142">
        <v>4.8899999999999997</v>
      </c>
      <c r="G2142" t="s">
        <v>18</v>
      </c>
      <c r="H2142" t="s">
        <v>12</v>
      </c>
      <c r="I2142" t="str">
        <f t="shared" si="33"/>
        <v>Africa</v>
      </c>
    </row>
    <row r="2143" spans="1:9" x14ac:dyDescent="0.3">
      <c r="A2143" t="s">
        <v>2009</v>
      </c>
      <c r="B2143">
        <v>94</v>
      </c>
      <c r="C2143" t="s">
        <v>45</v>
      </c>
      <c r="D2143">
        <v>54</v>
      </c>
      <c r="E2143">
        <v>76</v>
      </c>
      <c r="F2143">
        <v>113.76</v>
      </c>
      <c r="G2143" t="s">
        <v>18</v>
      </c>
      <c r="H2143" t="s">
        <v>5</v>
      </c>
      <c r="I2143" t="str">
        <f t="shared" si="33"/>
        <v>America</v>
      </c>
    </row>
    <row r="2144" spans="1:9" x14ac:dyDescent="0.3">
      <c r="A2144" t="s">
        <v>2010</v>
      </c>
      <c r="B2144">
        <v>94</v>
      </c>
      <c r="C2144" t="s">
        <v>82</v>
      </c>
      <c r="D2144">
        <v>50</v>
      </c>
      <c r="E2144">
        <v>59</v>
      </c>
      <c r="F2144">
        <v>4.1399999999999997</v>
      </c>
      <c r="G2144" t="s">
        <v>18</v>
      </c>
      <c r="H2144" t="s">
        <v>12</v>
      </c>
      <c r="I2144" t="str">
        <f t="shared" si="33"/>
        <v>Africa</v>
      </c>
    </row>
    <row r="2145" spans="1:9" x14ac:dyDescent="0.3">
      <c r="A2145" t="s">
        <v>1919</v>
      </c>
      <c r="B2145">
        <v>95</v>
      </c>
      <c r="C2145" t="s">
        <v>82</v>
      </c>
      <c r="D2145">
        <v>48</v>
      </c>
      <c r="E2145">
        <v>63</v>
      </c>
      <c r="F2145">
        <v>326.82</v>
      </c>
      <c r="G2145" t="s">
        <v>18</v>
      </c>
      <c r="H2145" t="s">
        <v>16</v>
      </c>
      <c r="I2145" t="str">
        <f t="shared" si="33"/>
        <v>Asia-Pacific</v>
      </c>
    </row>
    <row r="2146" spans="1:9" x14ac:dyDescent="0.3">
      <c r="A2146" t="s">
        <v>2011</v>
      </c>
      <c r="B2146">
        <v>96</v>
      </c>
      <c r="C2146" t="s">
        <v>541</v>
      </c>
      <c r="D2146">
        <v>44</v>
      </c>
      <c r="E2146">
        <v>56</v>
      </c>
      <c r="F2146">
        <v>619.29999999999995</v>
      </c>
      <c r="G2146" t="s">
        <v>18</v>
      </c>
      <c r="H2146" t="s">
        <v>12</v>
      </c>
      <c r="I2146" t="str">
        <f t="shared" si="33"/>
        <v>Africa</v>
      </c>
    </row>
    <row r="2147" spans="1:9" x14ac:dyDescent="0.3">
      <c r="A2147" t="s">
        <v>2012</v>
      </c>
      <c r="B2147">
        <v>97</v>
      </c>
      <c r="C2147" t="s">
        <v>82</v>
      </c>
      <c r="D2147">
        <v>44</v>
      </c>
      <c r="E2147">
        <v>58</v>
      </c>
      <c r="F2147">
        <v>405.76</v>
      </c>
      <c r="G2147" t="s">
        <v>18</v>
      </c>
      <c r="H2147" t="s">
        <v>5</v>
      </c>
      <c r="I2147" t="str">
        <f t="shared" si="33"/>
        <v>America</v>
      </c>
    </row>
    <row r="2148" spans="1:9" x14ac:dyDescent="0.3">
      <c r="A2148" t="s">
        <v>2013</v>
      </c>
      <c r="B2148">
        <v>94</v>
      </c>
      <c r="C2148" t="s">
        <v>82</v>
      </c>
      <c r="D2148">
        <v>51</v>
      </c>
      <c r="E2148">
        <v>66</v>
      </c>
      <c r="F2148">
        <v>30.44</v>
      </c>
      <c r="G2148" t="s">
        <v>18</v>
      </c>
      <c r="H2148" t="s">
        <v>5</v>
      </c>
      <c r="I2148" t="str">
        <f t="shared" si="33"/>
        <v>America</v>
      </c>
    </row>
    <row r="2149" spans="1:9" x14ac:dyDescent="0.3">
      <c r="A2149" t="s">
        <v>2014</v>
      </c>
      <c r="B2149">
        <v>96</v>
      </c>
      <c r="C2149" t="s">
        <v>45</v>
      </c>
      <c r="D2149">
        <v>53</v>
      </c>
      <c r="E2149">
        <v>69</v>
      </c>
      <c r="F2149">
        <v>9.1</v>
      </c>
      <c r="G2149" t="s">
        <v>18</v>
      </c>
      <c r="H2149" t="s">
        <v>17</v>
      </c>
      <c r="I2149" t="str">
        <f t="shared" si="33"/>
        <v>Africa</v>
      </c>
    </row>
    <row r="2150" spans="1:9" x14ac:dyDescent="0.3">
      <c r="A2150" t="s">
        <v>2015</v>
      </c>
      <c r="B2150">
        <v>96</v>
      </c>
      <c r="C2150" t="s">
        <v>45</v>
      </c>
      <c r="D2150">
        <v>52</v>
      </c>
      <c r="E2150">
        <v>71</v>
      </c>
      <c r="F2150">
        <v>30.12</v>
      </c>
      <c r="G2150" t="s">
        <v>18</v>
      </c>
      <c r="H2150" t="s">
        <v>12</v>
      </c>
      <c r="I2150" t="str">
        <f t="shared" si="33"/>
        <v>Africa</v>
      </c>
    </row>
    <row r="2151" spans="1:9" x14ac:dyDescent="0.3">
      <c r="A2151" t="s">
        <v>868</v>
      </c>
      <c r="B2151">
        <v>96</v>
      </c>
      <c r="C2151" t="s">
        <v>82</v>
      </c>
      <c r="D2151">
        <v>51</v>
      </c>
      <c r="E2151">
        <v>69</v>
      </c>
      <c r="F2151">
        <v>18.190000000000001</v>
      </c>
      <c r="G2151" t="s">
        <v>18</v>
      </c>
      <c r="H2151" t="s">
        <v>5</v>
      </c>
      <c r="I2151" t="str">
        <f t="shared" si="33"/>
        <v>America</v>
      </c>
    </row>
    <row r="2152" spans="1:9" x14ac:dyDescent="0.3">
      <c r="A2152" t="s">
        <v>1990</v>
      </c>
      <c r="B2152">
        <v>97</v>
      </c>
      <c r="C2152" t="s">
        <v>82</v>
      </c>
      <c r="D2152">
        <v>51</v>
      </c>
      <c r="E2152">
        <v>65</v>
      </c>
      <c r="F2152">
        <v>80.14</v>
      </c>
      <c r="G2152" t="s">
        <v>18</v>
      </c>
      <c r="H2152" t="s">
        <v>5</v>
      </c>
      <c r="I2152" t="str">
        <f t="shared" si="33"/>
        <v>America</v>
      </c>
    </row>
    <row r="2153" spans="1:9" x14ac:dyDescent="0.3">
      <c r="A2153" t="s">
        <v>2016</v>
      </c>
      <c r="B2153">
        <v>97</v>
      </c>
      <c r="C2153" t="s">
        <v>82</v>
      </c>
      <c r="D2153">
        <v>45</v>
      </c>
      <c r="E2153">
        <v>70</v>
      </c>
      <c r="F2153">
        <v>323.33999999999997</v>
      </c>
      <c r="G2153" t="s">
        <v>18</v>
      </c>
      <c r="H2153" t="s">
        <v>12</v>
      </c>
      <c r="I2153" t="str">
        <f t="shared" si="33"/>
        <v>Africa</v>
      </c>
    </row>
    <row r="2154" spans="1:9" x14ac:dyDescent="0.3">
      <c r="A2154" t="s">
        <v>2017</v>
      </c>
      <c r="B2154">
        <v>95</v>
      </c>
      <c r="C2154" t="s">
        <v>41</v>
      </c>
      <c r="D2154">
        <v>63</v>
      </c>
      <c r="E2154">
        <v>86</v>
      </c>
      <c r="F2154">
        <v>52.2</v>
      </c>
      <c r="G2154" t="s">
        <v>18</v>
      </c>
      <c r="H2154" t="s">
        <v>9</v>
      </c>
      <c r="I2154" t="str">
        <f t="shared" si="33"/>
        <v>Africa</v>
      </c>
    </row>
    <row r="2155" spans="1:9" x14ac:dyDescent="0.3">
      <c r="A2155" t="s">
        <v>2018</v>
      </c>
      <c r="B2155">
        <v>95</v>
      </c>
      <c r="C2155" t="s">
        <v>82</v>
      </c>
      <c r="D2155">
        <v>44</v>
      </c>
      <c r="E2155">
        <v>58</v>
      </c>
      <c r="F2155">
        <v>477.67</v>
      </c>
      <c r="G2155" t="s">
        <v>18</v>
      </c>
      <c r="H2155" t="s">
        <v>12</v>
      </c>
      <c r="I2155" t="str">
        <f t="shared" si="33"/>
        <v>Africa</v>
      </c>
    </row>
    <row r="2156" spans="1:9" x14ac:dyDescent="0.3">
      <c r="A2156" t="s">
        <v>2019</v>
      </c>
      <c r="B2156">
        <v>97</v>
      </c>
      <c r="C2156" t="s">
        <v>45</v>
      </c>
      <c r="D2156">
        <v>57</v>
      </c>
      <c r="E2156">
        <v>78</v>
      </c>
      <c r="F2156">
        <v>57.46</v>
      </c>
      <c r="G2156" t="s">
        <v>18</v>
      </c>
      <c r="H2156" t="s">
        <v>9</v>
      </c>
      <c r="I2156" t="str">
        <f t="shared" si="33"/>
        <v>Africa</v>
      </c>
    </row>
    <row r="2157" spans="1:9" x14ac:dyDescent="0.3">
      <c r="A2157" t="s">
        <v>2020</v>
      </c>
      <c r="B2157">
        <v>94</v>
      </c>
      <c r="C2157" t="s">
        <v>82</v>
      </c>
      <c r="D2157">
        <v>55</v>
      </c>
      <c r="E2157">
        <v>66</v>
      </c>
      <c r="F2157">
        <v>414.95</v>
      </c>
      <c r="G2157" t="s">
        <v>18</v>
      </c>
      <c r="H2157" t="s">
        <v>14</v>
      </c>
      <c r="I2157" t="str">
        <f t="shared" si="33"/>
        <v>America</v>
      </c>
    </row>
    <row r="2158" spans="1:9" x14ac:dyDescent="0.3">
      <c r="A2158" t="s">
        <v>2021</v>
      </c>
      <c r="B2158">
        <v>95</v>
      </c>
      <c r="C2158" t="s">
        <v>82</v>
      </c>
      <c r="D2158">
        <v>50</v>
      </c>
      <c r="E2158">
        <v>62</v>
      </c>
      <c r="F2158">
        <v>111.72</v>
      </c>
      <c r="G2158" t="s">
        <v>18</v>
      </c>
      <c r="H2158" t="s">
        <v>21</v>
      </c>
      <c r="I2158" t="str">
        <f t="shared" si="33"/>
        <v>America</v>
      </c>
    </row>
    <row r="2159" spans="1:9" x14ac:dyDescent="0.3">
      <c r="A2159" t="s">
        <v>2022</v>
      </c>
      <c r="B2159">
        <v>94</v>
      </c>
      <c r="C2159" t="s">
        <v>545</v>
      </c>
      <c r="D2159">
        <v>30</v>
      </c>
      <c r="E2159">
        <v>44</v>
      </c>
      <c r="F2159">
        <v>286.60000000000002</v>
      </c>
      <c r="G2159" t="s">
        <v>18</v>
      </c>
      <c r="H2159" t="s">
        <v>150</v>
      </c>
      <c r="I2159" t="str">
        <f t="shared" si="33"/>
        <v>NULL</v>
      </c>
    </row>
    <row r="2160" spans="1:9" x14ac:dyDescent="0.3">
      <c r="A2160" t="s">
        <v>2023</v>
      </c>
      <c r="B2160">
        <v>94</v>
      </c>
      <c r="C2160" t="s">
        <v>541</v>
      </c>
      <c r="D2160">
        <v>39</v>
      </c>
      <c r="E2160">
        <v>57</v>
      </c>
      <c r="F2160">
        <v>159.26</v>
      </c>
      <c r="G2160" t="s">
        <v>18</v>
      </c>
      <c r="H2160" t="s">
        <v>150</v>
      </c>
      <c r="I2160" t="str">
        <f t="shared" si="33"/>
        <v>NULL</v>
      </c>
    </row>
    <row r="2161" spans="1:9" x14ac:dyDescent="0.3">
      <c r="A2161" t="s">
        <v>2024</v>
      </c>
      <c r="B2161">
        <v>94</v>
      </c>
      <c r="C2161" t="s">
        <v>82</v>
      </c>
      <c r="D2161">
        <v>46</v>
      </c>
      <c r="E2161">
        <v>58</v>
      </c>
      <c r="F2161">
        <v>194.62</v>
      </c>
      <c r="G2161" t="s">
        <v>18</v>
      </c>
      <c r="H2161" t="s">
        <v>14</v>
      </c>
      <c r="I2161" t="str">
        <f t="shared" si="33"/>
        <v>America</v>
      </c>
    </row>
    <row r="2162" spans="1:9" x14ac:dyDescent="0.3">
      <c r="A2162" t="s">
        <v>2025</v>
      </c>
      <c r="B2162">
        <v>94</v>
      </c>
      <c r="C2162" t="s">
        <v>541</v>
      </c>
      <c r="D2162">
        <v>46</v>
      </c>
      <c r="E2162">
        <v>53</v>
      </c>
      <c r="F2162">
        <v>98.84</v>
      </c>
      <c r="G2162" t="s">
        <v>18</v>
      </c>
      <c r="H2162" t="s">
        <v>14</v>
      </c>
      <c r="I2162" t="str">
        <f t="shared" si="33"/>
        <v>America</v>
      </c>
    </row>
    <row r="2163" spans="1:9" x14ac:dyDescent="0.3">
      <c r="A2163" t="s">
        <v>2026</v>
      </c>
      <c r="B2163">
        <v>94</v>
      </c>
      <c r="C2163" t="s">
        <v>82</v>
      </c>
      <c r="D2163">
        <v>49</v>
      </c>
      <c r="E2163">
        <v>65</v>
      </c>
      <c r="F2163">
        <v>106.56</v>
      </c>
      <c r="G2163" t="s">
        <v>18</v>
      </c>
      <c r="H2163" t="s">
        <v>14</v>
      </c>
      <c r="I2163" t="str">
        <f t="shared" si="33"/>
        <v>America</v>
      </c>
    </row>
    <row r="2164" spans="1:9" x14ac:dyDescent="0.3">
      <c r="A2164" t="s">
        <v>2027</v>
      </c>
      <c r="B2164">
        <v>96</v>
      </c>
      <c r="C2164" t="s">
        <v>82</v>
      </c>
      <c r="D2164">
        <v>52</v>
      </c>
      <c r="E2164">
        <v>66</v>
      </c>
      <c r="F2164">
        <v>13.17</v>
      </c>
      <c r="G2164" t="s">
        <v>18</v>
      </c>
      <c r="H2164" t="s">
        <v>14</v>
      </c>
      <c r="I2164" t="str">
        <f t="shared" si="33"/>
        <v>America</v>
      </c>
    </row>
    <row r="2165" spans="1:9" x14ac:dyDescent="0.3">
      <c r="A2165" t="s">
        <v>2028</v>
      </c>
      <c r="B2165">
        <v>94</v>
      </c>
      <c r="C2165" t="s">
        <v>45</v>
      </c>
      <c r="D2165">
        <v>57</v>
      </c>
      <c r="E2165">
        <v>68</v>
      </c>
      <c r="F2165">
        <v>5.63</v>
      </c>
      <c r="G2165" t="s">
        <v>18</v>
      </c>
      <c r="H2165" t="s">
        <v>14</v>
      </c>
      <c r="I2165" t="str">
        <f t="shared" si="33"/>
        <v>America</v>
      </c>
    </row>
    <row r="2166" spans="1:9" x14ac:dyDescent="0.3">
      <c r="A2166" t="s">
        <v>2029</v>
      </c>
      <c r="B2166">
        <v>96</v>
      </c>
      <c r="C2166" t="s">
        <v>45</v>
      </c>
      <c r="D2166">
        <v>55</v>
      </c>
      <c r="E2166">
        <v>72</v>
      </c>
      <c r="F2166">
        <v>252.88</v>
      </c>
      <c r="G2166" t="s">
        <v>18</v>
      </c>
      <c r="H2166" t="s">
        <v>12</v>
      </c>
      <c r="I2166" t="str">
        <f t="shared" si="33"/>
        <v>Africa</v>
      </c>
    </row>
    <row r="2167" spans="1:9" x14ac:dyDescent="0.3">
      <c r="A2167" t="s">
        <v>2030</v>
      </c>
      <c r="B2167">
        <v>96</v>
      </c>
      <c r="C2167" t="s">
        <v>45</v>
      </c>
      <c r="D2167">
        <v>58</v>
      </c>
      <c r="E2167">
        <v>71</v>
      </c>
      <c r="F2167">
        <v>10.38</v>
      </c>
      <c r="G2167" t="s">
        <v>18</v>
      </c>
      <c r="H2167" t="s">
        <v>21</v>
      </c>
      <c r="I2167" t="str">
        <f t="shared" si="33"/>
        <v>America</v>
      </c>
    </row>
    <row r="2168" spans="1:9" x14ac:dyDescent="0.3">
      <c r="A2168" t="s">
        <v>2031</v>
      </c>
      <c r="B2168">
        <v>95</v>
      </c>
      <c r="C2168" t="s">
        <v>82</v>
      </c>
      <c r="D2168">
        <v>49</v>
      </c>
      <c r="E2168">
        <v>60</v>
      </c>
      <c r="F2168">
        <v>3.89</v>
      </c>
      <c r="G2168" t="s">
        <v>18</v>
      </c>
      <c r="H2168" t="s">
        <v>21</v>
      </c>
      <c r="I2168" t="str">
        <f t="shared" si="33"/>
        <v>America</v>
      </c>
    </row>
    <row r="2169" spans="1:9" x14ac:dyDescent="0.3">
      <c r="A2169" t="s">
        <v>1990</v>
      </c>
      <c r="B2169">
        <v>95</v>
      </c>
      <c r="C2169" t="s">
        <v>45</v>
      </c>
      <c r="D2169">
        <v>56</v>
      </c>
      <c r="E2169">
        <v>69</v>
      </c>
      <c r="F2169">
        <v>7.64</v>
      </c>
      <c r="G2169" t="s">
        <v>18</v>
      </c>
      <c r="H2169" t="s">
        <v>5</v>
      </c>
      <c r="I2169" t="str">
        <f t="shared" si="33"/>
        <v>America</v>
      </c>
    </row>
    <row r="2170" spans="1:9" x14ac:dyDescent="0.3">
      <c r="A2170" t="s">
        <v>2032</v>
      </c>
      <c r="B2170">
        <v>95</v>
      </c>
      <c r="C2170" t="s">
        <v>45</v>
      </c>
      <c r="D2170">
        <v>55</v>
      </c>
      <c r="E2170">
        <v>71</v>
      </c>
      <c r="F2170">
        <v>11.13</v>
      </c>
      <c r="G2170" t="s">
        <v>18</v>
      </c>
      <c r="H2170" t="s">
        <v>22</v>
      </c>
      <c r="I2170" t="str">
        <f t="shared" si="33"/>
        <v>America</v>
      </c>
    </row>
    <row r="2171" spans="1:9" x14ac:dyDescent="0.3">
      <c r="A2171" t="s">
        <v>2033</v>
      </c>
      <c r="B2171">
        <v>96</v>
      </c>
      <c r="C2171" t="s">
        <v>82</v>
      </c>
      <c r="D2171">
        <v>52</v>
      </c>
      <c r="E2171">
        <v>65</v>
      </c>
      <c r="F2171">
        <v>7.39</v>
      </c>
      <c r="G2171" t="s">
        <v>18</v>
      </c>
      <c r="H2171" t="s">
        <v>12</v>
      </c>
      <c r="I2171" t="str">
        <f t="shared" si="33"/>
        <v>Africa</v>
      </c>
    </row>
    <row r="2172" spans="1:9" x14ac:dyDescent="0.3">
      <c r="A2172" t="s">
        <v>1919</v>
      </c>
      <c r="B2172">
        <v>94</v>
      </c>
      <c r="C2172" t="s">
        <v>541</v>
      </c>
      <c r="D2172">
        <v>46</v>
      </c>
      <c r="E2172">
        <v>54</v>
      </c>
      <c r="F2172">
        <v>134.6</v>
      </c>
      <c r="G2172" t="s">
        <v>18</v>
      </c>
      <c r="H2172" t="s">
        <v>16</v>
      </c>
      <c r="I2172" t="str">
        <f t="shared" si="33"/>
        <v>Asia-Pacific</v>
      </c>
    </row>
    <row r="2173" spans="1:9" x14ac:dyDescent="0.3">
      <c r="A2173" t="s">
        <v>1919</v>
      </c>
      <c r="B2173">
        <v>94</v>
      </c>
      <c r="C2173" t="s">
        <v>541</v>
      </c>
      <c r="D2173">
        <v>42</v>
      </c>
      <c r="E2173">
        <v>51</v>
      </c>
      <c r="F2173">
        <v>76.73</v>
      </c>
      <c r="G2173" t="s">
        <v>18</v>
      </c>
      <c r="H2173" t="s">
        <v>16</v>
      </c>
      <c r="I2173" t="str">
        <f t="shared" si="33"/>
        <v>Asia-Pacific</v>
      </c>
    </row>
    <row r="2174" spans="1:9" x14ac:dyDescent="0.3">
      <c r="A2174" t="s">
        <v>2034</v>
      </c>
      <c r="B2174">
        <v>94</v>
      </c>
      <c r="C2174" t="s">
        <v>541</v>
      </c>
      <c r="D2174">
        <v>43</v>
      </c>
      <c r="E2174">
        <v>49</v>
      </c>
      <c r="F2174">
        <v>4.88</v>
      </c>
      <c r="G2174" t="s">
        <v>18</v>
      </c>
      <c r="H2174" t="s">
        <v>9</v>
      </c>
      <c r="I2174" t="str">
        <f t="shared" si="33"/>
        <v>Africa</v>
      </c>
    </row>
    <row r="2175" spans="1:9" x14ac:dyDescent="0.3">
      <c r="A2175" t="s">
        <v>2035</v>
      </c>
      <c r="B2175">
        <v>94</v>
      </c>
      <c r="C2175" t="s">
        <v>82</v>
      </c>
      <c r="D2175">
        <v>56</v>
      </c>
      <c r="E2175">
        <v>63</v>
      </c>
      <c r="F2175">
        <v>7.52</v>
      </c>
      <c r="G2175" t="s">
        <v>18</v>
      </c>
      <c r="H2175" t="s">
        <v>14</v>
      </c>
      <c r="I2175" t="str">
        <f t="shared" si="33"/>
        <v>America</v>
      </c>
    </row>
    <row r="2176" spans="1:9" x14ac:dyDescent="0.3">
      <c r="A2176" t="s">
        <v>2036</v>
      </c>
      <c r="B2176">
        <v>95</v>
      </c>
      <c r="C2176" t="s">
        <v>45</v>
      </c>
      <c r="D2176">
        <v>54</v>
      </c>
      <c r="E2176">
        <v>73</v>
      </c>
      <c r="F2176">
        <v>51.33</v>
      </c>
      <c r="G2176" t="s">
        <v>18</v>
      </c>
      <c r="H2176" t="s">
        <v>9</v>
      </c>
      <c r="I2176" t="str">
        <f t="shared" si="33"/>
        <v>Africa</v>
      </c>
    </row>
    <row r="2177" spans="1:9" x14ac:dyDescent="0.3">
      <c r="A2177" t="s">
        <v>2037</v>
      </c>
      <c r="B2177">
        <v>94</v>
      </c>
      <c r="C2177" t="s">
        <v>82</v>
      </c>
      <c r="D2177">
        <v>51</v>
      </c>
      <c r="E2177">
        <v>68</v>
      </c>
      <c r="F2177">
        <v>122.5</v>
      </c>
      <c r="G2177" t="s">
        <v>18</v>
      </c>
      <c r="H2177" t="s">
        <v>16</v>
      </c>
      <c r="I2177" t="str">
        <f t="shared" si="33"/>
        <v>Asia-Pacific</v>
      </c>
    </row>
    <row r="2178" spans="1:9" x14ac:dyDescent="0.3">
      <c r="A2178" t="s">
        <v>2038</v>
      </c>
      <c r="B2178">
        <v>94</v>
      </c>
      <c r="C2178" t="s">
        <v>82</v>
      </c>
      <c r="D2178">
        <v>51</v>
      </c>
      <c r="E2178">
        <v>64</v>
      </c>
      <c r="F2178">
        <v>75.599999999999994</v>
      </c>
      <c r="G2178" t="s">
        <v>18</v>
      </c>
      <c r="H2178" t="s">
        <v>7</v>
      </c>
      <c r="I2178" t="str">
        <f t="shared" si="33"/>
        <v>America</v>
      </c>
    </row>
    <row r="2179" spans="1:9" x14ac:dyDescent="0.3">
      <c r="A2179" t="s">
        <v>2039</v>
      </c>
      <c r="B2179">
        <v>94</v>
      </c>
      <c r="C2179" t="s">
        <v>545</v>
      </c>
      <c r="D2179">
        <v>35</v>
      </c>
      <c r="E2179">
        <v>43</v>
      </c>
      <c r="F2179">
        <v>205.91</v>
      </c>
      <c r="G2179" t="s">
        <v>18</v>
      </c>
      <c r="H2179" t="s">
        <v>12</v>
      </c>
      <c r="I2179" t="str">
        <f t="shared" ref="I2179:I2189" si="34">_xlfn.XLOOKUP(H2179, $M$2:$M$50, $N$2:$N$50, "Other")</f>
        <v>Africa</v>
      </c>
    </row>
    <row r="2180" spans="1:9" x14ac:dyDescent="0.3">
      <c r="A2180" t="s">
        <v>2040</v>
      </c>
      <c r="B2180">
        <v>94</v>
      </c>
      <c r="C2180" t="s">
        <v>45</v>
      </c>
      <c r="D2180">
        <v>55</v>
      </c>
      <c r="E2180">
        <v>72</v>
      </c>
      <c r="F2180">
        <v>47.23</v>
      </c>
      <c r="G2180" t="s">
        <v>18</v>
      </c>
      <c r="H2180" t="s">
        <v>21</v>
      </c>
      <c r="I2180" t="str">
        <f t="shared" si="34"/>
        <v>America</v>
      </c>
    </row>
    <row r="2181" spans="1:9" x14ac:dyDescent="0.3">
      <c r="A2181" t="s">
        <v>2041</v>
      </c>
      <c r="B2181">
        <v>94</v>
      </c>
      <c r="C2181" t="s">
        <v>82</v>
      </c>
      <c r="D2181">
        <v>53</v>
      </c>
      <c r="E2181">
        <v>64</v>
      </c>
      <c r="F2181">
        <v>249.35</v>
      </c>
      <c r="G2181" t="s">
        <v>18</v>
      </c>
      <c r="H2181" t="s">
        <v>21</v>
      </c>
      <c r="I2181" t="str">
        <f t="shared" si="34"/>
        <v>America</v>
      </c>
    </row>
    <row r="2182" spans="1:9" x14ac:dyDescent="0.3">
      <c r="A2182" t="s">
        <v>2042</v>
      </c>
      <c r="B2182">
        <v>94</v>
      </c>
      <c r="C2182" t="s">
        <v>541</v>
      </c>
      <c r="D2182">
        <v>46</v>
      </c>
      <c r="E2182">
        <v>54</v>
      </c>
      <c r="F2182">
        <v>134.6</v>
      </c>
      <c r="G2182" t="s">
        <v>18</v>
      </c>
      <c r="H2182" t="s">
        <v>22</v>
      </c>
      <c r="I2182" t="str">
        <f t="shared" si="34"/>
        <v>America</v>
      </c>
    </row>
    <row r="2183" spans="1:9" x14ac:dyDescent="0.3">
      <c r="A2183" t="s">
        <v>2043</v>
      </c>
      <c r="B2183">
        <v>95</v>
      </c>
      <c r="C2183" t="s">
        <v>82</v>
      </c>
      <c r="D2183">
        <v>49</v>
      </c>
      <c r="E2183">
        <v>66</v>
      </c>
      <c r="F2183">
        <v>10</v>
      </c>
      <c r="G2183" t="s">
        <v>18</v>
      </c>
      <c r="H2183" t="s">
        <v>12</v>
      </c>
      <c r="I2183" t="str">
        <f t="shared" si="34"/>
        <v>Africa</v>
      </c>
    </row>
    <row r="2184" spans="1:9" x14ac:dyDescent="0.3">
      <c r="A2184" t="s">
        <v>1717</v>
      </c>
      <c r="B2184">
        <v>94</v>
      </c>
      <c r="C2184" t="s">
        <v>82</v>
      </c>
      <c r="D2184">
        <v>43</v>
      </c>
      <c r="E2184">
        <v>76</v>
      </c>
      <c r="F2184">
        <v>180.28</v>
      </c>
      <c r="G2184" t="s">
        <v>18</v>
      </c>
      <c r="H2184" t="s">
        <v>12</v>
      </c>
      <c r="I2184" t="str">
        <f t="shared" si="34"/>
        <v>Africa</v>
      </c>
    </row>
    <row r="2185" spans="1:9" x14ac:dyDescent="0.3">
      <c r="A2185" t="s">
        <v>12</v>
      </c>
      <c r="B2185">
        <v>94</v>
      </c>
      <c r="C2185" t="s">
        <v>541</v>
      </c>
      <c r="D2185">
        <v>42</v>
      </c>
      <c r="E2185">
        <v>47</v>
      </c>
      <c r="F2185">
        <v>106.72</v>
      </c>
      <c r="G2185" t="s">
        <v>18</v>
      </c>
      <c r="H2185" t="s">
        <v>12</v>
      </c>
      <c r="I2185" t="str">
        <f t="shared" si="34"/>
        <v>Africa</v>
      </c>
    </row>
    <row r="2186" spans="1:9" x14ac:dyDescent="0.3">
      <c r="A2186" t="s">
        <v>2044</v>
      </c>
      <c r="B2186">
        <v>94</v>
      </c>
      <c r="C2186" t="s">
        <v>2045</v>
      </c>
      <c r="D2186">
        <v>0</v>
      </c>
      <c r="E2186">
        <v>66</v>
      </c>
      <c r="F2186">
        <v>184.51</v>
      </c>
      <c r="G2186" t="s">
        <v>18</v>
      </c>
      <c r="H2186" t="s">
        <v>7</v>
      </c>
      <c r="I2186" t="str">
        <f t="shared" si="34"/>
        <v>America</v>
      </c>
    </row>
    <row r="2187" spans="1:9" x14ac:dyDescent="0.3">
      <c r="A2187" t="s">
        <v>2046</v>
      </c>
      <c r="B2187">
        <v>94</v>
      </c>
      <c r="C2187" t="s">
        <v>45</v>
      </c>
      <c r="D2187">
        <v>75</v>
      </c>
      <c r="E2187">
        <v>63</v>
      </c>
      <c r="F2187">
        <v>224.33</v>
      </c>
      <c r="G2187" t="s">
        <v>18</v>
      </c>
      <c r="H2187" t="s">
        <v>22</v>
      </c>
      <c r="I2187" t="str">
        <f t="shared" si="34"/>
        <v>America</v>
      </c>
    </row>
    <row r="2188" spans="1:9" x14ac:dyDescent="0.3">
      <c r="A2188" t="s">
        <v>2047</v>
      </c>
      <c r="B2188">
        <v>94</v>
      </c>
      <c r="C2188" t="s">
        <v>545</v>
      </c>
      <c r="D2188">
        <v>38</v>
      </c>
      <c r="E2188">
        <v>43</v>
      </c>
      <c r="F2188">
        <v>198.56</v>
      </c>
      <c r="G2188" t="s">
        <v>18</v>
      </c>
      <c r="H2188" t="s">
        <v>150</v>
      </c>
      <c r="I2188" t="str">
        <f t="shared" si="34"/>
        <v>NULL</v>
      </c>
    </row>
    <row r="2189" spans="1:9" x14ac:dyDescent="0.3">
      <c r="A2189" t="s">
        <v>2048</v>
      </c>
      <c r="B2189">
        <v>94</v>
      </c>
      <c r="C2189" t="s">
        <v>541</v>
      </c>
      <c r="D2189">
        <v>38</v>
      </c>
      <c r="E2189">
        <v>44</v>
      </c>
      <c r="F2189">
        <v>198.57</v>
      </c>
      <c r="G2189" t="s">
        <v>18</v>
      </c>
      <c r="H2189" t="s">
        <v>150</v>
      </c>
      <c r="I2189" t="str">
        <f t="shared" si="34"/>
        <v>NULL</v>
      </c>
    </row>
  </sheetData>
  <autoFilter ref="H1:H2189" xr:uid="{55B0D8B6-456C-4F92-A6B5-3B19B6FF5843}"/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coffee_filled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Корсун Анна</cp:lastModifiedBy>
  <dcterms:modified xsi:type="dcterms:W3CDTF">2026-01-04T16:11:26Z</dcterms:modified>
</cp:coreProperties>
</file>