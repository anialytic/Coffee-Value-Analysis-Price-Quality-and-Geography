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F49021F6-7143-4418-A937-6307277AA18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ffee_filled" sheetId="1" r:id="rId1"/>
    <sheet name="Sheet1" sheetId="2" r:id="rId2"/>
    <sheet name="Sheet2" sheetId="3" r:id="rId3"/>
    <sheet name="Sheet3" sheetId="4" r:id="rId4"/>
  </sheets>
  <definedNames>
    <definedName name="_xlnm._FilterDatabase" localSheetId="2" hidden="1">Sheet2!$H$2:$I$2195</definedName>
    <definedName name="_xlnm._FilterDatabase" localSheetId="3" hidden="1">Sheet3!$A$1:$N$2189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6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" i="4"/>
  <c r="M2" i="4" a="1"/>
  <c r="M2" i="4" s="1"/>
  <c r="L3" i="3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  <c r="I10" i="4" l="1"/>
  <c r="I2183" i="4"/>
  <c r="I2171" i="4"/>
  <c r="I2159" i="4"/>
  <c r="I2147" i="4"/>
  <c r="I2135" i="4"/>
  <c r="I2123" i="4"/>
  <c r="I2111" i="4"/>
  <c r="I2099" i="4"/>
  <c r="I2087" i="4"/>
  <c r="I2075" i="4"/>
  <c r="I2063" i="4"/>
  <c r="I2051" i="4"/>
  <c r="I2039" i="4"/>
  <c r="I2027" i="4"/>
  <c r="I2015" i="4"/>
  <c r="I2003" i="4"/>
  <c r="I1991" i="4"/>
  <c r="I1979" i="4"/>
  <c r="I1967" i="4"/>
  <c r="I1955" i="4"/>
  <c r="I1943" i="4"/>
  <c r="I1931" i="4"/>
  <c r="I1919" i="4"/>
  <c r="I1907" i="4"/>
  <c r="I1895" i="4"/>
  <c r="I1883" i="4"/>
  <c r="I1871" i="4"/>
  <c r="I1859" i="4"/>
  <c r="I1845" i="4"/>
  <c r="I1829" i="4"/>
  <c r="I1813" i="4"/>
  <c r="I1797" i="4"/>
  <c r="I1772" i="4"/>
  <c r="I1748" i="4"/>
  <c r="I1732" i="4"/>
  <c r="I1708" i="4"/>
  <c r="I1684" i="4"/>
  <c r="I1660" i="4"/>
  <c r="I1620" i="4"/>
  <c r="I1596" i="4"/>
  <c r="I1572" i="4"/>
  <c r="I1548" i="4"/>
  <c r="I1524" i="4"/>
  <c r="I1500" i="4"/>
  <c r="I1476" i="4"/>
  <c r="I1452" i="4"/>
  <c r="I1428" i="4"/>
  <c r="I1404" i="4"/>
  <c r="I1380" i="4"/>
  <c r="I1340" i="4"/>
  <c r="I1316" i="4"/>
  <c r="I1292" i="4"/>
  <c r="I1268" i="4"/>
  <c r="I1244" i="4"/>
  <c r="I1220" i="4"/>
  <c r="I1196" i="4"/>
  <c r="I1172" i="4"/>
  <c r="I1148" i="4"/>
  <c r="I1124" i="4"/>
  <c r="I1100" i="4"/>
  <c r="I1076" i="4"/>
  <c r="I1044" i="4"/>
  <c r="I1020" i="4"/>
  <c r="I993" i="4"/>
  <c r="I961" i="4"/>
  <c r="I921" i="4"/>
  <c r="I873" i="4"/>
  <c r="I764" i="4"/>
  <c r="I668" i="4"/>
  <c r="I572" i="4"/>
  <c r="I476" i="4"/>
  <c r="I380" i="4"/>
  <c r="I284" i="4"/>
  <c r="I188" i="4"/>
  <c r="I88" i="4"/>
  <c r="I5" i="4"/>
  <c r="I2178" i="4"/>
  <c r="I2166" i="4"/>
  <c r="I2154" i="4"/>
  <c r="I2142" i="4"/>
  <c r="I2130" i="4"/>
  <c r="I2118" i="4"/>
  <c r="I2106" i="4"/>
  <c r="I2094" i="4"/>
  <c r="I2082" i="4"/>
  <c r="I2070" i="4"/>
  <c r="I2058" i="4"/>
  <c r="I2046" i="4"/>
  <c r="I2034" i="4"/>
  <c r="I2022" i="4"/>
  <c r="I2010" i="4"/>
  <c r="I1998" i="4"/>
  <c r="I1986" i="4"/>
  <c r="I1974" i="4"/>
  <c r="I1962" i="4"/>
  <c r="I1950" i="4"/>
  <c r="I1938" i="4"/>
  <c r="I1926" i="4"/>
  <c r="I1914" i="4"/>
  <c r="I1902" i="4"/>
  <c r="I1882" i="4"/>
  <c r="I1425" i="4"/>
  <c r="I1417" i="4"/>
  <c r="I1409" i="4"/>
  <c r="I1401" i="4"/>
  <c r="I1393" i="4"/>
  <c r="I1385" i="4"/>
  <c r="I1377" i="4"/>
  <c r="I1369" i="4"/>
  <c r="I1361" i="4"/>
  <c r="I1353" i="4"/>
  <c r="I1345" i="4"/>
  <c r="I1337" i="4"/>
  <c r="I1329" i="4"/>
  <c r="I1321" i="4"/>
  <c r="I1313" i="4"/>
  <c r="I1305" i="4"/>
  <c r="I1297" i="4"/>
  <c r="I1289" i="4"/>
  <c r="I1281" i="4"/>
  <c r="I1273" i="4"/>
  <c r="I1265" i="4"/>
  <c r="I1257" i="4"/>
  <c r="I1249" i="4"/>
  <c r="I1241" i="4"/>
  <c r="I1233" i="4"/>
  <c r="I1225" i="4"/>
  <c r="I1217" i="4"/>
  <c r="I1209" i="4"/>
  <c r="I1201" i="4"/>
  <c r="I1193" i="4"/>
  <c r="I1185" i="4"/>
  <c r="I1177" i="4"/>
  <c r="I1169" i="4"/>
  <c r="I1161" i="4"/>
  <c r="I1153" i="4"/>
  <c r="I1145" i="4"/>
  <c r="I1137" i="4"/>
  <c r="I1129" i="4"/>
  <c r="I1121" i="4"/>
  <c r="I1113" i="4"/>
  <c r="I1105" i="4"/>
  <c r="I1097" i="4"/>
  <c r="I1089" i="4"/>
  <c r="I1081" i="4"/>
  <c r="I1073" i="4"/>
  <c r="I1065" i="4"/>
  <c r="I1057" i="4"/>
  <c r="I1049" i="4"/>
  <c r="I1041" i="4"/>
  <c r="I1033" i="4"/>
  <c r="I1025" i="4"/>
  <c r="I1017" i="4"/>
  <c r="I1009" i="4"/>
  <c r="I1000" i="4"/>
  <c r="I989" i="4"/>
  <c r="I979" i="4"/>
  <c r="I968" i="4"/>
  <c r="I957" i="4"/>
  <c r="I947" i="4"/>
  <c r="I932" i="4"/>
  <c r="I916" i="4"/>
  <c r="I900" i="4"/>
  <c r="I884" i="4"/>
  <c r="I868" i="4"/>
  <c r="I852" i="4"/>
  <c r="I820" i="4"/>
  <c r="I788" i="4"/>
  <c r="I756" i="4"/>
  <c r="I724" i="4"/>
  <c r="I692" i="4"/>
  <c r="I660" i="4"/>
  <c r="I628" i="4"/>
  <c r="I596" i="4"/>
  <c r="I564" i="4"/>
  <c r="I532" i="4"/>
  <c r="I500" i="4"/>
  <c r="I468" i="4"/>
  <c r="I436" i="4"/>
  <c r="I404" i="4"/>
  <c r="I372" i="4"/>
  <c r="I340" i="4"/>
  <c r="I308" i="4"/>
  <c r="I276" i="4"/>
  <c r="I244" i="4"/>
  <c r="I212" i="4"/>
  <c r="I180" i="4"/>
  <c r="I148" i="4"/>
  <c r="I116" i="4"/>
  <c r="I72" i="4"/>
  <c r="I2187" i="4"/>
  <c r="I2175" i="4"/>
  <c r="I2163" i="4"/>
  <c r="I2155" i="4"/>
  <c r="I2143" i="4"/>
  <c r="I2127" i="4"/>
  <c r="I2119" i="4"/>
  <c r="I2107" i="4"/>
  <c r="I2095" i="4"/>
  <c r="I2079" i="4"/>
  <c r="I2067" i="4"/>
  <c r="I2059" i="4"/>
  <c r="I2043" i="4"/>
  <c r="I2031" i="4"/>
  <c r="I2019" i="4"/>
  <c r="I2011" i="4"/>
  <c r="I1995" i="4"/>
  <c r="I1983" i="4"/>
  <c r="I1971" i="4"/>
  <c r="I1963" i="4"/>
  <c r="I1951" i="4"/>
  <c r="I1939" i="4"/>
  <c r="I1927" i="4"/>
  <c r="I1915" i="4"/>
  <c r="I1903" i="4"/>
  <c r="I1887" i="4"/>
  <c r="I1875" i="4"/>
  <c r="I1863" i="4"/>
  <c r="I1850" i="4"/>
  <c r="I1834" i="4"/>
  <c r="I1818" i="4"/>
  <c r="I1802" i="4"/>
  <c r="I1786" i="4"/>
  <c r="I1764" i="4"/>
  <c r="I1740" i="4"/>
  <c r="I1716" i="4"/>
  <c r="I1692" i="4"/>
  <c r="I1668" i="4"/>
  <c r="I1644" i="4"/>
  <c r="I1628" i="4"/>
  <c r="I1604" i="4"/>
  <c r="I1580" i="4"/>
  <c r="I1556" i="4"/>
  <c r="I1540" i="4"/>
  <c r="I1516" i="4"/>
  <c r="I1492" i="4"/>
  <c r="I1460" i="4"/>
  <c r="I1436" i="4"/>
  <c r="I1412" i="4"/>
  <c r="I1388" i="4"/>
  <c r="I1364" i="4"/>
  <c r="I1348" i="4"/>
  <c r="I1324" i="4"/>
  <c r="I1308" i="4"/>
  <c r="I1284" i="4"/>
  <c r="I1252" i="4"/>
  <c r="I1228" i="4"/>
  <c r="I1212" i="4"/>
  <c r="I1188" i="4"/>
  <c r="I1164" i="4"/>
  <c r="I1140" i="4"/>
  <c r="I1116" i="4"/>
  <c r="I1092" i="4"/>
  <c r="I1068" i="4"/>
  <c r="I1052" i="4"/>
  <c r="I1028" i="4"/>
  <c r="I1004" i="4"/>
  <c r="I972" i="4"/>
  <c r="I937" i="4"/>
  <c r="I889" i="4"/>
  <c r="I828" i="4"/>
  <c r="I732" i="4"/>
  <c r="I636" i="4"/>
  <c r="I540" i="4"/>
  <c r="I444" i="4"/>
  <c r="I348" i="4"/>
  <c r="I252" i="4"/>
  <c r="I156" i="4"/>
  <c r="I24" i="4"/>
  <c r="I9" i="4"/>
  <c r="I2182" i="4"/>
  <c r="I2170" i="4"/>
  <c r="I2158" i="4"/>
  <c r="I2150" i="4"/>
  <c r="I2138" i="4"/>
  <c r="I2122" i="4"/>
  <c r="I2110" i="4"/>
  <c r="I2102" i="4"/>
  <c r="I2090" i="4"/>
  <c r="I2074" i="4"/>
  <c r="I2062" i="4"/>
  <c r="I2050" i="4"/>
  <c r="I2038" i="4"/>
  <c r="I2030" i="4"/>
  <c r="I2018" i="4"/>
  <c r="I2006" i="4"/>
  <c r="I1990" i="4"/>
  <c r="I1978" i="4"/>
  <c r="I1970" i="4"/>
  <c r="I1958" i="4"/>
  <c r="I1942" i="4"/>
  <c r="I1930" i="4"/>
  <c r="I1918" i="4"/>
  <c r="I1910" i="4"/>
  <c r="I1894" i="4"/>
  <c r="I1886" i="4"/>
  <c r="I1878" i="4"/>
  <c r="I1866" i="4"/>
  <c r="I1858" i="4"/>
  <c r="I1849" i="4"/>
  <c r="I1838" i="4"/>
  <c r="I1828" i="4"/>
  <c r="I1817" i="4"/>
  <c r="I1806" i="4"/>
  <c r="I1796" i="4"/>
  <c r="I1785" i="4"/>
  <c r="I1769" i="4"/>
  <c r="I1753" i="4"/>
  <c r="I1737" i="4"/>
  <c r="I1721" i="4"/>
  <c r="I1705" i="4"/>
  <c r="I1689" i="4"/>
  <c r="I1681" i="4"/>
  <c r="I1673" i="4"/>
  <c r="I1665" i="4"/>
  <c r="I1657" i="4"/>
  <c r="I1649" i="4"/>
  <c r="I1641" i="4"/>
  <c r="I1625" i="4"/>
  <c r="I1609" i="4"/>
  <c r="I1593" i="4"/>
  <c r="I1577" i="4"/>
  <c r="I1561" i="4"/>
  <c r="I1553" i="4"/>
  <c r="I1537" i="4"/>
  <c r="I1529" i="4"/>
  <c r="I1521" i="4"/>
  <c r="I1513" i="4"/>
  <c r="I1505" i="4"/>
  <c r="I1497" i="4"/>
  <c r="I1489" i="4"/>
  <c r="I1481" i="4"/>
  <c r="I1473" i="4"/>
  <c r="I1465" i="4"/>
  <c r="I1457" i="4"/>
  <c r="I1449" i="4"/>
  <c r="I1441" i="4"/>
  <c r="I1433" i="4"/>
  <c r="I3" i="4"/>
  <c r="I8" i="4"/>
  <c r="I2189" i="4"/>
  <c r="I2185" i="4"/>
  <c r="I2181" i="4"/>
  <c r="I2177" i="4"/>
  <c r="I2173" i="4"/>
  <c r="I2169" i="4"/>
  <c r="I2165" i="4"/>
  <c r="I2161" i="4"/>
  <c r="I2157" i="4"/>
  <c r="I2153" i="4"/>
  <c r="I2149" i="4"/>
  <c r="I2145" i="4"/>
  <c r="I2141" i="4"/>
  <c r="I2137" i="4"/>
  <c r="I2133" i="4"/>
  <c r="I2129" i="4"/>
  <c r="I2125" i="4"/>
  <c r="I2121" i="4"/>
  <c r="I2117" i="4"/>
  <c r="I2113" i="4"/>
  <c r="I2109" i="4"/>
  <c r="I2105" i="4"/>
  <c r="I2101" i="4"/>
  <c r="I2097" i="4"/>
  <c r="I2093" i="4"/>
  <c r="I2089" i="4"/>
  <c r="I2085" i="4"/>
  <c r="I2081" i="4"/>
  <c r="I2077" i="4"/>
  <c r="I2073" i="4"/>
  <c r="I2069" i="4"/>
  <c r="I2065" i="4"/>
  <c r="I2061" i="4"/>
  <c r="I2057" i="4"/>
  <c r="I2053" i="4"/>
  <c r="I2049" i="4"/>
  <c r="I2045" i="4"/>
  <c r="I2041" i="4"/>
  <c r="I2037" i="4"/>
  <c r="I2033" i="4"/>
  <c r="I2029" i="4"/>
  <c r="I2025" i="4"/>
  <c r="I2021" i="4"/>
  <c r="I2017" i="4"/>
  <c r="I2013" i="4"/>
  <c r="I2009" i="4"/>
  <c r="I2005" i="4"/>
  <c r="I2001" i="4"/>
  <c r="I1997" i="4"/>
  <c r="I1993" i="4"/>
  <c r="I1989" i="4"/>
  <c r="I1985" i="4"/>
  <c r="I1981" i="4"/>
  <c r="I1977" i="4"/>
  <c r="I1973" i="4"/>
  <c r="I1969" i="4"/>
  <c r="I1965" i="4"/>
  <c r="I1961" i="4"/>
  <c r="I1957" i="4"/>
  <c r="I1953" i="4"/>
  <c r="I1949" i="4"/>
  <c r="I1945" i="4"/>
  <c r="I1941" i="4"/>
  <c r="I1937" i="4"/>
  <c r="I1933" i="4"/>
  <c r="I1929" i="4"/>
  <c r="I1925" i="4"/>
  <c r="I1921" i="4"/>
  <c r="I1917" i="4"/>
  <c r="I1913" i="4"/>
  <c r="I1909" i="4"/>
  <c r="I1905" i="4"/>
  <c r="I1901" i="4"/>
  <c r="I1897" i="4"/>
  <c r="I1893" i="4"/>
  <c r="I1889" i="4"/>
  <c r="I1885" i="4"/>
  <c r="I1881" i="4"/>
  <c r="I1877" i="4"/>
  <c r="I1873" i="4"/>
  <c r="I1869" i="4"/>
  <c r="I1865" i="4"/>
  <c r="I1861" i="4"/>
  <c r="I1857" i="4"/>
  <c r="I1853" i="4"/>
  <c r="I1848" i="4"/>
  <c r="I1842" i="4"/>
  <c r="I1837" i="4"/>
  <c r="I1832" i="4"/>
  <c r="I1826" i="4"/>
  <c r="I1821" i="4"/>
  <c r="I1816" i="4"/>
  <c r="I1810" i="4"/>
  <c r="I1805" i="4"/>
  <c r="I1800" i="4"/>
  <c r="I1794" i="4"/>
  <c r="I1789" i="4"/>
  <c r="I1784" i="4"/>
  <c r="I1776" i="4"/>
  <c r="I1768" i="4"/>
  <c r="I1760" i="4"/>
  <c r="I1752" i="4"/>
  <c r="I1744" i="4"/>
  <c r="I1736" i="4"/>
  <c r="I1728" i="4"/>
  <c r="I1720" i="4"/>
  <c r="I1712" i="4"/>
  <c r="I1704" i="4"/>
  <c r="I1696" i="4"/>
  <c r="I1688" i="4"/>
  <c r="I1680" i="4"/>
  <c r="I1672" i="4"/>
  <c r="I1664" i="4"/>
  <c r="I1656" i="4"/>
  <c r="I1648" i="4"/>
  <c r="I1640" i="4"/>
  <c r="I1632" i="4"/>
  <c r="I1624" i="4"/>
  <c r="I1616" i="4"/>
  <c r="I1608" i="4"/>
  <c r="I1600" i="4"/>
  <c r="I1592" i="4"/>
  <c r="I1584" i="4"/>
  <c r="I1576" i="4"/>
  <c r="I1568" i="4"/>
  <c r="I1560" i="4"/>
  <c r="I1552" i="4"/>
  <c r="I1544" i="4"/>
  <c r="I1536" i="4"/>
  <c r="I1528" i="4"/>
  <c r="I1520" i="4"/>
  <c r="I1512" i="4"/>
  <c r="I1504" i="4"/>
  <c r="I1496" i="4"/>
  <c r="I1488" i="4"/>
  <c r="I1480" i="4"/>
  <c r="I1472" i="4"/>
  <c r="I1464" i="4"/>
  <c r="I1456" i="4"/>
  <c r="I1448" i="4"/>
  <c r="I1440" i="4"/>
  <c r="I1432" i="4"/>
  <c r="I1424" i="4"/>
  <c r="I1416" i="4"/>
  <c r="I1408" i="4"/>
  <c r="I1400" i="4"/>
  <c r="I1392" i="4"/>
  <c r="I1384" i="4"/>
  <c r="I1376" i="4"/>
  <c r="I1368" i="4"/>
  <c r="I1360" i="4"/>
  <c r="I1352" i="4"/>
  <c r="I1344" i="4"/>
  <c r="I1336" i="4"/>
  <c r="I1328" i="4"/>
  <c r="I1320" i="4"/>
  <c r="I1312" i="4"/>
  <c r="I1304" i="4"/>
  <c r="I1296" i="4"/>
  <c r="I1288" i="4"/>
  <c r="I1280" i="4"/>
  <c r="I1272" i="4"/>
  <c r="I1264" i="4"/>
  <c r="I1256" i="4"/>
  <c r="I1248" i="4"/>
  <c r="I1240" i="4"/>
  <c r="I1232" i="4"/>
  <c r="I1224" i="4"/>
  <c r="I1216" i="4"/>
  <c r="I1208" i="4"/>
  <c r="I1200" i="4"/>
  <c r="I1192" i="4"/>
  <c r="I1184" i="4"/>
  <c r="I1176" i="4"/>
  <c r="I1168" i="4"/>
  <c r="I1160" i="4"/>
  <c r="I1152" i="4"/>
  <c r="I1144" i="4"/>
  <c r="I1136" i="4"/>
  <c r="I1128" i="4"/>
  <c r="I1120" i="4"/>
  <c r="I1112" i="4"/>
  <c r="I1104" i="4"/>
  <c r="I1096" i="4"/>
  <c r="I1088" i="4"/>
  <c r="I1080" i="4"/>
  <c r="I1072" i="4"/>
  <c r="I1064" i="4"/>
  <c r="I1056" i="4"/>
  <c r="I1048" i="4"/>
  <c r="I1040" i="4"/>
  <c r="I1032" i="4"/>
  <c r="I1024" i="4"/>
  <c r="I1016" i="4"/>
  <c r="I1008" i="4"/>
  <c r="I999" i="4"/>
  <c r="I988" i="4"/>
  <c r="I977" i="4"/>
  <c r="I967" i="4"/>
  <c r="I956" i="4"/>
  <c r="I945" i="4"/>
  <c r="I929" i="4"/>
  <c r="I913" i="4"/>
  <c r="I897" i="4"/>
  <c r="I881" i="4"/>
  <c r="I865" i="4"/>
  <c r="I844" i="4"/>
  <c r="I812" i="4"/>
  <c r="I780" i="4"/>
  <c r="I748" i="4"/>
  <c r="I716" i="4"/>
  <c r="I684" i="4"/>
  <c r="I652" i="4"/>
  <c r="I620" i="4"/>
  <c r="I588" i="4"/>
  <c r="I556" i="4"/>
  <c r="I524" i="4"/>
  <c r="I492" i="4"/>
  <c r="I460" i="4"/>
  <c r="I428" i="4"/>
  <c r="I396" i="4"/>
  <c r="I364" i="4"/>
  <c r="I332" i="4"/>
  <c r="I300" i="4"/>
  <c r="I268" i="4"/>
  <c r="I236" i="4"/>
  <c r="I204" i="4"/>
  <c r="I172" i="4"/>
  <c r="I140" i="4"/>
  <c r="I108" i="4"/>
  <c r="I56" i="4"/>
  <c r="I13" i="4"/>
  <c r="I17" i="4"/>
  <c r="I21" i="4"/>
  <c r="I25" i="4"/>
  <c r="I29" i="4"/>
  <c r="I33" i="4"/>
  <c r="I37" i="4"/>
  <c r="I41" i="4"/>
  <c r="I45" i="4"/>
  <c r="I49" i="4"/>
  <c r="I53" i="4"/>
  <c r="I57" i="4"/>
  <c r="I61" i="4"/>
  <c r="I65" i="4"/>
  <c r="I69" i="4"/>
  <c r="I73" i="4"/>
  <c r="I77" i="4"/>
  <c r="I81" i="4"/>
  <c r="I85" i="4"/>
  <c r="I89" i="4"/>
  <c r="I93" i="4"/>
  <c r="I14" i="4"/>
  <c r="I18" i="4"/>
  <c r="I22" i="4"/>
  <c r="I26" i="4"/>
  <c r="I30" i="4"/>
  <c r="I34" i="4"/>
  <c r="I38" i="4"/>
  <c r="I42" i="4"/>
  <c r="I46" i="4"/>
  <c r="I50" i="4"/>
  <c r="I54" i="4"/>
  <c r="I58" i="4"/>
  <c r="I62" i="4"/>
  <c r="I66" i="4"/>
  <c r="I70" i="4"/>
  <c r="I74" i="4"/>
  <c r="I78" i="4"/>
  <c r="I82" i="4"/>
  <c r="I86" i="4"/>
  <c r="I90" i="4"/>
  <c r="I94" i="4"/>
  <c r="I98" i="4"/>
  <c r="I102" i="4"/>
  <c r="I106" i="4"/>
  <c r="I110" i="4"/>
  <c r="I114" i="4"/>
  <c r="I118" i="4"/>
  <c r="I122" i="4"/>
  <c r="I126" i="4"/>
  <c r="I130" i="4"/>
  <c r="I134" i="4"/>
  <c r="I138" i="4"/>
  <c r="I142" i="4"/>
  <c r="I146" i="4"/>
  <c r="I150" i="4"/>
  <c r="I154" i="4"/>
  <c r="I158" i="4"/>
  <c r="I162" i="4"/>
  <c r="I166" i="4"/>
  <c r="I170" i="4"/>
  <c r="I174" i="4"/>
  <c r="I178" i="4"/>
  <c r="I182" i="4"/>
  <c r="I186" i="4"/>
  <c r="I190" i="4"/>
  <c r="I194" i="4"/>
  <c r="I198" i="4"/>
  <c r="I202" i="4"/>
  <c r="I206" i="4"/>
  <c r="I210" i="4"/>
  <c r="I214" i="4"/>
  <c r="I218" i="4"/>
  <c r="I222" i="4"/>
  <c r="I226" i="4"/>
  <c r="I230" i="4"/>
  <c r="I234" i="4"/>
  <c r="I238" i="4"/>
  <c r="I242" i="4"/>
  <c r="I246" i="4"/>
  <c r="I250" i="4"/>
  <c r="I254" i="4"/>
  <c r="I258" i="4"/>
  <c r="I262" i="4"/>
  <c r="I266" i="4"/>
  <c r="I270" i="4"/>
  <c r="I274" i="4"/>
  <c r="I278" i="4"/>
  <c r="I282" i="4"/>
  <c r="I286" i="4"/>
  <c r="I290" i="4"/>
  <c r="I294" i="4"/>
  <c r="I298" i="4"/>
  <c r="I302" i="4"/>
  <c r="I306" i="4"/>
  <c r="I310" i="4"/>
  <c r="I314" i="4"/>
  <c r="I318" i="4"/>
  <c r="I322" i="4"/>
  <c r="I326" i="4"/>
  <c r="I330" i="4"/>
  <c r="I334" i="4"/>
  <c r="I338" i="4"/>
  <c r="I342" i="4"/>
  <c r="I346" i="4"/>
  <c r="I350" i="4"/>
  <c r="I354" i="4"/>
  <c r="I358" i="4"/>
  <c r="I362" i="4"/>
  <c r="I366" i="4"/>
  <c r="I370" i="4"/>
  <c r="I374" i="4"/>
  <c r="I378" i="4"/>
  <c r="I382" i="4"/>
  <c r="I386" i="4"/>
  <c r="I390" i="4"/>
  <c r="I394" i="4"/>
  <c r="I398" i="4"/>
  <c r="I402" i="4"/>
  <c r="I406" i="4"/>
  <c r="I410" i="4"/>
  <c r="I414" i="4"/>
  <c r="I418" i="4"/>
  <c r="I422" i="4"/>
  <c r="I426" i="4"/>
  <c r="I430" i="4"/>
  <c r="I434" i="4"/>
  <c r="I438" i="4"/>
  <c r="I442" i="4"/>
  <c r="I446" i="4"/>
  <c r="I450" i="4"/>
  <c r="I454" i="4"/>
  <c r="I458" i="4"/>
  <c r="I462" i="4"/>
  <c r="I466" i="4"/>
  <c r="I470" i="4"/>
  <c r="I474" i="4"/>
  <c r="I478" i="4"/>
  <c r="I482" i="4"/>
  <c r="I486" i="4"/>
  <c r="I490" i="4"/>
  <c r="I494" i="4"/>
  <c r="I498" i="4"/>
  <c r="I502" i="4"/>
  <c r="I506" i="4"/>
  <c r="I510" i="4"/>
  <c r="I514" i="4"/>
  <c r="I518" i="4"/>
  <c r="I522" i="4"/>
  <c r="I526" i="4"/>
  <c r="I530" i="4"/>
  <c r="I534" i="4"/>
  <c r="I538" i="4"/>
  <c r="I542" i="4"/>
  <c r="I546" i="4"/>
  <c r="I550" i="4"/>
  <c r="I554" i="4"/>
  <c r="I558" i="4"/>
  <c r="I562" i="4"/>
  <c r="I566" i="4"/>
  <c r="I570" i="4"/>
  <c r="I574" i="4"/>
  <c r="I578" i="4"/>
  <c r="I582" i="4"/>
  <c r="I586" i="4"/>
  <c r="I590" i="4"/>
  <c r="I594" i="4"/>
  <c r="I598" i="4"/>
  <c r="I602" i="4"/>
  <c r="I606" i="4"/>
  <c r="I610" i="4"/>
  <c r="I614" i="4"/>
  <c r="I618" i="4"/>
  <c r="I622" i="4"/>
  <c r="I626" i="4"/>
  <c r="I630" i="4"/>
  <c r="I634" i="4"/>
  <c r="I638" i="4"/>
  <c r="I642" i="4"/>
  <c r="I646" i="4"/>
  <c r="I650" i="4"/>
  <c r="I654" i="4"/>
  <c r="I658" i="4"/>
  <c r="I662" i="4"/>
  <c r="I666" i="4"/>
  <c r="I670" i="4"/>
  <c r="I674" i="4"/>
  <c r="I678" i="4"/>
  <c r="I682" i="4"/>
  <c r="I686" i="4"/>
  <c r="I690" i="4"/>
  <c r="I694" i="4"/>
  <c r="I698" i="4"/>
  <c r="I702" i="4"/>
  <c r="I706" i="4"/>
  <c r="I710" i="4"/>
  <c r="I714" i="4"/>
  <c r="I718" i="4"/>
  <c r="I722" i="4"/>
  <c r="I726" i="4"/>
  <c r="I730" i="4"/>
  <c r="I734" i="4"/>
  <c r="I738" i="4"/>
  <c r="I742" i="4"/>
  <c r="I746" i="4"/>
  <c r="I750" i="4"/>
  <c r="I754" i="4"/>
  <c r="I758" i="4"/>
  <c r="I762" i="4"/>
  <c r="I766" i="4"/>
  <c r="I770" i="4"/>
  <c r="I774" i="4"/>
  <c r="I778" i="4"/>
  <c r="I782" i="4"/>
  <c r="I786" i="4"/>
  <c r="I790" i="4"/>
  <c r="I794" i="4"/>
  <c r="I798" i="4"/>
  <c r="I802" i="4"/>
  <c r="I806" i="4"/>
  <c r="I810" i="4"/>
  <c r="I814" i="4"/>
  <c r="I818" i="4"/>
  <c r="I822" i="4"/>
  <c r="I826" i="4"/>
  <c r="I830" i="4"/>
  <c r="I834" i="4"/>
  <c r="I838" i="4"/>
  <c r="I842" i="4"/>
  <c r="I846" i="4"/>
  <c r="I850" i="4"/>
  <c r="I854" i="4"/>
  <c r="I858" i="4"/>
  <c r="I862" i="4"/>
  <c r="I866" i="4"/>
  <c r="I870" i="4"/>
  <c r="I874" i="4"/>
  <c r="I878" i="4"/>
  <c r="I882" i="4"/>
  <c r="I886" i="4"/>
  <c r="I890" i="4"/>
  <c r="I894" i="4"/>
  <c r="I898" i="4"/>
  <c r="I902" i="4"/>
  <c r="I906" i="4"/>
  <c r="I910" i="4"/>
  <c r="I914" i="4"/>
  <c r="I918" i="4"/>
  <c r="I922" i="4"/>
  <c r="I926" i="4"/>
  <c r="I930" i="4"/>
  <c r="I934" i="4"/>
  <c r="I938" i="4"/>
  <c r="I942" i="4"/>
  <c r="I946" i="4"/>
  <c r="I950" i="4"/>
  <c r="I954" i="4"/>
  <c r="I958" i="4"/>
  <c r="I962" i="4"/>
  <c r="I966" i="4"/>
  <c r="I970" i="4"/>
  <c r="I974" i="4"/>
  <c r="I978" i="4"/>
  <c r="I982" i="4"/>
  <c r="I986" i="4"/>
  <c r="I990" i="4"/>
  <c r="I994" i="4"/>
  <c r="I998" i="4"/>
  <c r="I1002" i="4"/>
  <c r="I2" i="4"/>
  <c r="I15" i="4"/>
  <c r="I19" i="4"/>
  <c r="I23" i="4"/>
  <c r="I27" i="4"/>
  <c r="I31" i="4"/>
  <c r="I35" i="4"/>
  <c r="I39" i="4"/>
  <c r="I43" i="4"/>
  <c r="I47" i="4"/>
  <c r="I51" i="4"/>
  <c r="I55" i="4"/>
  <c r="I59" i="4"/>
  <c r="I63" i="4"/>
  <c r="I67" i="4"/>
  <c r="I71" i="4"/>
  <c r="I75" i="4"/>
  <c r="I79" i="4"/>
  <c r="I83" i="4"/>
  <c r="I87" i="4"/>
  <c r="I91" i="4"/>
  <c r="I95" i="4"/>
  <c r="I99" i="4"/>
  <c r="I103" i="4"/>
  <c r="I107" i="4"/>
  <c r="I111" i="4"/>
  <c r="I115" i="4"/>
  <c r="I119" i="4"/>
  <c r="I123" i="4"/>
  <c r="I127" i="4"/>
  <c r="I131" i="4"/>
  <c r="I135" i="4"/>
  <c r="I139" i="4"/>
  <c r="I143" i="4"/>
  <c r="I147" i="4"/>
  <c r="I151" i="4"/>
  <c r="I155" i="4"/>
  <c r="I159" i="4"/>
  <c r="I163" i="4"/>
  <c r="I167" i="4"/>
  <c r="I171" i="4"/>
  <c r="I175" i="4"/>
  <c r="I179" i="4"/>
  <c r="I183" i="4"/>
  <c r="I187" i="4"/>
  <c r="I191" i="4"/>
  <c r="I195" i="4"/>
  <c r="I199" i="4"/>
  <c r="I203" i="4"/>
  <c r="I207" i="4"/>
  <c r="I211" i="4"/>
  <c r="I215" i="4"/>
  <c r="I219" i="4"/>
  <c r="I223" i="4"/>
  <c r="I227" i="4"/>
  <c r="I231" i="4"/>
  <c r="I235" i="4"/>
  <c r="I239" i="4"/>
  <c r="I243" i="4"/>
  <c r="I247" i="4"/>
  <c r="I251" i="4"/>
  <c r="I255" i="4"/>
  <c r="I259" i="4"/>
  <c r="I263" i="4"/>
  <c r="I267" i="4"/>
  <c r="I271" i="4"/>
  <c r="I275" i="4"/>
  <c r="I279" i="4"/>
  <c r="I283" i="4"/>
  <c r="I287" i="4"/>
  <c r="I291" i="4"/>
  <c r="I295" i="4"/>
  <c r="I299" i="4"/>
  <c r="I303" i="4"/>
  <c r="I307" i="4"/>
  <c r="I311" i="4"/>
  <c r="I315" i="4"/>
  <c r="I319" i="4"/>
  <c r="I323" i="4"/>
  <c r="I327" i="4"/>
  <c r="I331" i="4"/>
  <c r="I335" i="4"/>
  <c r="I339" i="4"/>
  <c r="I343" i="4"/>
  <c r="I347" i="4"/>
  <c r="I351" i="4"/>
  <c r="I355" i="4"/>
  <c r="I359" i="4"/>
  <c r="I363" i="4"/>
  <c r="I367" i="4"/>
  <c r="I371" i="4"/>
  <c r="I375" i="4"/>
  <c r="I379" i="4"/>
  <c r="I383" i="4"/>
  <c r="I387" i="4"/>
  <c r="I391" i="4"/>
  <c r="I395" i="4"/>
  <c r="I399" i="4"/>
  <c r="I403" i="4"/>
  <c r="I407" i="4"/>
  <c r="I411" i="4"/>
  <c r="I415" i="4"/>
  <c r="I419" i="4"/>
  <c r="I423" i="4"/>
  <c r="I427" i="4"/>
  <c r="I431" i="4"/>
  <c r="I435" i="4"/>
  <c r="I439" i="4"/>
  <c r="I443" i="4"/>
  <c r="I447" i="4"/>
  <c r="I451" i="4"/>
  <c r="I455" i="4"/>
  <c r="I459" i="4"/>
  <c r="I463" i="4"/>
  <c r="I467" i="4"/>
  <c r="I471" i="4"/>
  <c r="I475" i="4"/>
  <c r="I479" i="4"/>
  <c r="I483" i="4"/>
  <c r="I487" i="4"/>
  <c r="I491" i="4"/>
  <c r="I495" i="4"/>
  <c r="I499" i="4"/>
  <c r="I503" i="4"/>
  <c r="I507" i="4"/>
  <c r="I511" i="4"/>
  <c r="I515" i="4"/>
  <c r="I519" i="4"/>
  <c r="I523" i="4"/>
  <c r="I527" i="4"/>
  <c r="I531" i="4"/>
  <c r="I535" i="4"/>
  <c r="I539" i="4"/>
  <c r="I543" i="4"/>
  <c r="I547" i="4"/>
  <c r="I551" i="4"/>
  <c r="I555" i="4"/>
  <c r="I559" i="4"/>
  <c r="I563" i="4"/>
  <c r="I567" i="4"/>
  <c r="I571" i="4"/>
  <c r="I575" i="4"/>
  <c r="I579" i="4"/>
  <c r="I583" i="4"/>
  <c r="I587" i="4"/>
  <c r="I591" i="4"/>
  <c r="I595" i="4"/>
  <c r="I599" i="4"/>
  <c r="I603" i="4"/>
  <c r="I607" i="4"/>
  <c r="I611" i="4"/>
  <c r="I615" i="4"/>
  <c r="I619" i="4"/>
  <c r="I623" i="4"/>
  <c r="I627" i="4"/>
  <c r="I631" i="4"/>
  <c r="I635" i="4"/>
  <c r="I639" i="4"/>
  <c r="I643" i="4"/>
  <c r="I647" i="4"/>
  <c r="I651" i="4"/>
  <c r="I655" i="4"/>
  <c r="I659" i="4"/>
  <c r="I663" i="4"/>
  <c r="I667" i="4"/>
  <c r="I671" i="4"/>
  <c r="I675" i="4"/>
  <c r="I679" i="4"/>
  <c r="I683" i="4"/>
  <c r="I687" i="4"/>
  <c r="I691" i="4"/>
  <c r="I695" i="4"/>
  <c r="I699" i="4"/>
  <c r="I703" i="4"/>
  <c r="I707" i="4"/>
  <c r="I711" i="4"/>
  <c r="I715" i="4"/>
  <c r="I719" i="4"/>
  <c r="I723" i="4"/>
  <c r="I727" i="4"/>
  <c r="I731" i="4"/>
  <c r="I735" i="4"/>
  <c r="I739" i="4"/>
  <c r="I743" i="4"/>
  <c r="I747" i="4"/>
  <c r="I751" i="4"/>
  <c r="I755" i="4"/>
  <c r="I759" i="4"/>
  <c r="I763" i="4"/>
  <c r="I767" i="4"/>
  <c r="I771" i="4"/>
  <c r="I775" i="4"/>
  <c r="I779" i="4"/>
  <c r="I783" i="4"/>
  <c r="I787" i="4"/>
  <c r="I791" i="4"/>
  <c r="I795" i="4"/>
  <c r="I799" i="4"/>
  <c r="I803" i="4"/>
  <c r="I807" i="4"/>
  <c r="I811" i="4"/>
  <c r="I815" i="4"/>
  <c r="I819" i="4"/>
  <c r="I823" i="4"/>
  <c r="I827" i="4"/>
  <c r="I831" i="4"/>
  <c r="I835" i="4"/>
  <c r="I839" i="4"/>
  <c r="I843" i="4"/>
  <c r="I847" i="4"/>
  <c r="I851" i="4"/>
  <c r="I855" i="4"/>
  <c r="I859" i="4"/>
  <c r="I863" i="4"/>
  <c r="I867" i="4"/>
  <c r="I871" i="4"/>
  <c r="I875" i="4"/>
  <c r="I879" i="4"/>
  <c r="I883" i="4"/>
  <c r="I887" i="4"/>
  <c r="I891" i="4"/>
  <c r="I895" i="4"/>
  <c r="I899" i="4"/>
  <c r="I903" i="4"/>
  <c r="I907" i="4"/>
  <c r="I911" i="4"/>
  <c r="I915" i="4"/>
  <c r="I919" i="4"/>
  <c r="I923" i="4"/>
  <c r="I927" i="4"/>
  <c r="I931" i="4"/>
  <c r="I935" i="4"/>
  <c r="I939" i="4"/>
  <c r="I943" i="4"/>
  <c r="I12" i="4"/>
  <c r="I28" i="4"/>
  <c r="I44" i="4"/>
  <c r="I60" i="4"/>
  <c r="I76" i="4"/>
  <c r="I92" i="4"/>
  <c r="I101" i="4"/>
  <c r="I109" i="4"/>
  <c r="I117" i="4"/>
  <c r="I125" i="4"/>
  <c r="I133" i="4"/>
  <c r="I141" i="4"/>
  <c r="I149" i="4"/>
  <c r="I157" i="4"/>
  <c r="I165" i="4"/>
  <c r="I173" i="4"/>
  <c r="I181" i="4"/>
  <c r="I189" i="4"/>
  <c r="I197" i="4"/>
  <c r="I205" i="4"/>
  <c r="I213" i="4"/>
  <c r="I221" i="4"/>
  <c r="I229" i="4"/>
  <c r="I237" i="4"/>
  <c r="I245" i="4"/>
  <c r="I253" i="4"/>
  <c r="I261" i="4"/>
  <c r="I269" i="4"/>
  <c r="I277" i="4"/>
  <c r="I285" i="4"/>
  <c r="I293" i="4"/>
  <c r="I301" i="4"/>
  <c r="I309" i="4"/>
  <c r="I317" i="4"/>
  <c r="I325" i="4"/>
  <c r="I333" i="4"/>
  <c r="I341" i="4"/>
  <c r="I349" i="4"/>
  <c r="I357" i="4"/>
  <c r="I365" i="4"/>
  <c r="I373" i="4"/>
  <c r="I381" i="4"/>
  <c r="I389" i="4"/>
  <c r="I397" i="4"/>
  <c r="I405" i="4"/>
  <c r="I413" i="4"/>
  <c r="I421" i="4"/>
  <c r="I429" i="4"/>
  <c r="I437" i="4"/>
  <c r="I445" i="4"/>
  <c r="I453" i="4"/>
  <c r="I461" i="4"/>
  <c r="I469" i="4"/>
  <c r="I477" i="4"/>
  <c r="I485" i="4"/>
  <c r="I493" i="4"/>
  <c r="I501" i="4"/>
  <c r="I509" i="4"/>
  <c r="I517" i="4"/>
  <c r="I525" i="4"/>
  <c r="I533" i="4"/>
  <c r="I541" i="4"/>
  <c r="I549" i="4"/>
  <c r="I557" i="4"/>
  <c r="I565" i="4"/>
  <c r="I573" i="4"/>
  <c r="I581" i="4"/>
  <c r="I589" i="4"/>
  <c r="I597" i="4"/>
  <c r="I605" i="4"/>
  <c r="I613" i="4"/>
  <c r="I621" i="4"/>
  <c r="I629" i="4"/>
  <c r="I637" i="4"/>
  <c r="I645" i="4"/>
  <c r="I653" i="4"/>
  <c r="I661" i="4"/>
  <c r="I669" i="4"/>
  <c r="I677" i="4"/>
  <c r="I685" i="4"/>
  <c r="I693" i="4"/>
  <c r="I701" i="4"/>
  <c r="I709" i="4"/>
  <c r="I717" i="4"/>
  <c r="I725" i="4"/>
  <c r="I733" i="4"/>
  <c r="I741" i="4"/>
  <c r="I749" i="4"/>
  <c r="I757" i="4"/>
  <c r="I765" i="4"/>
  <c r="I773" i="4"/>
  <c r="I781" i="4"/>
  <c r="I789" i="4"/>
  <c r="I797" i="4"/>
  <c r="I805" i="4"/>
  <c r="I813" i="4"/>
  <c r="I821" i="4"/>
  <c r="I829" i="4"/>
  <c r="I837" i="4"/>
  <c r="I845" i="4"/>
  <c r="I853" i="4"/>
  <c r="I861" i="4"/>
  <c r="I869" i="4"/>
  <c r="I877" i="4"/>
  <c r="I885" i="4"/>
  <c r="I893" i="4"/>
  <c r="I901" i="4"/>
  <c r="I909" i="4"/>
  <c r="I917" i="4"/>
  <c r="I925" i="4"/>
  <c r="I933" i="4"/>
  <c r="I941" i="4"/>
  <c r="I948" i="4"/>
  <c r="I953" i="4"/>
  <c r="I959" i="4"/>
  <c r="I964" i="4"/>
  <c r="I969" i="4"/>
  <c r="I975" i="4"/>
  <c r="I980" i="4"/>
  <c r="I985" i="4"/>
  <c r="I991" i="4"/>
  <c r="I996" i="4"/>
  <c r="I1001" i="4"/>
  <c r="I1006" i="4"/>
  <c r="I1010" i="4"/>
  <c r="I1014" i="4"/>
  <c r="I1018" i="4"/>
  <c r="I1022" i="4"/>
  <c r="I1026" i="4"/>
  <c r="I1030" i="4"/>
  <c r="I1034" i="4"/>
  <c r="I1038" i="4"/>
  <c r="I1042" i="4"/>
  <c r="I1046" i="4"/>
  <c r="I1050" i="4"/>
  <c r="I1054" i="4"/>
  <c r="I1058" i="4"/>
  <c r="I1062" i="4"/>
  <c r="I1066" i="4"/>
  <c r="I1070" i="4"/>
  <c r="I1074" i="4"/>
  <c r="I1078" i="4"/>
  <c r="I1082" i="4"/>
  <c r="I1086" i="4"/>
  <c r="I1090" i="4"/>
  <c r="I1094" i="4"/>
  <c r="I1098" i="4"/>
  <c r="I1102" i="4"/>
  <c r="I1106" i="4"/>
  <c r="I1110" i="4"/>
  <c r="I1114" i="4"/>
  <c r="I1118" i="4"/>
  <c r="I1122" i="4"/>
  <c r="I1126" i="4"/>
  <c r="I1130" i="4"/>
  <c r="I1134" i="4"/>
  <c r="I1138" i="4"/>
  <c r="I1142" i="4"/>
  <c r="I1146" i="4"/>
  <c r="I1150" i="4"/>
  <c r="I1154" i="4"/>
  <c r="I1158" i="4"/>
  <c r="I1162" i="4"/>
  <c r="I1166" i="4"/>
  <c r="I1170" i="4"/>
  <c r="I1174" i="4"/>
  <c r="I1178" i="4"/>
  <c r="I1182" i="4"/>
  <c r="I1186" i="4"/>
  <c r="I1190" i="4"/>
  <c r="I1194" i="4"/>
  <c r="I1198" i="4"/>
  <c r="I1202" i="4"/>
  <c r="I1206" i="4"/>
  <c r="I1210" i="4"/>
  <c r="I1214" i="4"/>
  <c r="I1218" i="4"/>
  <c r="I1222" i="4"/>
  <c r="I1226" i="4"/>
  <c r="I1230" i="4"/>
  <c r="I1234" i="4"/>
  <c r="I1238" i="4"/>
  <c r="I1242" i="4"/>
  <c r="I1246" i="4"/>
  <c r="I1250" i="4"/>
  <c r="I1254" i="4"/>
  <c r="I1258" i="4"/>
  <c r="I1262" i="4"/>
  <c r="I1266" i="4"/>
  <c r="I1270" i="4"/>
  <c r="I1274" i="4"/>
  <c r="I1278" i="4"/>
  <c r="I1282" i="4"/>
  <c r="I1286" i="4"/>
  <c r="I1290" i="4"/>
  <c r="I1294" i="4"/>
  <c r="I1298" i="4"/>
  <c r="I1302" i="4"/>
  <c r="I1306" i="4"/>
  <c r="I1310" i="4"/>
  <c r="I1314" i="4"/>
  <c r="I1318" i="4"/>
  <c r="I1322" i="4"/>
  <c r="I1326" i="4"/>
  <c r="I1330" i="4"/>
  <c r="I1334" i="4"/>
  <c r="I1338" i="4"/>
  <c r="I1342" i="4"/>
  <c r="I1346" i="4"/>
  <c r="I1350" i="4"/>
  <c r="I1354" i="4"/>
  <c r="I1358" i="4"/>
  <c r="I1362" i="4"/>
  <c r="I1366" i="4"/>
  <c r="I1370" i="4"/>
  <c r="I1374" i="4"/>
  <c r="I1378" i="4"/>
  <c r="I1382" i="4"/>
  <c r="I1386" i="4"/>
  <c r="I1390" i="4"/>
  <c r="I1394" i="4"/>
  <c r="I1398" i="4"/>
  <c r="I1402" i="4"/>
  <c r="I1406" i="4"/>
  <c r="I1410" i="4"/>
  <c r="I1414" i="4"/>
  <c r="I1418" i="4"/>
  <c r="I1422" i="4"/>
  <c r="I1426" i="4"/>
  <c r="I1430" i="4"/>
  <c r="I1434" i="4"/>
  <c r="I1438" i="4"/>
  <c r="I1442" i="4"/>
  <c r="I1446" i="4"/>
  <c r="I1450" i="4"/>
  <c r="I1454" i="4"/>
  <c r="I1458" i="4"/>
  <c r="I1462" i="4"/>
  <c r="I1466" i="4"/>
  <c r="I1470" i="4"/>
  <c r="I1474" i="4"/>
  <c r="I1478" i="4"/>
  <c r="I1482" i="4"/>
  <c r="I1486" i="4"/>
  <c r="I1490" i="4"/>
  <c r="I1494" i="4"/>
  <c r="I1498" i="4"/>
  <c r="I1502" i="4"/>
  <c r="I1506" i="4"/>
  <c r="I1510" i="4"/>
  <c r="I1514" i="4"/>
  <c r="I1518" i="4"/>
  <c r="I1522" i="4"/>
  <c r="I1526" i="4"/>
  <c r="I1530" i="4"/>
  <c r="I1534" i="4"/>
  <c r="I1538" i="4"/>
  <c r="I1542" i="4"/>
  <c r="I1546" i="4"/>
  <c r="I1550" i="4"/>
  <c r="I1554" i="4"/>
  <c r="I1558" i="4"/>
  <c r="I1562" i="4"/>
  <c r="I1566" i="4"/>
  <c r="I1570" i="4"/>
  <c r="I1574" i="4"/>
  <c r="I1578" i="4"/>
  <c r="I1582" i="4"/>
  <c r="I1586" i="4"/>
  <c r="I1590" i="4"/>
  <c r="I1594" i="4"/>
  <c r="I1598" i="4"/>
  <c r="I1602" i="4"/>
  <c r="I1606" i="4"/>
  <c r="I1610" i="4"/>
  <c r="I1614" i="4"/>
  <c r="I1618" i="4"/>
  <c r="I1622" i="4"/>
  <c r="I1626" i="4"/>
  <c r="I1630" i="4"/>
  <c r="I1634" i="4"/>
  <c r="I1638" i="4"/>
  <c r="I1642" i="4"/>
  <c r="I1646" i="4"/>
  <c r="I1650" i="4"/>
  <c r="I1654" i="4"/>
  <c r="I1658" i="4"/>
  <c r="I1662" i="4"/>
  <c r="I1666" i="4"/>
  <c r="I1670" i="4"/>
  <c r="I1674" i="4"/>
  <c r="I1678" i="4"/>
  <c r="I1682" i="4"/>
  <c r="I1686" i="4"/>
  <c r="I1690" i="4"/>
  <c r="I1694" i="4"/>
  <c r="I1698" i="4"/>
  <c r="I1702" i="4"/>
  <c r="I1706" i="4"/>
  <c r="I1710" i="4"/>
  <c r="I1714" i="4"/>
  <c r="I1718" i="4"/>
  <c r="I1722" i="4"/>
  <c r="I1726" i="4"/>
  <c r="I1730" i="4"/>
  <c r="I1734" i="4"/>
  <c r="I1738" i="4"/>
  <c r="I1742" i="4"/>
  <c r="I1746" i="4"/>
  <c r="I1750" i="4"/>
  <c r="I1754" i="4"/>
  <c r="I1758" i="4"/>
  <c r="I1762" i="4"/>
  <c r="I1766" i="4"/>
  <c r="I1770" i="4"/>
  <c r="I1774" i="4"/>
  <c r="I1778" i="4"/>
  <c r="I1782" i="4"/>
  <c r="I16" i="4"/>
  <c r="I32" i="4"/>
  <c r="I48" i="4"/>
  <c r="I64" i="4"/>
  <c r="I80" i="4"/>
  <c r="I96" i="4"/>
  <c r="I104" i="4"/>
  <c r="I112" i="4"/>
  <c r="I120" i="4"/>
  <c r="I128" i="4"/>
  <c r="I136" i="4"/>
  <c r="I144" i="4"/>
  <c r="I152" i="4"/>
  <c r="I160" i="4"/>
  <c r="I168" i="4"/>
  <c r="I176" i="4"/>
  <c r="I184" i="4"/>
  <c r="I192" i="4"/>
  <c r="I200" i="4"/>
  <c r="I208" i="4"/>
  <c r="I216" i="4"/>
  <c r="I224" i="4"/>
  <c r="I232" i="4"/>
  <c r="I240" i="4"/>
  <c r="I248" i="4"/>
  <c r="I256" i="4"/>
  <c r="I264" i="4"/>
  <c r="I272" i="4"/>
  <c r="I280" i="4"/>
  <c r="I288" i="4"/>
  <c r="I296" i="4"/>
  <c r="I304" i="4"/>
  <c r="I312" i="4"/>
  <c r="I320" i="4"/>
  <c r="I328" i="4"/>
  <c r="I336" i="4"/>
  <c r="I344" i="4"/>
  <c r="I352" i="4"/>
  <c r="I360" i="4"/>
  <c r="I368" i="4"/>
  <c r="I376" i="4"/>
  <c r="I384" i="4"/>
  <c r="I392" i="4"/>
  <c r="I400" i="4"/>
  <c r="I408" i="4"/>
  <c r="I416" i="4"/>
  <c r="I424" i="4"/>
  <c r="I432" i="4"/>
  <c r="I440" i="4"/>
  <c r="I448" i="4"/>
  <c r="I456" i="4"/>
  <c r="I464" i="4"/>
  <c r="I472" i="4"/>
  <c r="I480" i="4"/>
  <c r="I488" i="4"/>
  <c r="I496" i="4"/>
  <c r="I504" i="4"/>
  <c r="I512" i="4"/>
  <c r="I520" i="4"/>
  <c r="I528" i="4"/>
  <c r="I536" i="4"/>
  <c r="I544" i="4"/>
  <c r="I552" i="4"/>
  <c r="I560" i="4"/>
  <c r="I568" i="4"/>
  <c r="I576" i="4"/>
  <c r="I584" i="4"/>
  <c r="I592" i="4"/>
  <c r="I600" i="4"/>
  <c r="I608" i="4"/>
  <c r="I616" i="4"/>
  <c r="I624" i="4"/>
  <c r="I632" i="4"/>
  <c r="I640" i="4"/>
  <c r="I648" i="4"/>
  <c r="I656" i="4"/>
  <c r="I664" i="4"/>
  <c r="I672" i="4"/>
  <c r="I680" i="4"/>
  <c r="I688" i="4"/>
  <c r="I696" i="4"/>
  <c r="I704" i="4"/>
  <c r="I712" i="4"/>
  <c r="I720" i="4"/>
  <c r="I728" i="4"/>
  <c r="I736" i="4"/>
  <c r="I744" i="4"/>
  <c r="I752" i="4"/>
  <c r="I760" i="4"/>
  <c r="I768" i="4"/>
  <c r="I776" i="4"/>
  <c r="I784" i="4"/>
  <c r="I792" i="4"/>
  <c r="I800" i="4"/>
  <c r="I808" i="4"/>
  <c r="I816" i="4"/>
  <c r="I824" i="4"/>
  <c r="I832" i="4"/>
  <c r="I840" i="4"/>
  <c r="I848" i="4"/>
  <c r="I856" i="4"/>
  <c r="I864" i="4"/>
  <c r="I872" i="4"/>
  <c r="I880" i="4"/>
  <c r="I888" i="4"/>
  <c r="I896" i="4"/>
  <c r="I904" i="4"/>
  <c r="I912" i="4"/>
  <c r="I920" i="4"/>
  <c r="I928" i="4"/>
  <c r="I936" i="4"/>
  <c r="I944" i="4"/>
  <c r="I949" i="4"/>
  <c r="I955" i="4"/>
  <c r="I960" i="4"/>
  <c r="I965" i="4"/>
  <c r="I971" i="4"/>
  <c r="I976" i="4"/>
  <c r="I981" i="4"/>
  <c r="I987" i="4"/>
  <c r="I992" i="4"/>
  <c r="I997" i="4"/>
  <c r="I1003" i="4"/>
  <c r="I1007" i="4"/>
  <c r="I1011" i="4"/>
  <c r="I1015" i="4"/>
  <c r="I1019" i="4"/>
  <c r="I1023" i="4"/>
  <c r="I1027" i="4"/>
  <c r="I1031" i="4"/>
  <c r="I1035" i="4"/>
  <c r="I1039" i="4"/>
  <c r="I1043" i="4"/>
  <c r="I1047" i="4"/>
  <c r="I1051" i="4"/>
  <c r="I1055" i="4"/>
  <c r="I1059" i="4"/>
  <c r="I1063" i="4"/>
  <c r="I1067" i="4"/>
  <c r="I1071" i="4"/>
  <c r="I1075" i="4"/>
  <c r="I1079" i="4"/>
  <c r="I1083" i="4"/>
  <c r="I1087" i="4"/>
  <c r="I1091" i="4"/>
  <c r="I1095" i="4"/>
  <c r="I1099" i="4"/>
  <c r="I1103" i="4"/>
  <c r="I1107" i="4"/>
  <c r="I1111" i="4"/>
  <c r="I1115" i="4"/>
  <c r="I1119" i="4"/>
  <c r="I1123" i="4"/>
  <c r="I1127" i="4"/>
  <c r="I1131" i="4"/>
  <c r="I1135" i="4"/>
  <c r="I1139" i="4"/>
  <c r="I1143" i="4"/>
  <c r="I1147" i="4"/>
  <c r="I1151" i="4"/>
  <c r="I1155" i="4"/>
  <c r="I1159" i="4"/>
  <c r="I1163" i="4"/>
  <c r="I1167" i="4"/>
  <c r="I1171" i="4"/>
  <c r="I1175" i="4"/>
  <c r="I1179" i="4"/>
  <c r="I1183" i="4"/>
  <c r="I1187" i="4"/>
  <c r="I1191" i="4"/>
  <c r="I1195" i="4"/>
  <c r="I1199" i="4"/>
  <c r="I1203" i="4"/>
  <c r="I1207" i="4"/>
  <c r="I1211" i="4"/>
  <c r="I1215" i="4"/>
  <c r="I1219" i="4"/>
  <c r="I1223" i="4"/>
  <c r="I1227" i="4"/>
  <c r="I1231" i="4"/>
  <c r="I1235" i="4"/>
  <c r="I1239" i="4"/>
  <c r="I1243" i="4"/>
  <c r="I1247" i="4"/>
  <c r="I1251" i="4"/>
  <c r="I1255" i="4"/>
  <c r="I1259" i="4"/>
  <c r="I1263" i="4"/>
  <c r="I1267" i="4"/>
  <c r="I1271" i="4"/>
  <c r="I1275" i="4"/>
  <c r="I1279" i="4"/>
  <c r="I1283" i="4"/>
  <c r="I1287" i="4"/>
  <c r="I1291" i="4"/>
  <c r="I1295" i="4"/>
  <c r="I1299" i="4"/>
  <c r="I1303" i="4"/>
  <c r="I1307" i="4"/>
  <c r="I1311" i="4"/>
  <c r="I1315" i="4"/>
  <c r="I1319" i="4"/>
  <c r="I1323" i="4"/>
  <c r="I1327" i="4"/>
  <c r="I1331" i="4"/>
  <c r="I1335" i="4"/>
  <c r="I1339" i="4"/>
  <c r="I1343" i="4"/>
  <c r="I1347" i="4"/>
  <c r="I1351" i="4"/>
  <c r="I1355" i="4"/>
  <c r="I1359" i="4"/>
  <c r="I1363" i="4"/>
  <c r="I1367" i="4"/>
  <c r="I1371" i="4"/>
  <c r="I1375" i="4"/>
  <c r="I1379" i="4"/>
  <c r="I1383" i="4"/>
  <c r="I1387" i="4"/>
  <c r="I1391" i="4"/>
  <c r="I1395" i="4"/>
  <c r="I1399" i="4"/>
  <c r="I1403" i="4"/>
  <c r="I1407" i="4"/>
  <c r="I1411" i="4"/>
  <c r="I1415" i="4"/>
  <c r="I1419" i="4"/>
  <c r="I1423" i="4"/>
  <c r="I1427" i="4"/>
  <c r="I1431" i="4"/>
  <c r="I1435" i="4"/>
  <c r="I1439" i="4"/>
  <c r="I1443" i="4"/>
  <c r="I1447" i="4"/>
  <c r="I1451" i="4"/>
  <c r="I1455" i="4"/>
  <c r="I1459" i="4"/>
  <c r="I1463" i="4"/>
  <c r="I1467" i="4"/>
  <c r="I1471" i="4"/>
  <c r="I1475" i="4"/>
  <c r="I1479" i="4"/>
  <c r="I1483" i="4"/>
  <c r="I1487" i="4"/>
  <c r="I1491" i="4"/>
  <c r="I1495" i="4"/>
  <c r="I1499" i="4"/>
  <c r="I1503" i="4"/>
  <c r="I1507" i="4"/>
  <c r="I1511" i="4"/>
  <c r="I1515" i="4"/>
  <c r="I1519" i="4"/>
  <c r="I1523" i="4"/>
  <c r="I1527" i="4"/>
  <c r="I1531" i="4"/>
  <c r="I1535" i="4"/>
  <c r="I1539" i="4"/>
  <c r="I1543" i="4"/>
  <c r="I1547" i="4"/>
  <c r="I1551" i="4"/>
  <c r="I1555" i="4"/>
  <c r="I1559" i="4"/>
  <c r="I1563" i="4"/>
  <c r="I1567" i="4"/>
  <c r="I1571" i="4"/>
  <c r="I1575" i="4"/>
  <c r="I1579" i="4"/>
  <c r="I1583" i="4"/>
  <c r="I1587" i="4"/>
  <c r="I1591" i="4"/>
  <c r="I1595" i="4"/>
  <c r="I1599" i="4"/>
  <c r="I1603" i="4"/>
  <c r="I1607" i="4"/>
  <c r="I1611" i="4"/>
  <c r="I1615" i="4"/>
  <c r="I1619" i="4"/>
  <c r="I1623" i="4"/>
  <c r="I1627" i="4"/>
  <c r="I1631" i="4"/>
  <c r="I1635" i="4"/>
  <c r="I1639" i="4"/>
  <c r="I1643" i="4"/>
  <c r="I1647" i="4"/>
  <c r="I1651" i="4"/>
  <c r="I1655" i="4"/>
  <c r="I1659" i="4"/>
  <c r="I1663" i="4"/>
  <c r="I1667" i="4"/>
  <c r="I1671" i="4"/>
  <c r="I1675" i="4"/>
  <c r="I1679" i="4"/>
  <c r="I1683" i="4"/>
  <c r="I1687" i="4"/>
  <c r="I1691" i="4"/>
  <c r="I1695" i="4"/>
  <c r="I1699" i="4"/>
  <c r="I1703" i="4"/>
  <c r="I1707" i="4"/>
  <c r="I1711" i="4"/>
  <c r="I1715" i="4"/>
  <c r="I1719" i="4"/>
  <c r="I1723" i="4"/>
  <c r="I1727" i="4"/>
  <c r="I1731" i="4"/>
  <c r="I1735" i="4"/>
  <c r="I1739" i="4"/>
  <c r="I1743" i="4"/>
  <c r="I1747" i="4"/>
  <c r="I1751" i="4"/>
  <c r="I1755" i="4"/>
  <c r="I1759" i="4"/>
  <c r="I1763" i="4"/>
  <c r="I1767" i="4"/>
  <c r="I1771" i="4"/>
  <c r="I1775" i="4"/>
  <c r="I1779" i="4"/>
  <c r="I1783" i="4"/>
  <c r="I1787" i="4"/>
  <c r="I1791" i="4"/>
  <c r="I1795" i="4"/>
  <c r="I1799" i="4"/>
  <c r="I1803" i="4"/>
  <c r="I1807" i="4"/>
  <c r="I1811" i="4"/>
  <c r="I1815" i="4"/>
  <c r="I1819" i="4"/>
  <c r="I1823" i="4"/>
  <c r="I1827" i="4"/>
  <c r="I1831" i="4"/>
  <c r="I1835" i="4"/>
  <c r="I1839" i="4"/>
  <c r="I1843" i="4"/>
  <c r="I1847" i="4"/>
  <c r="I1851" i="4"/>
  <c r="I20" i="4"/>
  <c r="I36" i="4"/>
  <c r="I52" i="4"/>
  <c r="I68" i="4"/>
  <c r="I84" i="4"/>
  <c r="I97" i="4"/>
  <c r="I105" i="4"/>
  <c r="I113" i="4"/>
  <c r="I121" i="4"/>
  <c r="I129" i="4"/>
  <c r="I137" i="4"/>
  <c r="I145" i="4"/>
  <c r="I153" i="4"/>
  <c r="I161" i="4"/>
  <c r="I169" i="4"/>
  <c r="I177" i="4"/>
  <c r="I185" i="4"/>
  <c r="I193" i="4"/>
  <c r="I201" i="4"/>
  <c r="I209" i="4"/>
  <c r="I217" i="4"/>
  <c r="I225" i="4"/>
  <c r="I233" i="4"/>
  <c r="I241" i="4"/>
  <c r="I249" i="4"/>
  <c r="I257" i="4"/>
  <c r="I265" i="4"/>
  <c r="I273" i="4"/>
  <c r="I281" i="4"/>
  <c r="I289" i="4"/>
  <c r="I297" i="4"/>
  <c r="I305" i="4"/>
  <c r="I313" i="4"/>
  <c r="I321" i="4"/>
  <c r="I329" i="4"/>
  <c r="I337" i="4"/>
  <c r="I345" i="4"/>
  <c r="I353" i="4"/>
  <c r="I361" i="4"/>
  <c r="I369" i="4"/>
  <c r="I377" i="4"/>
  <c r="I385" i="4"/>
  <c r="I393" i="4"/>
  <c r="I401" i="4"/>
  <c r="I409" i="4"/>
  <c r="I417" i="4"/>
  <c r="I425" i="4"/>
  <c r="I433" i="4"/>
  <c r="I441" i="4"/>
  <c r="I449" i="4"/>
  <c r="I457" i="4"/>
  <c r="I465" i="4"/>
  <c r="I473" i="4"/>
  <c r="I481" i="4"/>
  <c r="I489" i="4"/>
  <c r="I497" i="4"/>
  <c r="I505" i="4"/>
  <c r="I513" i="4"/>
  <c r="I521" i="4"/>
  <c r="I529" i="4"/>
  <c r="I537" i="4"/>
  <c r="I545" i="4"/>
  <c r="I553" i="4"/>
  <c r="I561" i="4"/>
  <c r="I569" i="4"/>
  <c r="I577" i="4"/>
  <c r="I585" i="4"/>
  <c r="I593" i="4"/>
  <c r="I601" i="4"/>
  <c r="I609" i="4"/>
  <c r="I617" i="4"/>
  <c r="I625" i="4"/>
  <c r="I633" i="4"/>
  <c r="I641" i="4"/>
  <c r="I649" i="4"/>
  <c r="I657" i="4"/>
  <c r="I665" i="4"/>
  <c r="I673" i="4"/>
  <c r="I681" i="4"/>
  <c r="I689" i="4"/>
  <c r="I697" i="4"/>
  <c r="I705" i="4"/>
  <c r="I713" i="4"/>
  <c r="I721" i="4"/>
  <c r="I729" i="4"/>
  <c r="I737" i="4"/>
  <c r="I745" i="4"/>
  <c r="I753" i="4"/>
  <c r="I761" i="4"/>
  <c r="I769" i="4"/>
  <c r="I777" i="4"/>
  <c r="I785" i="4"/>
  <c r="I793" i="4"/>
  <c r="I801" i="4"/>
  <c r="I809" i="4"/>
  <c r="I817" i="4"/>
  <c r="I825" i="4"/>
  <c r="I833" i="4"/>
  <c r="I841" i="4"/>
  <c r="I849" i="4"/>
  <c r="I6" i="4"/>
  <c r="I2179" i="4"/>
  <c r="I2167" i="4"/>
  <c r="I2151" i="4"/>
  <c r="I2139" i="4"/>
  <c r="I2131" i="4"/>
  <c r="I2115" i="4"/>
  <c r="I2103" i="4"/>
  <c r="I2091" i="4"/>
  <c r="I2083" i="4"/>
  <c r="I2071" i="4"/>
  <c r="I2055" i="4"/>
  <c r="I2047" i="4"/>
  <c r="I2035" i="4"/>
  <c r="I2023" i="4"/>
  <c r="I2007" i="4"/>
  <c r="I1999" i="4"/>
  <c r="I1987" i="4"/>
  <c r="I1975" i="4"/>
  <c r="I1959" i="4"/>
  <c r="I1947" i="4"/>
  <c r="I1935" i="4"/>
  <c r="I1923" i="4"/>
  <c r="I1911" i="4"/>
  <c r="I1899" i="4"/>
  <c r="I1891" i="4"/>
  <c r="I1879" i="4"/>
  <c r="I1867" i="4"/>
  <c r="I1855" i="4"/>
  <c r="I1840" i="4"/>
  <c r="I1824" i="4"/>
  <c r="I1808" i="4"/>
  <c r="I1792" i="4"/>
  <c r="I1780" i="4"/>
  <c r="I1756" i="4"/>
  <c r="I1724" i="4"/>
  <c r="I1700" i="4"/>
  <c r="I1676" i="4"/>
  <c r="I1652" i="4"/>
  <c r="I1636" i="4"/>
  <c r="I1612" i="4"/>
  <c r="I1588" i="4"/>
  <c r="I1564" i="4"/>
  <c r="I1532" i="4"/>
  <c r="I1508" i="4"/>
  <c r="I1484" i="4"/>
  <c r="I1468" i="4"/>
  <c r="I1444" i="4"/>
  <c r="I1420" i="4"/>
  <c r="I1396" i="4"/>
  <c r="I1372" i="4"/>
  <c r="I1356" i="4"/>
  <c r="I1332" i="4"/>
  <c r="I1300" i="4"/>
  <c r="I1276" i="4"/>
  <c r="I1260" i="4"/>
  <c r="I1236" i="4"/>
  <c r="I1204" i="4"/>
  <c r="I1180" i="4"/>
  <c r="I1156" i="4"/>
  <c r="I1132" i="4"/>
  <c r="I1108" i="4"/>
  <c r="I1084" i="4"/>
  <c r="I1060" i="4"/>
  <c r="I1036" i="4"/>
  <c r="I1012" i="4"/>
  <c r="I983" i="4"/>
  <c r="I951" i="4"/>
  <c r="I905" i="4"/>
  <c r="I857" i="4"/>
  <c r="I796" i="4"/>
  <c r="I700" i="4"/>
  <c r="I604" i="4"/>
  <c r="I508" i="4"/>
  <c r="I412" i="4"/>
  <c r="I316" i="4"/>
  <c r="I220" i="4"/>
  <c r="I124" i="4"/>
  <c r="I4" i="4"/>
  <c r="I2186" i="4"/>
  <c r="I2174" i="4"/>
  <c r="I2162" i="4"/>
  <c r="I2146" i="4"/>
  <c r="I2134" i="4"/>
  <c r="I2126" i="4"/>
  <c r="I2114" i="4"/>
  <c r="I2098" i="4"/>
  <c r="I2086" i="4"/>
  <c r="I2078" i="4"/>
  <c r="I2066" i="4"/>
  <c r="I2054" i="4"/>
  <c r="I2042" i="4"/>
  <c r="I2026" i="4"/>
  <c r="I2014" i="4"/>
  <c r="I2002" i="4"/>
  <c r="I1994" i="4"/>
  <c r="I1982" i="4"/>
  <c r="I1966" i="4"/>
  <c r="I1954" i="4"/>
  <c r="I1946" i="4"/>
  <c r="I1934" i="4"/>
  <c r="I1922" i="4"/>
  <c r="I1906" i="4"/>
  <c r="I1898" i="4"/>
  <c r="I1890" i="4"/>
  <c r="I1874" i="4"/>
  <c r="I1870" i="4"/>
  <c r="I1862" i="4"/>
  <c r="I1854" i="4"/>
  <c r="I1844" i="4"/>
  <c r="I1833" i="4"/>
  <c r="I1822" i="4"/>
  <c r="I1812" i="4"/>
  <c r="I1801" i="4"/>
  <c r="I1790" i="4"/>
  <c r="I1777" i="4"/>
  <c r="I1761" i="4"/>
  <c r="I1745" i="4"/>
  <c r="I1729" i="4"/>
  <c r="I1713" i="4"/>
  <c r="I1697" i="4"/>
  <c r="I1633" i="4"/>
  <c r="I1617" i="4"/>
  <c r="I1601" i="4"/>
  <c r="I1585" i="4"/>
  <c r="I1569" i="4"/>
  <c r="I1545" i="4"/>
  <c r="I11" i="4"/>
  <c r="I7" i="4"/>
  <c r="I2188" i="4"/>
  <c r="I2184" i="4"/>
  <c r="I2180" i="4"/>
  <c r="I2176" i="4"/>
  <c r="I2172" i="4"/>
  <c r="I2168" i="4"/>
  <c r="I2164" i="4"/>
  <c r="I2160" i="4"/>
  <c r="I2156" i="4"/>
  <c r="I2152" i="4"/>
  <c r="I2148" i="4"/>
  <c r="I2144" i="4"/>
  <c r="I2140" i="4"/>
  <c r="I2136" i="4"/>
  <c r="I2132" i="4"/>
  <c r="I2128" i="4"/>
  <c r="I2124" i="4"/>
  <c r="I2120" i="4"/>
  <c r="I2116" i="4"/>
  <c r="I2112" i="4"/>
  <c r="I2108" i="4"/>
  <c r="I2104" i="4"/>
  <c r="I2100" i="4"/>
  <c r="I2096" i="4"/>
  <c r="I2092" i="4"/>
  <c r="I2088" i="4"/>
  <c r="I2084" i="4"/>
  <c r="I2080" i="4"/>
  <c r="I2076" i="4"/>
  <c r="I2072" i="4"/>
  <c r="I2068" i="4"/>
  <c r="I2064" i="4"/>
  <c r="I2060" i="4"/>
  <c r="I2056" i="4"/>
  <c r="I2052" i="4"/>
  <c r="I2048" i="4"/>
  <c r="I2044" i="4"/>
  <c r="I2040" i="4"/>
  <c r="I2036" i="4"/>
  <c r="I2032" i="4"/>
  <c r="I2028" i="4"/>
  <c r="I2024" i="4"/>
  <c r="I2020" i="4"/>
  <c r="I2016" i="4"/>
  <c r="I2012" i="4"/>
  <c r="I2008" i="4"/>
  <c r="I2004" i="4"/>
  <c r="I2000" i="4"/>
  <c r="I1996" i="4"/>
  <c r="I1992" i="4"/>
  <c r="I1988" i="4"/>
  <c r="I1984" i="4"/>
  <c r="I1980" i="4"/>
  <c r="I1976" i="4"/>
  <c r="I1972" i="4"/>
  <c r="I1968" i="4"/>
  <c r="I1964" i="4"/>
  <c r="I1960" i="4"/>
  <c r="I1956" i="4"/>
  <c r="I1952" i="4"/>
  <c r="I1948" i="4"/>
  <c r="I1944" i="4"/>
  <c r="I1940" i="4"/>
  <c r="I1936" i="4"/>
  <c r="I1932" i="4"/>
  <c r="I1928" i="4"/>
  <c r="I1924" i="4"/>
  <c r="I1920" i="4"/>
  <c r="I1916" i="4"/>
  <c r="I1912" i="4"/>
  <c r="I1908" i="4"/>
  <c r="I1904" i="4"/>
  <c r="I1900" i="4"/>
  <c r="I1896" i="4"/>
  <c r="I1892" i="4"/>
  <c r="I1888" i="4"/>
  <c r="I1884" i="4"/>
  <c r="I1880" i="4"/>
  <c r="I1876" i="4"/>
  <c r="I1872" i="4"/>
  <c r="I1868" i="4"/>
  <c r="I1864" i="4"/>
  <c r="I1860" i="4"/>
  <c r="I1856" i="4"/>
  <c r="I1852" i="4"/>
  <c r="I1846" i="4"/>
  <c r="I1841" i="4"/>
  <c r="I1836" i="4"/>
  <c r="I1830" i="4"/>
  <c r="I1825" i="4"/>
  <c r="I1820" i="4"/>
  <c r="I1814" i="4"/>
  <c r="I1809" i="4"/>
  <c r="I1804" i="4"/>
  <c r="I1798" i="4"/>
  <c r="I1793" i="4"/>
  <c r="I1788" i="4"/>
  <c r="I1781" i="4"/>
  <c r="I1773" i="4"/>
  <c r="I1765" i="4"/>
  <c r="I1757" i="4"/>
  <c r="I1749" i="4"/>
  <c r="I1741" i="4"/>
  <c r="I1733" i="4"/>
  <c r="I1725" i="4"/>
  <c r="I1717" i="4"/>
  <c r="I1709" i="4"/>
  <c r="I1701" i="4"/>
  <c r="I1693" i="4"/>
  <c r="I1685" i="4"/>
  <c r="I1677" i="4"/>
  <c r="I1669" i="4"/>
  <c r="I1661" i="4"/>
  <c r="I1653" i="4"/>
  <c r="I1645" i="4"/>
  <c r="I1637" i="4"/>
  <c r="I1629" i="4"/>
  <c r="I1621" i="4"/>
  <c r="I1613" i="4"/>
  <c r="I1605" i="4"/>
  <c r="I1597" i="4"/>
  <c r="I1589" i="4"/>
  <c r="I1581" i="4"/>
  <c r="I1573" i="4"/>
  <c r="I1565" i="4"/>
  <c r="I1557" i="4"/>
  <c r="I1549" i="4"/>
  <c r="I1541" i="4"/>
  <c r="I1533" i="4"/>
  <c r="I1525" i="4"/>
  <c r="I1517" i="4"/>
  <c r="I1509" i="4"/>
  <c r="I1501" i="4"/>
  <c r="I1493" i="4"/>
  <c r="I1485" i="4"/>
  <c r="I1477" i="4"/>
  <c r="I1469" i="4"/>
  <c r="I1461" i="4"/>
  <c r="I1453" i="4"/>
  <c r="I1445" i="4"/>
  <c r="I1437" i="4"/>
  <c r="I1429" i="4"/>
  <c r="I1421" i="4"/>
  <c r="I1413" i="4"/>
  <c r="I1405" i="4"/>
  <c r="I1397" i="4"/>
  <c r="I1389" i="4"/>
  <c r="I1381" i="4"/>
  <c r="I1373" i="4"/>
  <c r="I1365" i="4"/>
  <c r="I1357" i="4"/>
  <c r="I1349" i="4"/>
  <c r="I1341" i="4"/>
  <c r="I1333" i="4"/>
  <c r="I1325" i="4"/>
  <c r="I1317" i="4"/>
  <c r="I1309" i="4"/>
  <c r="I1301" i="4"/>
  <c r="I1293" i="4"/>
  <c r="I1285" i="4"/>
  <c r="I1277" i="4"/>
  <c r="I1269" i="4"/>
  <c r="I1261" i="4"/>
  <c r="I1253" i="4"/>
  <c r="I1245" i="4"/>
  <c r="I1237" i="4"/>
  <c r="I1229" i="4"/>
  <c r="I1221" i="4"/>
  <c r="I1213" i="4"/>
  <c r="I1205" i="4"/>
  <c r="I1197" i="4"/>
  <c r="I1189" i="4"/>
  <c r="I1181" i="4"/>
  <c r="I1173" i="4"/>
  <c r="I1165" i="4"/>
  <c r="I1157" i="4"/>
  <c r="I1149" i="4"/>
  <c r="I1141" i="4"/>
  <c r="I1133" i="4"/>
  <c r="I1125" i="4"/>
  <c r="I1117" i="4"/>
  <c r="I1109" i="4"/>
  <c r="I1101" i="4"/>
  <c r="I1093" i="4"/>
  <c r="I1085" i="4"/>
  <c r="I1077" i="4"/>
  <c r="I1069" i="4"/>
  <c r="I1061" i="4"/>
  <c r="I1053" i="4"/>
  <c r="I1045" i="4"/>
  <c r="I1037" i="4"/>
  <c r="I1029" i="4"/>
  <c r="I1021" i="4"/>
  <c r="I1013" i="4"/>
  <c r="I1005" i="4"/>
  <c r="I995" i="4"/>
  <c r="I984" i="4"/>
  <c r="I973" i="4"/>
  <c r="I963" i="4"/>
  <c r="I952" i="4"/>
  <c r="I940" i="4"/>
  <c r="I924" i="4"/>
  <c r="I908" i="4"/>
  <c r="I892" i="4"/>
  <c r="I876" i="4"/>
  <c r="I860" i="4"/>
  <c r="I836" i="4"/>
  <c r="I804" i="4"/>
  <c r="I772" i="4"/>
  <c r="I740" i="4"/>
  <c r="I708" i="4"/>
  <c r="I676" i="4"/>
  <c r="I644" i="4"/>
  <c r="I612" i="4"/>
  <c r="I580" i="4"/>
  <c r="I548" i="4"/>
  <c r="I516" i="4"/>
  <c r="I484" i="4"/>
  <c r="I452" i="4"/>
  <c r="I420" i="4"/>
  <c r="I388" i="4"/>
  <c r="I356" i="4"/>
  <c r="I324" i="4"/>
  <c r="I292" i="4"/>
  <c r="I260" i="4"/>
  <c r="I228" i="4"/>
  <c r="I196" i="4"/>
  <c r="I164" i="4"/>
  <c r="I132" i="4"/>
  <c r="I100" i="4"/>
  <c r="I4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<sst xmlns="http://schemas.openxmlformats.org/spreadsheetml/2006/main" count="26632" uniqueCount="2078">
  <si>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</si>
  <si>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</si>
  <si>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</si>
  <si>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</si>
  <si>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</si>
  <si>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</si>
  <si>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</si>
  <si>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</si>
  <si>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</si>
  <si>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</si>
  <si>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</si>
  <si>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</si>
  <si>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</si>
  <si>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</si>
  <si>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</si>
  <si>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</si>
  <si>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</si>
  <si>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</si>
  <si>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</si>
  <si>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</si>
  <si>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</si>
  <si>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</si>
  <si>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</si>
  <si>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</si>
  <si>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</si>
  <si>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</si>
  <si>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</si>
  <si>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</si>
  <si>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</si>
  <si>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</si>
  <si>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</si>
  <si>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</si>
  <si>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</si>
  <si>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</si>
  <si>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</si>
  <si>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</si>
  <si>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</si>
  <si>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</si>
  <si>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</si>
  <si>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</si>
  <si>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</si>
  <si>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</si>
  <si>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</si>
  <si>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</si>
  <si>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</si>
  <si>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</si>
  <si>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</si>
  <si>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</si>
  <si>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</si>
  <si>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</si>
  <si>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</si>
  <si>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</si>
  <si>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</si>
  <si>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</si>
  <si>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</si>
  <si>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</si>
  <si>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</si>
  <si>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</si>
  <si>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</si>
  <si>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</si>
  <si>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</si>
  <si>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</si>
  <si>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</si>
  <si>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</si>
  <si>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</si>
  <si>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</si>
  <si>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</si>
  <si>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</si>
  <si>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</si>
  <si>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</si>
  <si>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</si>
  <si>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</si>
  <si>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</si>
  <si>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</si>
  <si>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</si>
  <si>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</si>
  <si>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</si>
  <si>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</si>
  <si>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</si>
  <si>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</si>
  <si>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</si>
  <si>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</si>
  <si>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</si>
  <si>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</si>
  <si>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</si>
  <si>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</si>
  <si>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</si>
  <si>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</si>
  <si>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</si>
  <si>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</si>
  <si>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</si>
  <si>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</si>
  <si>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</si>
  <si>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</si>
  <si>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</si>
  <si>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</si>
  <si>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</si>
  <si>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</si>
  <si>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</si>
  <si>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</si>
  <si>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</si>
  <si>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</si>
  <si>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</si>
  <si>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</si>
  <si>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</si>
  <si>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</si>
  <si>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</si>
  <si>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</si>
  <si>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</si>
  <si>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</si>
  <si>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</si>
  <si>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</si>
  <si>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</si>
  <si>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</si>
  <si>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</si>
  <si>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</si>
  <si>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</si>
  <si>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</si>
  <si>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</si>
  <si>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</si>
  <si>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</si>
  <si>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</si>
  <si>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</si>
  <si>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</si>
  <si>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</si>
  <si>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</si>
  <si>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</si>
  <si>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</si>
  <si>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</si>
  <si>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</si>
  <si>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</si>
  <si>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</si>
  <si>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</si>
  <si>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</si>
  <si>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</si>
  <si>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</si>
  <si>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</si>
  <si>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</si>
  <si>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</si>
  <si>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</si>
  <si>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</si>
  <si>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</si>
  <si>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</si>
  <si>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</si>
  <si>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</si>
  <si>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</si>
  <si>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</si>
  <si>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</si>
  <si>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</si>
  <si>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</si>
  <si>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</si>
  <si>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</si>
  <si>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</si>
  <si>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</si>
  <si>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</si>
  <si>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</si>
  <si>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</si>
  <si>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</si>
  <si>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</si>
  <si>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</si>
  <si>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</si>
  <si>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</si>
  <si>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</si>
  <si>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</si>
  <si>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</si>
  <si>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</si>
  <si>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</si>
  <si>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</si>
  <si>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</si>
  <si>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</si>
  <si>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</si>
  <si>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</si>
  <si>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</si>
  <si>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</si>
  <si>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</si>
  <si>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</si>
  <si>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</si>
  <si>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</si>
  <si>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</si>
  <si>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</si>
  <si>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</si>
  <si>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</si>
  <si>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</si>
  <si>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</si>
  <si>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</si>
  <si>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</si>
  <si>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</si>
  <si>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</si>
  <si>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</si>
  <si>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</si>
  <si>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</si>
  <si>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</si>
  <si>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</si>
  <si>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</si>
  <si>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</si>
  <si>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</si>
  <si>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</si>
  <si>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</si>
  <si>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</si>
  <si>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</si>
  <si>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</si>
  <si>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</si>
  <si>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</si>
  <si>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</si>
  <si>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</si>
  <si>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</si>
  <si>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</si>
  <si>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</si>
  <si>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</si>
  <si>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</si>
  <si>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</si>
  <si>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</si>
  <si>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</si>
  <si>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</si>
  <si>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</si>
  <si>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</si>
  <si>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</si>
  <si>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</si>
  <si>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</si>
  <si>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</si>
  <si>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</si>
  <si>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</si>
  <si>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</si>
  <si>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</si>
  <si>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</si>
  <si>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</si>
  <si>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</si>
  <si>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</si>
  <si>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</si>
  <si>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</si>
  <si>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</si>
  <si>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</si>
  <si>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</si>
  <si>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</si>
  <si>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</si>
  <si>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</si>
  <si>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</si>
  <si>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</si>
  <si>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</si>
  <si>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</si>
  <si>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</si>
  <si>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</si>
  <si>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</si>
  <si>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</si>
  <si>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</si>
  <si>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</si>
  <si>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</si>
  <si>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</si>
  <si>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</si>
  <si>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</si>
  <si>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</si>
  <si>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</si>
  <si>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</si>
  <si>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</si>
  <si>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</si>
  <si>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</si>
  <si>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</si>
  <si>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</si>
  <si>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</si>
  <si>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</si>
  <si>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</si>
  <si>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</si>
  <si>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</si>
  <si>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</si>
  <si>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</si>
  <si>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</si>
  <si>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</si>
  <si>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</si>
  <si>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</si>
  <si>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</si>
  <si>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</si>
  <si>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</si>
  <si>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</si>
  <si>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</si>
  <si>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</si>
  <si>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</si>
  <si>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</si>
  <si>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</si>
  <si>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</si>
  <si>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</si>
  <si>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</si>
  <si>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</si>
  <si>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</si>
  <si>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</si>
  <si>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</si>
  <si>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</si>
  <si>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</si>
  <si>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</si>
  <si>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</si>
  <si>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</si>
  <si>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</si>
  <si>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</si>
  <si>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</si>
  <si>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</si>
  <si>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</si>
  <si>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</si>
  <si>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</si>
  <si>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</si>
  <si>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</si>
  <si>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</si>
  <si>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</si>
  <si>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</si>
  <si>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</si>
  <si>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</si>
  <si>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</si>
  <si>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</si>
  <si>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</si>
  <si>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</si>
  <si>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</si>
  <si>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</si>
  <si>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</si>
  <si>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</si>
  <si>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</si>
  <si>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</si>
  <si>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</si>
  <si>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</si>
  <si>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</si>
  <si>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</si>
  <si>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</si>
  <si>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</si>
  <si>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</si>
  <si>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</si>
  <si>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</si>
  <si>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</si>
  <si>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</si>
  <si>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</si>
  <si>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</si>
  <si>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</si>
  <si>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</si>
  <si>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</si>
  <si>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</si>
  <si>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</si>
  <si>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</si>
  <si>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</si>
  <si>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</si>
  <si>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</si>
  <si>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</si>
  <si>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</si>
  <si>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</si>
  <si>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</si>
  <si>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</si>
  <si>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</si>
  <si>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</si>
  <si>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</si>
  <si>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</si>
  <si>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</si>
  <si>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</si>
  <si>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</si>
  <si>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</si>
  <si>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</si>
  <si>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</si>
  <si>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</si>
  <si>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</si>
  <si>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</si>
  <si>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</si>
  <si>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</si>
  <si>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</si>
  <si>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</si>
  <si>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</si>
  <si>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</si>
  <si>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</si>
  <si>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</si>
  <si>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</si>
  <si>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</si>
  <si>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</si>
  <si>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</si>
  <si>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</si>
  <si>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</si>
  <si>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</si>
  <si>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</si>
  <si>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</si>
  <si>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</si>
  <si>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</si>
  <si>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</si>
  <si>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</si>
  <si>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</si>
  <si>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</si>
  <si>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</si>
  <si>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</si>
  <si>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</si>
  <si>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</si>
  <si>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</si>
  <si>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</si>
  <si>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</si>
  <si>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</si>
  <si>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</si>
  <si>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</si>
  <si>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</si>
  <si>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</si>
  <si>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</si>
  <si>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</si>
  <si>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</si>
  <si>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</si>
  <si>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</si>
  <si>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</si>
  <si>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</si>
  <si>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</si>
  <si>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</si>
  <si>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</si>
  <si>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</si>
  <si>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</si>
  <si>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</si>
  <si>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</si>
  <si>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</si>
  <si>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</si>
  <si>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</si>
  <si>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</si>
  <si>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</si>
  <si>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</si>
  <si>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</si>
  <si>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</si>
  <si>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</si>
  <si>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</si>
  <si>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</si>
  <si>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</si>
  <si>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</si>
  <si>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</si>
  <si>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</si>
  <si>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</si>
  <si>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</si>
  <si>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</si>
  <si>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</si>
  <si>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</si>
  <si>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</si>
  <si>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</si>
  <si>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</si>
  <si>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</si>
  <si>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</si>
  <si>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</si>
  <si>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</si>
  <si>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</si>
  <si>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</si>
  <si>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</si>
  <si>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</si>
  <si>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</si>
  <si>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</si>
  <si>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</si>
  <si>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</si>
  <si>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</si>
  <si>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</si>
  <si>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</si>
  <si>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</si>
  <si>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</si>
  <si>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</si>
  <si>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</si>
  <si>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</si>
  <si>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</si>
  <si>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</si>
  <si>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</si>
  <si>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</si>
  <si>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</si>
  <si>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</si>
  <si>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</si>
  <si>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</si>
  <si>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</si>
  <si>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</si>
  <si>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</si>
  <si>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</si>
  <si>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</si>
  <si>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</si>
  <si>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</si>
  <si>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</si>
  <si>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</si>
  <si>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</si>
  <si>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</si>
  <si>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</si>
  <si>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</si>
  <si>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</si>
  <si>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</si>
  <si>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</si>
  <si>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</si>
  <si>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</si>
  <si>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</si>
  <si>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</si>
  <si>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</si>
  <si>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</si>
  <si>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</si>
  <si>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</si>
  <si>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</si>
  <si>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</si>
  <si>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</si>
  <si>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</si>
  <si>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</si>
  <si>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</si>
  <si>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</si>
  <si>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</si>
  <si>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</si>
  <si>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</si>
  <si>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</si>
  <si>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</si>
  <si>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</si>
  <si>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</si>
  <si>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</si>
  <si>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</si>
  <si>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</si>
  <si>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</si>
  <si>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</si>
  <si>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</si>
  <si>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</si>
  <si>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</si>
  <si>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</si>
  <si>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</si>
  <si>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</si>
  <si>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</si>
  <si>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</si>
  <si>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</si>
  <si>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</si>
  <si>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</si>
  <si>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</si>
  <si>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</si>
  <si>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</si>
  <si>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</si>
  <si>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</si>
  <si>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</si>
  <si>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</si>
  <si>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</si>
  <si>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</si>
  <si>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</si>
  <si>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</si>
  <si>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</si>
  <si>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</si>
  <si>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</si>
  <si>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</si>
  <si>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</si>
  <si>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</si>
  <si>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</si>
  <si>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</si>
  <si>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</si>
  <si>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</si>
  <si>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</si>
  <si>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</si>
  <si>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</si>
  <si>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</si>
  <si>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</si>
  <si>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</si>
  <si>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</si>
  <si>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</si>
  <si>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</si>
  <si>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</si>
  <si>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</si>
  <si>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</si>
  <si>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</si>
  <si>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</si>
  <si>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</si>
  <si>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</si>
  <si>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</si>
  <si>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</si>
  <si>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</si>
  <si>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</si>
  <si>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</si>
  <si>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</si>
  <si>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</si>
  <si>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</si>
  <si>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</si>
  <si>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</si>
  <si>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</si>
  <si>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</si>
  <si>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</si>
  <si>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</si>
  <si>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</si>
  <si>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</si>
  <si>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</si>
  <si>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</si>
  <si>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</si>
  <si>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</si>
  <si>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</si>
  <si>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</si>
  <si>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</si>
  <si>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</si>
  <si>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</si>
  <si>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</si>
  <si>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</si>
  <si>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</si>
  <si>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</si>
  <si>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</si>
  <si>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</si>
  <si>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</si>
  <si>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</si>
  <si>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</si>
  <si>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</si>
  <si>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</si>
  <si>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</si>
  <si>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</si>
  <si>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</si>
  <si>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</si>
  <si>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</si>
  <si>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</si>
  <si>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</si>
  <si>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</si>
  <si>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</si>
  <si>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</si>
  <si>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</si>
  <si>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</si>
  <si>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</si>
  <si>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</si>
  <si>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</si>
  <si>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</si>
  <si>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</si>
  <si>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</si>
  <si>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</si>
  <si>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</si>
  <si>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</si>
  <si>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</si>
  <si>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</si>
  <si>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</si>
  <si>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</si>
  <si>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</si>
  <si>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</si>
  <si>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</si>
  <si>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</si>
  <si>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</si>
  <si>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</si>
  <si>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</si>
  <si>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</si>
  <si>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</si>
  <si>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</si>
  <si>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</si>
  <si>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</si>
  <si>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</si>
  <si>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</si>
  <si>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</si>
  <si>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</si>
  <si>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</si>
  <si>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</si>
  <si>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</si>
  <si>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</si>
  <si>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</si>
  <si>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</si>
  <si>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</si>
  <si>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</si>
  <si>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</si>
  <si>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</si>
  <si>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</si>
  <si>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</si>
  <si>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</si>
  <si>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</si>
  <si>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</si>
  <si>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</si>
  <si>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</si>
  <si>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</si>
  <si>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</si>
  <si>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</si>
  <si>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</si>
  <si>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</si>
  <si>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</si>
  <si>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</si>
  <si>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</si>
  <si>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</si>
  <si>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</si>
  <si>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</si>
  <si>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</si>
  <si>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</si>
  <si>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</si>
  <si>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</si>
  <si>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</si>
  <si>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</si>
  <si>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</si>
  <si>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</si>
  <si>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</si>
  <si>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</si>
  <si>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</si>
  <si>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</si>
  <si>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</si>
  <si>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</si>
  <si>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</si>
  <si>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</si>
  <si>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</si>
  <si>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</si>
  <si>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</si>
  <si>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</si>
  <si>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</si>
  <si>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</si>
  <si>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</si>
  <si>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</si>
  <si>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</si>
  <si>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</si>
  <si>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</si>
  <si>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</si>
  <si>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</si>
  <si>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</si>
  <si>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</si>
  <si>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</si>
  <si>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</si>
  <si>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</si>
  <si>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</si>
  <si>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</si>
  <si>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</si>
  <si>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</si>
  <si>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</si>
  <si>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</si>
  <si>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</si>
  <si>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</si>
  <si>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</si>
  <si>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</si>
  <si>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</si>
  <si>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</si>
  <si>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</si>
  <si>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</si>
  <si>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</si>
  <si>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</si>
  <si>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</si>
  <si>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</si>
  <si>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</si>
  <si>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</si>
  <si>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</si>
  <si>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</si>
  <si>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</si>
  <si>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</si>
  <si>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</si>
  <si>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</si>
  <si>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</si>
  <si>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</si>
  <si>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</si>
  <si>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</si>
  <si>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</si>
  <si>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</si>
  <si>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</si>
  <si>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</si>
  <si>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</si>
  <si>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</si>
  <si>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</si>
  <si>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</si>
  <si>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</si>
  <si>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</si>
  <si>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</si>
  <si>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</si>
  <si>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</si>
  <si>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</si>
  <si>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</si>
  <si>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</si>
  <si>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</si>
  <si>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</si>
  <si>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</si>
  <si>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</si>
  <si>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</si>
  <si>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</si>
  <si>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</si>
  <si>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</si>
  <si>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</si>
  <si>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</si>
  <si>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</si>
  <si>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</si>
  <si>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</si>
  <si>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</si>
  <si>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</si>
  <si>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</si>
  <si>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</si>
  <si>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</si>
  <si>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</si>
  <si>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</si>
  <si>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</si>
  <si>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</si>
  <si>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</si>
  <si>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</si>
  <si>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</si>
  <si>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</si>
  <si>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</si>
  <si>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</si>
  <si>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</si>
  <si>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</si>
  <si>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</si>
  <si>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</si>
  <si>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</si>
  <si>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</si>
  <si>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</si>
  <si>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</si>
  <si>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</si>
  <si>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</si>
  <si>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</si>
  <si>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</si>
  <si>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</si>
  <si>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</si>
  <si>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</si>
  <si>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</si>
  <si>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</si>
  <si>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</si>
  <si>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</si>
  <si>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</si>
  <si>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</si>
  <si>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</si>
  <si>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</si>
  <si>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</si>
  <si>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</si>
  <si>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</si>
  <si>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</si>
  <si>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</si>
  <si>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</si>
  <si>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</si>
  <si>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</si>
  <si>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</si>
  <si>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</si>
  <si>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</si>
  <si>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</si>
  <si>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</si>
  <si>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</si>
  <si>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</si>
  <si>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</si>
  <si>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</si>
  <si>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</si>
  <si>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</si>
  <si>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</si>
  <si>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</si>
  <si>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</si>
  <si>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</si>
  <si>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</si>
  <si>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</si>
  <si>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</si>
  <si>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</si>
  <si>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</si>
  <si>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</si>
  <si>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</si>
  <si>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</si>
  <si>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</si>
  <si>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</si>
  <si>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</si>
  <si>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</si>
  <si>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</si>
  <si>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</si>
  <si>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</si>
  <si>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</si>
  <si>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</si>
  <si>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</si>
  <si>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</si>
  <si>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</si>
  <si>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</si>
  <si>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</si>
  <si>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</si>
  <si>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</si>
  <si>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</si>
  <si>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</si>
  <si>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</si>
  <si>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</si>
  <si>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</si>
  <si>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</si>
  <si>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</si>
  <si>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</si>
  <si>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</si>
  <si>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</si>
  <si>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</si>
  <si>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</si>
  <si>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</si>
  <si>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</si>
  <si>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</si>
  <si>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</si>
  <si>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</si>
  <si>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</si>
  <si>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</si>
  <si>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</si>
  <si>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</si>
  <si>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</si>
  <si>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</si>
  <si>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</si>
  <si>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</si>
  <si>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</si>
  <si>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</si>
  <si>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</si>
  <si>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</si>
  <si>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</si>
  <si>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</si>
  <si>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</si>
  <si>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</si>
  <si>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</si>
  <si>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</si>
  <si>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</si>
  <si>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</si>
  <si>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</si>
  <si>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</si>
  <si>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</si>
  <si>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</si>
  <si>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</si>
  <si>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</si>
  <si>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</si>
  <si>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</si>
  <si>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</si>
  <si>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</si>
  <si>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</si>
  <si>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</si>
  <si>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</si>
  <si>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</si>
  <si>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</si>
  <si>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</si>
  <si>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</si>
  <si>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</si>
  <si>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</si>
  <si>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</si>
  <si>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</si>
  <si>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</si>
  <si>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</si>
  <si>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</si>
  <si>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</si>
  <si>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</si>
  <si>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</si>
  <si>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</si>
  <si>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</si>
  <si>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</si>
  <si>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</si>
  <si>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</si>
  <si>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</si>
  <si>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</si>
  <si>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</si>
  <si>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</si>
  <si>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</si>
  <si>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</si>
  <si>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</si>
  <si>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</si>
  <si>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</si>
  <si>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</si>
  <si>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</si>
  <si>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</si>
  <si>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</si>
  <si>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</si>
  <si>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</si>
  <si>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</si>
  <si>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</si>
  <si>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</si>
  <si>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</si>
  <si>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</si>
  <si>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</si>
  <si>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</si>
  <si>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</si>
  <si>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</si>
  <si>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</si>
  <si>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</si>
  <si>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</si>
  <si>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</si>
  <si>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</si>
  <si>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</si>
  <si>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</si>
  <si>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</si>
  <si>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</si>
  <si>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</si>
  <si>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</si>
  <si>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</si>
  <si>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</si>
  <si>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</si>
  <si>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</si>
  <si>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</si>
  <si>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</si>
  <si>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</si>
  <si>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</si>
  <si>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</si>
  <si>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</si>
  <si>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</si>
  <si>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</si>
  <si>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</si>
  <si>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</si>
  <si>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</si>
  <si>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</si>
  <si>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</si>
  <si>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</si>
  <si>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</si>
  <si>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</si>
  <si>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</si>
  <si>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</si>
  <si>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</si>
  <si>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</si>
  <si>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</si>
  <si>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</si>
  <si>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</si>
  <si>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</si>
  <si>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</si>
  <si>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</si>
  <si>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</si>
  <si>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</si>
  <si>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</si>
  <si>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</si>
  <si>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</si>
  <si>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</si>
  <si>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</si>
  <si>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</si>
  <si>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</si>
  <si>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</si>
  <si>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</si>
  <si>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</si>
  <si>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</si>
  <si>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</si>
  <si>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</si>
  <si>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</si>
  <si>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</si>
  <si>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</si>
  <si>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</si>
  <si>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</si>
  <si>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</si>
  <si>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</si>
  <si>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</si>
  <si>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</si>
  <si>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</si>
  <si>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</si>
  <si>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</si>
  <si>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</si>
  <si>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</si>
  <si>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</si>
  <si>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</si>
  <si>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</si>
  <si>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</si>
  <si>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</si>
  <si>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</si>
  <si>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</si>
  <si>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</si>
  <si>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</si>
  <si>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</si>
  <si>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</si>
  <si>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</si>
  <si>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</si>
  <si>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</si>
  <si>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</si>
  <si>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</si>
  <si>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</si>
  <si>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</si>
  <si>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</si>
  <si>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</si>
  <si>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</si>
  <si>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</si>
  <si>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</si>
  <si>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</si>
  <si>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</si>
  <si>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</si>
  <si>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</si>
  <si>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</si>
  <si>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</si>
  <si>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</si>
  <si>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</si>
  <si>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</si>
  <si>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</si>
  <si>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</si>
  <si>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</si>
  <si>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</si>
  <si>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</si>
  <si>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</si>
  <si>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</si>
  <si>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</si>
  <si>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</si>
  <si>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</si>
  <si>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</si>
  <si>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</si>
  <si>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</si>
  <si>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</si>
  <si>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</si>
  <si>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</si>
  <si>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</si>
  <si>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</si>
  <si>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</si>
  <si>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</si>
  <si>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</si>
  <si>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</si>
  <si>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</si>
  <si>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</si>
  <si>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</si>
  <si>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</si>
  <si>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</si>
  <si>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</si>
  <si>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</si>
  <si>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</si>
  <si>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</si>
  <si>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</si>
  <si>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</si>
  <si>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</si>
  <si>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</si>
  <si>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</si>
  <si>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</si>
  <si>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</si>
  <si>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</si>
  <si>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</si>
  <si>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</si>
  <si>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</si>
  <si>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</si>
  <si>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</si>
  <si>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</si>
  <si>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</si>
  <si>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</si>
  <si>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</si>
  <si>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</si>
  <si>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</si>
  <si>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</si>
  <si>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</si>
  <si>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</si>
  <si>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</si>
  <si>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</si>
  <si>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</si>
  <si>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</si>
  <si>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</si>
  <si>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</si>
  <si>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</si>
  <si>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</si>
  <si>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</si>
  <si>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</si>
  <si>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</si>
  <si>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</si>
  <si>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</si>
  <si>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</si>
  <si>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</si>
  <si>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</si>
  <si>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</si>
  <si>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</si>
  <si>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</si>
  <si>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</si>
  <si>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</si>
  <si>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</si>
  <si>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</si>
  <si>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</si>
  <si>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</si>
  <si>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</si>
  <si>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</si>
  <si>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</si>
  <si>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</si>
  <si>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</si>
  <si>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</si>
  <si>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</si>
  <si>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</si>
  <si>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</si>
  <si>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</si>
  <si>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</si>
  <si>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</si>
  <si>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</si>
  <si>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</si>
  <si>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</si>
  <si>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</si>
  <si>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</si>
  <si>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</si>
  <si>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</si>
  <si>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</si>
  <si>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</si>
  <si>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</si>
  <si>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</si>
  <si>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</si>
  <si>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</si>
  <si>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</si>
  <si>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</si>
  <si>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</si>
  <si>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</si>
  <si>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</si>
  <si>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</si>
  <si>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</si>
  <si>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</si>
  <si>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</si>
  <si>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</si>
  <si>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</si>
  <si>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</si>
  <si>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</si>
  <si>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</si>
  <si>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</si>
  <si>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</si>
  <si>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</si>
  <si>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</si>
  <si>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</si>
  <si>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</si>
  <si>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</si>
  <si>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</si>
  <si>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</si>
  <si>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</si>
  <si>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</si>
  <si>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</si>
  <si>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</si>
  <si>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</si>
  <si>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</si>
  <si>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</si>
  <si>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</si>
  <si>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</si>
  <si>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</si>
  <si>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</si>
  <si>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</si>
  <si>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</si>
  <si>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</si>
  <si>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</si>
  <si>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</si>
  <si>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</si>
  <si>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</si>
  <si>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</si>
  <si>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</si>
  <si>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</si>
  <si>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</si>
  <si>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</si>
  <si>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</si>
  <si>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</si>
  <si>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</si>
  <si>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</si>
  <si>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</si>
  <si>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</si>
  <si>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</si>
  <si>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</si>
  <si>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</si>
  <si>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</si>
  <si>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</si>
  <si>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</si>
  <si>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</si>
  <si>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</si>
  <si>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</si>
  <si>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</si>
  <si>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</si>
  <si>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</si>
  <si>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</si>
  <si>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</si>
  <si>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</si>
  <si>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</si>
  <si>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</si>
  <si>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</si>
  <si>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</si>
  <si>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</si>
  <si>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</si>
  <si>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</si>
  <si>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</si>
  <si>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</si>
  <si>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</si>
  <si>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</si>
  <si>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</si>
  <si>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</si>
  <si>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</si>
  <si>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</si>
  <si>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</si>
  <si>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</si>
  <si>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</si>
  <si>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</si>
  <si>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</si>
  <si>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</si>
  <si>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</si>
  <si>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</si>
  <si>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</si>
  <si>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</si>
  <si>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</si>
  <si>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</si>
  <si>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</si>
  <si>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</si>
  <si>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</si>
  <si>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</si>
  <si>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</si>
  <si>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</si>
  <si>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</si>
  <si>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</si>
  <si>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</si>
  <si>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</si>
  <si>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</si>
  <si>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</si>
  <si>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</si>
  <si>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</si>
  <si>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</si>
  <si>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</si>
  <si>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</si>
  <si>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</si>
  <si>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</si>
  <si>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</si>
  <si>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</si>
  <si>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</si>
  <si>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</si>
  <si>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</si>
  <si>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</si>
  <si>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</si>
  <si>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</si>
  <si>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</si>
  <si>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</si>
  <si>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</si>
  <si>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</si>
  <si>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</si>
  <si>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</si>
  <si>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</si>
  <si>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</si>
  <si>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</si>
  <si>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</si>
  <si>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</si>
  <si>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</si>
  <si>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</si>
  <si>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</si>
  <si>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</si>
  <si>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</si>
  <si>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</si>
  <si>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</si>
  <si>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</si>
  <si>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</si>
  <si>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</si>
  <si>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</si>
  <si>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</si>
  <si>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</si>
  <si>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</si>
  <si>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</si>
  <si>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</si>
  <si>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</si>
  <si>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</si>
  <si>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</si>
  <si>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</si>
  <si>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</si>
  <si>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</si>
  <si>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</si>
  <si>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</si>
  <si>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</si>
  <si>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</si>
  <si>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</si>
  <si>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</si>
  <si>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</si>
  <si>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</si>
  <si>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</si>
  <si>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</si>
  <si>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</si>
  <si>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</si>
  <si>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</si>
  <si>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</si>
  <si>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</si>
  <si>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</si>
  <si>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</si>
  <si>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</si>
  <si>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</si>
  <si>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</si>
  <si>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</si>
  <si>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</si>
  <si>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</si>
  <si>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</si>
  <si>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</si>
  <si>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</si>
  <si>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</si>
  <si>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</si>
  <si>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</si>
  <si>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</si>
  <si>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</si>
  <si>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</si>
  <si>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</si>
  <si>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</si>
  <si>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</si>
  <si>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</si>
  <si>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</si>
  <si>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</si>
  <si>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</si>
  <si>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</si>
  <si>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</si>
  <si>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</si>
  <si>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</si>
  <si>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</si>
  <si>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</si>
  <si>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</si>
  <si>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</si>
  <si>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</si>
  <si>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</si>
  <si>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</si>
  <si>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</si>
  <si>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</si>
  <si>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</si>
  <si>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</si>
  <si>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</si>
  <si>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</si>
  <si>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</si>
  <si>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</si>
  <si>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</si>
  <si>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</si>
  <si>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</si>
  <si>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</si>
  <si>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</si>
  <si>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</si>
  <si>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</si>
  <si>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</si>
  <si>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</si>
  <si>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</si>
  <si>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</si>
  <si>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</si>
  <si>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</si>
  <si>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</si>
  <si>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</si>
  <si>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</si>
  <si>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</si>
  <si>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</si>
  <si>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</si>
  <si>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</si>
  <si>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</si>
  <si>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</si>
  <si>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</si>
  <si>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</si>
  <si>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</si>
  <si>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</si>
  <si>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</si>
  <si>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</si>
  <si>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</si>
  <si>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</si>
  <si>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</si>
  <si>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</si>
  <si>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</si>
  <si>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</si>
  <si>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</si>
  <si>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</si>
  <si>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</si>
  <si>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</si>
  <si>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</si>
  <si>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</si>
  <si>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</si>
  <si>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</si>
  <si>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</si>
  <si>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</si>
  <si>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</si>
  <si>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</si>
  <si>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</si>
  <si>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</si>
  <si>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</si>
  <si>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</si>
  <si>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</si>
  <si>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</si>
  <si>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</si>
  <si>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</si>
  <si>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</si>
  <si>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</si>
  <si>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</si>
  <si>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</si>
  <si>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</si>
  <si>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</si>
  <si>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</si>
  <si>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</si>
  <si>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</si>
  <si>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</si>
  <si>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</si>
  <si>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</si>
  <si>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</si>
  <si>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</si>
  <si>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</si>
  <si>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</si>
  <si>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</si>
  <si>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</si>
  <si>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</si>
  <si>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</si>
  <si>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</si>
  <si>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</si>
  <si>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</si>
  <si>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</si>
  <si>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</si>
  <si>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</si>
  <si>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</si>
  <si>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</si>
  <si>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</si>
  <si>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</si>
  <si>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</si>
  <si>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</si>
  <si>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</si>
  <si>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</si>
  <si>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</si>
  <si>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</si>
  <si>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</si>
  <si>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</si>
  <si>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</si>
  <si>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</si>
  <si>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</si>
  <si>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</si>
  <si>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</si>
  <si>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</si>
  <si>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</si>
  <si>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</si>
  <si>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</si>
  <si>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</si>
  <si>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</si>
  <si>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</si>
  <si>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</si>
  <si>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</si>
  <si>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</si>
  <si>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</si>
  <si>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</si>
  <si>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</si>
  <si>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</si>
  <si>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</si>
  <si>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</si>
  <si>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</si>
  <si>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</si>
  <si>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</si>
  <si>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</si>
  <si>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</si>
  <si>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</si>
  <si>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</si>
  <si>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</si>
  <si>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</si>
  <si>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</si>
  <si>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</si>
  <si>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</si>
  <si>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</si>
  <si>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</si>
  <si>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</si>
  <si>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</si>
  <si>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</si>
  <si>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</si>
  <si>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</si>
  <si>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</si>
  <si>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</si>
  <si>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</si>
  <si>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</si>
  <si>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</si>
  <si>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</si>
  <si>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</si>
  <si>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</si>
  <si>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</si>
  <si>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</si>
  <si>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</si>
  <si>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</si>
  <si>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</si>
  <si>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</si>
  <si>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</si>
  <si>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</si>
  <si>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</si>
  <si>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</si>
  <si>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</si>
  <si>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</si>
  <si>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</si>
  <si>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</si>
  <si>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</si>
  <si>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</si>
  <si>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</si>
  <si>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</si>
  <si>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</si>
  <si>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</si>
  <si>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</si>
  <si>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</si>
  <si>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</si>
  <si>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</si>
  <si>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</si>
  <si>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</si>
  <si>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</si>
  <si>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</si>
  <si>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</si>
  <si>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</si>
  <si>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</si>
  <si>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</si>
  <si>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</si>
  <si>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</si>
  <si>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</si>
  <si>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</si>
  <si>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</si>
  <si>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</si>
  <si>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</si>
  <si>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</si>
  <si>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</si>
  <si>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</si>
  <si>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</si>
  <si>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</si>
  <si>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</si>
  <si>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</si>
  <si>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</si>
  <si>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</si>
  <si>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</si>
  <si>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</si>
  <si>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</si>
  <si>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</si>
  <si>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</si>
  <si>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</si>
  <si>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</si>
  <si>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</si>
  <si>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</si>
  <si>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</si>
  <si>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</si>
  <si>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</si>
  <si>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</si>
  <si>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</si>
  <si>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</si>
  <si>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</si>
  <si>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</si>
  <si>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</si>
  <si>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</si>
  <si>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</si>
  <si>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</si>
  <si>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</si>
  <si>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</si>
  <si>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</si>
  <si>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</si>
  <si>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</si>
  <si>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</si>
  <si>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</si>
  <si>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</si>
  <si>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</si>
  <si>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</si>
  <si>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</si>
  <si>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</si>
  <si>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</si>
  <si>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</si>
  <si>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</si>
  <si>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</si>
  <si>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</si>
  <si>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</si>
  <si>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</si>
  <si>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</si>
  <si>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</si>
  <si>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</si>
  <si>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</si>
  <si>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</si>
  <si>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</si>
  <si>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</si>
  <si>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</si>
  <si>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</si>
  <si>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</si>
  <si>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</si>
  <si>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</si>
  <si>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</si>
  <si>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</si>
  <si>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</si>
  <si>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</si>
  <si>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</si>
  <si>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</si>
  <si>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</si>
  <si>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</si>
  <si>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</si>
  <si>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</si>
  <si>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</si>
  <si>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</si>
  <si>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</si>
  <si>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</si>
  <si>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</si>
  <si>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</si>
  <si>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</si>
  <si>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</si>
  <si>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</si>
  <si>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</si>
  <si>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</si>
  <si>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</si>
  <si>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</si>
  <si>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</si>
  <si>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</si>
  <si>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</si>
  <si>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</si>
  <si>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</si>
  <si>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</si>
  <si>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</si>
  <si>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</si>
  <si>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</si>
  <si>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</si>
  <si>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</si>
  <si>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</si>
  <si>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</si>
  <si>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</si>
  <si>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</si>
  <si>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</si>
  <si>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</si>
  <si>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</si>
  <si>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</si>
  <si>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</si>
  <si>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</si>
  <si>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</si>
  <si>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</si>
  <si>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</si>
  <si>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</si>
  <si>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</si>
  <si>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</si>
  <si>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</si>
  <si>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</si>
  <si>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</si>
  <si>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</si>
  <si>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</si>
  <si>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</si>
  <si>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</si>
  <si>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</si>
  <si>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</si>
  <si>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</si>
  <si>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</si>
  <si>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</si>
  <si>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</si>
  <si>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</si>
  <si>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</si>
  <si>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</si>
  <si>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</si>
  <si>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</si>
  <si>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</si>
  <si>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</si>
  <si>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</si>
  <si>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</si>
  <si>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</si>
  <si>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</si>
  <si>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</si>
  <si>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</si>
  <si>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</si>
  <si>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</si>
  <si>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</si>
  <si>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</si>
  <si>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</si>
  <si>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</si>
  <si>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</si>
  <si>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</si>
  <si>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</si>
  <si>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</si>
  <si>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</si>
  <si>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</si>
  <si>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</si>
  <si>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</si>
  <si>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</si>
  <si>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</si>
  <si>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</si>
  <si>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</si>
  <si>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</si>
  <si>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</si>
  <si>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</si>
  <si>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</si>
  <si>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</si>
  <si>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</si>
  <si>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</si>
  <si>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</si>
  <si>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</si>
  <si>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</si>
  <si>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</si>
  <si>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</si>
  <si>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</si>
  <si>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</si>
  <si>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</si>
  <si>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</si>
  <si>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</si>
  <si>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</si>
  <si>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</si>
  <si>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</si>
  <si>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</si>
  <si>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</si>
  <si>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</si>
  <si>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</si>
  <si>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</si>
  <si>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</si>
  <si>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</si>
  <si>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</si>
  <si>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</si>
  <si>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</si>
  <si>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</si>
  <si>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</si>
  <si>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</si>
  <si>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</si>
  <si>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</si>
  <si>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</si>
  <si>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</si>
  <si>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</si>
  <si>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</si>
  <si>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</si>
  <si>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</si>
  <si>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</si>
  <si>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</si>
  <si>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</si>
  <si>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</si>
  <si>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</si>
  <si>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</si>
  <si>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</si>
  <si>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</si>
  <si>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</si>
  <si>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</si>
  <si>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</si>
  <si>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</si>
  <si>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</si>
  <si>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</si>
  <si>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</si>
  <si>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</si>
  <si>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</si>
  <si>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</si>
  <si>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</si>
  <si>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</si>
  <si>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</si>
  <si>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</si>
  <si>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</si>
  <si>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</si>
  <si>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</si>
  <si>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</si>
  <si>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</si>
  <si>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</si>
  <si>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</si>
  <si>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</si>
  <si>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</si>
  <si>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</si>
  <si>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</si>
  <si>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</si>
  <si>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</si>
  <si>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</si>
  <si>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</si>
  <si>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</si>
  <si>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</si>
  <si>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</si>
  <si>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</si>
  <si>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</si>
  <si>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</si>
  <si>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</si>
  <si>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</si>
  <si>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</si>
  <si>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</si>
  <si>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</si>
  <si>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</si>
  <si>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</si>
  <si>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</si>
  <si>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</si>
  <si>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</si>
  <si>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</si>
  <si>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</si>
  <si>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</si>
  <si>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</si>
  <si>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</si>
  <si>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</si>
  <si>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</si>
  <si>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</si>
  <si>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</si>
  <si>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</si>
  <si>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</si>
  <si>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</si>
  <si>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</si>
  <si>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</si>
  <si>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</si>
  <si>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</si>
  <si>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</si>
  <si>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</si>
  <si>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</si>
  <si>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</si>
  <si>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</si>
  <si>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</si>
  <si>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</si>
  <si>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</si>
  <si>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</si>
  <si>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</si>
  <si>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</si>
  <si>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</si>
  <si>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</si>
  <si>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</si>
  <si>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</si>
  <si>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</si>
  <si>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</si>
  <si>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</si>
  <si>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</si>
  <si>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</si>
  <si>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</si>
  <si>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</si>
  <si>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</si>
  <si>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</si>
  <si>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</si>
  <si>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</si>
  <si>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</si>
  <si>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</si>
  <si>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</si>
  <si>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</si>
  <si>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</si>
  <si>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</si>
  <si>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</si>
  <si>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</si>
  <si>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</si>
  <si>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</si>
  <si>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</si>
  <si>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</si>
  <si>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</si>
  <si>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</si>
  <si>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</si>
  <si>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</si>
  <si>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</si>
  <si>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</si>
  <si>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</si>
  <si>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</si>
  <si>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</si>
  <si>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</si>
  <si>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</si>
  <si>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</si>
  <si>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</si>
  <si>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</si>
  <si>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</si>
  <si>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</si>
  <si>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</si>
  <si>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</si>
  <si>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</si>
  <si>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</si>
  <si>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</si>
  <si>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</si>
  <si>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</si>
  <si>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</si>
  <si>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</si>
  <si>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</si>
  <si>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</si>
  <si>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</si>
  <si>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</si>
  <si>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</si>
  <si>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</si>
  <si>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</si>
  <si>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</si>
  <si>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</si>
  <si>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</si>
  <si>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</si>
  <si>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</si>
  <si>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</si>
  <si>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</si>
  <si>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</si>
  <si>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</si>
  <si>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</si>
  <si>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</si>
  <si>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</si>
  <si>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</si>
  <si>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</si>
  <si>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</si>
  <si>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</si>
  <si>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</si>
  <si>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</si>
  <si>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</si>
  <si>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</si>
  <si>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</si>
  <si>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</si>
  <si>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</si>
  <si>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</si>
  <si>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</si>
  <si>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</si>
  <si>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</si>
  <si>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</si>
  <si>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</si>
  <si>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</si>
  <si>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</si>
  <si>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</si>
  <si>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</si>
  <si>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</si>
  <si>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</si>
  <si>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</si>
  <si>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</si>
  <si>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</si>
  <si>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</si>
  <si>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</si>
  <si>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</si>
  <si>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</si>
  <si>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</si>
  <si>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</si>
  <si>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</si>
  <si>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</si>
  <si>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</si>
  <si>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</si>
  <si>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</si>
  <si>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</si>
  <si>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</si>
  <si>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</si>
  <si>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</si>
  <si>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</si>
  <si>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</si>
  <si>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</si>
  <si>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</si>
  <si>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</si>
  <si>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</si>
  <si>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</si>
  <si>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</si>
  <si>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</si>
  <si>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</si>
  <si>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</si>
  <si>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</si>
  <si>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</si>
  <si>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</si>
  <si>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</si>
  <si>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</si>
  <si>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</si>
  <si>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</si>
  <si>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</si>
  <si>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</si>
  <si>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</si>
  <si>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</si>
  <si>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</si>
  <si>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</si>
  <si>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</si>
  <si>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</si>
  <si>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</si>
  <si>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</si>
  <si>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</si>
  <si>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</si>
  <si>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</si>
  <si>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</si>
  <si>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</si>
  <si>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</si>
  <si>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</si>
  <si>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</si>
  <si>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</si>
  <si>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</si>
  <si>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</si>
  <si>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</si>
  <si>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</si>
  <si>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</si>
  <si>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</si>
  <si>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</si>
  <si>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</si>
  <si>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</si>
  <si>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</si>
  <si>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</si>
  <si>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</si>
  <si>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</si>
  <si>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</si>
  <si>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</si>
  <si>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</si>
  <si>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</si>
  <si>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</si>
  <si>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</si>
  <si>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</si>
  <si>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</si>
  <si>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</si>
  <si>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</si>
  <si>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</si>
  <si>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</si>
  <si>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</si>
  <si>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</si>
  <si>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</si>
  <si>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</si>
  <si>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</si>
  <si>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</si>
  <si>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</si>
  <si>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</si>
  <si>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</si>
  <si>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</si>
  <si>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</si>
  <si>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</si>
  <si>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</si>
  <si>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</si>
  <si>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</si>
  <si>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</si>
  <si>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</si>
  <si>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</si>
  <si>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</si>
  <si>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</si>
  <si>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</si>
  <si>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</si>
  <si>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</si>
  <si>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</si>
  <si>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</si>
  <si>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</si>
  <si>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</si>
  <si>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</si>
  <si>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</si>
  <si>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</si>
  <si>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</si>
  <si>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</si>
  <si>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</si>
  <si>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</si>
  <si>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</si>
  <si>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</si>
  <si>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</si>
  <si>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</si>
  <si>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</si>
  <si>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</si>
  <si>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</si>
  <si>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</si>
  <si>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</si>
  <si>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</si>
  <si>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</si>
  <si>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</si>
  <si>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</si>
  <si>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</si>
  <si>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</si>
  <si>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</si>
  <si>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</si>
  <si>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</si>
  <si>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</si>
  <si>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</si>
  <si>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</si>
  <si>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</si>
  <si>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</si>
  <si>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</si>
  <si>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</si>
  <si>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</si>
  <si>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</si>
  <si>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</si>
  <si>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</si>
  <si>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</si>
  <si>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</si>
  <si>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</si>
  <si>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</si>
  <si>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</si>
  <si>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</si>
  <si>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</si>
  <si>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</si>
  <si>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</si>
  <si>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</si>
  <si>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</si>
  <si>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</si>
  <si>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</si>
  <si>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</si>
  <si>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</si>
  <si>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</si>
  <si>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</si>
  <si>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</si>
  <si>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</si>
  <si>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</si>
  <si>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</si>
  <si>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</si>
  <si>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</si>
  <si>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</si>
  <si>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</si>
  <si>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</si>
  <si>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</si>
  <si>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</si>
  <si>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</si>
  <si>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</si>
  <si>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</si>
  <si>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</si>
  <si>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</si>
  <si>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</si>
  <si>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</si>
  <si>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</si>
  <si>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</si>
  <si>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</si>
  <si>
    <t>countries</t>
  </si>
  <si>
    <t>region</t>
  </si>
  <si>
    <t>America</t>
  </si>
  <si>
    <t>Africa</t>
  </si>
  <si>
    <t>Asia-Pacific</t>
  </si>
  <si>
    <t>NULL</t>
  </si>
  <si>
    <t>origin_region</t>
  </si>
  <si>
    <t>roaster_region</t>
  </si>
  <si>
    <t>Europe</t>
  </si>
  <si>
    <t>Чому регіон має низьку ціну? Тільки одна позиція?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</si>
</sst>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</a:t>
            </a:r>
            <a:r>
              <a:rPr lang="en-US" baseline="0"/>
              <a:t> per 100g of coffee (in USD)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Sheet3!$K$30:$K$33</c:f>
              <c:strCache>
                <c:ptCount val="3"/>
                <c:pt idx="0">
                  <c:v>America</c:v>
                </c:pt>
                <c:pt idx="1">
                  <c:v>Asia-Pacific</c:v>
                </c:pt>
                <c:pt idx="2">
                  <c:v>Africa</c:v>
                </c:pt>
              </c:strCache>
            </c:strRef>
          </c:cat>
          <c:val>
            <c:numRef>
              <c:f>Sheet3!$L$30:$L$33</c:f>
              <c:numCache>
                <c:formatCode>General</c:formatCode>
                <c:ptCount val="3"/>
                <c:pt idx="0">
                  <c:v>110.41752360965383</c:v>
                </c:pt>
                <c:pt idx="1">
                  <c:v>108.9820560747664</c:v>
                </c:pt>
                <c:pt idx="2">
                  <c:v>90.537767083734266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F-496C-9A9D-F7825A15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9804063"/>
        <c:axId val="1969817791"/>
      </c:barChart>
      <c:catAx>
        <c:axId val="196980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17791"/>
        <c:crosses val="autoZero"/>
        <c:auto val="1"/>
        <c:lblAlgn val="ctr"/>
        <c:lblOffset val="100"/>
        <c:noMultiLvlLbl val="0"/>
      </c:catAx>
      <c:valAx>
        <c:axId val="196981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04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 coffee beans</a:t>
            </a:r>
            <a:r>
              <a:rPr lang="en-US" baseline="0"/>
              <a:t>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Sheet3!$K$53:$K$56</c:f>
              <c:strCache>
                <c:ptCount val="3"/>
                <c:pt idx="0">
                  <c:v>America</c:v>
                </c:pt>
                <c:pt idx="1">
                  <c:v>Africa</c:v>
                </c:pt>
                <c:pt idx="2">
                  <c:v>Asia-Pacific</c:v>
                </c:pt>
              </c:strCache>
            </c:strRef>
          </c:cat>
          <c:val>
            <c:numRef>
              <c:f>Sheet3!$L$53:$L$56</c:f>
              <c:numCache>
                <c:formatCode>General</c:formatCode>
                <c:ptCount val="3"/>
                <c:pt idx="0">
                  <c:v>58.434417628541446</c:v>
                </c:pt>
                <c:pt idx="1">
                  <c:v>57.269489894128974</c:v>
                </c:pt>
                <c:pt idx="2">
                  <c:v>54.710280373831779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3-461E-A591-2EF7CC04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401920"/>
        <c:axId val="650399840"/>
      </c:barChart>
      <c:catAx>
        <c:axId val="6504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399840"/>
        <c:crosses val="autoZero"/>
        <c:auto val="1"/>
        <c:lblAlgn val="ctr"/>
        <c:lblOffset val="100"/>
        <c:noMultiLvlLbl val="0"/>
      </c:catAx>
      <c:valAx>
        <c:axId val="6503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0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roast score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Sheet3!$L$78:$L$82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Sheet3!$M$78:$M$82</c:f>
              <c:numCache>
                <c:formatCode>General</c:formatCode>
                <c:ptCount val="4"/>
                <c:pt idx="0">
                  <c:v>78.036308623298027</c:v>
                </c:pt>
                <c:pt idx="1">
                  <c:v>77</c:v>
                </c:pt>
                <c:pt idx="2">
                  <c:v>76.697704918032784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E-48CE-8834-84917D6D6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3735599"/>
        <c:axId val="1223725615"/>
      </c:barChart>
      <c:catAx>
        <c:axId val="122373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25615"/>
        <c:crosses val="autoZero"/>
        <c:auto val="1"/>
        <c:lblAlgn val="ctr"/>
        <c:lblOffset val="100"/>
        <c:noMultiLvlLbl val="0"/>
      </c:catAx>
      <c:valAx>
        <c:axId val="122372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3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 g (in USD)</a:t>
            </a:r>
            <a:r>
              <a:rPr lang="en-US" baseline="0"/>
              <a:t>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Sheet3!$L$102:$L$106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Sheet3!$M$102:$M$106</c:f>
              <c:numCache>
                <c:formatCode>General</c:formatCode>
                <c:ptCount val="4"/>
                <c:pt idx="0">
                  <c:v>270.47111951588505</c:v>
                </c:pt>
                <c:pt idx="1">
                  <c:v>66.67</c:v>
                </c:pt>
                <c:pt idx="2">
                  <c:v>24.713665573770424</c:v>
                </c:pt>
                <c:pt idx="3">
                  <c:v>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79-4AFD-BD98-0F86DACE3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449216"/>
        <c:axId val="1322452960"/>
      </c:barChart>
      <c:catAx>
        <c:axId val="13224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452960"/>
        <c:crosses val="autoZero"/>
        <c:auto val="1"/>
        <c:lblAlgn val="ctr"/>
        <c:lblOffset val="100"/>
        <c:noMultiLvlLbl val="0"/>
      </c:catAx>
      <c:valAx>
        <c:axId val="13224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44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1022287</xdr:colOff>
      <xdr:row>33</xdr:row>
      <xdr:rowOff>167488</xdr:rowOff>
    </xdr:from>
    <xdr:to>
      <xdr:col>13</xdr:col>
      <xdr:colOff>441356</xdr:colOff>
      <xdr:row>49</xdr:row>
      <xdr:rowOff>13579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911474-6C21-404F-967D-F74B9378C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1044920</xdr:colOff>
      <xdr:row>58</xdr:row>
      <xdr:rowOff>24143</xdr:rowOff>
    </xdr:from>
    <xdr:to>
      <xdr:col>13</xdr:col>
      <xdr:colOff>516801</xdr:colOff>
      <xdr:row>73</xdr:row>
      <xdr:rowOff>51304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A468BD-690F-4F05-B9B7-375141D47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26406</xdr:colOff>
      <xdr:row>83</xdr:row>
      <xdr:rowOff>9054</xdr:rowOff>
    </xdr:from>
    <xdr:to>
      <xdr:col>16</xdr:col>
      <xdr:colOff>343278</xdr:colOff>
      <xdr:row>98</xdr:row>
      <xdr:rowOff>36214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81DC39-7C00-4530-956C-3A7C538B4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11317</xdr:colOff>
      <xdr:row>107</xdr:row>
      <xdr:rowOff>9053</xdr:rowOff>
    </xdr:from>
    <xdr:to>
      <xdr:col>16</xdr:col>
      <xdr:colOff>154664</xdr:colOff>
      <xdr:row>122</xdr:row>
      <xdr:rowOff>36214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49265D-D1E9-42C1-BC11-8F65060D3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5.86317986111" createdVersion="7" refreshedVersion="7" minRefreshableVersion="3" recordCount="2188" xr:uid="{2C815FB4-ABC0-483D-9538-0F7E2CC9C750}">
  <cacheSource type="worksheet">
    <worksheetSource ref="A1:I2189" sheet="Sheet3"/>
  </cacheSource>
  <cacheFields count="9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region" numFmtId="0">
      <sharedItems count="4">
        <s v="America"/>
        <s v="Africa"/>
        <s v="Asia-Pacific"/>
        <s v="NUL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7.870478240744" createdVersion="7" refreshedVersion="7" minRefreshableVersion="3" recordCount="2188" xr:uid="{42995EE5-DE37-416F-BED4-958790042BC9}">
  <cacheSource type="worksheet">
    <worksheetSource ref="A1:J2189" sheet="Sheet3"/>
  </cacheSource>
  <cacheFields count="10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origin_region" numFmtId="0">
      <sharedItems/>
    </cacheField>
    <cacheField name="roaster_region" numFmtId="0">
      <sharedItems count="4">
        <s v="America"/>
        <s v="Asia-Pacific"/>
        <s v="Africa"/>
        <s v="Europ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x v="0"/>
  </r>
  <r>
    <s v="Colombia Finca La Sirena Mango Co-Ferment"/>
    <n v="94"/>
    <s v="Light"/>
    <n v="63"/>
    <n v="87"/>
    <n v="10.14"/>
    <s v="USA"/>
    <s v="Colombia"/>
    <x v="0"/>
  </r>
  <r>
    <s v="In Bloom"/>
    <n v="94"/>
    <s v="Light"/>
    <n v="64"/>
    <n v="88"/>
    <n v="10"/>
    <s v="USA"/>
    <s v="Ethiopia"/>
    <x v="1"/>
  </r>
  <r>
    <s v="Ethiopia Washed Kaffa Gimbo Lot Rich Espresso"/>
    <n v="96"/>
    <s v="Medium Light"/>
    <n v="55"/>
    <n v="77"/>
    <n v="110.23"/>
    <s v="Taiwan"/>
    <s v="Ethiopia"/>
    <x v="1"/>
  </r>
  <r>
    <s v="Ethiopia Natural Gute Bona"/>
    <n v="95"/>
    <s v="Medium Light"/>
    <n v="62"/>
    <n v="78"/>
    <n v="176.37"/>
    <s v="Taiwan"/>
    <s v="Ethiopia"/>
    <x v="1"/>
  </r>
  <r>
    <s v="White Geisha Blend Espresso"/>
    <n v="95"/>
    <s v="Medium Light"/>
    <n v="60"/>
    <n v="78"/>
    <n v="17.2"/>
    <s v="Taiwan"/>
    <s v="Ethiopia"/>
    <x v="1"/>
  </r>
  <r>
    <s v="Yunlin Natural Geisha CPAG-1"/>
    <n v="95"/>
    <s v="Medium Light"/>
    <n v="60"/>
    <n v="78"/>
    <n v="705.47"/>
    <s v="Taiwan"/>
    <s v="Taiwan"/>
    <x v="2"/>
  </r>
  <r>
    <s v="Colombia Natural Huila Eulises Guzman"/>
    <n v="94"/>
    <s v="Medium Light"/>
    <n v="60"/>
    <n v="80"/>
    <n v="154.32"/>
    <s v="Taiwan"/>
    <s v="Colombia"/>
    <x v="0"/>
  </r>
  <r>
    <s v="Peru Washed Cusco Buena Vista Soola SL09"/>
    <n v="94"/>
    <s v="Medium Light"/>
    <n v="58"/>
    <n v="77"/>
    <n v="264.55"/>
    <s v="Taiwan"/>
    <s v="Peru"/>
    <x v="0"/>
  </r>
  <r>
    <s v="Yunlin Natural Geisha"/>
    <n v="94"/>
    <s v="Light"/>
    <n v="60"/>
    <n v="84"/>
    <n v="529.1"/>
    <s v="Taiwan"/>
    <s v="Taiwan"/>
    <x v="2"/>
  </r>
  <r>
    <s v="Hechi"/>
    <n v="94"/>
    <s v="Light"/>
    <n v="60"/>
    <n v="86"/>
    <n v="145.5"/>
    <s v="Taiwan"/>
    <s v="Ethiopia"/>
    <x v="1"/>
  </r>
  <r>
    <s v="Las Margaritas Sudan Rume"/>
    <n v="95"/>
    <s v="Light"/>
    <n v="60"/>
    <n v="84"/>
    <n v="11.9"/>
    <s v="USA"/>
    <s v="Colombia"/>
    <x v="0"/>
  </r>
  <r>
    <s v="Wilton Benitez Geisha"/>
    <n v="95"/>
    <s v="Light"/>
    <n v="62"/>
    <n v="84"/>
    <n v="11.46"/>
    <s v="USA"/>
    <s v="Colombia"/>
    <x v="0"/>
  </r>
  <r>
    <s v="Itumpi Tanzania"/>
    <n v="94"/>
    <s v="Medium Light"/>
    <n v="59"/>
    <n v="81"/>
    <n v="6.47"/>
    <s v="USA"/>
    <s v="Tanzania"/>
    <x v="1"/>
  </r>
  <r>
    <s v="Ethiopia Yirgacheffe G1 Gotiti Angel Station Geisha Washed"/>
    <n v="94"/>
    <s v="Light"/>
    <n v="62"/>
    <n v="82"/>
    <n v="275"/>
    <s v="Taiwan"/>
    <s v="Ethiopia"/>
    <x v="1"/>
  </r>
  <r>
    <s v="Ethiopia Guji Hambela Buku Abel Bastet Geisha Washed"/>
    <n v="94"/>
    <s v="Light"/>
    <n v="63"/>
    <n v="85"/>
    <n v="275"/>
    <s v="Taiwan"/>
    <s v="Ethiopia"/>
    <x v="1"/>
  </r>
  <r>
    <s v="Finca Cruz Loma Ecuador Geisha"/>
    <n v="96"/>
    <s v="Medium Light"/>
    <n v="60"/>
    <n v="77"/>
    <n v="14.11"/>
    <s v="USA"/>
    <s v="Ecuador"/>
    <x v="0"/>
  </r>
  <r>
    <s v="Costa Rica Finca El CaГ±al"/>
    <n v="95"/>
    <s v="Light"/>
    <n v="60"/>
    <n v="88"/>
    <n v="8.82"/>
    <s v="USA"/>
    <s v="Costa Rica"/>
    <x v="0"/>
  </r>
  <r>
    <s v="Hambela Dabaye Ethiopia"/>
    <n v="95"/>
    <s v="Light"/>
    <n v="65"/>
    <n v="87"/>
    <n v="10.58"/>
    <s v="USA"/>
    <s v="Ethiopia"/>
    <x v="1"/>
  </r>
  <r>
    <s v="Brazil Vinhal Grape Starfruit"/>
    <n v="94"/>
    <s v="Medium Light"/>
    <n v="59"/>
    <n v="77"/>
    <n v="6.17"/>
    <s v="USA"/>
    <s v="Brazil"/>
    <x v="0"/>
  </r>
  <r>
    <s v="Duwancho Natural Ethiopia"/>
    <n v="94"/>
    <s v="Light"/>
    <n v="61"/>
    <n v="82"/>
    <n v="8.23"/>
    <s v="USA"/>
    <s v="Ethiopia"/>
    <x v="1"/>
  </r>
  <r>
    <s v="Colombia Finca Santa Barbara Gesha Anaerobic Honey"/>
    <n v="95"/>
    <s v="Light"/>
    <n v="63"/>
    <n v="87"/>
    <n v="9.41"/>
    <s v="USA"/>
    <s v="Colombia"/>
    <x v="0"/>
  </r>
  <r>
    <s v="Colombia Faver Emir Ninco Pink Bourbon"/>
    <n v="94"/>
    <s v="Light"/>
    <n v="61"/>
    <n v="81"/>
    <n v="246.47"/>
    <s v="Taiwan"/>
    <s v="Colombia"/>
    <x v="0"/>
  </r>
  <r>
    <s v="Ethiopia Yirgacheffe Earl Grey Peach"/>
    <n v="94"/>
    <s v="Light"/>
    <n v="65"/>
    <n v="87"/>
    <n v="145.06"/>
    <s v="Taiwan"/>
    <s v="Ethiopia"/>
    <x v="1"/>
  </r>
  <r>
    <s v="Colombia Cauca Lusitania Geisha Washed"/>
    <n v="94"/>
    <s v="Light"/>
    <n v="66"/>
    <n v="88"/>
    <n v="470"/>
    <s v="Taiwan"/>
    <s v="Colombia"/>
    <x v="0"/>
  </r>
  <r>
    <s v="Kenya Kirinyaga Karamundi Washed AB"/>
    <n v="95"/>
    <s v="Light"/>
    <n v="66"/>
    <n v="86"/>
    <n v="211.64"/>
    <s v="Taiwan"/>
    <s v="Kenya"/>
    <x v="1"/>
  </r>
  <r>
    <s v="KaК»Е« Morning Glory"/>
    <n v="97"/>
    <s v="Light"/>
    <n v="62"/>
    <n v="84"/>
    <n v="16.75"/>
    <s v="USA"/>
    <s v="USA"/>
    <x v="0"/>
  </r>
  <r>
    <s v="KaК»Е« Yellow Bourbon"/>
    <n v="95"/>
    <s v="Medium Light"/>
    <n v="60"/>
    <n v="80"/>
    <n v="15.52"/>
    <s v="USA"/>
    <s v="USA"/>
    <x v="0"/>
  </r>
  <r>
    <s v="Colombia San Adolfo Huila"/>
    <n v="95"/>
    <s v="Light"/>
    <n v="65"/>
    <n v="87"/>
    <n v="17.64"/>
    <s v="USA"/>
    <s v="Colombia"/>
    <x v="0"/>
  </r>
  <r>
    <s v="Rwanda Kungahara Carbonic Maceration"/>
    <n v="95"/>
    <s v="Light"/>
    <n v="64"/>
    <n v="86"/>
    <n v="8.23"/>
    <s v="USA"/>
    <s v="Rwanda"/>
    <x v="1"/>
  </r>
  <r>
    <s v="Ecuador La Papaya Pacamara"/>
    <n v="95"/>
    <s v="Light"/>
    <n v="64"/>
    <n v="86"/>
    <n v="12.79"/>
    <s v="USA"/>
    <s v="Ecuador"/>
    <x v="0"/>
  </r>
  <r>
    <s v="Peru Churupampa Pacamara"/>
    <n v="94"/>
    <s v="Medium Light"/>
    <n v="59"/>
    <n v="80"/>
    <n v="6.47"/>
    <s v="USA"/>
    <s v="Peru"/>
    <x v="0"/>
  </r>
  <r>
    <s v="Ethiopia Ayla Sidamo"/>
    <n v="95"/>
    <s v="Light"/>
    <n v="62"/>
    <n v="84"/>
    <n v="5.88"/>
    <s v="USA"/>
    <s v="Ethiopia"/>
    <x v="1"/>
  </r>
  <r>
    <s v="Ethiopia Mullugeta Muntasha"/>
    <n v="94"/>
    <s v="Medium Light"/>
    <n v="61"/>
    <n v="79"/>
    <n v="6.76"/>
    <s v="USA"/>
    <s v="Ethiopia"/>
    <x v="1"/>
  </r>
  <r>
    <s v="KaвЂ™u Giant Maragogipe"/>
    <n v="94"/>
    <s v="Medium Light"/>
    <n v="52"/>
    <n v="73"/>
    <n v="14.81"/>
    <s v="USA"/>
    <s v="USA"/>
    <x v="0"/>
  </r>
  <r>
    <s v="KaвЂ™u Red Bourbon"/>
    <n v="95"/>
    <s v="Medium Light"/>
    <n v="60"/>
    <n v="78"/>
    <n v="15.52"/>
    <s v="USA"/>
    <s v="USA"/>
    <x v="0"/>
  </r>
  <r>
    <s v="Kona Bloom"/>
    <n v="94"/>
    <s v="Medium Light"/>
    <n v="57"/>
    <n v="78"/>
    <n v="15.52"/>
    <s v="USA"/>
    <s v="USA"/>
    <x v="0"/>
  </r>
  <r>
    <s v="Guatemala Retiro del Quisaya Washed Process"/>
    <n v="94"/>
    <s v="Medium Light"/>
    <n v="57"/>
    <n v="79"/>
    <n v="5.86"/>
    <s v="USA"/>
    <s v="Guatemala"/>
    <x v="0"/>
  </r>
  <r>
    <s v="Ethiopian Single Origin"/>
    <n v="94"/>
    <s v="Medium Light"/>
    <n v="52"/>
    <n v="74"/>
    <n v="4.99"/>
    <s v="USA"/>
    <s v="Ethiopia"/>
    <x v="1"/>
  </r>
  <r>
    <s v="Colombia Finca Al Paraiso YвЂ“05 Lychee"/>
    <n v="95"/>
    <s v="Medium"/>
    <n v="52"/>
    <n v="64"/>
    <n v="8.9700000000000006"/>
    <s v="USA"/>
    <s v="Colombia"/>
    <x v="0"/>
  </r>
  <r>
    <s v="Colombia Las Perlitas Anaerobic Honey"/>
    <n v="94"/>
    <s v="Medium Light"/>
    <n v="59"/>
    <n v="81"/>
    <n v="11.01"/>
    <s v="USA"/>
    <s v="Colombia"/>
    <x v="0"/>
  </r>
  <r>
    <s v="Panama Altieri Luci Geisha Natural Cold Dry Ferment"/>
    <n v="94"/>
    <s v="Medium Light"/>
    <n v="58"/>
    <n v="81"/>
    <n v="35.26"/>
    <s v="USA"/>
    <s v="Panama"/>
    <x v="0"/>
  </r>
  <r>
    <s v="Costa Rica La Minita"/>
    <n v="94"/>
    <s v="Medium Light"/>
    <n v="56"/>
    <n v="82"/>
    <n v="6.47"/>
    <s v="USA"/>
    <s v="Costa Rica"/>
    <x v="0"/>
  </r>
  <r>
    <s v="Ethiopia Guji Grape GildVine Natural G1"/>
    <n v="94"/>
    <s v="Light"/>
    <n v="67"/>
    <n v="88"/>
    <n v="220.26"/>
    <s v="Taiwan"/>
    <s v="Ethiopia"/>
    <x v="1"/>
  </r>
  <r>
    <s v="Kenya Baragwi Guama AA Washed"/>
    <n v="95"/>
    <s v="Light"/>
    <n v="61"/>
    <n v="83"/>
    <n v="6.17"/>
    <s v="USA"/>
    <s v="Kenya"/>
    <x v="1"/>
  </r>
  <r>
    <s v="Potosi Pink Bourbon Natural Colombia"/>
    <n v="96"/>
    <s v="Light"/>
    <n v="64"/>
    <n v="86"/>
    <n v="12.79"/>
    <s v="USA"/>
    <s v="Colombia"/>
    <x v="0"/>
  </r>
  <r>
    <s v="Wilton Benitez Sudan Rume Colombia"/>
    <n v="95"/>
    <s v="Light"/>
    <n v="62"/>
    <n v="82"/>
    <n v="11.02"/>
    <s v="USA"/>
    <s v="Colombia"/>
    <x v="0"/>
  </r>
  <r>
    <s v="Kangocho Kenya"/>
    <n v="95"/>
    <s v="Medium Light"/>
    <n v="59"/>
    <n v="81"/>
    <n v="7.35"/>
    <s v="USA"/>
    <s v="Kenya"/>
    <x v="1"/>
  </r>
  <r>
    <s v="La Esperanza Mandela"/>
    <n v="95"/>
    <s v="Light"/>
    <n v="62"/>
    <n v="80"/>
    <n v="11.9"/>
    <s v="USA"/>
    <s v="Colombia"/>
    <x v="0"/>
  </r>
  <r>
    <s v="Mexico Alva Flores"/>
    <n v="94"/>
    <s v="Medium Light"/>
    <n v="54"/>
    <n v="72"/>
    <n v="5.29"/>
    <s v="USA"/>
    <s v="Mexico"/>
    <x v="0"/>
  </r>
  <r>
    <s v="Ethiopia Natural Sidama Blue Donkey Lot 2"/>
    <n v="96"/>
    <s v="Light"/>
    <n v="62"/>
    <n v="84"/>
    <n v="154.32"/>
    <s v="Taiwan"/>
    <s v="Ethiopia"/>
    <x v="1"/>
  </r>
  <r>
    <s v="Trust the Process Costa Rica Finca Carrizal SL28 Black Diamond Natural"/>
    <n v="95"/>
    <s v="Light"/>
    <n v="62"/>
    <n v="84"/>
    <n v="10.58"/>
    <s v="USA"/>
    <s v="Costa Rica"/>
    <x v="0"/>
  </r>
  <r>
    <s v="Guatemala Washed Finca El General Gesha"/>
    <n v="94"/>
    <s v="Medium Light"/>
    <n v="58"/>
    <n v="77"/>
    <n v="370.37"/>
    <s v="Taiwan"/>
    <s v="Guatemala"/>
    <x v="0"/>
  </r>
  <r>
    <s v="Guatemala Finca El General Bourbon Honey Espresso"/>
    <n v="94"/>
    <s v="Medium Light"/>
    <n v="56"/>
    <n v="76"/>
    <n v="370.37"/>
    <s v="Taiwan"/>
    <s v="Guatemala"/>
    <x v="0"/>
  </r>
  <r>
    <s v="True Love Espresso Blend"/>
    <n v="94"/>
    <s v="Medium Light"/>
    <n v="57"/>
    <n v="77"/>
    <n v="114.64"/>
    <s v="Taiwan"/>
    <s v="Guatemala"/>
    <x v="0"/>
  </r>
  <r>
    <s v="Colombia Sebastian Ramirez Washed Pink Bourbon"/>
    <n v="97"/>
    <s v="Light"/>
    <n v="62"/>
    <n v="84"/>
    <n v="8.82"/>
    <s v="USA"/>
    <s v="Colombia"/>
    <x v="0"/>
  </r>
  <r>
    <s v="Colombia Manos Juntas Anaerobic Natural"/>
    <n v="94"/>
    <s v="Light"/>
    <n v="63"/>
    <n v="85"/>
    <n v="5.29"/>
    <s v="USA"/>
    <s v="Colombia"/>
    <x v="0"/>
  </r>
  <r>
    <s v="Ecuador La Papaya Geisha Natural"/>
    <n v="96"/>
    <s v="Medium Light"/>
    <n v="61"/>
    <n v="79"/>
    <n v="16.75"/>
    <s v="USA"/>
    <s v="Ecuador"/>
    <x v="0"/>
  </r>
  <r>
    <s v="Yemen Al Obrah"/>
    <n v="95"/>
    <s v="Light"/>
    <n v="62"/>
    <n v="86"/>
    <n v="18.52"/>
    <s v="USA"/>
    <s v="Yemen"/>
    <x v="1"/>
  </r>
  <r>
    <s v="Kenya Embu"/>
    <n v="95"/>
    <s v="Light"/>
    <n v="62"/>
    <n v="80"/>
    <n v="528.63"/>
    <s v="Taiwan"/>
    <s v="Kenya"/>
    <x v="1"/>
  </r>
  <r>
    <s v="Yemen Ismaili"/>
    <n v="94"/>
    <s v="Medium Light"/>
    <n v="57"/>
    <n v="81"/>
    <n v="528.63"/>
    <s v="Taiwan"/>
    <s v="Yemen"/>
    <x v="1"/>
  </r>
  <r>
    <s v="Guatemala Acatenango Geisha"/>
    <n v="94"/>
    <s v="Medium Light"/>
    <n v="59"/>
    <n v="79"/>
    <n v="528.63"/>
    <s v="Taiwan"/>
    <s v="Guatemala"/>
    <x v="0"/>
  </r>
  <r>
    <s v="Ethiopia Bench-Maji Lucy Geisha Anaerobic Natural"/>
    <n v="94"/>
    <s v="Light"/>
    <n v="64"/>
    <n v="88"/>
    <n v="300"/>
    <s v="Taiwan"/>
    <s v="Ethiopia"/>
    <x v="1"/>
  </r>
  <r>
    <s v="Wilton Benitez Colombia Yellow Bourbon"/>
    <n v="96"/>
    <s v="Light"/>
    <n v="63"/>
    <n v="88"/>
    <n v="9.6999999999999993"/>
    <s v="USA"/>
    <s v="Colombia"/>
    <x v="0"/>
  </r>
  <r>
    <s v="Kona Tropical Punch Washed"/>
    <n v="95"/>
    <s v="Light"/>
    <n v="68"/>
    <n v="84"/>
    <n v="44.09"/>
    <s v="USA"/>
    <s v="USA"/>
    <x v="0"/>
  </r>
  <r>
    <s v="Granate"/>
    <n v="94"/>
    <s v="Medium Light"/>
    <n v="57"/>
    <n v="79"/>
    <n v="5.4"/>
    <s v="Peru"/>
    <s v="Peru"/>
    <x v="0"/>
  </r>
  <r>
    <s v="Kenya Kirinyaga"/>
    <n v="95"/>
    <s v="Light"/>
    <n v="60"/>
    <n v="82"/>
    <n v="7.35"/>
    <s v="USA"/>
    <s v="Kenya"/>
    <x v="1"/>
  </r>
  <r>
    <s v="Costa Rica San Diego"/>
    <n v="94"/>
    <s v="Medium Light"/>
    <n v="57"/>
    <n v="77"/>
    <n v="6.47"/>
    <s v="USA"/>
    <s v="Costa Rica"/>
    <x v="0"/>
  </r>
  <r>
    <s v="Costa Rica La Candelilla Geisha"/>
    <n v="94"/>
    <s v="Light"/>
    <n v="62"/>
    <n v="84"/>
    <n v="10.29"/>
    <s v="USA"/>
    <s v="Costa Rica"/>
    <x v="0"/>
  </r>
  <r>
    <s v="Ethiopia Agaro Duromina"/>
    <n v="94"/>
    <s v="Medium Light"/>
    <n v="59"/>
    <n v="79"/>
    <n v="6.47"/>
    <s v="USA"/>
    <s v="Ethiopia"/>
    <x v="1"/>
  </r>
  <r>
    <s v="Panama Renaissance Series Flora Geisha Washed"/>
    <n v="94"/>
    <s v="Light"/>
    <n v="68"/>
    <n v="94"/>
    <n v="352.42"/>
    <s v="Taiwan"/>
    <s v="Panama"/>
    <x v="0"/>
  </r>
  <r>
    <s v="Colombia San Martin Bourbon Aji Star Fruit Peach Honey"/>
    <n v="95"/>
    <s v="Light"/>
    <n v="64"/>
    <n v="88"/>
    <n v="325"/>
    <s v="Taiwan"/>
    <s v="Colombia"/>
    <x v="0"/>
  </r>
  <r>
    <s v="Taiwan COE #3 Alishan Zhou Zhu Yuan Geisha Natural"/>
    <n v="94"/>
    <s v="Light"/>
    <n v="62"/>
    <n v="80"/>
    <n v="2"/>
    <s v="Taiwan"/>
    <s v="Taiwan"/>
    <x v="2"/>
  </r>
  <r>
    <s v="Las Margaritas Colombia Sudan Rume Natural"/>
    <n v="95"/>
    <s v="Light"/>
    <n v="62"/>
    <n v="86"/>
    <n v="11.02"/>
    <s v="USA"/>
    <s v="Colombia"/>
    <x v="0"/>
  </r>
  <r>
    <s v="Yabitu Koba Ethiopia"/>
    <n v="95"/>
    <s v="Medium Light"/>
    <n v="58"/>
    <n v="78"/>
    <n v="6.76"/>
    <s v="USA"/>
    <s v="Ethiopia"/>
    <x v="1"/>
  </r>
  <r>
    <s v="Pantan Musara Sumatra"/>
    <n v="94"/>
    <s v="Medium Light"/>
    <n v="57"/>
    <n v="80"/>
    <n v="6.76"/>
    <s v="USA"/>
    <s v="Indonesia"/>
    <x v="2"/>
  </r>
  <r>
    <s v="Ethiopia Yirgacheffe Misty Valley Aricha Washed G1"/>
    <n v="94"/>
    <s v="Light"/>
    <n v="65"/>
    <n v="93"/>
    <n v="149.47"/>
    <s v="Taiwan"/>
    <s v="Ethiopia"/>
    <x v="1"/>
  </r>
  <r>
    <s v="Guatemala El Soccoro Maracaturra Washed"/>
    <n v="94"/>
    <s v="Medium Light"/>
    <n v="60"/>
    <n v="78"/>
    <n v="5.88"/>
    <s v="USA"/>
    <s v="Guatemala"/>
    <x v="0"/>
  </r>
  <r>
    <s v="Ethiopia Sidama Bensa Alo Single Variety 74158 Natural"/>
    <n v="94"/>
    <s v="Light"/>
    <n v="66"/>
    <n v="88"/>
    <n v="743.36"/>
    <s v="Taiwan"/>
    <s v="Ethiopia"/>
    <x v="1"/>
  </r>
  <r>
    <s v="El Salvador Loma La Gloria Unicorn Natural"/>
    <n v="95"/>
    <s v="Light"/>
    <n v="64"/>
    <n v="88"/>
    <n v="10.23"/>
    <s v="USA"/>
    <s v="El Salvador"/>
    <x v="0"/>
  </r>
  <r>
    <s v="Costa Rica Las Lajas SL-28 Natural"/>
    <n v="94"/>
    <s v="Light"/>
    <n v="58"/>
    <n v="84"/>
    <n v="8.82"/>
    <s v="USA"/>
    <s v="Costa Rica"/>
    <x v="0"/>
  </r>
  <r>
    <s v="Ethiopia Faysel Abdosh"/>
    <n v="94"/>
    <s v="Light"/>
    <n v="64"/>
    <n v="88"/>
    <n v="5.88"/>
    <s v="USA"/>
    <s v="Ethiopia"/>
    <x v="1"/>
  </r>
  <r>
    <s v="Kenya Kii"/>
    <n v="94"/>
    <s v="Medium Light"/>
    <n v="58"/>
    <n v="82"/>
    <n v="10.4"/>
    <s v="USA"/>
    <s v="Kenya"/>
    <x v="1"/>
  </r>
  <r>
    <s v="Ethiopia Guji Bishala G1 Red Honey"/>
    <n v="94"/>
    <s v="Medium Light"/>
    <n v="58"/>
    <n v="80"/>
    <n v="202.82"/>
    <s v="Taiwan"/>
    <s v="Ethiopia"/>
    <x v="1"/>
  </r>
  <r>
    <s v="Ethiopia Sidama Bensa Shantawene Gatta Kenean Dukamo Anaerobic Natural G1"/>
    <n v="94"/>
    <s v="Light"/>
    <n v="66"/>
    <n v="89"/>
    <n v="317.45999999999998"/>
    <s v="Taiwan"/>
    <s v="Ethiopia"/>
    <x v="1"/>
  </r>
  <r>
    <s v="Kenya Nyeri Hill AB"/>
    <n v="96"/>
    <s v="Medium Light"/>
    <n v="58"/>
    <n v="82"/>
    <n v="6.91"/>
    <s v="USA"/>
    <s v="Kenya"/>
    <x v="1"/>
  </r>
  <r>
    <s v="Ethiopia Sidama  Bombe Natural"/>
    <n v="94"/>
    <s v="Light"/>
    <n v="61"/>
    <n v="85"/>
    <n v="175"/>
    <s v="Taiwan"/>
    <s v="Ethiopia"/>
    <x v="1"/>
  </r>
  <r>
    <s v="Ethiopia Kayon Mountain"/>
    <n v="95"/>
    <s v="Light"/>
    <n v="64"/>
    <n v="88"/>
    <n v="7.05"/>
    <s v="USA"/>
    <s v="Ethiopia"/>
    <x v="1"/>
  </r>
  <r>
    <s v="Colombia Red Sunset"/>
    <n v="94"/>
    <s v="Light"/>
    <n v="60"/>
    <n v="84"/>
    <n v="7.94"/>
    <s v="USA"/>
    <s v="Colombia"/>
    <x v="0"/>
  </r>
  <r>
    <s v="Ethiopia Gesha Village Lot 108"/>
    <n v="94"/>
    <s v="Light"/>
    <n v="66"/>
    <n v="89"/>
    <n v="60"/>
    <s v="USA"/>
    <s v="Ethiopia"/>
    <x v="1"/>
  </r>
  <r>
    <s v="Panama Geisha Vuelta DRD Natural Lot GN-01"/>
    <n v="97"/>
    <s v="Light"/>
    <n v="64"/>
    <n v="88"/>
    <n v="2000"/>
    <s v="USA"/>
    <s v="Panama"/>
    <x v="0"/>
  </r>
  <r>
    <s v="Panama Kaizen Lot GW-01"/>
    <n v="96"/>
    <s v="Light"/>
    <n v="65"/>
    <n v="90"/>
    <n v="2000"/>
    <s v="USA"/>
    <s v="Panama"/>
    <x v="0"/>
  </r>
  <r>
    <s v="Kona Geisha Champagne Natural"/>
    <n v="95"/>
    <s v="Light"/>
    <n v="64"/>
    <n v="88"/>
    <n v="176.37"/>
    <s v="USA"/>
    <s v="USA"/>
    <x v="0"/>
  </r>
  <r>
    <s v="Ethiopia Nano Genji Lot #8"/>
    <n v="94"/>
    <s v="Light"/>
    <n v="64"/>
    <n v="84"/>
    <n v="6.47"/>
    <s v="USA"/>
    <s v="Ethiopia"/>
    <x v="1"/>
  </r>
  <r>
    <s v="Colombia Hacienda La Pradera Mokka"/>
    <n v="94"/>
    <s v="Light"/>
    <n v="64"/>
    <n v="88"/>
    <n v="12.35"/>
    <s v="USA"/>
    <s v="Colombia"/>
    <x v="0"/>
  </r>
  <r>
    <s v="La Piragua Pink Bourbon Colombia"/>
    <n v="94"/>
    <s v="Light"/>
    <n v="62"/>
    <n v="84"/>
    <n v="6.47"/>
    <s v="USA"/>
    <s v="Colombia"/>
    <x v="0"/>
  </r>
  <r>
    <s v="Kenya Baragwi Guama"/>
    <n v="94"/>
    <s v="Medium Light"/>
    <n v="60"/>
    <n v="78"/>
    <n v="6.47"/>
    <s v="USA"/>
    <s v="Kenya"/>
    <x v="1"/>
  </r>
  <r>
    <s v="Ethiopia Washed Uraga More Floral Kurume Espresso"/>
    <n v="95"/>
    <s v="Medium Light"/>
    <n v="58"/>
    <n v="79"/>
    <n v="119.05"/>
    <s v="Taiwan"/>
    <s v="Ethiopia"/>
    <x v="1"/>
  </r>
  <r>
    <s v="Ethiopia Natural Sidama ALO Village FL"/>
    <n v="95"/>
    <s v="Light"/>
    <n v="62"/>
    <n v="84"/>
    <n v="423.28"/>
    <s v="Taiwan"/>
    <s v="Ethiopia"/>
    <x v="1"/>
  </r>
  <r>
    <s v="Ethiopia Washed Sidama Bura Karamo 74158"/>
    <n v="95"/>
    <s v="Light"/>
    <n v="64"/>
    <n v="84"/>
    <n v="141.09"/>
    <s v="Taiwan"/>
    <s v="Ethiopia"/>
    <x v="1"/>
  </r>
  <r>
    <s v="Ethiopia Natural Guji Hambella Wamena Buku G1"/>
    <n v="94"/>
    <s v="Light"/>
    <n v="64"/>
    <n v="88"/>
    <n v="141.09"/>
    <s v="Taiwan"/>
    <s v="Ethiopia"/>
    <x v="1"/>
  </r>
  <r>
    <s v="Guatemala Naranjas Nadando"/>
    <n v="95"/>
    <s v="Light"/>
    <n v="62"/>
    <n v="84"/>
    <n v="7.76"/>
    <s v="USA"/>
    <s v="Guatemala"/>
    <x v="0"/>
  </r>
  <r>
    <s v="Songstress Geisha"/>
    <n v="95"/>
    <s v="Light"/>
    <n v="64"/>
    <n v="86"/>
    <n v="163.13999999999999"/>
    <s v="Taiwan"/>
    <s v="Ethiopia"/>
    <x v="1"/>
  </r>
  <r>
    <s v="Ethiopia Gesha Village Surma 1931 Mossto Anaerobic Honey"/>
    <n v="95"/>
    <s v="Light"/>
    <n v="62"/>
    <n v="84"/>
    <n v="23.52"/>
    <s v="USA"/>
    <s v="Ethiopia"/>
    <x v="1"/>
  </r>
  <r>
    <s v="Panama Bambito Estate Geisha"/>
    <n v="95"/>
    <s v="Light"/>
    <n v="64"/>
    <n v="88"/>
    <n v="34.17"/>
    <s v="USA"/>
    <s v="Panama"/>
    <x v="0"/>
  </r>
  <r>
    <s v="Colombia Efren Echeverry"/>
    <n v="94"/>
    <s v="Light"/>
    <n v="62"/>
    <n v="84"/>
    <n v="7.35"/>
    <s v="USA"/>
    <s v="Colombia"/>
    <x v="0"/>
  </r>
  <r>
    <s v="Pueo Blend"/>
    <n v="94"/>
    <s v="Medium Light"/>
    <n v="50"/>
    <n v="77"/>
    <n v="7.05"/>
    <s v="USA"/>
    <s v="Unknown"/>
    <x v="3"/>
  </r>
  <r>
    <s v="Wai Meli Morning"/>
    <n v="94"/>
    <s v="Medium Light"/>
    <n v="54"/>
    <n v="72"/>
    <n v="10.58"/>
    <s v="USA"/>
    <s v="Unknown"/>
    <x v="3"/>
  </r>
  <r>
    <s v="Ayla Bombe Natural"/>
    <n v="94"/>
    <s v="Light"/>
    <n v="63"/>
    <n v="87"/>
    <n v="6.47"/>
    <s v="USA"/>
    <s v="Ethiopia"/>
    <x v="1"/>
  </r>
  <r>
    <s v="Wilton Benitez Striped Bourbon Colombia"/>
    <n v="94"/>
    <s v="Light"/>
    <n v="62"/>
    <n v="84"/>
    <n v="11.02"/>
    <s v="USA"/>
    <s v="Colombia"/>
    <x v="0"/>
  </r>
  <r>
    <s v="Buena Vista Pink Bourbon Colombia"/>
    <n v="94"/>
    <s v="Medium Light"/>
    <n v="59"/>
    <n v="77"/>
    <n v="9.6999999999999993"/>
    <s v="USA"/>
    <s v="Colombia"/>
    <x v="0"/>
  </r>
  <r>
    <s v="Yunlin Washed Geisha"/>
    <n v="96"/>
    <s v="Light"/>
    <n v="64"/>
    <n v="90"/>
    <n v="666.67"/>
    <s v="Taiwan"/>
    <s v="Taiwan"/>
    <x v="2"/>
  </r>
  <r>
    <s v="Ethiopia Banko Washed"/>
    <n v="96"/>
    <s v="Light"/>
    <n v="62"/>
    <n v="84"/>
    <n v="7.05"/>
    <s v="USA"/>
    <s v="Ethiopia"/>
    <x v="1"/>
  </r>
  <r>
    <s v="Colombia Villa Betulia CM Sidra"/>
    <n v="96"/>
    <s v="Light"/>
    <n v="60"/>
    <n v="84"/>
    <n v="20.28"/>
    <s v="USA"/>
    <s v="Colombia"/>
    <x v="0"/>
  </r>
  <r>
    <s v="Ethiopia Anaerobic Worka Sakaro"/>
    <n v="95"/>
    <s v="Light"/>
    <n v="66"/>
    <n v="92"/>
    <n v="7.05"/>
    <s v="USA"/>
    <s v="Ethiopia"/>
    <x v="1"/>
  </r>
  <r>
    <s v="Costa Rica Hacienda Sonora Natural Milenio"/>
    <n v="94"/>
    <s v="Light"/>
    <n v="62"/>
    <n v="84"/>
    <n v="8.3800000000000008"/>
    <s v="USA"/>
    <s v="Costa Rica"/>
    <x v="0"/>
  </r>
  <r>
    <s v="Costa Rica Alma Negra Natural"/>
    <n v="94"/>
    <s v="Light"/>
    <n v="58"/>
    <n v="88"/>
    <n v="7.35"/>
    <s v="USA"/>
    <s v="Costa Rica"/>
    <x v="0"/>
  </r>
  <r>
    <s v="El Salvador Finca Santa Sofia Natural Kenya"/>
    <n v="94"/>
    <s v="Light"/>
    <n v="68"/>
    <n v="94"/>
    <n v="9.6999999999999993"/>
    <s v="USA"/>
    <s v="El Salvador"/>
    <x v="0"/>
  </r>
  <r>
    <s v="Colombia Aponte Honey"/>
    <n v="94"/>
    <s v="Light"/>
    <n v="64"/>
    <n v="88"/>
    <n v="6.76"/>
    <s v="USA"/>
    <s v="Colombia"/>
    <x v="0"/>
  </r>
  <r>
    <s v="Finca Huixoc Geisha"/>
    <n v="94"/>
    <s v="Light"/>
    <n v="60"/>
    <n v="82"/>
    <n v="7.05"/>
    <s v="Guatemala"/>
    <s v="Guatemala"/>
    <x v="0"/>
  </r>
  <r>
    <s v="Costa Rica Rivense Finca El Mango Honey Process"/>
    <n v="94"/>
    <s v="Light"/>
    <n v="62"/>
    <n v="84"/>
    <n v="4.7"/>
    <s v="USA"/>
    <s v="Costa Rica"/>
    <x v="0"/>
  </r>
  <r>
    <s v="El Salvador Unicorn"/>
    <n v="94"/>
    <s v="Medium Light"/>
    <n v="58"/>
    <n v="80"/>
    <n v="10.58"/>
    <s v="USA"/>
    <s v="El Salvador"/>
    <x v="0"/>
  </r>
  <r>
    <s v="Kenya Kiamwangi Factory AA TOP"/>
    <n v="94"/>
    <s v="Medium Light"/>
    <n v="60"/>
    <n v="80"/>
    <n v="171.52"/>
    <s v="Taiwan"/>
    <s v="Kenya"/>
    <x v="1"/>
  </r>
  <r>
    <s v="Ethiopia Sidama Bensa Hamasho Washed TOH#2"/>
    <n v="94"/>
    <s v="Light"/>
    <n v="64"/>
    <n v="86"/>
    <n v="153.88"/>
    <s v="Taiwan"/>
    <s v="Ethiopia"/>
    <x v="1"/>
  </r>
  <r>
    <s v="Costa Rica Red Java Honey Finca Los Pinitos"/>
    <n v="95"/>
    <s v="Light"/>
    <n v="60"/>
    <n v="88"/>
    <n v="8.52"/>
    <s v="USA"/>
    <s v="Costa Rica"/>
    <x v="0"/>
  </r>
  <r>
    <s v="Costa Rica Finca El CaГ±al Double Diamond"/>
    <n v="94"/>
    <s v="Light"/>
    <n v="62"/>
    <n v="86"/>
    <n v="8.23"/>
    <s v="USA"/>
    <s v="Costa Rica"/>
    <x v="0"/>
  </r>
  <r>
    <s v="Honduras Roger Dominguez"/>
    <n v="94"/>
    <s v="Light"/>
    <n v="66"/>
    <n v="88"/>
    <n v="8.82"/>
    <s v="USA"/>
    <s v="Honduras"/>
    <x v="0"/>
  </r>
  <r>
    <s v="Ngurueri Kenya"/>
    <n v="94"/>
    <s v="Light"/>
    <n v="62"/>
    <n v="80"/>
    <n v="6.47"/>
    <s v="USA"/>
    <s v="Kenya"/>
    <x v="1"/>
  </r>
  <r>
    <s v="Cruz Loma Ecuador"/>
    <n v="94"/>
    <s v="Light"/>
    <n v="60"/>
    <n v="82"/>
    <n v="9.6999999999999993"/>
    <s v="USA"/>
    <s v="Ecuador"/>
    <x v="0"/>
  </r>
  <r>
    <s v="Colombia Monteblanco Nectar Citrullus Secret Stash"/>
    <n v="94"/>
    <s v="Medium Light"/>
    <n v="58"/>
    <n v="82"/>
    <n v="8.82"/>
    <s v="USA"/>
    <s v="Colombia"/>
    <x v="0"/>
  </r>
  <r>
    <s v="Costa Rica La Laguna Lot Secret Stash"/>
    <n v="94"/>
    <s v="Light"/>
    <n v="64"/>
    <n v="86"/>
    <n v="8.82"/>
    <s v="USA"/>
    <s v="Costa Rica"/>
    <x v="0"/>
  </r>
  <r>
    <s v="Ballista Espresso"/>
    <n v="94"/>
    <s v="Medium Light"/>
    <n v="56"/>
    <n v="74"/>
    <n v="5.42"/>
    <s v="USA"/>
    <s v="Brazil"/>
    <x v="0"/>
  </r>
  <r>
    <s v="Ethiopia Natural Lion 88"/>
    <n v="94"/>
    <s v="Light"/>
    <n v="66"/>
    <n v="90"/>
    <n v="220.46"/>
    <s v="Taiwan"/>
    <s v="Ethiopia"/>
    <x v="1"/>
  </r>
  <r>
    <s v="Panama Lamastus Family Elida Estate Loma Geisha Washed"/>
    <n v="97"/>
    <s v="Light"/>
    <n v="64"/>
    <n v="88"/>
    <n v="0.88"/>
    <s v="Taiwan"/>
    <s v="Panama"/>
    <x v="0"/>
  </r>
  <r>
    <s v="Colombia El Paraiso Geisha Anti-Maceration"/>
    <n v="95"/>
    <s v="Light"/>
    <n v="70"/>
    <n v="94"/>
    <n v="58"/>
    <s v="Japan"/>
    <s v="Colombia"/>
    <x v="0"/>
  </r>
  <r>
    <s v="Ethiopia Alo Chilaka Natural"/>
    <n v="94"/>
    <s v="Light"/>
    <n v="66"/>
    <n v="88"/>
    <n v="6.47"/>
    <s v="USA"/>
    <s v="Ethiopia"/>
    <x v="1"/>
  </r>
  <r>
    <s v="Panama Bambito Gesha"/>
    <n v="94"/>
    <s v="Light"/>
    <n v="62"/>
    <n v="84"/>
    <n v="24.25"/>
    <s v="USA"/>
    <s v="Panama"/>
    <x v="0"/>
  </r>
  <r>
    <s v="Panama Geisha Vuelta DRD Natural"/>
    <n v="97"/>
    <s v="Light"/>
    <n v="66"/>
    <n v="88"/>
    <n v="77.599999999999994"/>
    <s v="USA"/>
    <s v="Panama"/>
    <x v="0"/>
  </r>
  <r>
    <s v="Kona S12 Kaffa Washed"/>
    <n v="96"/>
    <s v="Light"/>
    <n v="67"/>
    <n v="94"/>
    <n v="88.18"/>
    <s v="USA"/>
    <s v="USA"/>
    <x v="0"/>
  </r>
  <r>
    <s v="Kona Geisha RosГ© Washed"/>
    <n v="96"/>
    <s v="Light"/>
    <n v="64"/>
    <n v="88"/>
    <n v="88.18"/>
    <s v="USA"/>
    <s v="USA"/>
    <x v="0"/>
  </r>
  <r>
    <s v="Colombia Cafe La Granja Pink Bourbon"/>
    <n v="96"/>
    <s v="Light"/>
    <n v="62"/>
    <n v="88"/>
    <n v="28"/>
    <s v="USA"/>
    <s v="Colombia"/>
    <x v="0"/>
  </r>
  <r>
    <s v="Colombia Cafe La Granja Sudan Rume Natural"/>
    <n v="95"/>
    <s v="Light"/>
    <n v="66"/>
    <n v="92"/>
    <n v="28"/>
    <s v="USA"/>
    <s v="Colombia"/>
    <x v="0"/>
  </r>
  <r>
    <s v="Panama Tierra Blanca C-5 Geisha Washed BOP-GW-05"/>
    <n v="97"/>
    <s v="Light"/>
    <n v="64"/>
    <n v="88"/>
    <n v="617.28"/>
    <s v="Taiwan"/>
    <s v="Panama"/>
    <x v="0"/>
  </r>
  <r>
    <s v="Kenya AA Kangiri New Irati"/>
    <n v="95"/>
    <s v="Light"/>
    <n v="66"/>
    <n v="84"/>
    <n v="5.59"/>
    <s v="USA"/>
    <s v="Kenya"/>
    <x v="1"/>
  </r>
  <r>
    <s v="Costa Rica Central Valley Honey Geisha"/>
    <n v="94"/>
    <s v="Light"/>
    <n v="62"/>
    <n v="80"/>
    <n v="9.41"/>
    <s v="USA"/>
    <s v="Costa Rica"/>
    <x v="0"/>
  </r>
  <r>
    <s v="Ethiopia Sidama Bombe G1 Washed"/>
    <n v="94"/>
    <s v="Light"/>
    <n v="64"/>
    <n v="84"/>
    <n v="5.59"/>
    <s v="USA"/>
    <s v="Ethiopia"/>
    <x v="1"/>
  </r>
  <r>
    <s v="Kenya AA Aries Return Espresso"/>
    <n v="96"/>
    <s v="Medium"/>
    <n v="44"/>
    <n v="60"/>
    <n v="418.87"/>
    <s v="Taiwan"/>
    <s v="Kenya"/>
    <x v="1"/>
  </r>
  <r>
    <s v="Kenya AllвЂ™s Well Peaberry Espresso"/>
    <n v="96"/>
    <s v="Medium"/>
    <n v="46"/>
    <n v="72"/>
    <n v="396.83"/>
    <s v="Taiwan"/>
    <s v="Kenya"/>
    <x v="1"/>
  </r>
  <r>
    <s v="Espresso No. 6 Finca San JosГ© OcaГ±a"/>
    <n v="96"/>
    <s v="Medium"/>
    <n v="50"/>
    <n v="64"/>
    <n v="7.35"/>
    <s v="Guatemala"/>
    <s v="Guatemala"/>
    <x v="0"/>
  </r>
  <r>
    <s v="Kahiko Orange"/>
    <n v="98"/>
    <s v="Medium Light"/>
    <n v="54"/>
    <n v="84"/>
    <n v="44.07"/>
    <s v="USA"/>
    <s v="Unknown"/>
    <x v="3"/>
  </r>
  <r>
    <s v="Kenya Washed Kiambu Yara Estate PB TOP"/>
    <n v="97"/>
    <s v="Medium Light"/>
    <n v="58"/>
    <n v="80"/>
    <n v="264.55"/>
    <s v="Taiwan"/>
    <s v="Kenya"/>
    <x v="1"/>
  </r>
  <r>
    <s v="Kona Orange"/>
    <n v="96"/>
    <s v="Light"/>
    <n v="58"/>
    <n v="84"/>
    <n v="35.25"/>
    <s v="USA"/>
    <s v="USA"/>
    <x v="0"/>
  </r>
  <r>
    <s v="Colombia Wilton Benitez Sudan Rume"/>
    <n v="96"/>
    <s v="Light"/>
    <n v="64"/>
    <n v="84"/>
    <n v="12.79"/>
    <s v="USA"/>
    <s v="Colombia"/>
    <x v="0"/>
  </r>
  <r>
    <s v="Ethiopia Washed Gute 74110 Lot JH"/>
    <n v="95"/>
    <s v="Light"/>
    <n v="60"/>
    <n v="82"/>
    <n v="211.64"/>
    <s v="Taiwan"/>
    <s v="Ethiopia"/>
    <x v="1"/>
  </r>
  <r>
    <s v="Ethiopia Natural Sidama Bura Karamo 74158"/>
    <n v="95"/>
    <s v="Light"/>
    <n v="57"/>
    <n v="88"/>
    <n v="211.64"/>
    <s v="Taiwan"/>
    <s v="Ethiopia"/>
    <x v="1"/>
  </r>
  <r>
    <s v="Taiwan Honey Alishan Ming Yang Yuan Gesha"/>
    <n v="95"/>
    <s v="Light"/>
    <n v="62"/>
    <n v="84"/>
    <n v="0.88"/>
    <s v="Taiwan"/>
    <s v="Taiwan"/>
    <x v="2"/>
  </r>
  <r>
    <s v="Kenya Washed Kiambu AB TOP Lot Yerihar"/>
    <n v="94"/>
    <s v="Medium Light"/>
    <n v="58"/>
    <n v="78"/>
    <n v="154.32"/>
    <s v="Taiwan"/>
    <s v="Kenya"/>
    <x v="1"/>
  </r>
  <r>
    <s v="Kenya Ibonia Estate"/>
    <n v="95"/>
    <s v="Medium Light"/>
    <n v="58"/>
    <n v="80"/>
    <n v="7.05"/>
    <s v="USA"/>
    <s v="Kenya"/>
    <x v="1"/>
  </r>
  <r>
    <s v="Ethiopia Worka Sakaro"/>
    <n v="94"/>
    <s v="Light"/>
    <n v="62"/>
    <n v="86"/>
    <n v="7.94"/>
    <s v="USA"/>
    <s v="Ethiopia"/>
    <x v="1"/>
  </r>
  <r>
    <s v="Guatemala Washed Huehuetenango Joya Verde"/>
    <n v="94"/>
    <s v="Medium Light"/>
    <n v="56"/>
    <n v="74"/>
    <n v="114.64"/>
    <s v="Taiwan"/>
    <s v="Guatemala"/>
    <x v="0"/>
  </r>
  <r>
    <s v="Ethiopia Washed Guji Uraga Tebe Burka"/>
    <n v="94"/>
    <s v="Medium Light"/>
    <n v="58"/>
    <n v="80"/>
    <n v="145.5"/>
    <s v="Taiwan"/>
    <s v="Ethiopia"/>
    <x v="1"/>
  </r>
  <r>
    <s v="Ethiopia Natural Sidama ALO Village SKY Project FL"/>
    <n v="94"/>
    <s v="Medium Light"/>
    <n v="60"/>
    <n v="77"/>
    <n v="432.1"/>
    <s v="Taiwan"/>
    <s v="Ethiopia"/>
    <x v="1"/>
  </r>
  <r>
    <s v="Taiwan Natural Alishan Chi Tsai Liu Li Ecological Farm"/>
    <n v="94"/>
    <s v="Medium Light"/>
    <n v="60"/>
    <n v="77"/>
    <n v="0.88"/>
    <s v="Taiwan"/>
    <s v="Taiwan"/>
    <x v="2"/>
  </r>
  <r>
    <s v="Wilton Benitez SL28"/>
    <n v="96"/>
    <s v="Medium Light"/>
    <n v="58"/>
    <n v="82"/>
    <n v="14.55"/>
    <s v="USA"/>
    <s v="Colombia"/>
    <x v="0"/>
  </r>
  <r>
    <s v="Kolla Bolcha #6 Ethiopia"/>
    <n v="94"/>
    <s v="Medium Light"/>
    <n v="60"/>
    <n v="79"/>
    <n v="5.88"/>
    <s v="USA"/>
    <s v="Ethiopia"/>
    <x v="1"/>
  </r>
  <r>
    <s v="Bener Meriah Sumatra"/>
    <n v="94"/>
    <s v="Medium Light"/>
    <n v="59"/>
    <n v="77"/>
    <n v="5.88"/>
    <s v="USA"/>
    <s v="Indonesia"/>
    <x v="2"/>
  </r>
  <r>
    <s v="Yemen Haraaz"/>
    <n v="96"/>
    <s v="Light"/>
    <n v="60"/>
    <n v="82"/>
    <n v="16"/>
    <s v="USA"/>
    <s v="Yemen"/>
    <x v="1"/>
  </r>
  <r>
    <s v="Ethiopia Yirgacheffe Hama Honey"/>
    <n v="95"/>
    <s v="Medium Light"/>
    <n v="59"/>
    <n v="81"/>
    <n v="264.32"/>
    <s v="Taiwan"/>
    <s v="Ethiopia"/>
    <x v="1"/>
  </r>
  <r>
    <s v="Colombia Finca Santuario Red Bourbon Natural"/>
    <n v="95"/>
    <s v="Light"/>
    <n v="62"/>
    <n v="94"/>
    <n v="264.32"/>
    <s v="Taiwan"/>
    <s v="Colombia"/>
    <x v="0"/>
  </r>
  <r>
    <s v="Ethiopia Yirgacheffe Gutiti Gargari Natural"/>
    <n v="94"/>
    <s v="Medium Light"/>
    <n v="60"/>
    <n v="77"/>
    <n v="198.24"/>
    <s v="Taiwan"/>
    <s v="Ethiopia"/>
    <x v="1"/>
  </r>
  <r>
    <s v="130 Blend"/>
    <n v="94"/>
    <s v="Medium Light"/>
    <n v="55"/>
    <n v="79"/>
    <n v="5.59"/>
    <s v="USA"/>
    <s v="Ethiopia"/>
    <x v="1"/>
  </r>
  <r>
    <s v="Ethiopia Bench Maji Gori Gesha ORO Yeast Natural G1"/>
    <n v="94"/>
    <s v="Medium Light"/>
    <n v="55"/>
    <n v="79"/>
    <n v="343.61"/>
    <s v="Taiwan"/>
    <s v="Ethiopia"/>
    <x v="1"/>
  </r>
  <r>
    <s v="Fruits Melody"/>
    <n v="94"/>
    <s v="Light"/>
    <n v="65"/>
    <n v="81"/>
    <n v="171.81"/>
    <s v="Taiwan"/>
    <s v="Ethiopia"/>
    <x v="1"/>
  </r>
  <r>
    <s v="Kenya Melwa AA Washed"/>
    <n v="94"/>
    <s v="Light"/>
    <n v="64"/>
    <n v="88"/>
    <n v="211.45"/>
    <s v="Taiwan"/>
    <s v="Kenya"/>
    <x v="1"/>
  </r>
  <r>
    <s v="Colombia Wilton Benitez Thermal Shock Red Bourbon"/>
    <n v="94"/>
    <s v="Light"/>
    <n v="60"/>
    <n v="83"/>
    <n v="16.75"/>
    <s v="USA"/>
    <s v="Colombia"/>
    <x v="0"/>
  </r>
  <r>
    <s v="Panama Elida Estate Geisha Natural ASD T3D Auction Lot EG6"/>
    <n v="97"/>
    <s v="Light"/>
    <n v="66"/>
    <n v="84"/>
    <n v="70.55"/>
    <s v="Taiwan"/>
    <s v="Panama"/>
    <x v="0"/>
  </r>
  <r>
    <s v="El Salvador La Providencia Maria Pacas Bernadina Honey"/>
    <n v="95"/>
    <s v="Light"/>
    <n v="62"/>
    <n v="84"/>
    <n v="11.54"/>
    <s v="USA"/>
    <s v="El Salvador"/>
    <x v="0"/>
  </r>
  <r>
    <s v="Colombia El Vergel Martha Montenegro Rubi Marti Anaerobic"/>
    <n v="95"/>
    <s v="Light"/>
    <n v="66"/>
    <n v="90"/>
    <n v="13.89"/>
    <s v="USA"/>
    <s v="Colombia"/>
    <x v="0"/>
  </r>
  <r>
    <s v="Ethiopia West Arsi Washed G1"/>
    <n v="95"/>
    <s v="Light"/>
    <n v="64"/>
    <n v="88"/>
    <n v="244.44"/>
    <s v="Taiwan"/>
    <s v="Ethiopia"/>
    <x v="1"/>
  </r>
  <r>
    <s v="Ethiopia Washed Yirgacheffe Chelbesa SNNPR Gedeo G1"/>
    <n v="94"/>
    <s v="Light"/>
    <n v="64"/>
    <n v="84"/>
    <n v="211.64"/>
    <s v="Taiwan"/>
    <s v="Ethiopia"/>
    <x v="1"/>
  </r>
  <r>
    <s v="Colombia Lulo Wonka Wonka &amp; Sebastian Gomez"/>
    <n v="96"/>
    <s v="Light"/>
    <n v="64"/>
    <n v="86"/>
    <n v="8.81"/>
    <s v="USA"/>
    <s v="Colombia"/>
    <x v="0"/>
  </r>
  <r>
    <s v="Colombia Finca La Reserva"/>
    <n v="94"/>
    <s v="Light"/>
    <n v="64"/>
    <n v="84"/>
    <n v="8.81"/>
    <s v="USA"/>
    <s v="Colombia"/>
    <x v="0"/>
  </r>
  <r>
    <s v="Ethiopia Washed Ayla Bombe"/>
    <n v="94"/>
    <s v="Medium Light"/>
    <n v="59"/>
    <n v="79"/>
    <n v="5.59"/>
    <s v="USA"/>
    <s v="Ethiopia"/>
    <x v="1"/>
  </r>
  <r>
    <s v="Ethiopia Mr. Ocholo Bedecho"/>
    <n v="95"/>
    <s v="Light"/>
    <n v="58"/>
    <n v="84"/>
    <n v="6.47"/>
    <s v="USA"/>
    <s v="Ethiopia"/>
    <x v="1"/>
  </r>
  <r>
    <s v="Colombia Pink Champagne El Mirador Blend"/>
    <n v="94"/>
    <s v="Light"/>
    <n v="66"/>
    <n v="93"/>
    <n v="10.23"/>
    <s v="USA"/>
    <s v="Colombia"/>
    <x v="0"/>
  </r>
  <r>
    <s v="Guatemala El Injerto Malawi Geisha Washed"/>
    <n v="95"/>
    <s v="Light"/>
    <n v="69"/>
    <n v="88"/>
    <n v="950"/>
    <s v="Taiwan"/>
    <s v="Guatemala"/>
    <x v="0"/>
  </r>
  <r>
    <s v="Guatemala El Injerto Legendary Geisha Natural Lot E1-06"/>
    <n v="94"/>
    <s v="Light"/>
    <n v="60"/>
    <n v="88"/>
    <n v="20.87"/>
    <s v="Taiwan"/>
    <s v="Guatemala"/>
    <x v="0"/>
  </r>
  <r>
    <s v="Guatemala Washed Finca La Hermosa Gesha Peaberry"/>
    <n v="94"/>
    <s v="Medium Light"/>
    <n v="56"/>
    <n v="84"/>
    <n v="19.36"/>
    <s v="Taiwan"/>
    <s v="Guatemala"/>
    <x v="0"/>
  </r>
  <r>
    <s v="Qunqana Ethiopia"/>
    <n v="95"/>
    <s v="Light"/>
    <n v="63"/>
    <n v="81"/>
    <n v="6.76"/>
    <s v="USA"/>
    <s v="Ethiopia"/>
    <x v="1"/>
  </r>
  <r>
    <s v="Finca La Reserva Colombia Gesha Honey"/>
    <n v="95"/>
    <s v="Medium Light"/>
    <n v="59"/>
    <n v="77"/>
    <n v="9.6999999999999993"/>
    <s v="USA"/>
    <s v="Colombia"/>
    <x v="0"/>
  </r>
  <r>
    <s v="Ethiopia Ayla Bombe"/>
    <n v="96"/>
    <s v="Medium Light"/>
    <n v="61"/>
    <n v="78"/>
    <n v="5.88"/>
    <s v="USA"/>
    <s v="Ethiopia"/>
    <x v="1"/>
  </r>
  <r>
    <s v="Ethiopia Arbegona Yaye Washed"/>
    <n v="95"/>
    <s v="Light"/>
    <n v="62"/>
    <n v="80"/>
    <n v="7.05"/>
    <s v="USA"/>
    <s v="Ethiopia"/>
    <x v="1"/>
  </r>
  <r>
    <s v="Sumatra Putra Gayo Natural"/>
    <n v="94"/>
    <s v="Medium Light"/>
    <n v="60"/>
    <n v="79"/>
    <n v="6.76"/>
    <s v="USA"/>
    <s v="Indonesia"/>
    <x v="2"/>
  </r>
  <r>
    <s v="El Salvador Finca Plan del Hoyo Microlot"/>
    <n v="94"/>
    <s v="Medium Light"/>
    <n v="60"/>
    <n v="77"/>
    <n v="4.7"/>
    <s v="USA"/>
    <s v="El Salvador"/>
    <x v="0"/>
  </r>
  <r>
    <s v="Kenya Kichwa Tembo"/>
    <n v="94"/>
    <s v="Medium Light"/>
    <n v="59"/>
    <n v="81"/>
    <n v="8.23"/>
    <s v="USA"/>
    <s v="Kenya"/>
    <x v="1"/>
  </r>
  <r>
    <s v="Ethiopia Sidama Alice Orchard Natural G1"/>
    <n v="95"/>
    <s v="Light"/>
    <n v="64"/>
    <n v="86"/>
    <n v="242.29"/>
    <s v="Taiwan"/>
    <s v="Ethiopia"/>
    <x v="1"/>
  </r>
  <r>
    <s v="Colombia Fruit Loops Gesha Washed"/>
    <n v="94"/>
    <s v="Light"/>
    <n v="65"/>
    <n v="89"/>
    <n v="22.33"/>
    <s v="USA"/>
    <s v="Colombia"/>
    <x v="0"/>
  </r>
  <r>
    <s v="Kenya Gachatha AA Top"/>
    <n v="94"/>
    <s v="Light"/>
    <n v="62"/>
    <n v="80"/>
    <n v="136.24"/>
    <s v="Taiwan"/>
    <s v="Kenya"/>
    <x v="1"/>
  </r>
  <r>
    <s v="Ethiopia Bench-Maji Lucy Station Geisha Washed"/>
    <n v="94"/>
    <s v="Light"/>
    <n v="64"/>
    <n v="84"/>
    <n v="149.47"/>
    <s v="Taiwan"/>
    <s v="Ethiopia"/>
    <x v="1"/>
  </r>
  <r>
    <s v="Ethiopia Yirgacheffe Lalisa Black Honey TOH#2"/>
    <n v="94"/>
    <s v="Light"/>
    <n v="66"/>
    <n v="90"/>
    <n v="197.97"/>
    <s v="Taiwan"/>
    <s v="Ethiopia"/>
    <x v="1"/>
  </r>
  <r>
    <s v="Panama Hacienda La Esmeralda Nano GIGANTE 4FC-N Geisha Washed"/>
    <n v="97"/>
    <s v="Light"/>
    <n v="62"/>
    <n v="84"/>
    <n v="6000"/>
    <s v="Taiwan"/>
    <s v="Panama"/>
    <x v="0"/>
  </r>
  <r>
    <s v="Kenya Washed Kiambu AA"/>
    <n v="96"/>
    <s v="Medium"/>
    <n v="47"/>
    <n v="69"/>
    <n v="127.87"/>
    <s v="Taiwan"/>
    <s v="Kenya"/>
    <x v="1"/>
  </r>
  <r>
    <s v="Kenya Washed Kiambu Maganjo AA TOP"/>
    <n v="95"/>
    <s v="Medium Light"/>
    <n v="58"/>
    <n v="82"/>
    <n v="154.32"/>
    <s v="Taiwan"/>
    <s v="Kenya"/>
    <x v="1"/>
  </r>
  <r>
    <s v="Ethiopia Washed Yirgacheffe Botabaa Lot"/>
    <n v="95"/>
    <s v="Light"/>
    <n v="62"/>
    <n v="84"/>
    <n v="145.5"/>
    <s v="Taiwan"/>
    <s v="Ethiopia"/>
    <x v="1"/>
  </r>
  <r>
    <s v="Ecuador Galo Morales"/>
    <n v="94"/>
    <s v="Light"/>
    <n v="64"/>
    <n v="86"/>
    <n v="8.82"/>
    <s v="USA"/>
    <s v="Ecuador"/>
    <x v="0"/>
  </r>
  <r>
    <s v="Orange Bourbon Natural"/>
    <n v="95"/>
    <s v="Light"/>
    <n v="64"/>
    <n v="88"/>
    <n v="15.43"/>
    <s v="USA"/>
    <s v="Unknown"/>
    <x v="3"/>
  </r>
  <r>
    <s v="Ethiopia Yirgacheffe Huke Premium Washed G1"/>
    <n v="95"/>
    <s v="Light"/>
    <n v="64"/>
    <n v="82"/>
    <n v="6.17"/>
    <s v="USA"/>
    <s v="Ethiopia"/>
    <x v="1"/>
  </r>
  <r>
    <s v="Ethiopia Yirgacheffe Huke Premium Natural G1"/>
    <n v="94"/>
    <s v="Light"/>
    <n v="62"/>
    <n v="80"/>
    <n v="6.17"/>
    <s v="USA"/>
    <s v="Ethiopia"/>
    <x v="1"/>
  </r>
  <r>
    <s v="Colombia El Vergel #1"/>
    <n v="94"/>
    <s v="Light"/>
    <n v="64"/>
    <n v="86"/>
    <n v="4.41"/>
    <s v="USA"/>
    <s v="Colombia"/>
    <x v="0"/>
  </r>
  <r>
    <s v="Ethiopia Sidama Bensa"/>
    <n v="94"/>
    <s v="Light"/>
    <n v="65"/>
    <n v="87"/>
    <n v="175"/>
    <s v="Taiwan"/>
    <s v="Ethiopia"/>
    <x v="1"/>
  </r>
  <r>
    <s v="Ethiopia Guji Rosechee Washed G1"/>
    <n v="94"/>
    <s v="Light"/>
    <n v="66"/>
    <n v="88"/>
    <n v="264.32"/>
    <s v="Taiwan"/>
    <s v="Ethiopia"/>
    <x v="1"/>
  </r>
  <r>
    <s v="Ethiopia Bench-Maji Lucy Geisha"/>
    <n v="94"/>
    <s v="Light"/>
    <n v="66"/>
    <n v="84"/>
    <n v="190"/>
    <s v="Taiwan"/>
    <s v="Ethiopia"/>
    <x v="1"/>
  </r>
  <r>
    <s v="Ethiopia Oromi Guji Hamela Wamena Tirtira Goyo Natural G1"/>
    <n v="95"/>
    <s v="Light"/>
    <n v="66"/>
    <n v="88"/>
    <n v="211.64"/>
    <s v="Taiwan"/>
    <s v="Ethiopia"/>
    <x v="1"/>
  </r>
  <r>
    <s v="Acacia Hills Geisha"/>
    <n v="96"/>
    <s v="Medium Light"/>
    <n v="58"/>
    <n v="80"/>
    <n v="10.58"/>
    <s v="USA"/>
    <s v="Tanzania"/>
    <x v="1"/>
  </r>
  <r>
    <s v="Nsoga Iweyza Tanzania"/>
    <n v="95"/>
    <s v="Medium Light"/>
    <n v="57"/>
    <n v="77"/>
    <n v="10.58"/>
    <s v="USA"/>
    <s v="Tanzania"/>
    <x v="1"/>
  </r>
  <r>
    <s v="Wilton Benitez Java"/>
    <n v="96"/>
    <s v="Light"/>
    <n v="59"/>
    <n v="93"/>
    <n v="8.82"/>
    <s v="USA"/>
    <s v="Colombia"/>
    <x v="0"/>
  </r>
  <r>
    <s v="Ethiopia Guji Narcissus Washed G1"/>
    <n v="94"/>
    <s v="Light"/>
    <n v="63"/>
    <n v="82"/>
    <n v="255.51"/>
    <s v="Taiwan"/>
    <s v="Ethiopia"/>
    <x v="1"/>
  </r>
  <r>
    <s v="Asobombo Colombia"/>
    <n v="94"/>
    <s v="Light"/>
    <n v="63"/>
    <n v="85"/>
    <n v="5.88"/>
    <s v="USA"/>
    <s v="Colombia"/>
    <x v="0"/>
  </r>
  <r>
    <s v="Panama Hacienda La Esmeralda Special Nano Geisha Gigante Washed Euphora Lot"/>
    <n v="96"/>
    <s v="Light"/>
    <n v="66"/>
    <n v="88"/>
    <n v="79.37"/>
    <s v="Taiwan"/>
    <s v="Panama"/>
    <x v="0"/>
  </r>
  <r>
    <s v="Costa Rica Las Lajas Black Diamond Bourbon"/>
    <n v="95"/>
    <s v="Light"/>
    <n v="72"/>
    <n v="102"/>
    <n v="8.23"/>
    <s v="USA"/>
    <s v="Costa Rica"/>
    <x v="0"/>
  </r>
  <r>
    <s v="Colombia Wilton Benitez Red Bourbon"/>
    <n v="94"/>
    <s v="Light"/>
    <n v="66"/>
    <n v="88"/>
    <n v="12.4"/>
    <s v="USA"/>
    <s v="Colombia"/>
    <x v="0"/>
  </r>
  <r>
    <s v="Colombia Wilton Benitez Yellow Bourbon"/>
    <n v="94"/>
    <s v="Light"/>
    <n v="65"/>
    <n v="90"/>
    <n v="12.4"/>
    <s v="USA"/>
    <s v="Colombia"/>
    <x v="0"/>
  </r>
  <r>
    <s v="Colombia Wilton Benitez Gesha Thermal Shock Wine Yeast"/>
    <n v="96"/>
    <s v="Light"/>
    <n v="68"/>
    <n v="92"/>
    <n v="24.8"/>
    <s v="USA"/>
    <s v="Colombia"/>
    <x v="0"/>
  </r>
  <r>
    <s v="Colombia Wilton Benitez Striped Bourbon Thermal Shock"/>
    <n v="95"/>
    <s v="Light"/>
    <n v="65"/>
    <n v="92"/>
    <n v="24.8"/>
    <s v="USA"/>
    <s v="Colombia"/>
    <x v="0"/>
  </r>
  <r>
    <s v="Ethiopia Mulish"/>
    <n v="94"/>
    <s v="Medium Light"/>
    <n v="58"/>
    <n v="78"/>
    <n v="7.5"/>
    <s v="USA"/>
    <s v="Ethiopia"/>
    <x v="1"/>
  </r>
  <r>
    <s v="Ethiopia Gesha Village Oma Gesha 1931 Natural"/>
    <n v="96"/>
    <s v="Light"/>
    <n v="59"/>
    <n v="83"/>
    <n v="799"/>
    <s v="Taiwan"/>
    <s v="Ethiopia"/>
    <x v="1"/>
  </r>
  <r>
    <s v="Ethiopia Djimma Limu Gummay Baby Geisha Washed"/>
    <n v="95"/>
    <s v="Light"/>
    <n v="64"/>
    <n v="88"/>
    <n v="158.29"/>
    <s v="Taiwan"/>
    <s v="Ethiopia"/>
    <x v="1"/>
  </r>
  <r>
    <s v="Ethiopia Yirgacheffe Kochere Halo Hartume Washed G1"/>
    <n v="94"/>
    <s v="Light"/>
    <n v="64"/>
    <n v="86"/>
    <n v="254.55"/>
    <s v="Taiwan"/>
    <s v="Ethiopia"/>
    <x v="1"/>
  </r>
  <r>
    <s v="Ethiopia Guji Bule Hambela TOH#1"/>
    <n v="94"/>
    <s v="Medium Light"/>
    <n v="57"/>
    <n v="76"/>
    <n v="264.11"/>
    <s v="Taiwan"/>
    <s v="Ethiopia"/>
    <x v="1"/>
  </r>
  <r>
    <s v="Ethiopia Natural Sidama Bensa Blue Donkey 24/1"/>
    <n v="96"/>
    <s v="Medium Light"/>
    <n v="60"/>
    <n v="77"/>
    <n v="154.32"/>
    <s v="Taiwan"/>
    <s v="Ethiopia"/>
    <x v="1"/>
  </r>
  <r>
    <s v="Peru Washed Los Santos Farm Gesha"/>
    <n v="95"/>
    <s v="Light"/>
    <n v="64"/>
    <n v="84"/>
    <n v="198.41"/>
    <s v="Taiwan"/>
    <s v="Peru"/>
    <x v="0"/>
  </r>
  <r>
    <s v="Peru Black Honey Los Santos Farm Gesha"/>
    <n v="94"/>
    <s v="Light"/>
    <n v="64"/>
    <n v="88"/>
    <n v="180.78"/>
    <s v="Taiwan"/>
    <s v="Peru"/>
    <x v="0"/>
  </r>
  <r>
    <s v="Nyeri Hill Kenya"/>
    <n v="94"/>
    <s v="Medium Light"/>
    <n v="58"/>
    <n v="76"/>
    <n v="6.76"/>
    <s v="USA"/>
    <s v="Kenya"/>
    <x v="1"/>
  </r>
  <r>
    <s v="Colombia Tabi La Roca"/>
    <n v="94"/>
    <s v="Light"/>
    <n v="57"/>
    <n v="87"/>
    <n v="14.99"/>
    <s v="USA"/>
    <s v="Colombia"/>
    <x v="0"/>
  </r>
  <r>
    <s v="Ethiopia Sidama West Arsi Nansebo Natural G1"/>
    <n v="95"/>
    <s v="Light"/>
    <n v="58"/>
    <n v="86"/>
    <n v="211.45"/>
    <s v="Taiwan"/>
    <s v="Ethiopia"/>
    <x v="1"/>
  </r>
  <r>
    <s v="Ethiopia Moonlight Delight Wine Process Natural"/>
    <n v="94"/>
    <s v="Light"/>
    <n v="66"/>
    <n v="88"/>
    <n v="330.4"/>
    <s v="Taiwan"/>
    <s v="Ethiopia"/>
    <x v="1"/>
  </r>
  <r>
    <s v="Colombia Caldas Twilight Geisha Natural"/>
    <n v="94"/>
    <s v="Light"/>
    <n v="58"/>
    <n v="86"/>
    <n v="330.4"/>
    <s v="Taiwan"/>
    <s v="Colombia"/>
    <x v="0"/>
  </r>
  <r>
    <s v="Wilton Benitez Orange Bourbon"/>
    <n v="95"/>
    <s v="Light"/>
    <n v="63"/>
    <n v="81"/>
    <n v="11.02"/>
    <s v="USA"/>
    <s v="Colombia"/>
    <x v="0"/>
  </r>
  <r>
    <s v="Costa Rica TarrazГє Tirra"/>
    <n v="94"/>
    <s v="Medium Light"/>
    <n v="58"/>
    <n v="82"/>
    <n v="7.05"/>
    <s v="USA"/>
    <s v="Costa Rica"/>
    <x v="0"/>
  </r>
  <r>
    <s v="Kona Maragogype"/>
    <n v="94"/>
    <s v="Medium Light"/>
    <n v="56"/>
    <n v="76"/>
    <n v="18.64"/>
    <s v="USA"/>
    <s v="USA"/>
    <x v="0"/>
  </r>
  <r>
    <s v="Ethiopia Natural Sidama Bensa Bombe"/>
    <n v="95"/>
    <s v="Medium Light"/>
    <n v="58"/>
    <n v="77"/>
    <n v="123.46"/>
    <s v="Taiwan"/>
    <s v="Ethiopia"/>
    <x v="1"/>
  </r>
  <r>
    <s v="Ethiopia Washed Bench Maji Baby Lucy Gesha"/>
    <n v="94"/>
    <s v="Light"/>
    <n v="64"/>
    <n v="86"/>
    <n v="132.28"/>
    <s v="Taiwan"/>
    <s v="Ethiopia"/>
    <x v="1"/>
  </r>
  <r>
    <s v="Taiwan Natural Meishan Ching-Ye Farm Lot 0116"/>
    <n v="94"/>
    <s v="Light"/>
    <n v="62"/>
    <n v="80"/>
    <n v="352.73"/>
    <s v="Taiwan"/>
    <s v="Taiwan"/>
    <x v="2"/>
  </r>
  <r>
    <s v="Gesha Spirits"/>
    <n v="96"/>
    <s v="Light"/>
    <n v="64"/>
    <n v="88"/>
    <n v="16.309999999999999"/>
    <s v="USA"/>
    <s v="Colombia"/>
    <x v="0"/>
  </r>
  <r>
    <s v="Colombia El Jardin Anaerobic Natural"/>
    <n v="94"/>
    <s v="Medium Light"/>
    <n v="59"/>
    <n v="81"/>
    <n v="6.16"/>
    <s v="USA"/>
    <s v="Colombia"/>
    <x v="0"/>
  </r>
  <r>
    <s v="Colombia Los Nogales Yellow Bourbon"/>
    <n v="94"/>
    <s v="Light"/>
    <n v="63"/>
    <n v="86"/>
    <n v="18.670000000000002"/>
    <s v="Japan"/>
    <s v="Colombia"/>
    <x v="0"/>
  </r>
  <r>
    <s v="Ethiopia Chelba Natural"/>
    <n v="94"/>
    <s v="Medium Light"/>
    <n v="51"/>
    <n v="80"/>
    <n v="175"/>
    <s v="Taiwan"/>
    <s v="Ethiopia"/>
    <x v="1"/>
  </r>
  <r>
    <s v="Tanzania Karatu Acacia Hills Geisha Washed AB Espresso"/>
    <n v="94"/>
    <s v="Medium Light"/>
    <n v="58"/>
    <n v="80"/>
    <n v="399"/>
    <s v="Taiwan"/>
    <s v="Tanzania"/>
    <x v="1"/>
  </r>
  <r>
    <s v="Las Margaritas Geisha Honey"/>
    <n v="95"/>
    <s v="Light"/>
    <n v="62"/>
    <n v="84"/>
    <n v="11.02"/>
    <s v="USA"/>
    <s v="Colombia"/>
    <x v="0"/>
  </r>
  <r>
    <s v="Colombia Papayo"/>
    <n v="94"/>
    <s v="Light"/>
    <n v="62"/>
    <n v="86"/>
    <n v="8.82"/>
    <s v="USA"/>
    <s v="Colombia"/>
    <x v="0"/>
  </r>
  <r>
    <s v="Las Margaritas Sudan Rume Natural"/>
    <n v="94"/>
    <s v="Medium Light"/>
    <n v="59"/>
    <n v="82"/>
    <n v="17.64"/>
    <s v="USA"/>
    <s v="Colombia"/>
    <x v="0"/>
  </r>
  <r>
    <s v="Colombia Green Apple Castillo"/>
    <n v="94"/>
    <s v="Light"/>
    <n v="63"/>
    <n v="86"/>
    <n v="18.52"/>
    <s v="USA"/>
    <s v="Colombia"/>
    <x v="0"/>
  </r>
  <r>
    <s v="Colombia La Palma Y TucГЎn Heroes Series Geisha"/>
    <n v="94"/>
    <s v="Light"/>
    <n v="64"/>
    <n v="97"/>
    <n v="12.78"/>
    <s v="USA"/>
    <s v="Colombia"/>
    <x v="0"/>
  </r>
  <r>
    <s v="Ethiopia Sidamo Bensa Anaerobic Washed"/>
    <n v="94"/>
    <s v="Light"/>
    <n v="59"/>
    <n v="94"/>
    <n v="93.77"/>
    <s v="Taiwan"/>
    <s v="Ethiopia"/>
    <x v="1"/>
  </r>
  <r>
    <s v="Ethiopia Sidama Orange Blossom Washed G1"/>
    <n v="94"/>
    <s v="Light"/>
    <n v="64"/>
    <n v="82"/>
    <n v="220.26"/>
    <s v="Taiwan"/>
    <s v="Ethiopia"/>
    <x v="1"/>
  </r>
  <r>
    <s v="Ethiopia Washed Sidama Bensa Single Variety 74158"/>
    <n v="94"/>
    <s v="Light"/>
    <n v="62"/>
    <n v="82"/>
    <n v="264.32"/>
    <s v="Taiwan"/>
    <s v="Ethiopia"/>
    <x v="1"/>
  </r>
  <r>
    <s v="Guatemala Bella Carmona"/>
    <n v="94"/>
    <s v="Medium Light"/>
    <n v="57"/>
    <n v="79"/>
    <n v="5.88"/>
    <s v="USA"/>
    <s v="Guatemala"/>
    <x v="0"/>
  </r>
  <r>
    <s v="Wilton Benitez Sidra"/>
    <n v="95"/>
    <s v="Light"/>
    <n v="57"/>
    <n v="89"/>
    <n v="11.46"/>
    <s v="USA"/>
    <s v="Colombia"/>
    <x v="0"/>
  </r>
  <r>
    <s v="Putra Gayo Sumatra"/>
    <n v="94"/>
    <s v="Light"/>
    <n v="60"/>
    <n v="88"/>
    <n v="6.76"/>
    <s v="USA"/>
    <s v="Indonesia"/>
    <x v="2"/>
  </r>
  <r>
    <s v="Colombia JosГ© JuliГЎn Giraldo Pink Bourbon Panela Sticky"/>
    <n v="95"/>
    <s v="Light"/>
    <n v="65"/>
    <n v="89"/>
    <n v="17"/>
    <s v="USA"/>
    <s v="Colombia"/>
    <x v="0"/>
  </r>
  <r>
    <s v="Kenya Gatirima AA"/>
    <n v="94"/>
    <s v="Light"/>
    <n v="66"/>
    <n v="88"/>
    <n v="6.76"/>
    <s v="USA"/>
    <s v="Kenya"/>
    <x v="1"/>
  </r>
  <r>
    <s v="Kenya Washed Kirinyaga Getuya AA Top"/>
    <n v="96"/>
    <s v="Light"/>
    <n v="62"/>
    <n v="80"/>
    <n v="158.72999999999999"/>
    <s v="Taiwan"/>
    <s v="Kenya"/>
    <x v="1"/>
  </r>
  <r>
    <s v="Ethiopia Natural Sidama Espresso"/>
    <n v="95"/>
    <s v="Light"/>
    <n v="66"/>
    <n v="86"/>
    <n v="97"/>
    <s v="Taiwan"/>
    <s v="Ethiopia"/>
    <x v="1"/>
  </r>
  <r>
    <s v="True Love Espresso Blend"/>
    <n v="94"/>
    <s v="Medium Light"/>
    <n v="57"/>
    <n v="77"/>
    <n v="114.64"/>
    <s v="Taiwan"/>
    <s v="Guatemala"/>
    <x v="0"/>
  </r>
  <r>
    <s v="Guatemala Honey Finca El General Gesha"/>
    <n v="94"/>
    <s v="Light"/>
    <n v="62"/>
    <n v="80"/>
    <n v="264.55"/>
    <s v="Taiwan"/>
    <s v="Guatemala"/>
    <x v="0"/>
  </r>
  <r>
    <s v="Ethiopia Natural Sidama Bacha 74110"/>
    <n v="95"/>
    <s v="Light"/>
    <n v="66"/>
    <n v="88"/>
    <n v="143.30000000000001"/>
    <s v="Taiwan"/>
    <s v="Ethiopia"/>
    <x v="1"/>
  </r>
  <r>
    <s v="Ethiopia Yirgacheffe Adame G1 Washed 95"/>
    <n v="95"/>
    <s v="Light"/>
    <n v="67"/>
    <n v="92"/>
    <n v="140.65"/>
    <s v="Taiwan"/>
    <s v="Ethiopia"/>
    <x v="1"/>
  </r>
  <r>
    <s v="Colombia Linarco Rodriguez Ospina Pink Bourbon Washed 94"/>
    <n v="94"/>
    <s v="Light"/>
    <n v="62"/>
    <n v="81"/>
    <n v="268.52"/>
    <s v="Taiwan"/>
    <s v="Colombia"/>
    <x v="0"/>
  </r>
  <r>
    <s v="Ethiopia Guji Uraga Haro Adama Washed G1"/>
    <n v="94"/>
    <s v="Light"/>
    <n v="67"/>
    <n v="90"/>
    <n v="123.02"/>
    <s v="Taiwan"/>
    <s v="Ethiopia"/>
    <x v="1"/>
  </r>
  <r>
    <s v="Colombia Edwin Enrique NoreГ±a / Black Honey Watermelon &amp; Lulo Co-Ferment"/>
    <n v="94"/>
    <s v="Light"/>
    <n v="64"/>
    <n v="88"/>
    <n v="1.18"/>
    <s v="USA"/>
    <s v="Colombia"/>
    <x v="0"/>
  </r>
  <r>
    <s v="Colombia Edwin Enrique NoreГ±a / Black Honey Pink Bourbon Mosto &amp; Passionfruit Co-Ferment"/>
    <n v="94"/>
    <s v="Light"/>
    <n v="65"/>
    <n v="86"/>
    <n v="1.18"/>
    <s v="USA"/>
    <s v="Colombia"/>
    <x v="0"/>
  </r>
  <r>
    <s v="Colombia Edwin Enrique NoreГ±a Pink Bourbon"/>
    <n v="95"/>
    <s v="Light"/>
    <n v="62"/>
    <n v="80"/>
    <n v="14.81"/>
    <s v="USA"/>
    <s v="Colombia"/>
    <x v="0"/>
  </r>
  <r>
    <s v="Rwanda Humure Abishyizehamwe Low-Oxygen Natural"/>
    <n v="94"/>
    <s v="Light"/>
    <n v="62"/>
    <n v="84"/>
    <n v="8.16"/>
    <s v="USA"/>
    <s v="Rwanda"/>
    <x v="1"/>
  </r>
  <r>
    <s v="Candy Crush"/>
    <n v="94"/>
    <s v="Light"/>
    <n v="64"/>
    <n v="86"/>
    <n v="153.85"/>
    <s v="Taiwan"/>
    <s v="Ethiopia"/>
    <x v="1"/>
  </r>
  <r>
    <s v="Panama Clara Finca Auromar"/>
    <n v="94"/>
    <s v="Medium Light"/>
    <n v="60"/>
    <n v="79"/>
    <n v="136.68"/>
    <s v="Taiwan"/>
    <s v="Panama"/>
    <x v="0"/>
  </r>
  <r>
    <s v="Kona Geisha Peaberry Yeast Fermentation Washed"/>
    <n v="95"/>
    <s v="Light"/>
    <n v="59"/>
    <n v="84"/>
    <n v="70.55"/>
    <s v="USA"/>
    <s v="USA"/>
    <x v="0"/>
  </r>
  <r>
    <s v="Colombia Finca La Secreta Lychee Caturra Anaerobic"/>
    <n v="94"/>
    <s v="Light"/>
    <n v="62"/>
    <n v="84"/>
    <n v="8.82"/>
    <s v="USA"/>
    <s v="Colombia"/>
    <x v="0"/>
  </r>
  <r>
    <s v="Colombia Lychee Co-Ferment"/>
    <n v="94"/>
    <s v="Medium Light"/>
    <n v="59"/>
    <n v="81"/>
    <n v="9.92"/>
    <s v="USA"/>
    <s v="Colombia"/>
    <x v="0"/>
  </r>
  <r>
    <s v="Reserve Costa Rica Don Noel SL28"/>
    <n v="94"/>
    <s v="Light"/>
    <n v="60"/>
    <n v="82"/>
    <n v="8.23"/>
    <s v="USA"/>
    <s v="Costa Rica"/>
    <x v="0"/>
  </r>
  <r>
    <s v="Ethiopia Rumadamo Anaerobic Washed"/>
    <n v="96"/>
    <s v="Light"/>
    <n v="66"/>
    <n v="91"/>
    <n v="16.170000000000002"/>
    <s v="USA"/>
    <s v="Ethiopia"/>
    <x v="1"/>
  </r>
  <r>
    <s v="Ethiopia Djimma Limu Gummay Baby Geisha G1 Washed"/>
    <n v="96"/>
    <s v="Light"/>
    <n v="67"/>
    <n v="90"/>
    <n v="300"/>
    <s v="Taiwan"/>
    <s v="Ethiopia"/>
    <x v="1"/>
  </r>
  <r>
    <s v="La Papaya Pacamara Natural Ecuador"/>
    <n v="94"/>
    <s v="Light"/>
    <n v="60"/>
    <n v="84"/>
    <n v="9.6999999999999993"/>
    <s v="USA"/>
    <s v="Ecuador"/>
    <x v="0"/>
  </r>
  <r>
    <s v="Palo de Rosa Pink Bourbon Colombia"/>
    <n v="94"/>
    <s v="Medium Light"/>
    <n v="61"/>
    <n v="79"/>
    <n v="9.6999999999999993"/>
    <s v="USA"/>
    <s v="Colombia"/>
    <x v="0"/>
  </r>
  <r>
    <s v="Java Argopuro Mountain Natural SOE"/>
    <n v="94"/>
    <s v="Medium Light"/>
    <n v="56"/>
    <n v="79"/>
    <n v="7.94"/>
    <s v="USA"/>
    <s v="Indonesia"/>
    <x v="2"/>
  </r>
  <r>
    <s v="Rwanda Rambagirakawa"/>
    <n v="94"/>
    <s v="Medium Light"/>
    <n v="59"/>
    <n v="77"/>
    <n v="7.64"/>
    <s v="USA"/>
    <s v="Rwanda"/>
    <x v="1"/>
  </r>
  <r>
    <s v="Colombia Rigoberto Herrera Granja La Esperanza Hybrid Washed Gesha"/>
    <n v="95"/>
    <s v="Light"/>
    <n v="66"/>
    <n v="90"/>
    <n v="24"/>
    <s v="USA"/>
    <s v="Colombia"/>
    <x v="0"/>
  </r>
  <r>
    <s v="Colombia El Diviso"/>
    <n v="94"/>
    <s v="Light"/>
    <n v="75"/>
    <n v="90"/>
    <n v="396.83"/>
    <s v="Taiwan"/>
    <s v="Colombia"/>
    <x v="0"/>
  </r>
  <r>
    <s v="Colombia Limited Release 2024"/>
    <n v="94"/>
    <s v="Light"/>
    <n v="66"/>
    <n v="83"/>
    <n v="10.58"/>
    <s v="USA"/>
    <s v="Colombia"/>
    <x v="0"/>
  </r>
  <r>
    <s v="Colombia Wilton Benitez Orange Bourbon"/>
    <n v="94"/>
    <s v="Light"/>
    <n v="62"/>
    <n v="84"/>
    <n v="22.49"/>
    <s v="USA"/>
    <s v="Colombia"/>
    <x v="0"/>
  </r>
  <r>
    <s v="Colombia El Vergel #1"/>
    <n v="95"/>
    <s v="Light"/>
    <n v="62"/>
    <n v="80"/>
    <n v="4.41"/>
    <s v="USA"/>
    <s v="Colombia"/>
    <x v="0"/>
  </r>
  <r>
    <s v="Colombia Luna Azul"/>
    <n v="94"/>
    <s v="Light"/>
    <n v="66"/>
    <n v="88"/>
    <n v="7.35"/>
    <s v="USA"/>
    <s v="Colombia"/>
    <x v="0"/>
  </r>
  <r>
    <s v="Colombia Cauca Castillo K-01"/>
    <n v="94"/>
    <s v="Medium Light"/>
    <n v="59"/>
    <n v="82"/>
    <n v="15.87"/>
    <s v="USA"/>
    <s v="Colombia"/>
    <x v="0"/>
  </r>
  <r>
    <s v="Ethiopia Sidama G4 Wamena Natural Espresso"/>
    <n v="94"/>
    <s v="Medium Light"/>
    <n v="59"/>
    <n v="81"/>
    <n v="127.75"/>
    <s v="Taiwan"/>
    <s v="Ethiopia"/>
    <x v="1"/>
  </r>
  <r>
    <s v="Colombia El Paraiso Lychee Rose"/>
    <n v="94"/>
    <s v="Light"/>
    <n v="65"/>
    <n v="87"/>
    <n v="500"/>
    <s v="Taiwan"/>
    <s v="Colombia"/>
    <x v="0"/>
  </r>
  <r>
    <s v="Colombia Cauca Finca EI Paraiso 92 Pink Bourbon"/>
    <n v="95"/>
    <s v="Light"/>
    <n v="66"/>
    <n v="92"/>
    <n v="300"/>
    <s v="Taiwan"/>
    <s v="Colombia"/>
    <x v="0"/>
  </r>
  <r>
    <s v="Kona Geisha Washed"/>
    <n v="96"/>
    <s v="Light"/>
    <n v="64"/>
    <n v="86"/>
    <n v="88.18"/>
    <s v="USA"/>
    <s v="USA"/>
    <x v="0"/>
  </r>
  <r>
    <s v="Karen J Kona Red Bourbon Anaerobic"/>
    <n v="95"/>
    <s v="Medium Light"/>
    <n v="58"/>
    <n v="82"/>
    <n v="24.23"/>
    <s v="USA"/>
    <s v="USA"/>
    <x v="0"/>
  </r>
  <r>
    <s v="Ethiopia Kayon Mountain"/>
    <n v="95"/>
    <s v="Light"/>
    <n v="65"/>
    <n v="86"/>
    <n v="7.05"/>
    <s v="USA"/>
    <s v="Ethiopia"/>
    <x v="1"/>
  </r>
  <r>
    <s v="Ethiopia Yirgacheffe Chelchele Washed G1"/>
    <n v="94"/>
    <s v="Light"/>
    <n v="62"/>
    <n v="86"/>
    <n v="145.06"/>
    <s v="Taiwan"/>
    <s v="Ethiopia"/>
    <x v="1"/>
  </r>
  <r>
    <s v="Kenya Nyeri Hill"/>
    <n v="94"/>
    <s v="Light"/>
    <n v="62"/>
    <n v="80"/>
    <n v="6.47"/>
    <s v="USA"/>
    <s v="Kenya"/>
    <x v="1"/>
  </r>
  <r>
    <s v="Colombia Wilder Lasso Geisha Lot 2 Anaerobic Washed"/>
    <n v="95"/>
    <s v="Light"/>
    <n v="66"/>
    <n v="103"/>
    <n v="26.67"/>
    <s v="USA"/>
    <s v="Colombia"/>
    <x v="0"/>
  </r>
  <r>
    <s v="Dragon Strong Espresso"/>
    <n v="94"/>
    <s v="Medium"/>
    <n v="45"/>
    <n v="62"/>
    <n v="286.33999999999997"/>
    <s v="Taiwan"/>
    <s v="Costa Rica"/>
    <x v="0"/>
  </r>
  <r>
    <s v="Ethiopia Sidama Bombe Tadisa"/>
    <n v="94"/>
    <s v="Light"/>
    <n v="68"/>
    <n v="90"/>
    <n v="195"/>
    <s v="Taiwan"/>
    <s v="Ethiopia"/>
    <x v="1"/>
  </r>
  <r>
    <s v="Riripa Ethiopia"/>
    <n v="95"/>
    <s v="Light"/>
    <n v="60"/>
    <n v="84"/>
    <n v="5.88"/>
    <s v="USA"/>
    <s v="Ethiopia"/>
    <x v="1"/>
  </r>
  <r>
    <s v="Ethiopia Washed Guji Uraga Haro Adama"/>
    <n v="95"/>
    <s v="Light"/>
    <n v="64"/>
    <n v="86"/>
    <n v="123.46"/>
    <s v="Taiwan"/>
    <s v="Ethiopia"/>
    <x v="1"/>
  </r>
  <r>
    <s v="Ethiopia Washed Kaffa Lot Rich Espresso"/>
    <n v="94"/>
    <s v="Medium Light"/>
    <n v="58"/>
    <n v="78"/>
    <n v="88.18"/>
    <s v="Taiwan"/>
    <s v="Ethiopia"/>
    <x v="1"/>
  </r>
  <r>
    <s v="Ethiopia Washed Kaffa Lot Taco"/>
    <n v="94"/>
    <s v="Light"/>
    <n v="64"/>
    <n v="82"/>
    <n v="110.23"/>
    <s v="Taiwan"/>
    <s v="Ethiopia"/>
    <x v="1"/>
  </r>
  <r>
    <s v="Ethiopia Natural Sidama Karamo Niguse Gemeda 74158"/>
    <n v="94"/>
    <s v="Light"/>
    <n v="62"/>
    <n v="84"/>
    <n v="136.68"/>
    <s v="Taiwan"/>
    <s v="Ethiopia"/>
    <x v="1"/>
  </r>
  <r>
    <s v="Rainy Season in Fort Zeelandia Espresso Blend"/>
    <n v="94"/>
    <s v="Medium Light"/>
    <n v="56"/>
    <n v="74"/>
    <n v="141.09"/>
    <s v="Taiwan"/>
    <s v="Guatemala"/>
    <x v="0"/>
  </r>
  <r>
    <s v="Kenya Nyeri Kianjogu AA TOP Washed"/>
    <n v="94"/>
    <s v="Light"/>
    <n v="62"/>
    <n v="82"/>
    <n v="176.37"/>
    <s v="Taiwan"/>
    <s v="Kenya"/>
    <x v="1"/>
  </r>
  <r>
    <s v="Colombia La Esperanza Red Bourbon"/>
    <n v="94"/>
    <s v="Light"/>
    <n v="64"/>
    <n v="82"/>
    <n v="5.59"/>
    <s v="USA"/>
    <s v="Colombia"/>
    <x v="0"/>
  </r>
  <r>
    <s v="Guatemala Finca Al Bosque"/>
    <n v="94"/>
    <s v="Medium Light"/>
    <n v="60"/>
    <n v="78"/>
    <n v="5.59"/>
    <s v="USA"/>
    <s v="Guatemala"/>
    <x v="0"/>
  </r>
  <r>
    <s v="Marcela Gesha Espresso"/>
    <n v="95"/>
    <s v="Light"/>
    <n v="67"/>
    <n v="88"/>
    <n v="21.6"/>
    <s v="USA"/>
    <s v="Colombia"/>
    <x v="0"/>
  </r>
  <r>
    <s v="Colombia Paraiso 92 Double Anaerobic"/>
    <n v="95"/>
    <s v="Medium Light"/>
    <n v="52"/>
    <n v="74"/>
    <n v="215"/>
    <s v="Taiwan"/>
    <s v="Colombia"/>
    <x v="0"/>
  </r>
  <r>
    <s v="Colombia Sierra Morena Pink Bourbon"/>
    <n v="95"/>
    <s v="Light"/>
    <n v="60"/>
    <n v="84"/>
    <n v="7.35"/>
    <s v="USA"/>
    <s v="Colombia"/>
    <x v="0"/>
  </r>
  <r>
    <s v="Ethiopia Growers Reserve Gesha Village Gaylee Special Fermentation"/>
    <n v="94"/>
    <s v="Light"/>
    <n v="65"/>
    <n v="85"/>
    <n v="396.48"/>
    <s v="Taiwan"/>
    <s v="Ethiopia"/>
    <x v="1"/>
  </r>
  <r>
    <s v="Ethiopia Anaerobic Washed G1 Wild Rose S.O. Sidamo"/>
    <n v="94"/>
    <s v="Light"/>
    <n v="62"/>
    <n v="83"/>
    <n v="282.61"/>
    <s v="Taiwan"/>
    <s v="Ethiopia"/>
    <x v="1"/>
  </r>
  <r>
    <s v="Colombia Buenavista Ataraxia Geisha"/>
    <n v="94"/>
    <s v="Medium"/>
    <n v="50"/>
    <n v="65"/>
    <n v="8.82"/>
    <s v="Taiwan"/>
    <s v="Colombia"/>
    <x v="0"/>
  </r>
  <r>
    <s v="Kona Espresso Special Selection"/>
    <n v="94"/>
    <s v="Medium Light"/>
    <n v="58"/>
    <n v="74"/>
    <n v="30.84"/>
    <s v="USA"/>
    <s v="USA"/>
    <x v="0"/>
  </r>
  <r>
    <s v="El Salvador Finca Loma La Gloria Natural Process вЂњUnicorn LotвЂќ"/>
    <n v="94"/>
    <s v="Light"/>
    <n v="66"/>
    <n v="97"/>
    <n v="5.88"/>
    <s v="USA"/>
    <s v="El Salvador"/>
    <x v="0"/>
  </r>
  <r>
    <s v="Colombia El Diviso Nestor Lasso Sidra Anaerobic Washed"/>
    <n v="94"/>
    <s v="Medium Light"/>
    <n v="57"/>
    <n v="74"/>
    <n v="352.42"/>
    <s v="Taiwan"/>
    <s v="Colombia"/>
    <x v="0"/>
  </r>
  <r>
    <s v="Colombia Red Fruits Campo Hermosa Edwin NoreГ±a"/>
    <n v="94"/>
    <s v="Light"/>
    <n v="62"/>
    <n v="81"/>
    <n v="11.76"/>
    <s v="USA"/>
    <s v="Colombia"/>
    <x v="0"/>
  </r>
  <r>
    <s v="Juru Rwanda Rulindo Red Bourbon Honey"/>
    <n v="94"/>
    <s v="Medium"/>
    <n v="40"/>
    <n v="67"/>
    <n v="244.44"/>
    <s v="Taiwan"/>
    <s v="Rwanda"/>
    <x v="1"/>
  </r>
  <r>
    <s v="Colombia Granja Paraiso-92 Castillo"/>
    <n v="94"/>
    <s v="Light"/>
    <n v="62"/>
    <n v="84"/>
    <n v="8.82"/>
    <s v="USA"/>
    <s v="Colombia"/>
    <x v="0"/>
  </r>
  <r>
    <s v="Ethiopia Dame Dabaye"/>
    <n v="94"/>
    <s v="Medium"/>
    <n v="41"/>
    <n v="76"/>
    <n v="6.47"/>
    <s v="USA"/>
    <s v="Ethiopia"/>
    <x v="1"/>
  </r>
  <r>
    <s v="Colombia Red Honey Geisha Campo Hermoso"/>
    <n v="95"/>
    <s v="Light"/>
    <n v="59"/>
    <n v="86"/>
    <n v="9.41"/>
    <s v="USA"/>
    <s v="Colombia"/>
    <x v="0"/>
  </r>
  <r>
    <s v="Ethiopia Sidama Karamo Anaerobic Natural"/>
    <n v="94"/>
    <s v="Medium Light"/>
    <n v="54"/>
    <n v="78"/>
    <n v="8.52"/>
    <s v="USA"/>
    <s v="Ethiopia"/>
    <x v="1"/>
  </r>
  <r>
    <s v="Colombia Chiroso Caturra Washed"/>
    <n v="95"/>
    <s v="Light"/>
    <n v="65"/>
    <n v="81"/>
    <n v="12"/>
    <s v="USA"/>
    <s v="Colombia"/>
    <x v="0"/>
  </r>
  <r>
    <s v="Kona SL 34 Anaerobic Washed Kona Rainforest"/>
    <n v="95"/>
    <s v="Light"/>
    <n v="65"/>
    <n v="81"/>
    <n v="52.91"/>
    <s v="USA"/>
    <s v="USA"/>
    <x v="0"/>
  </r>
  <r>
    <s v="Colombia Yellow Geisha Granja Paraiso 92"/>
    <n v="94"/>
    <s v="Light"/>
    <n v="64"/>
    <n v="84"/>
    <n v="35.270000000000003"/>
    <s v="USA"/>
    <s v="Colombia"/>
    <x v="0"/>
  </r>
  <r>
    <s v="Yaye Chericho Ethiopia Espresso"/>
    <n v="95"/>
    <s v="Medium Light"/>
    <n v="60"/>
    <n v="78"/>
    <n v="9.6999999999999993"/>
    <s v="USA"/>
    <s v="Ethiopia"/>
    <x v="1"/>
  </r>
  <r>
    <s v="Colombia ChachagГјГ­ Mild Roast"/>
    <n v="94"/>
    <s v="Light"/>
    <n v="64"/>
    <n v="86"/>
    <n v="6.17"/>
    <s v="USA"/>
    <s v="Colombia"/>
    <x v="0"/>
  </r>
  <r>
    <s v="Colombia Thermal Shock Double Anaerobic Granja Paraiso Orange Gesha"/>
    <n v="95"/>
    <s v="Light"/>
    <n v="64"/>
    <n v="80"/>
    <n v="396.83"/>
    <s v="Taiwan"/>
    <s v="Colombia"/>
    <x v="0"/>
  </r>
  <r>
    <s v="Kenya Nyeri Hill Estate AA Top Espresso"/>
    <n v="94"/>
    <s v="Medium Light"/>
    <n v="60"/>
    <n v="80"/>
    <n v="127.87"/>
    <s v="Taiwan"/>
    <s v="Kenya"/>
    <x v="1"/>
  </r>
  <r>
    <s v="Colombia Granja Paraiso 92 Anaerobic Gesha"/>
    <n v="94"/>
    <s v="Light"/>
    <n v="62"/>
    <n v="84"/>
    <n v="396.83"/>
    <s v="Taiwan"/>
    <s v="Colombia"/>
    <x v="0"/>
  </r>
  <r>
    <s v="Putra Gayo Sumatra Espresso"/>
    <n v="95"/>
    <s v="Medium Light"/>
    <n v="59"/>
    <n v="77"/>
    <n v="6.76"/>
    <s v="USA"/>
    <s v="Indonesia"/>
    <x v="2"/>
  </r>
  <r>
    <s v="Colombia Paraiso 92 Geisha Double Anaerobic"/>
    <n v="95"/>
    <s v="Light"/>
    <n v="62"/>
    <n v="82"/>
    <n v="375"/>
    <s v="Taiwan"/>
    <s v="Colombia"/>
    <x v="0"/>
  </r>
  <r>
    <s v="Kenya Blackberry Honey"/>
    <n v="94"/>
    <s v="Light"/>
    <n v="62"/>
    <n v="80"/>
    <n v="175"/>
    <s v="Taiwan"/>
    <s v="Kenya"/>
    <x v="1"/>
  </r>
  <r>
    <s v="Putra Gayo Sumatra"/>
    <n v="94"/>
    <s v="Medium Light"/>
    <n v="59"/>
    <n v="77"/>
    <n v="6.76"/>
    <s v="USA"/>
    <s v="Indonesia"/>
    <x v="2"/>
  </r>
  <r>
    <s v="Ethiopia Sidamo HeidenrГ¶slein Anaerobic Washed G1"/>
    <n v="94"/>
    <s v="Light"/>
    <n v="67"/>
    <n v="86"/>
    <n v="154.19"/>
    <s v="Taiwan"/>
    <s v="Ethiopia"/>
    <x v="1"/>
  </r>
  <r>
    <s v="Kenya Gachika"/>
    <n v="94"/>
    <s v="Light"/>
    <n v="62"/>
    <n v="80"/>
    <n v="6.17"/>
    <s v="USA"/>
    <s v="Kenya"/>
    <x v="1"/>
  </r>
  <r>
    <s v="Ethiopia Agaro Duromina"/>
    <n v="94"/>
    <s v="Medium Light"/>
    <n v="58"/>
    <n v="77"/>
    <n v="7.64"/>
    <s v="USA"/>
    <s v="Ethiopia"/>
    <x v="1"/>
  </r>
  <r>
    <s v="Hey Much Espresso Blend"/>
    <n v="94"/>
    <s v="Medium Light"/>
    <n v="56"/>
    <n v="80"/>
    <n v="99.21"/>
    <s v="Taiwan"/>
    <s v="Colombia"/>
    <x v="0"/>
  </r>
  <r>
    <s v="Ethiopia Black Honey Guji Wate Lot Tabby"/>
    <n v="94"/>
    <s v="Light"/>
    <n v="63"/>
    <n v="81"/>
    <n v="149.91"/>
    <s v="Taiwan"/>
    <s v="Ethiopia"/>
    <x v="1"/>
  </r>
  <r>
    <s v="Finca Vista Hermosa EdwinвЂ™s Reserve Guatemala"/>
    <n v="94"/>
    <s v="Light"/>
    <n v="63"/>
    <n v="81"/>
    <n v="6.27"/>
    <s v="USA"/>
    <s v="Guatemala"/>
    <x v="0"/>
  </r>
  <r>
    <s v="Costa Rica Las Lajas Perla Negra"/>
    <n v="95"/>
    <s v="Medium Light"/>
    <n v="58"/>
    <n v="80"/>
    <n v="5.57"/>
    <s v="USA"/>
    <s v="Costa Rica"/>
    <x v="0"/>
  </r>
  <r>
    <s v="Kenya AA Top Gicherori Espresso"/>
    <n v="95"/>
    <s v="Medium"/>
    <n v="44"/>
    <n v="62"/>
    <n v="275"/>
    <s v="Taiwan"/>
    <s v="Kenya"/>
    <x v="1"/>
  </r>
  <r>
    <s v="Kagunyu Kenya"/>
    <n v="94"/>
    <s v="Medium Light"/>
    <n v="60"/>
    <n v="78"/>
    <n v="6.47"/>
    <s v="USA"/>
    <s v="Kenya"/>
    <x v="1"/>
  </r>
  <r>
    <s v="Colombia Finca Milan Washed Nitro Caturra"/>
    <n v="95"/>
    <s v="Light"/>
    <n v="64"/>
    <n v="84"/>
    <n v="9.41"/>
    <s v="USA"/>
    <s v="Colombia"/>
    <x v="0"/>
  </r>
  <r>
    <s v="Ethiopia JemJem"/>
    <n v="94"/>
    <s v="Light"/>
    <n v="62"/>
    <n v="80"/>
    <n v="7.05"/>
    <s v="USA"/>
    <s v="Ethiopia"/>
    <x v="1"/>
  </r>
  <r>
    <s v="Guatemala La Esperanza Anaerobic"/>
    <n v="94"/>
    <s v="Light"/>
    <n v="64"/>
    <n v="86"/>
    <n v="7.05"/>
    <s v="USA"/>
    <s v="Guatemala"/>
    <x v="0"/>
  </r>
  <r>
    <s v="Sumatra Pantan Musara"/>
    <n v="94"/>
    <s v="Medium Light"/>
    <n v="60"/>
    <n v="78"/>
    <n v="6.47"/>
    <s v="USA"/>
    <s v="Indonesia"/>
    <x v="2"/>
  </r>
  <r>
    <s v="Costa Rica Candelilla Gesha"/>
    <n v="94"/>
    <s v="Light"/>
    <n v="64"/>
    <n v="84"/>
    <n v="10.29"/>
    <s v="USA"/>
    <s v="Costa Rica"/>
    <x v="0"/>
  </r>
  <r>
    <s v="Kona Red Bourbon Anaerobic Washed Kona Rainforest"/>
    <n v="95"/>
    <s v="Light"/>
    <n v="60"/>
    <n v="82"/>
    <n v="52.91"/>
    <s v="USA"/>
    <s v="USA"/>
    <x v="0"/>
  </r>
  <r>
    <s v="Colombia Geisha Claudia Samboni"/>
    <n v="95"/>
    <s v="Medium Light"/>
    <n v="61"/>
    <n v="80"/>
    <n v="8.82"/>
    <s v="USA"/>
    <s v="Colombia"/>
    <x v="0"/>
  </r>
  <r>
    <s v="Ethiopia Ethiopia Limu Baby Geisha Natural"/>
    <n v="94"/>
    <s v="Medium Light"/>
    <n v="56"/>
    <n v="84"/>
    <n v="190"/>
    <s v="Taiwan"/>
    <s v="Ethiopia"/>
    <x v="1"/>
  </r>
  <r>
    <s v="Panama Hacienda La Esmeralda Ethiopian Accessions"/>
    <n v="94"/>
    <s v="Light"/>
    <n v="65"/>
    <n v="84"/>
    <n v="35.270000000000003"/>
    <s v="USA"/>
    <s v="Panama"/>
    <x v="0"/>
  </r>
  <r>
    <s v="Yellow"/>
    <n v="94"/>
    <s v="Light"/>
    <n v="74"/>
    <n v="100"/>
    <n v="6.32"/>
    <s v="USA"/>
    <s v="Ethiopia"/>
    <x v="1"/>
  </r>
  <r>
    <s v="Kona Noir"/>
    <n v="95"/>
    <s v="Light"/>
    <n v="62"/>
    <n v="84"/>
    <n v="20.81"/>
    <s v="USA"/>
    <s v="USA"/>
    <x v="0"/>
  </r>
  <r>
    <s v="LauraвЂ™s Reserve SL34"/>
    <n v="97"/>
    <s v="Light"/>
    <n v="62"/>
    <n v="80"/>
    <n v="30.84"/>
    <s v="USA"/>
    <s v="Unknown"/>
    <x v="3"/>
  </r>
  <r>
    <s v="Panama Mokkita Natural Mama Cata Estate"/>
    <n v="96"/>
    <s v="Light"/>
    <n v="64"/>
    <n v="82"/>
    <n v="220.46"/>
    <s v="USA"/>
    <s v="Panama"/>
    <x v="0"/>
  </r>
  <r>
    <s v="KaвЂЕ« Cloud Maragogipe"/>
    <n v="95"/>
    <s v="Medium Light"/>
    <n v="58"/>
    <n v="76"/>
    <n v="25.57"/>
    <s v="USA"/>
    <s v="USA"/>
    <x v="0"/>
  </r>
  <r>
    <s v="Geisha Champagne"/>
    <n v="94"/>
    <s v="Medium Light"/>
    <n v="58"/>
    <n v="77"/>
    <n v="72.31"/>
    <s v="USA"/>
    <s v="Unknown"/>
    <x v="3"/>
  </r>
  <r>
    <s v="JN Farms Double Anaerobic Red Bourbon"/>
    <n v="94"/>
    <s v="Light"/>
    <n v="64"/>
    <n v="82"/>
    <n v="14.11"/>
    <s v="USA"/>
    <s v="Unknown"/>
    <x v="3"/>
  </r>
  <r>
    <s v="KaвЂЕ« Classic Peaberry"/>
    <n v="94"/>
    <s v="Medium Light"/>
    <n v="58"/>
    <n v="74"/>
    <n v="15.12"/>
    <s v="USA"/>
    <s v="USA"/>
    <x v="0"/>
  </r>
  <r>
    <s v="100% Kona Typica"/>
    <n v="94"/>
    <s v="Medium Light"/>
    <n v="58"/>
    <n v="80"/>
    <n v="14.08"/>
    <s v="USA"/>
    <s v="USA"/>
    <x v="0"/>
  </r>
  <r>
    <s v="Colombia 510 Elegante Natural Geisha"/>
    <n v="95"/>
    <s v="Light"/>
    <n v="62"/>
    <n v="82"/>
    <n v="8.82"/>
    <s v="USA"/>
    <s v="Colombia"/>
    <x v="0"/>
  </r>
  <r>
    <s v="Colombia Turron"/>
    <n v="94"/>
    <s v="Medium Light"/>
    <n v="58"/>
    <n v="78"/>
    <n v="8.82"/>
    <s v="USA"/>
    <s v="Colombia"/>
    <x v="0"/>
  </r>
  <r>
    <s v="Black Geisha Blend Lab 18 Espresso"/>
    <n v="94"/>
    <s v="Medium"/>
    <n v="43"/>
    <n v="61"/>
    <n v="17.64"/>
    <s v="Taiwan"/>
    <s v="Ethiopia"/>
    <x v="1"/>
  </r>
  <r>
    <s v="Ethiopia Layo Teraga"/>
    <n v="95"/>
    <s v="Light"/>
    <n v="62"/>
    <n v="80"/>
    <n v="6.76"/>
    <s v="USA"/>
    <s v="Ethiopia"/>
    <x v="1"/>
  </r>
  <r>
    <s v="Ethiopia Reko Yirgacheffe"/>
    <n v="94"/>
    <s v="Medium Light"/>
    <n v="58"/>
    <n v="76"/>
    <n v="7.2"/>
    <s v="USA"/>
    <s v="Ethiopia"/>
    <x v="1"/>
  </r>
  <r>
    <s v="Colombia Huila El Diviso Nestor Lasso Geisha Washed"/>
    <n v="95"/>
    <s v="Light"/>
    <n v="66"/>
    <n v="84"/>
    <n v="343.61"/>
    <s v="Taiwan"/>
    <s v="Colombia"/>
    <x v="0"/>
  </r>
  <r>
    <s v="Ethiopia Bensa Bombe"/>
    <n v="94"/>
    <s v="Light"/>
    <n v="64"/>
    <n v="86"/>
    <n v="88.18"/>
    <s v="Taiwan"/>
    <s v="Ethiopia"/>
    <x v="1"/>
  </r>
  <r>
    <s v="Colombia  NariГ±o Villa Maria La Chorrera Geisha Washed"/>
    <n v="94"/>
    <s v="Medium Light"/>
    <n v="60"/>
    <n v="76"/>
    <n v="312.77999999999997"/>
    <s v="Taiwan"/>
    <s v="Colombia"/>
    <x v="0"/>
  </r>
  <r>
    <s v="Kenya Kirinyaga County Gikirima Factory TOP PB"/>
    <n v="94"/>
    <s v="Medium Light"/>
    <n v="60"/>
    <n v="78"/>
    <n v="105.73"/>
    <s v="Taiwan"/>
    <s v="Kenya"/>
    <x v="1"/>
  </r>
  <r>
    <s v="Colombia Huila Finca Buena Vista Geisha Washed"/>
    <n v="94"/>
    <s v="Medium Light"/>
    <n v="60"/>
    <n v="80"/>
    <n v="286.33999999999997"/>
    <s v="Taiwan"/>
    <s v="Colombia"/>
    <x v="0"/>
  </r>
  <r>
    <s v="Wilton Benitez Geisha"/>
    <n v="96"/>
    <s v="Light"/>
    <n v="62"/>
    <n v="80"/>
    <n v="11.9"/>
    <s v="USA"/>
    <s v="Colombia"/>
    <x v="0"/>
  </r>
  <r>
    <s v="Ethiopia Natural Guji Blue Donkey 23/02"/>
    <n v="95"/>
    <s v="Medium Light"/>
    <n v="62"/>
    <n v="78"/>
    <n v="143.30000000000001"/>
    <s v="Taiwan"/>
    <s v="Ethiopia"/>
    <x v="1"/>
  </r>
  <r>
    <s v="Ethiopia Natural Sidama Arbegona Bochessa"/>
    <n v="95"/>
    <s v="Light"/>
    <n v="64"/>
    <n v="86"/>
    <n v="143.30000000000001"/>
    <s v="Taiwan"/>
    <s v="Ethiopia"/>
    <x v="1"/>
  </r>
  <r>
    <s v="Peru Natural Villa Rica Espresso"/>
    <n v="94"/>
    <s v="Medium Light"/>
    <n v="58"/>
    <n v="78"/>
    <n v="110.23"/>
    <s v="Taiwan"/>
    <s v="Peru"/>
    <x v="0"/>
  </r>
  <r>
    <s v="Costa Rica TIM Washed Don Eli Catuai"/>
    <n v="94"/>
    <s v="Medium Light"/>
    <n v="58"/>
    <n v="74"/>
    <n v="238.1"/>
    <s v="Taiwan"/>
    <s v="Costa Rica"/>
    <x v="0"/>
  </r>
  <r>
    <s v="Ethiopia Natural Sidama Twakok Pearl Selection"/>
    <n v="94"/>
    <s v="Light"/>
    <n v="62"/>
    <n v="80"/>
    <n v="132.28"/>
    <s v="Taiwan"/>
    <s v="Ethiopia"/>
    <x v="1"/>
  </r>
  <r>
    <s v="Kenya Washed Uklili AA"/>
    <n v="94"/>
    <s v="Light"/>
    <n v="64"/>
    <n v="86"/>
    <n v="143.30000000000001"/>
    <s v="Taiwan"/>
    <s v="Kenya"/>
    <x v="1"/>
  </r>
  <r>
    <s v="Peach-C Blend"/>
    <n v="94"/>
    <s v="Light"/>
    <n v="62"/>
    <n v="84"/>
    <n v="161.38"/>
    <s v="Taiwan"/>
    <s v="Colombia"/>
    <x v="0"/>
  </r>
  <r>
    <s v="Colombia Jaime Lopez"/>
    <n v="94"/>
    <s v="Light"/>
    <n v="62"/>
    <n v="82"/>
    <n v="11.76"/>
    <s v="USA"/>
    <s v="Colombia"/>
    <x v="0"/>
  </r>
  <r>
    <s v="Cordillera de Fuego Costa Rica"/>
    <n v="94"/>
    <s v="Medium Light"/>
    <n v="59"/>
    <n v="77"/>
    <n v="7.94"/>
    <s v="USA"/>
    <s v="Costa Rica"/>
    <x v="0"/>
  </r>
  <r>
    <s v="Nyeri Hill Kenya"/>
    <n v="94"/>
    <s v="Medium Light"/>
    <n v="56"/>
    <n v="74"/>
    <n v="6.47"/>
    <s v="USA"/>
    <s v="Kenya"/>
    <x v="1"/>
  </r>
  <r>
    <s v="Ethiopia Guji 74110 Natural"/>
    <n v="94"/>
    <s v="Light"/>
    <n v="64"/>
    <n v="86"/>
    <n v="242.29"/>
    <s v="Taiwan"/>
    <s v="Ethiopia"/>
    <x v="1"/>
  </r>
  <r>
    <s v="Good Tidings Sweet Holiday Blend"/>
    <n v="94"/>
    <s v="Medium Light"/>
    <n v="60"/>
    <n v="78"/>
    <n v="6.47"/>
    <s v="USA"/>
    <s v="Ethiopia"/>
    <x v="1"/>
  </r>
  <r>
    <s v="Kona Mokka Champagne Natural"/>
    <n v="95"/>
    <s v="Light"/>
    <n v="64"/>
    <n v="86"/>
    <n v="88.18"/>
    <s v="USA"/>
    <s v="USA"/>
    <x v="0"/>
  </r>
  <r>
    <s v="Ethiopia Banko Gotiti"/>
    <n v="94"/>
    <s v="Light"/>
    <n v="64"/>
    <n v="82"/>
    <n v="200"/>
    <s v="Taiwan"/>
    <s v="Ethiopia"/>
    <x v="1"/>
  </r>
  <r>
    <s v="O-Li-A Geisha Blend"/>
    <n v="94"/>
    <s v="Light"/>
    <n v="64"/>
    <n v="86"/>
    <n v="427.31"/>
    <s v="Taiwan"/>
    <s v="Ethiopia"/>
    <x v="1"/>
  </r>
  <r>
    <s v="Colombia Huila El Triunfo Pink Bourbon Anaerobic Washed"/>
    <n v="94"/>
    <s v="Medium Light"/>
    <n v="52"/>
    <n v="78"/>
    <n v="237.65"/>
    <s v="Taiwan"/>
    <s v="Colombia"/>
    <x v="0"/>
  </r>
  <r>
    <s v="Costa Rica VolcГЎn Azul Gesha Anaerobic Natural"/>
    <n v="94"/>
    <s v="Light"/>
    <n v="64"/>
    <n v="80"/>
    <n v="26.01"/>
    <s v="USA"/>
    <s v="Costa Rica"/>
    <x v="0"/>
  </r>
  <r>
    <s v="Chang-E The Moon Goddess Espresso"/>
    <n v="94"/>
    <s v="Medium"/>
    <n v="46"/>
    <n v="70"/>
    <n v="286.60000000000002"/>
    <s v="Taiwan"/>
    <s v="Ethiopia"/>
    <x v="1"/>
  </r>
  <r>
    <s v="GW03 Princesa Carmen Geisha"/>
    <n v="98"/>
    <s v="Medium Light"/>
    <n v="58"/>
    <n v="74"/>
    <n v="10"/>
    <s v="Taiwan"/>
    <s v="Panama"/>
    <x v="0"/>
  </r>
  <r>
    <s v="El Salvador Finca Loma La Gloria Yellow Honey"/>
    <n v="94"/>
    <s v="Medium Light"/>
    <n v="58"/>
    <n v="78"/>
    <n v="5.88"/>
    <s v="USA"/>
    <s v="El Salvador"/>
    <x v="0"/>
  </r>
  <r>
    <s v="Costa Rica La Laguna Lot вЂ” Reserve Series"/>
    <n v="94"/>
    <s v="Medium Light"/>
    <n v="60"/>
    <n v="78"/>
    <n v="6.76"/>
    <s v="USA"/>
    <s v="Costa Rica"/>
    <x v="0"/>
  </r>
  <r>
    <s v="Rwanda Silverback Plus Espresso"/>
    <n v="95"/>
    <s v="Light"/>
    <n v="48"/>
    <n v="689"/>
    <n v="352.73"/>
    <s v="Taiwan"/>
    <s v="Rwanda"/>
    <x v="1"/>
  </r>
  <r>
    <s v="Colombia El Paraiso Geisha Luna Washed"/>
    <n v="95"/>
    <s v="Light"/>
    <n v="70"/>
    <n v="85"/>
    <n v="27"/>
    <s v="Japan"/>
    <s v="Colombia"/>
    <x v="0"/>
  </r>
  <r>
    <s v="Costa Rica VolcГЎn Azul Gesha Anaerobic Natural"/>
    <n v="95"/>
    <s v="Light"/>
    <n v="66"/>
    <n v="82"/>
    <n v="11.46"/>
    <s v="USA"/>
    <s v="Costa Rica"/>
    <x v="0"/>
  </r>
  <r>
    <s v="Kona PointuВ®"/>
    <n v="97"/>
    <s v="Medium Light"/>
    <n v="52"/>
    <n v="72"/>
    <n v="30.84"/>
    <s v="USA"/>
    <s v="USA"/>
    <x v="0"/>
  </r>
  <r>
    <s v="Colombia Calderon Honey"/>
    <n v="96"/>
    <s v="Medium Light"/>
    <n v="60"/>
    <n v="78"/>
    <n v="9.48"/>
    <s v="USA"/>
    <s v="Colombia"/>
    <x v="0"/>
  </r>
  <r>
    <s v="Karen J Kona Red Bourbon"/>
    <n v="95"/>
    <s v="Medium Light"/>
    <n v="58"/>
    <n v="78"/>
    <n v="24.23"/>
    <s v="USA"/>
    <s v="USA"/>
    <x v="0"/>
  </r>
  <r>
    <s v="Wilton Benitez Colombia Sidra"/>
    <n v="96"/>
    <s v="Light"/>
    <n v="65"/>
    <n v="83"/>
    <n v="24"/>
    <s v="USA"/>
    <s v="Colombia"/>
    <x v="0"/>
  </r>
  <r>
    <s v="Peru Gilmer Cordova #13"/>
    <n v="95"/>
    <s v="Light"/>
    <n v="64"/>
    <n v="88"/>
    <n v="8.52"/>
    <s v="USA"/>
    <s v="Peru"/>
    <x v="0"/>
  </r>
  <r>
    <s v="Ethiopia Kayon Mountain"/>
    <n v="95"/>
    <s v="Light"/>
    <n v="64"/>
    <n v="84"/>
    <n v="7.05"/>
    <s v="USA"/>
    <s v="Ethiopia"/>
    <x v="1"/>
  </r>
  <r>
    <s v="Kenya Gichathaini"/>
    <n v="95"/>
    <s v="Light"/>
    <n v="62"/>
    <n v="80"/>
    <n v="7.64"/>
    <s v="USA"/>
    <s v="Kenya"/>
    <x v="1"/>
  </r>
  <r>
    <s v="Colombia Honey Sweet Rose"/>
    <n v="95"/>
    <s v="Light"/>
    <n v="62"/>
    <n v="80"/>
    <n v="229.28"/>
    <s v="Taiwan"/>
    <s v="Colombia"/>
    <x v="0"/>
  </r>
  <r>
    <s v="Colombia Santa Monica Castillo Honey Lulo"/>
    <n v="94"/>
    <s v="Light"/>
    <n v="74"/>
    <n v="90"/>
    <n v="14.55"/>
    <s v="USA"/>
    <s v="Colombia"/>
    <x v="0"/>
  </r>
  <r>
    <s v="Colombia Las Flores Red Bourbon Natural"/>
    <n v="94"/>
    <s v="Medium Light"/>
    <n v="60"/>
    <n v="78"/>
    <n v="8.8000000000000007"/>
    <s v="USA"/>
    <s v="Colombia"/>
    <x v="0"/>
  </r>
  <r>
    <s v="African Dance Espresso Blend"/>
    <n v="94"/>
    <s v="Medium Light"/>
    <n v="60"/>
    <n v="78"/>
    <n v="9.99"/>
    <s v="Taiwan"/>
    <s v="Guatemala"/>
    <x v="0"/>
  </r>
  <r>
    <s v="Sweetheart Blend Espresso"/>
    <n v="94"/>
    <s v="Medium Light"/>
    <n v="58"/>
    <n v="78"/>
    <n v="6.61"/>
    <s v="Taiwan"/>
    <s v="Guatemala"/>
    <x v="0"/>
  </r>
  <r>
    <s v="Kenya AA Kiri"/>
    <n v="95"/>
    <s v="Light"/>
    <n v="64"/>
    <n v="80"/>
    <n v="7.64"/>
    <s v="USA"/>
    <s v="Kenya"/>
    <x v="1"/>
  </r>
  <r>
    <s v="Guatemala Gesha"/>
    <n v="95"/>
    <s v="Medium Light"/>
    <n v="60"/>
    <n v="77"/>
    <n v="661.38"/>
    <s v="Taiwan"/>
    <s v="Guatemala"/>
    <x v="0"/>
  </r>
  <r>
    <s v="Gesha Village Ethiopia Gori Gesha"/>
    <n v="94"/>
    <s v="Light"/>
    <n v="62"/>
    <n v="80"/>
    <n v="198.41"/>
    <s v="Taiwan"/>
    <s v="Ethiopia"/>
    <x v="1"/>
  </r>
  <r>
    <s v="Kenya Machakos AA Top Washed"/>
    <n v="96"/>
    <s v="Light"/>
    <n v="62"/>
    <n v="82"/>
    <n v="180.34"/>
    <s v="Taiwan"/>
    <s v="Kenya"/>
    <x v="1"/>
  </r>
  <r>
    <s v="Indonesia Sumatra Raja Harimau Lintong Mandheling Espresso"/>
    <n v="95"/>
    <s v="Medium Light"/>
    <n v="58"/>
    <n v="77"/>
    <n v="114.64"/>
    <s v="Taiwan"/>
    <s v="Indonesia"/>
    <x v="2"/>
  </r>
  <r>
    <s v="Ethiopia Washed Guji Bishala 23/02"/>
    <n v="95"/>
    <s v="Medium Light"/>
    <n v="60"/>
    <n v="80"/>
    <n v="154.32"/>
    <s v="Taiwan"/>
    <s v="Ethiopia"/>
    <x v="1"/>
  </r>
  <r>
    <s v="Guatemala Washed Huehuetenango Joya Verde Espresso"/>
    <n v="94"/>
    <s v="Medium Light"/>
    <n v="58"/>
    <n v="79"/>
    <n v="97"/>
    <s v="Taiwan"/>
    <s v="Guatemala"/>
    <x v="0"/>
  </r>
  <r>
    <s v="Ethiopia Red Honey Guji Uraga Tabe Haro Wachu"/>
    <n v="94"/>
    <s v="Medium Light"/>
    <n v="58"/>
    <n v="78"/>
    <n v="149.91"/>
    <s v="Taiwan"/>
    <s v="Ethiopia"/>
    <x v="1"/>
  </r>
  <r>
    <s v="Ethiopia Natural Sidama Bare Tamiru"/>
    <n v="94"/>
    <s v="Light"/>
    <n v="64"/>
    <n v="78"/>
    <n v="171.96"/>
    <s v="Taiwan"/>
    <s v="Ethiopia"/>
    <x v="1"/>
  </r>
  <r>
    <s v="Colombia Wilton Benitez Thermal Shock Geisha"/>
    <n v="96"/>
    <s v="Medium Light"/>
    <n v="60"/>
    <n v="78"/>
    <n v="25.57"/>
    <s v="USA"/>
    <s v="Colombia"/>
    <x v="0"/>
  </r>
  <r>
    <s v="Colombia Wilton Benitez Thermal Shock Red Bourbon"/>
    <n v="95"/>
    <s v="Medium Light"/>
    <n v="60"/>
    <n v="78"/>
    <n v="16.75"/>
    <s v="USA"/>
    <s v="Colombia"/>
    <x v="0"/>
  </r>
  <r>
    <s v="Colombia Tolima Genius"/>
    <n v="94"/>
    <s v="Light"/>
    <n v="61"/>
    <n v="83"/>
    <n v="15.43"/>
    <s v="USA"/>
    <s v="Colombia"/>
    <x v="0"/>
  </r>
  <r>
    <s v="Colombia Wilton Benitez Thermal Shock Caturra"/>
    <n v="94"/>
    <s v="Medium Light"/>
    <n v="60"/>
    <n v="77"/>
    <n v="15.43"/>
    <s v="USA"/>
    <s v="Colombia"/>
    <x v="0"/>
  </r>
  <r>
    <s v="Ethiopia Natural Yirgacheffe Koke Shalaye Abraham Mengiste"/>
    <n v="94"/>
    <s v="Medium Light"/>
    <n v="60"/>
    <n v="76"/>
    <n v="176.37"/>
    <s v="Taiwan"/>
    <s v="Ethiopia"/>
    <x v="1"/>
  </r>
  <r>
    <s v="Kenya AA TOP Gicherori"/>
    <n v="97"/>
    <s v="Medium Light"/>
    <n v="60"/>
    <n v="78"/>
    <n v="275"/>
    <s v="Taiwan"/>
    <s v="Kenya"/>
    <x v="1"/>
  </r>
  <r>
    <s v="Panama Carmen Geisha Washed Light Roast"/>
    <n v="95"/>
    <s v="Light"/>
    <n v="62"/>
    <n v="82"/>
    <n v="12"/>
    <s v="Taiwan"/>
    <s v="Panama"/>
    <x v="0"/>
  </r>
  <r>
    <s v="Colombia Luna Azul"/>
    <n v="94"/>
    <s v="Medium Light"/>
    <n v="60"/>
    <n v="76"/>
    <n v="8.23"/>
    <s v="USA"/>
    <s v="Colombia"/>
    <x v="0"/>
  </r>
  <r>
    <s v="Mexico Los Aguacates"/>
    <n v="95"/>
    <s v="Light"/>
    <n v="65"/>
    <n v="82"/>
    <n v="12.35"/>
    <s v="USA"/>
    <s v="Mexico"/>
    <x v="0"/>
  </r>
  <r>
    <s v="Ethiopia Arbegona Natural 74158"/>
    <n v="95"/>
    <s v="Light"/>
    <n v="64"/>
    <n v="80"/>
    <n v="220.46"/>
    <s v="Taiwan"/>
    <s v="Ethiopia"/>
    <x v="1"/>
  </r>
  <r>
    <s v="Guatemala Nueva Granda Washed Laurina"/>
    <n v="94"/>
    <s v="Light"/>
    <n v="64"/>
    <n v="80"/>
    <n v="0.44"/>
    <s v="Taiwan"/>
    <s v="Guatemala"/>
    <x v="0"/>
  </r>
  <r>
    <s v="Ethiopia Shantawene Washed"/>
    <n v="96"/>
    <s v="Light"/>
    <n v="64"/>
    <n v="82"/>
    <n v="6.47"/>
    <s v="USA"/>
    <s v="Ethiopia"/>
    <x v="1"/>
  </r>
  <r>
    <s v="Kona MoccaВ®"/>
    <n v="95"/>
    <s v="Medium Light"/>
    <n v="58"/>
    <n v="74"/>
    <n v="49.8"/>
    <s v="USA"/>
    <s v="USA"/>
    <x v="0"/>
  </r>
  <r>
    <s v="Ethiopia Worka Sakaro Anaerobic Natural"/>
    <n v="96"/>
    <s v="Medium Light"/>
    <n v="60"/>
    <n v="78"/>
    <n v="6.76"/>
    <s v="USA"/>
    <s v="Ethiopia"/>
    <x v="1"/>
  </r>
  <r>
    <s v="Colombia Finca Chambaku"/>
    <n v="94"/>
    <s v="Light"/>
    <n v="62"/>
    <n v="80"/>
    <n v="7.05"/>
    <s v="USA"/>
    <s v="Colombia"/>
    <x v="0"/>
  </r>
  <r>
    <s v="Colombia La Siria Gesha"/>
    <n v="95"/>
    <s v="Medium Light"/>
    <n v="60"/>
    <n v="80"/>
    <n v="23.37"/>
    <s v="USA"/>
    <s v="Colombia"/>
    <x v="0"/>
  </r>
  <r>
    <s v="KaвЂЕ« Yellow Caturra Peaberry"/>
    <n v="94"/>
    <s v="Medium Light"/>
    <n v="60"/>
    <n v="77"/>
    <n v="22.05"/>
    <s v="USA"/>
    <s v="USA"/>
    <x v="0"/>
  </r>
  <r>
    <s v="Ethiopia Guji Hambela Tirtira Goyo Natural"/>
    <n v="94"/>
    <s v="Light"/>
    <n v="68"/>
    <n v="84"/>
    <n v="110.23"/>
    <s v="Taiwan"/>
    <s v="Ethiopia"/>
    <x v="1"/>
  </r>
  <r>
    <s v="El Salvador Unicorn"/>
    <n v="94"/>
    <s v="Medium Light"/>
    <n v="56"/>
    <n v="78"/>
    <n v="7.05"/>
    <s v="USA"/>
    <s v="El Salvador"/>
    <x v="0"/>
  </r>
  <r>
    <s v="Ethiopia Guji Euphora Special Honey Lot"/>
    <n v="94"/>
    <s v="Medium Light"/>
    <n v="58"/>
    <n v="72"/>
    <n v="5.29"/>
    <s v="Taiwan"/>
    <s v="Ethiopia"/>
    <x v="1"/>
  </r>
  <r>
    <s v="Ichamama Kenya"/>
    <n v="95"/>
    <s v="Medium Light"/>
    <n v="59"/>
    <n v="75"/>
    <n v="6.47"/>
    <s v="USA"/>
    <s v="Kenya"/>
    <x v="1"/>
  </r>
  <r>
    <s v="La Candelilla Geisha Natural Costa Rica"/>
    <n v="95"/>
    <s v="Medium Light"/>
    <n v="59"/>
    <n v="77"/>
    <n v="8.3800000000000008"/>
    <s v="USA"/>
    <s v="Costa Rica"/>
    <x v="0"/>
  </r>
  <r>
    <s v="El Lechero Peru"/>
    <n v="94"/>
    <s v="Medium Light"/>
    <n v="59"/>
    <n v="77"/>
    <n v="5.59"/>
    <s v="USA"/>
    <s v="Peru"/>
    <x v="0"/>
  </r>
  <r>
    <s v="Colombia El Roble Natural Carbonic Java"/>
    <n v="95"/>
    <s v="Light"/>
    <n v="63"/>
    <n v="81"/>
    <n v="13.67"/>
    <s v="USA"/>
    <s v="Colombia"/>
    <x v="0"/>
  </r>
  <r>
    <s v="Colombia Nestor Lasso Sidra"/>
    <n v="95"/>
    <s v="Light"/>
    <n v="62"/>
    <n v="83"/>
    <n v="14.55"/>
    <s v="USA"/>
    <s v="Colombia"/>
    <x v="0"/>
  </r>
  <r>
    <s v="Colombia Yeast Anaerobic Washed Las Flores Bourbon Sidra"/>
    <n v="95"/>
    <s v="Light"/>
    <n v="62"/>
    <n v="81"/>
    <n v="242.5"/>
    <s v="Taiwan"/>
    <s v="Colombia"/>
    <x v="0"/>
  </r>
  <r>
    <s v="Ecuador Cruz Loma Sidra Anaerobic Euphora Special Lot"/>
    <n v="95"/>
    <s v="Light"/>
    <n v="64"/>
    <n v="80"/>
    <n v="14.11"/>
    <s v="Taiwan"/>
    <s v="Ecuador"/>
    <x v="0"/>
  </r>
  <r>
    <s v="Colombia El Roble Chiroso Washed"/>
    <n v="94"/>
    <s v="Medium Light"/>
    <n v="58"/>
    <n v="78"/>
    <n v="325"/>
    <s v="Taiwan"/>
    <s v="Colombia"/>
    <x v="0"/>
  </r>
  <r>
    <s v="Guatemala El Injerto SL28"/>
    <n v="94"/>
    <s v="Medium Light"/>
    <n v="62"/>
    <n v="79"/>
    <n v="10.58"/>
    <s v="USA"/>
    <s v="Guatemala"/>
    <x v="0"/>
  </r>
  <r>
    <s v="Wilton Benitez Java"/>
    <n v="96"/>
    <s v="Medium Light"/>
    <n v="60"/>
    <n v="74"/>
    <n v="11.02"/>
    <s v="USA"/>
    <s v="Colombia"/>
    <x v="0"/>
  </r>
  <r>
    <s v="HWC Holy Melody Espresso Blend"/>
    <n v="94"/>
    <s v="Medium Light"/>
    <n v="57"/>
    <n v="77"/>
    <n v="17.64"/>
    <s v="Taiwan"/>
    <s v="Ethiopia"/>
    <x v="1"/>
  </r>
  <r>
    <s v="Panama Bambito Estate Geisha Anaerobic Natural"/>
    <n v="96"/>
    <s v="Light"/>
    <n v="65"/>
    <n v="90"/>
    <n v="39.68"/>
    <s v="USA"/>
    <s v="Panama"/>
    <x v="0"/>
  </r>
  <r>
    <s v="Ethiopia Natural Sidama 74158"/>
    <n v="96"/>
    <s v="Light"/>
    <n v="62"/>
    <n v="80"/>
    <n v="396.83"/>
    <s v="Taiwan"/>
    <s v="Ethiopia"/>
    <x v="1"/>
  </r>
  <r>
    <s v="Mr. DoddвЂ™s TeaTime Blend"/>
    <n v="95"/>
    <s v="Medium Light"/>
    <n v="56"/>
    <n v="72"/>
    <n v="143.30000000000001"/>
    <s v="Taiwan"/>
    <s v="Guatemala"/>
    <x v="0"/>
  </r>
  <r>
    <s v="Colombia Double Anaerobic Washed Los Nogales Yellow Bourbon"/>
    <n v="95"/>
    <s v="Light"/>
    <n v="64"/>
    <n v="80"/>
    <n v="255.73"/>
    <s v="Taiwan"/>
    <s v="Colombia"/>
    <x v="0"/>
  </r>
  <r>
    <s v="Colombia El Chaferote Pink Bourbon"/>
    <n v="95"/>
    <s v="Medium Light"/>
    <n v="63"/>
    <n v="77"/>
    <n v="9.8800000000000008"/>
    <s v="USA"/>
    <s v="Colombia"/>
    <x v="0"/>
  </r>
  <r>
    <s v="Guatemala El Injerto Ethiopia Landrace Natural"/>
    <n v="94"/>
    <s v="Medium Light"/>
    <n v="57"/>
    <n v="74"/>
    <n v="11.76"/>
    <s v="USA"/>
    <s v="Guatemala"/>
    <x v="0"/>
  </r>
  <r>
    <s v="Holiday Coffee"/>
    <n v="95"/>
    <s v="Medium Light"/>
    <n v="58"/>
    <n v="66"/>
    <n v="30.84"/>
    <s v="USA"/>
    <s v="Unknown"/>
    <x v="3"/>
  </r>
  <r>
    <s v="Kenya Muthua-Ini AB"/>
    <n v="95"/>
    <s v="Medium Light"/>
    <n v="58"/>
    <n v="77"/>
    <n v="6.47"/>
    <s v="USA"/>
    <s v="Kenya"/>
    <x v="1"/>
  </r>
  <r>
    <s v="Kenya Gichuka AA"/>
    <n v="95"/>
    <s v="Medium Light"/>
    <n v="60"/>
    <n v="78"/>
    <n v="6.16"/>
    <s v="USA"/>
    <s v="Kenya"/>
    <x v="1"/>
  </r>
  <r>
    <s v="Colombia Chili Bourbon"/>
    <n v="94"/>
    <s v="Light"/>
    <n v="62"/>
    <n v="80"/>
    <n v="9.83"/>
    <s v="USA"/>
    <s v="Colombia"/>
    <x v="0"/>
  </r>
  <r>
    <s v="Chelbessa Ethiopia"/>
    <n v="95"/>
    <s v="Medium Light"/>
    <n v="60"/>
    <n v="76"/>
    <n v="6.17"/>
    <s v="USA"/>
    <s v="Ethiopia"/>
    <x v="1"/>
  </r>
  <r>
    <s v="Ethiopia Yirgacheffe Gedeb Chelbesa Natural"/>
    <n v="95"/>
    <s v="Medium Light"/>
    <n v="59"/>
    <n v="76"/>
    <n v="211.64"/>
    <s v="Taiwan"/>
    <s v="Ethiopia"/>
    <x v="1"/>
  </r>
  <r>
    <s v="Tirra Natural Costa Rica"/>
    <n v="94"/>
    <s v="Medium Light"/>
    <n v="59"/>
    <n v="77"/>
    <n v="6.47"/>
    <s v="USA"/>
    <s v="Costa Rica"/>
    <x v="0"/>
  </r>
  <r>
    <s v="Colombia Huila Espiritu Blanc Geisha Semi-Washed Anaerobic"/>
    <n v="94"/>
    <s v="Medium Light"/>
    <n v="63"/>
    <n v="71"/>
    <n v="480"/>
    <s v="Taiwan"/>
    <s v="Colombia"/>
    <x v="0"/>
  </r>
  <r>
    <s v="Costa Rica San Ramon Yeast Washed"/>
    <n v="94"/>
    <s v="Light"/>
    <n v="63"/>
    <n v="79"/>
    <n v="145.5"/>
    <s v="Taiwan"/>
    <s v="Costa Rica"/>
    <x v="0"/>
  </r>
  <r>
    <s v="HawaiвЂ™i Island Blend Espresso"/>
    <n v="94"/>
    <s v="Medium Light"/>
    <n v="52"/>
    <n v="70"/>
    <n v="17.64"/>
    <s v="USA"/>
    <s v="USA"/>
    <x v="0"/>
  </r>
  <r>
    <s v="Kenya Washed Kiambu Windrush AA"/>
    <n v="96"/>
    <s v="Medium Light"/>
    <n v="57"/>
    <n v="77"/>
    <n v="149.91"/>
    <s v="Taiwan"/>
    <s v="Kenya"/>
    <x v="1"/>
  </r>
  <r>
    <s v="Guatemala El Amate Maragogype"/>
    <n v="94"/>
    <s v="Medium Light"/>
    <n v="60"/>
    <n v="76"/>
    <n v="7.94"/>
    <s v="USA"/>
    <s v="Guatemala"/>
    <x v="0"/>
  </r>
  <r>
    <s v="Ethiopia Natural Guji Blue Donkey 23"/>
    <n v="94"/>
    <s v="Medium Light"/>
    <n v="58"/>
    <n v="76"/>
    <n v="143.30000000000001"/>
    <s v="Taiwan"/>
    <s v="Ethiopia"/>
    <x v="1"/>
  </r>
  <r>
    <s v="Ethiopia Natural Yirgacheffe Worka Nenke Abraham Mengiste"/>
    <n v="94"/>
    <s v="Medium Light"/>
    <n v="60"/>
    <n v="78"/>
    <n v="127.87"/>
    <s v="Taiwan"/>
    <s v="Ethiopia"/>
    <x v="1"/>
  </r>
  <r>
    <s v="Ethiopia Koke"/>
    <n v="95"/>
    <s v="Light"/>
    <n v="62"/>
    <n v="80"/>
    <n v="6.76"/>
    <s v="USA"/>
    <s v="Ethiopia"/>
    <x v="1"/>
  </r>
  <r>
    <s v="Panama Florsa 100 Geisha FW 1600+"/>
    <n v="95"/>
    <s v="Light"/>
    <n v="65"/>
    <n v="81"/>
    <n v="198.24"/>
    <s v="Taiwan"/>
    <s v="Panama"/>
    <x v="0"/>
  </r>
  <r>
    <s v="Ethiopia Bench Maji Gesha Winey Natural G1"/>
    <n v="94"/>
    <s v="Medium Light"/>
    <n v="60"/>
    <n v="77"/>
    <n v="136.56"/>
    <s v="Taiwan"/>
    <s v="Ethiopia"/>
    <x v="1"/>
  </r>
  <r>
    <s v="Wilton Benitez Sidra"/>
    <n v="94"/>
    <s v="Medium Light"/>
    <n v="58"/>
    <n v="74"/>
    <n v="9.6999999999999993"/>
    <s v="USA"/>
    <s v="Colombia"/>
    <x v="0"/>
  </r>
  <r>
    <s v="Panama Hacienda La Esmeralda Geisha Natural"/>
    <n v="95"/>
    <s v="Medium Light"/>
    <n v="60"/>
    <n v="77"/>
    <n v="19.399999999999999"/>
    <s v="Taiwan"/>
    <s v="Panama"/>
    <x v="0"/>
  </r>
  <r>
    <s v="Panama Hacienda La Esmeralda Geisha Washed"/>
    <n v="95"/>
    <s v="Light"/>
    <n v="64"/>
    <n v="78"/>
    <n v="17.64"/>
    <s v="Taiwan"/>
    <s v="Panama"/>
    <x v="0"/>
  </r>
  <r>
    <s v="Grand Champion Red Bourbon Natural"/>
    <n v="96"/>
    <s v="Medium Light"/>
    <n v="52"/>
    <n v="72"/>
    <n v="30.86"/>
    <s v="USA"/>
    <s v="Unknown"/>
    <x v="3"/>
  </r>
  <r>
    <s v="Sumatra Lintong Kardon"/>
    <n v="95"/>
    <s v="Medium Light"/>
    <n v="56"/>
    <n v="74"/>
    <n v="6.17"/>
    <s v="USA"/>
    <s v="Indonesia"/>
    <x v="2"/>
  </r>
  <r>
    <s v="Panama Finca Don Julian Geisha Washed"/>
    <n v="94"/>
    <s v="Light"/>
    <n v="65"/>
    <n v="81"/>
    <n v="1"/>
    <s v="Taiwan"/>
    <s v="Panama"/>
    <x v="0"/>
  </r>
  <r>
    <s v="Colombia Finca La Roca"/>
    <n v="94"/>
    <s v="Medium Light"/>
    <n v="60"/>
    <n v="77"/>
    <n v="7.64"/>
    <s v="USA"/>
    <s v="Colombia"/>
    <x v="0"/>
  </r>
  <r>
    <s v="Ethiopia YirgZ"/>
    <n v="95"/>
    <s v="Medium Light"/>
    <n v="62"/>
    <n v="78"/>
    <n v="7.94"/>
    <s v="USA"/>
    <s v="Ethiopia"/>
    <x v="1"/>
  </r>
  <r>
    <s v="Colombia Patio Bonita"/>
    <n v="94"/>
    <s v="Light"/>
    <n v="64"/>
    <n v="80"/>
    <n v="7.94"/>
    <s v="USA"/>
    <s v="Colombia"/>
    <x v="0"/>
  </r>
  <r>
    <s v="Ethiopia Yirgacheffe Farmgate"/>
    <n v="94"/>
    <s v="Medium Light"/>
    <n v="59"/>
    <n v="75"/>
    <n v="7.94"/>
    <s v="USA"/>
    <s v="Ethiopia"/>
    <x v="1"/>
  </r>
  <r>
    <s v="Promise of Spring"/>
    <n v="94"/>
    <s v="Medium Light"/>
    <n v="59"/>
    <n v="76"/>
    <n v="225"/>
    <s v="Taiwan"/>
    <s v="Ethiopia"/>
    <x v="1"/>
  </r>
  <r>
    <s v="Ethiopia Gesha Rebecca Natural"/>
    <n v="94"/>
    <s v="Medium Light"/>
    <n v="61"/>
    <n v="74"/>
    <n v="250"/>
    <s v="Taiwan"/>
    <s v="Ethiopia"/>
    <x v="1"/>
  </r>
  <r>
    <s v="Colombia Finca El ParaГ­so Geisha Sake"/>
    <n v="96"/>
    <s v="Light"/>
    <n v="65"/>
    <n v="82"/>
    <n v="52.91"/>
    <s v="USA"/>
    <s v="Colombia"/>
    <x v="0"/>
  </r>
  <r>
    <s v="Tanzania Nyasi Furaha"/>
    <n v="94"/>
    <s v="Medium Light"/>
    <n v="62"/>
    <n v="74"/>
    <n v="5.59"/>
    <s v="USA"/>
    <s v="Tanzania"/>
    <x v="1"/>
  </r>
  <r>
    <s v="Kenya Gachatha AA Top"/>
    <n v="95"/>
    <s v="Medium Light"/>
    <n v="58"/>
    <n v="74"/>
    <n v="145.5"/>
    <s v="Taiwan"/>
    <s v="Kenya"/>
    <x v="1"/>
  </r>
  <r>
    <s v="Kenya Nyeri Gatuya Factory AA Top"/>
    <n v="94"/>
    <s v="Medium Light"/>
    <n v="57"/>
    <n v="76"/>
    <n v="143.30000000000001"/>
    <s v="Taiwan"/>
    <s v="Kenya"/>
    <x v="1"/>
  </r>
  <r>
    <s v="Costa Rica Tarrazu Double Anaerobic Washed"/>
    <n v="94"/>
    <s v="Medium Light"/>
    <n v="60"/>
    <n v="77"/>
    <n v="198.41"/>
    <s v="Taiwan"/>
    <s v="Costa Rica"/>
    <x v="0"/>
  </r>
  <r>
    <s v="Wilton Benitez Pink Bourbon Colombia"/>
    <n v="98"/>
    <s v="Medium Light"/>
    <n v="62"/>
    <n v="78"/>
    <n v="8.82"/>
    <s v="USA"/>
    <s v="Colombia"/>
    <x v="0"/>
  </r>
  <r>
    <s v="Costa Rica Las Lajas SL28 Natural"/>
    <n v="95"/>
    <s v="Light"/>
    <n v="62"/>
    <n v="80"/>
    <n v="8.82"/>
    <s v="USA"/>
    <s v="Costa Rica"/>
    <x v="0"/>
  </r>
  <r>
    <s v="Nano Genji #12 Ethiopia"/>
    <n v="95"/>
    <s v="Medium Light"/>
    <n v="58"/>
    <n v="74"/>
    <n v="6.76"/>
    <s v="USA"/>
    <s v="Ethiopia"/>
    <x v="1"/>
  </r>
  <r>
    <s v="Gesha Spirits"/>
    <n v="95"/>
    <s v="Light"/>
    <n v="62"/>
    <n v="80"/>
    <n v="16.93"/>
    <s v="USA"/>
    <s v="Colombia"/>
    <x v="0"/>
  </r>
  <r>
    <s v="Panama HWC Coffee Estate Washed"/>
    <n v="94"/>
    <s v="Medium Light"/>
    <n v="59"/>
    <n v="73"/>
    <n v="35.270000000000003"/>
    <s v="Taiwan"/>
    <s v="Panama"/>
    <x v="0"/>
  </r>
  <r>
    <s v="Colombia Fruit Maceration Series Lulo Bear"/>
    <n v="94"/>
    <s v="Light"/>
    <n v="64"/>
    <n v="80"/>
    <n v="12"/>
    <s v="USA"/>
    <s v="Colombia"/>
    <x v="0"/>
  </r>
  <r>
    <s v="Colombia Huila Charlotte Geisha Washed"/>
    <n v="94"/>
    <s v="Light"/>
    <n v="65"/>
    <n v="79"/>
    <n v="198.41"/>
    <s v="Taiwan"/>
    <s v="Colombia"/>
    <x v="0"/>
  </r>
  <r>
    <s v="Colombia Wilton Benitez Double Anaerobic Thermal Shock Yellow Gesha"/>
    <n v="94"/>
    <s v="Light"/>
    <n v="62"/>
    <n v="80"/>
    <n v="24"/>
    <s v="USA"/>
    <s v="Colombia"/>
    <x v="0"/>
  </r>
  <r>
    <s v="More Floral"/>
    <n v="94"/>
    <s v="Light"/>
    <n v="66"/>
    <n v="80"/>
    <n v="132.28"/>
    <s v="Taiwan"/>
    <s v="Ethiopia"/>
    <x v="1"/>
  </r>
  <r>
    <s v="Yemen Al Kawlah Special Reserve Natural"/>
    <n v="95"/>
    <s v="Medium Light"/>
    <n v="60"/>
    <n v="77"/>
    <n v="11.74"/>
    <s v="USA"/>
    <s v="Yemen"/>
    <x v="1"/>
  </r>
  <r>
    <s v="Kona K7"/>
    <n v="95"/>
    <s v="Light"/>
    <n v="63"/>
    <n v="79"/>
    <n v="30.86"/>
    <s v="USA"/>
    <s v="USA"/>
    <x v="0"/>
  </r>
  <r>
    <s v="Ecuador La Josefina Estate"/>
    <n v="94"/>
    <s v="Light"/>
    <n v="62"/>
    <n v="84"/>
    <n v="7.35"/>
    <s v="USA"/>
    <s v="Ecuador"/>
    <x v="0"/>
  </r>
  <r>
    <s v="Ethiopia Kafa Natural"/>
    <n v="94"/>
    <s v="Light"/>
    <n v="65"/>
    <n v="79"/>
    <n v="6.76"/>
    <s v="USA"/>
    <s v="Ethiopia"/>
    <x v="1"/>
  </r>
  <r>
    <s v="El Salvador Bourbon Semi-Washed"/>
    <n v="94"/>
    <s v="Medium Light"/>
    <n v="58"/>
    <n v="72"/>
    <n v="5.14"/>
    <s v="USA"/>
    <s v="El Salvador"/>
    <x v="0"/>
  </r>
  <r>
    <s v="Ethiopia Worka Sakaro Anaerobic Natural"/>
    <n v="94"/>
    <s v="Medium Light"/>
    <n v="62"/>
    <n v="78"/>
    <n v="6.47"/>
    <s v="USA"/>
    <s v="Ethiopia"/>
    <x v="1"/>
  </r>
  <r>
    <s v="Bale Mountain Natural Ethiopia"/>
    <n v="94"/>
    <s v="Light"/>
    <n v="64"/>
    <n v="80"/>
    <n v="6.76"/>
    <s v="USA"/>
    <s v="Ethiopia"/>
    <x v="1"/>
  </r>
  <r>
    <s v="Ethiopia Sidama Arbegona 74158 Washed"/>
    <n v="94"/>
    <s v="Light"/>
    <n v="66"/>
    <n v="80"/>
    <n v="105.73"/>
    <s v="Taiwan"/>
    <s v="Ethiopia"/>
    <x v="1"/>
  </r>
  <r>
    <s v="La Papaya Ecuador Geisha Natural"/>
    <n v="96"/>
    <s v="Medium Light"/>
    <n v="59"/>
    <n v="75"/>
    <n v="8.52"/>
    <s v="USA"/>
    <s v="Ecuador"/>
    <x v="0"/>
  </r>
  <r>
    <s v="Colombia Tolima Finca El Vergel Rebel Geisha"/>
    <n v="95"/>
    <s v="Light"/>
    <n v="63"/>
    <n v="81"/>
    <n v="275"/>
    <s v="Taiwan"/>
    <s v="Colombia"/>
    <x v="0"/>
  </r>
  <r>
    <s v="Colombia Buenos Aires Honey Process-Yellow Velvet Peach"/>
    <n v="95"/>
    <s v="Medium Light"/>
    <n v="60"/>
    <n v="77"/>
    <n v="260"/>
    <s v="Taiwan"/>
    <s v="Colombia"/>
    <x v="0"/>
  </r>
  <r>
    <s v="Encounter of Summer"/>
    <n v="94"/>
    <s v="Light"/>
    <n v="62"/>
    <n v="80"/>
    <n v="225"/>
    <s v="Taiwan"/>
    <s v="Ethiopia"/>
    <x v="1"/>
  </r>
  <r>
    <s v="Kenya"/>
    <n v="95"/>
    <s v="Medium Dark"/>
    <n v="35"/>
    <n v="51"/>
    <n v="302.22000000000003"/>
    <s v="Taiwan"/>
    <s v="Kenya"/>
    <x v="1"/>
  </r>
  <r>
    <s v="SL34 Dark Roast"/>
    <n v="94"/>
    <s v="Medium Dark"/>
    <n v="48"/>
    <n v="52"/>
    <n v="30.84"/>
    <s v="USA"/>
    <s v="Unknown"/>
    <x v="3"/>
  </r>
  <r>
    <s v="Ethiopia Bench Maji Geisha Lucy Station Dark Roast"/>
    <n v="94"/>
    <s v="Medium Dark"/>
    <n v="45"/>
    <n v="52"/>
    <n v="300"/>
    <s v="Taiwan"/>
    <s v="Ethiopia"/>
    <x v="1"/>
  </r>
  <r>
    <s v="Kenya AB Athena Plus"/>
    <n v="94"/>
    <s v="Dark"/>
    <n v="33"/>
    <n v="44"/>
    <n v="352.73"/>
    <s v="Taiwan"/>
    <s v="Kenya"/>
    <x v="1"/>
  </r>
  <r>
    <s v="Kenya Muranga"/>
    <n v="94"/>
    <s v="Medium Dark"/>
    <n v="41"/>
    <n v="44"/>
    <n v="0.42"/>
    <s v="Taiwan"/>
    <s v="Kenya"/>
    <x v="1"/>
  </r>
  <r>
    <s v="Costa Rica Turrialba Volcano Honey Process"/>
    <n v="94"/>
    <s v="Medium Light"/>
    <n v="59"/>
    <n v="77"/>
    <n v="143.30000000000001"/>
    <s v="Taiwan"/>
    <s v="Costa Rica"/>
    <x v="0"/>
  </r>
  <r>
    <s v="Colombia Huila Finca El Triunfo Martha ZuГ±iga Pink Bourbon"/>
    <n v="94"/>
    <s v="Medium Light"/>
    <n v="58"/>
    <n v="74"/>
    <n v="9.41"/>
    <s v="USA"/>
    <s v="Colombia"/>
    <x v="0"/>
  </r>
  <r>
    <s v="Kenya Kanwangi AA"/>
    <n v="94"/>
    <s v="Medium Light"/>
    <n v="59"/>
    <n v="80"/>
    <n v="7.05"/>
    <s v="USA"/>
    <s v="Kenya"/>
    <x v="1"/>
  </r>
  <r>
    <s v="Ethiopia Bench Maji Geisha Lucy Station"/>
    <n v="94"/>
    <s v="Light"/>
    <n v="64"/>
    <n v="83"/>
    <n v="300"/>
    <s v="Taiwan"/>
    <s v="Ethiopia"/>
    <x v="1"/>
  </r>
  <r>
    <s v="Ecuador PeГ±aherrera AAA"/>
    <n v="95"/>
    <s v="Medium Light"/>
    <n v="60"/>
    <n v="77"/>
    <n v="7.35"/>
    <s v="USA"/>
    <s v="Ecuador"/>
    <x v="0"/>
  </r>
  <r>
    <s v="HWC Geisha Plus Geisha Black Espresso"/>
    <n v="95"/>
    <s v="Medium Light"/>
    <n v="54"/>
    <n v="72"/>
    <n v="19.84"/>
    <s v="Taiwan"/>
    <s v="Ethiopia"/>
    <x v="1"/>
  </r>
  <r>
    <s v="Ethiopia Yirgacheffe Jade Lotus"/>
    <n v="94"/>
    <s v="Medium Light"/>
    <n v="59"/>
    <n v="75"/>
    <n v="8.82"/>
    <s v="Taiwan"/>
    <s v="Ethiopia"/>
    <x v="1"/>
  </r>
  <r>
    <s v="Blue Sunda Estate Java"/>
    <n v="94"/>
    <s v="Medium Light"/>
    <n v="60"/>
    <n v="75"/>
    <n v="5.59"/>
    <s v="USA"/>
    <s v="Indonesia"/>
    <x v="2"/>
  </r>
  <r>
    <s v="La Papaya Natural Ecuador"/>
    <n v="95"/>
    <s v="Medium Light"/>
    <n v="58"/>
    <n v="80"/>
    <n v="8.3800000000000008"/>
    <s v="USA"/>
    <s v="Ecuador"/>
    <x v="0"/>
  </r>
  <r>
    <s v="Wilton Benitez Tabi VIP Colombia"/>
    <n v="95"/>
    <s v="Light"/>
    <n v="64"/>
    <n v="86"/>
    <n v="6.47"/>
    <s v="USA"/>
    <s v="Colombia"/>
    <x v="0"/>
  </r>
  <r>
    <s v="El Mango Peru"/>
    <n v="94"/>
    <s v="Medium Light"/>
    <n v="56"/>
    <n v="77"/>
    <n v="5.59"/>
    <s v="USA"/>
    <s v="Peru"/>
    <x v="0"/>
  </r>
  <r>
    <s v="Banko Gotiti Ethiopia"/>
    <n v="95"/>
    <s v="Medium Light"/>
    <n v="60"/>
    <n v="78"/>
    <n v="5.88"/>
    <s v="USA"/>
    <s v="Ethiopia"/>
    <x v="1"/>
  </r>
  <r>
    <s v="El Morito Guatemala"/>
    <n v="94"/>
    <s v="Medium Light"/>
    <n v="59"/>
    <n v="76"/>
    <n v="8.3800000000000008"/>
    <s v="USA"/>
    <s v="Guatemala"/>
    <x v="0"/>
  </r>
  <r>
    <s v="Pantan Musara Sumatra"/>
    <n v="95"/>
    <s v="Medium Light"/>
    <n v="56"/>
    <n v="78"/>
    <n v="6.76"/>
    <s v="USA"/>
    <s v="Indonesia"/>
    <x v="2"/>
  </r>
  <r>
    <s v="Giakanja Kenya"/>
    <n v="94"/>
    <s v="Medium Light"/>
    <n v="59"/>
    <n v="79"/>
    <n v="7.35"/>
    <s v="USA"/>
    <s v="Kenya"/>
    <x v="1"/>
  </r>
  <r>
    <s v="Ethiopia Basha Bekele"/>
    <n v="95"/>
    <s v="Light"/>
    <n v="62"/>
    <n v="86"/>
    <n v="6.76"/>
    <s v="USA"/>
    <s v="Ethiopia"/>
    <x v="1"/>
  </r>
  <r>
    <s v="Colombia Luz Helena Salazar Wine Yeast Grape Honey"/>
    <n v="94"/>
    <s v="Medium Light"/>
    <n v="58"/>
    <n v="80"/>
    <n v="350"/>
    <s v="Taiwan"/>
    <s v="Colombia"/>
    <x v="0"/>
  </r>
  <r>
    <s v="KaвЂЕ« Malolactic Natural"/>
    <n v="94"/>
    <s v="Medium Light"/>
    <n v="62"/>
    <n v="76"/>
    <n v="35.270000000000003"/>
    <s v="USA"/>
    <s v="USA"/>
    <x v="0"/>
  </r>
  <r>
    <s v="Jade Rabbit Espresso Blend"/>
    <n v="95"/>
    <s v="Medium"/>
    <n v="46"/>
    <n v="70"/>
    <n v="286.60000000000002"/>
    <s v="Taiwan"/>
    <s v="Kenya"/>
    <x v="1"/>
  </r>
  <r>
    <s v="Colombia Finca Paraiso Gesha Wilton Benitez"/>
    <n v="94"/>
    <s v="Light"/>
    <n v="64"/>
    <n v="84"/>
    <n v="24"/>
    <s v="USA"/>
    <s v="Colombia"/>
    <x v="0"/>
  </r>
  <r>
    <s v="Colombia Finca La EspaГ±a Gesha"/>
    <n v="94"/>
    <s v="Light"/>
    <n v="64"/>
    <n v="84"/>
    <n v="24"/>
    <s v="USA"/>
    <s v="Colombia"/>
    <x v="0"/>
  </r>
  <r>
    <s v="Colombia Huila La Esperanza Pink Bourbon Honey"/>
    <n v="94"/>
    <s v="Medium Light"/>
    <n v="62"/>
    <n v="76"/>
    <n v="167.55"/>
    <s v="Taiwan"/>
    <s v="Colombia"/>
    <x v="0"/>
  </r>
  <r>
    <s v="Ethiopia Halo Beriti Single-Origin Espresso"/>
    <n v="95"/>
    <s v="Medium Light"/>
    <n v="56"/>
    <n v="74"/>
    <n v="7.05"/>
    <s v="USA"/>
    <s v="Ethiopia"/>
    <x v="1"/>
  </r>
  <r>
    <s v="Ethiopia Gora Kone"/>
    <n v="94"/>
    <s v="Light"/>
    <n v="62"/>
    <n v="84"/>
    <n v="6.91"/>
    <s v="USA"/>
    <s v="Ethiopia"/>
    <x v="1"/>
  </r>
  <r>
    <s v="Ecuador Finca Lugmapata"/>
    <n v="94"/>
    <s v="Medium Light"/>
    <n v="62"/>
    <n v="79"/>
    <n v="12.93"/>
    <s v="USA"/>
    <s v="Ecuador"/>
    <x v="0"/>
  </r>
  <r>
    <s v="Costa Rica Raisin Honey"/>
    <n v="94"/>
    <s v="Medium Light"/>
    <n v="60"/>
    <n v="76"/>
    <n v="7.64"/>
    <s v="USA"/>
    <s v="Costa Rica"/>
    <x v="0"/>
  </r>
  <r>
    <s v="Quindio Gold Honey Colombia"/>
    <n v="94"/>
    <s v="Light"/>
    <n v="62"/>
    <n v="80"/>
    <n v="7.94"/>
    <s v="USA"/>
    <s v="Colombia"/>
    <x v="0"/>
  </r>
  <r>
    <s v="Organic Peru San Fernando Tres Fincas Gesha"/>
    <n v="95"/>
    <s v="Medium Light"/>
    <n v="58"/>
    <n v="80"/>
    <n v="8.52"/>
    <s v="USA"/>
    <s v="Peru"/>
    <x v="0"/>
  </r>
  <r>
    <s v="Kenya Washed Kiambu Gititu AB Top"/>
    <n v="95"/>
    <s v="Light"/>
    <n v="60"/>
    <n v="82"/>
    <n v="132.28"/>
    <s v="Taiwan"/>
    <s v="Kenya"/>
    <x v="1"/>
  </r>
  <r>
    <s v="Ethiopia Natural Guji Dasaya"/>
    <n v="95"/>
    <s v="Light"/>
    <n v="62"/>
    <n v="86"/>
    <n v="127.87"/>
    <s v="Taiwan"/>
    <s v="Ethiopia"/>
    <x v="1"/>
  </r>
  <r>
    <s v="Kona Classic"/>
    <n v="94"/>
    <s v="Medium Light"/>
    <n v="60"/>
    <n v="78"/>
    <n v="22.05"/>
    <s v="USA"/>
    <s v="USA"/>
    <x v="0"/>
  </r>
  <r>
    <s v="HawaiвЂ™i KaвЂЕ« Champagne Natural"/>
    <n v="94"/>
    <s v="Medium Light"/>
    <n v="60"/>
    <n v="78"/>
    <n v="22.05"/>
    <s v="USA"/>
    <s v="USA"/>
    <x v="0"/>
  </r>
  <r>
    <s v="Ethiopia Sidamo Rumudamo Premium"/>
    <n v="95"/>
    <s v="Light"/>
    <n v="64"/>
    <n v="84"/>
    <n v="176.37"/>
    <s v="Taiwan"/>
    <s v="Ethiopia"/>
    <x v="1"/>
  </r>
  <r>
    <s v="Yemen Natural Hamoud Abdullah AL-Khisheni"/>
    <n v="94"/>
    <s v="Light"/>
    <n v="62"/>
    <n v="80"/>
    <n v="529.1"/>
    <s v="Taiwan"/>
    <s v="Yemen"/>
    <x v="1"/>
  </r>
  <r>
    <s v="Guatemala Acatenango Gesha"/>
    <n v="94"/>
    <s v="Light"/>
    <n v="67"/>
    <n v="86"/>
    <n v="0.44"/>
    <s v="Taiwan"/>
    <s v="Guatemala"/>
    <x v="0"/>
  </r>
  <r>
    <s v="Kenya Gatomboya"/>
    <n v="94"/>
    <s v="Medium Light"/>
    <n v="59"/>
    <n v="77"/>
    <n v="8.82"/>
    <s v="USA"/>
    <s v="Kenya"/>
    <x v="1"/>
  </r>
  <r>
    <s v="Ethiopia Guji"/>
    <n v="94"/>
    <s v="Light"/>
    <n v="65"/>
    <n v="86"/>
    <n v="79.37"/>
    <s v="Taiwan"/>
    <s v="Ethiopia"/>
    <x v="1"/>
  </r>
  <r>
    <s v="Burundi Nemba Washed Process"/>
    <n v="94"/>
    <s v="Medium Light"/>
    <n v="60"/>
    <n v="77"/>
    <n v="6.76"/>
    <s v="USA"/>
    <s v="Burundi"/>
    <x v="1"/>
  </r>
  <r>
    <s v="Worka Sakaro Ethiopia"/>
    <n v="95"/>
    <s v="Light"/>
    <n v="62"/>
    <n v="84"/>
    <n v="5.88"/>
    <s v="USA"/>
    <s v="Ethiopia"/>
    <x v="1"/>
  </r>
  <r>
    <s v="Teremuka Peaberry Kenya"/>
    <n v="94"/>
    <s v="Medium Light"/>
    <n v="60"/>
    <n v="77"/>
    <n v="7.05"/>
    <s v="USA"/>
    <s v="Kenya"/>
    <x v="1"/>
  </r>
  <r>
    <s v="Teremuka Kenya"/>
    <n v="94"/>
    <s v="Medium Light"/>
    <n v="60"/>
    <n v="77"/>
    <n v="7.05"/>
    <s v="USA"/>
    <s v="Kenya"/>
    <x v="1"/>
  </r>
  <r>
    <s v="El Salvador La Muela Pacamara"/>
    <n v="94"/>
    <s v="Medium Light"/>
    <n v="58"/>
    <n v="77"/>
    <n v="6.76"/>
    <s v="USA"/>
    <s v="El Salvador"/>
    <x v="0"/>
  </r>
  <r>
    <s v="Colombia Finca Juan Martin Aced Sidra"/>
    <n v="95"/>
    <s v="Light"/>
    <n v="62"/>
    <n v="80"/>
    <n v="9.26"/>
    <s v="USA"/>
    <s v="Colombia"/>
    <x v="0"/>
  </r>
  <r>
    <s v="Guatemala Natural Santa Felisa Gesha SF-04 95"/>
    <n v="95"/>
    <s v="Medium Light"/>
    <n v="59"/>
    <n v="75"/>
    <n v="573.19000000000005"/>
    <s v="Taiwan"/>
    <s v="Guatemala"/>
    <x v="0"/>
  </r>
  <r>
    <s v="Colombia Red Bomb"/>
    <n v="94"/>
    <s v="Medium Light"/>
    <n v="59"/>
    <n v="77"/>
    <n v="7.35"/>
    <s v="USA"/>
    <s v="Colombia"/>
    <x v="0"/>
  </r>
  <r>
    <s v="Ethiopia 2022 COE #3 Washed Temam 74110"/>
    <n v="95"/>
    <s v="Light"/>
    <n v="62"/>
    <n v="86"/>
    <n v="0.88"/>
    <s v="Taiwan"/>
    <s v="Ethiopia"/>
    <x v="1"/>
  </r>
  <r>
    <s v="Espresso Giusto"/>
    <n v="94"/>
    <s v="Medium Light"/>
    <n v="54"/>
    <n v="72"/>
    <n v="4.9800000000000004"/>
    <s v="USA"/>
    <s v="Mexico"/>
    <x v="0"/>
  </r>
  <r>
    <s v="Golden Parrot Blend Espresso"/>
    <n v="94"/>
    <s v="Medium Light"/>
    <n v="58"/>
    <n v="78"/>
    <n v="92.59"/>
    <s v="Taiwan"/>
    <s v="Colombia"/>
    <x v="0"/>
  </r>
  <r>
    <s v="Galaxy Gesha Quindio Colombia Edwin NoreГ±a"/>
    <n v="95"/>
    <s v="Light"/>
    <n v="65"/>
    <n v="86"/>
    <n v="11.3"/>
    <s v="USA"/>
    <s v="Colombia"/>
    <x v="0"/>
  </r>
  <r>
    <s v="KaвЂЕ« JN Farms Malolactic Honey"/>
    <n v="95"/>
    <s v="Light"/>
    <n v="62"/>
    <n v="84"/>
    <n v="35.270000000000003"/>
    <s v="USA"/>
    <s v="USA"/>
    <x v="0"/>
  </r>
  <r>
    <s v="Colombia Finca El Paraiso Rose Tea"/>
    <n v="94"/>
    <s v="Light"/>
    <n v="64"/>
    <n v="88"/>
    <n v="500"/>
    <s v="Taiwan"/>
    <s v="Colombia"/>
    <x v="0"/>
  </r>
  <r>
    <s v="Colombia Monteblanco Rodrigo Sanchez Carbonic Maceration"/>
    <n v="94"/>
    <s v="Light"/>
    <n v="56"/>
    <n v="86"/>
    <n v="7.73"/>
    <s v="USA"/>
    <s v="Colombia"/>
    <x v="0"/>
  </r>
  <r>
    <s v="Colombia Cauca Granja Paraiso 92 вЂ“ Pink Bourbon"/>
    <n v="94"/>
    <s v="Light"/>
    <n v="67"/>
    <n v="99"/>
    <n v="10.29"/>
    <s v="USA"/>
    <s v="Colombia"/>
    <x v="0"/>
  </r>
  <r>
    <s v="Ethiopia Gatta Anaerobic"/>
    <n v="94"/>
    <s v="Light"/>
    <n v="65"/>
    <n v="92"/>
    <n v="10.14"/>
    <s v="USA"/>
    <s v="Ethiopia"/>
    <x v="1"/>
  </r>
  <r>
    <s v="Colombia Osmanthus Bouquet Granja Paraiso 92"/>
    <n v="94"/>
    <s v="Light"/>
    <n v="64"/>
    <n v="82"/>
    <n v="28"/>
    <s v="South Korea"/>
    <s v="Colombia"/>
    <x v="0"/>
  </r>
  <r>
    <s v="Colombia Granja ParaГ­so-92- Papayo KЕЌji"/>
    <n v="95"/>
    <s v="Light"/>
    <n v="64"/>
    <n v="84"/>
    <n v="35.270000000000003"/>
    <s v="USA"/>
    <s v="Colombia"/>
    <x v="0"/>
  </r>
  <r>
    <s v="Ethiopia Dinkalem Ademe Wush Wush"/>
    <n v="95"/>
    <s v="Light"/>
    <n v="62"/>
    <n v="84"/>
    <n v="8.23"/>
    <s v="USA"/>
    <s v="Ethiopia"/>
    <x v="1"/>
  </r>
  <r>
    <s v="Colombia Pink Bourbon"/>
    <n v="95"/>
    <s v="Light"/>
    <n v="64"/>
    <n v="82"/>
    <n v="12"/>
    <s v="USA"/>
    <s v="Colombia"/>
    <x v="0"/>
  </r>
  <r>
    <s v="Kenya Kiambu Mandela Estate AA Washed Process"/>
    <n v="94"/>
    <s v="Medium Light"/>
    <n v="60"/>
    <n v="77"/>
    <n v="153.88"/>
    <s v="Taiwan"/>
    <s v="Kenya"/>
    <x v="1"/>
  </r>
  <r>
    <s v="Costa Rica VolcГЎn Azul Geisha Yeast-Washed"/>
    <n v="94"/>
    <s v="Light"/>
    <n v="62"/>
    <n v="80"/>
    <n v="349"/>
    <s v="Taiwan"/>
    <s v="Costa Rica"/>
    <x v="0"/>
  </r>
  <r>
    <s v="Ethiopia Yirgacheffe Adame G1 Natural"/>
    <n v="94"/>
    <s v="Light"/>
    <n v="63"/>
    <n v="79"/>
    <n v="242.5"/>
    <s v="Taiwan"/>
    <s v="Ethiopia"/>
    <x v="1"/>
  </r>
  <r>
    <s v="Kenya Gichathaini"/>
    <n v="94"/>
    <s v="Light"/>
    <n v="64"/>
    <n v="82"/>
    <n v="7.35"/>
    <s v="USA"/>
    <s v="Kenya"/>
    <x v="1"/>
  </r>
  <r>
    <s v="Guatemala Retiro del Quisaya Natural Process"/>
    <n v="94"/>
    <s v="Medium Light"/>
    <n v="59"/>
    <n v="78"/>
    <n v="5.57"/>
    <s v="USA"/>
    <s v="Guatemala"/>
    <x v="0"/>
  </r>
  <r>
    <s v="Ethiopia Sidama Karamo Anaerobic Natural"/>
    <n v="94"/>
    <s v="Medium Light"/>
    <n v="62"/>
    <n v="79"/>
    <n v="10.29"/>
    <s v="USA"/>
    <s v="Ethiopia"/>
    <x v="1"/>
  </r>
  <r>
    <s v="Colombia Geiner Montano"/>
    <n v="94"/>
    <s v="Medium Light"/>
    <n v="62"/>
    <n v="78"/>
    <n v="7.2"/>
    <s v="USA"/>
    <s v="Colombia"/>
    <x v="0"/>
  </r>
  <r>
    <s v="Kabiufa Papua New Guinea"/>
    <n v="94"/>
    <s v="Medium Light"/>
    <n v="58"/>
    <n v="77"/>
    <n v="5.88"/>
    <s v="USA"/>
    <s v="Papua New Guinea"/>
    <x v="2"/>
  </r>
  <r>
    <s v="KaвЂu Red Catuai Peaberry"/>
    <n v="94"/>
    <s v="Medium Light"/>
    <n v="59"/>
    <n v="74"/>
    <n v="26.46"/>
    <s v="USA"/>
    <s v="USA"/>
    <x v="0"/>
  </r>
  <r>
    <s v="Ethiopia Kayon Mountain"/>
    <n v="94"/>
    <s v="Light"/>
    <n v="64"/>
    <n v="82"/>
    <n v="6.16"/>
    <s v="USA"/>
    <s v="Ethiopia"/>
    <x v="1"/>
  </r>
  <r>
    <s v="Panama Finca Las Nubes Geisha Microlot"/>
    <n v="94"/>
    <s v="Medium Light"/>
    <n v="60"/>
    <n v="77"/>
    <n v="6.61"/>
    <s v="USA"/>
    <s v="Panama"/>
    <x v="0"/>
  </r>
  <r>
    <s v="Guatemala El Milagro Bourbon Especial"/>
    <n v="95"/>
    <s v="Medium Light"/>
    <n v="60"/>
    <n v="78"/>
    <n v="8.23"/>
    <s v="USA"/>
    <s v="Guatemala"/>
    <x v="0"/>
  </r>
  <r>
    <s v="Costa Rica William Mora"/>
    <n v="94"/>
    <s v="Light"/>
    <n v="65"/>
    <n v="84"/>
    <n v="8.23"/>
    <s v="USA"/>
    <s v="Costa Rica"/>
    <x v="0"/>
  </r>
  <r>
    <s v="Ethiopia Duromina Agaro Gera"/>
    <n v="94"/>
    <s v="Light"/>
    <n v="62"/>
    <n v="81"/>
    <n v="5"/>
    <s v="USA"/>
    <s v="Ethiopia"/>
    <x v="1"/>
  </r>
  <r>
    <s v="Winter 2022 Allocation Colombia"/>
    <n v="94"/>
    <s v="Light"/>
    <n v="62"/>
    <n v="80"/>
    <n v="29.39"/>
    <s v="USA"/>
    <s v="Colombia"/>
    <x v="0"/>
  </r>
  <r>
    <s v="LauraвЂ™s Reserve SL34"/>
    <n v="96"/>
    <s v="Medium Light"/>
    <n v="60"/>
    <n v="80"/>
    <n v="30.84"/>
    <s v="USA"/>
    <s v="Unknown"/>
    <x v="3"/>
  </r>
  <r>
    <s v="El Salvador 2022 COE#17 El Mirador Washed Gesha"/>
    <n v="96"/>
    <s v="Medium Light"/>
    <n v="58"/>
    <n v="78"/>
    <n v="440.92"/>
    <s v="Taiwan"/>
    <s v="El Salvador"/>
    <x v="0"/>
  </r>
  <r>
    <s v="Panama ABU Washed Gesha Lot GW57"/>
    <n v="95"/>
    <s v="Light"/>
    <n v="64"/>
    <n v="84"/>
    <n v="0.88"/>
    <s v="Taiwan"/>
    <s v="Panama"/>
    <x v="0"/>
  </r>
  <r>
    <s v="Guatemala Natural El General Bistro Lot Espresso"/>
    <n v="94"/>
    <s v="Medium Light"/>
    <n v="58"/>
    <n v="76"/>
    <n v="127.87"/>
    <s v="Taiwan"/>
    <s v="Guatemala"/>
    <x v="0"/>
  </r>
  <r>
    <s v="Ethiopia 2022 COE#25 Natural Tadesse 74112"/>
    <n v="94"/>
    <s v="Light"/>
    <n v="65"/>
    <n v="84"/>
    <n v="396.83"/>
    <s v="Taiwan"/>
    <s v="Ethiopia"/>
    <x v="1"/>
  </r>
  <r>
    <s v="Ethiopia Washed Sidama Rumudamo"/>
    <n v="94"/>
    <s v="Light"/>
    <n v="64"/>
    <n v="86"/>
    <n v="171.96"/>
    <s v="Taiwan"/>
    <s v="Ethiopia"/>
    <x v="1"/>
  </r>
  <r>
    <s v="Lemon Sugar Wash"/>
    <n v="95"/>
    <s v="Medium Light"/>
    <n v="59"/>
    <n v="77"/>
    <n v="244.44"/>
    <s v="Taiwan"/>
    <s v="Ethiopia"/>
    <x v="1"/>
  </r>
  <r>
    <s v="Kenya Kiambu AA"/>
    <n v="95"/>
    <s v="Medium Light"/>
    <n v="60"/>
    <n v="76"/>
    <n v="288.89"/>
    <s v="Taiwan"/>
    <s v="Kenya"/>
    <x v="1"/>
  </r>
  <r>
    <s v="Colombia Geisha Allium"/>
    <n v="94"/>
    <s v="Light"/>
    <n v="62"/>
    <n v="84"/>
    <n v="28.66"/>
    <s v="USA"/>
    <s v="Colombia"/>
    <x v="0"/>
  </r>
  <r>
    <s v="Wilton Benitez Orange Bourbon"/>
    <n v="96"/>
    <s v="Light"/>
    <n v="60"/>
    <n v="82"/>
    <n v="8.3800000000000008"/>
    <s v="USA"/>
    <s v="Colombia"/>
    <x v="0"/>
  </r>
  <r>
    <s v="Kayon Mountain Ethiopia"/>
    <n v="94"/>
    <s v="Medium Light"/>
    <n v="58"/>
    <n v="78"/>
    <n v="5.29"/>
    <s v="USA"/>
    <s v="Ethiopia"/>
    <x v="1"/>
  </r>
  <r>
    <s v="Ethiopia Kochere Arefasa Washed G1"/>
    <n v="94"/>
    <s v="Light"/>
    <n v="62"/>
    <n v="80"/>
    <n v="220.26"/>
    <s v="Taiwan"/>
    <s v="Ethiopia"/>
    <x v="1"/>
  </r>
  <r>
    <s v="Colombia Granja ParaГ­so Java P14"/>
    <n v="95"/>
    <s v="Light"/>
    <n v="64"/>
    <n v="82"/>
    <n v="44.09"/>
    <s v="USA"/>
    <s v="Colombia"/>
    <x v="0"/>
  </r>
  <r>
    <s v="El Salvador Finca El Retiro Sudan Rume Natural"/>
    <n v="94"/>
    <s v="Medium Light"/>
    <n v="62"/>
    <n v="78"/>
    <n v="6.96"/>
    <s v="Taiwan"/>
    <s v="El Salvador"/>
    <x v="0"/>
  </r>
  <r>
    <s v="Ethiopia Hayissa Olocho Lot 6"/>
    <n v="94"/>
    <s v="Light"/>
    <n v="61"/>
    <n v="82"/>
    <n v="9.52"/>
    <s v="USA"/>
    <s v="Ethiopia"/>
    <x v="1"/>
  </r>
  <r>
    <s v="Nyeri Hill Kenya"/>
    <n v="94"/>
    <s v="Medium Light"/>
    <n v="58"/>
    <n v="80"/>
    <n v="6.47"/>
    <s v="USA"/>
    <s v="Kenya"/>
    <x v="1"/>
  </r>
  <r>
    <s v="Ethiopia COE #8 Sidama Arbegona Muluneh Tute Galcho 74158 Natural"/>
    <n v="95"/>
    <s v="Light"/>
    <n v="63"/>
    <n v="82"/>
    <n v="850"/>
    <s v="Taiwan"/>
    <s v="Ethiopia"/>
    <x v="1"/>
  </r>
  <r>
    <s v="Chelbessa Ethiopia"/>
    <n v="94"/>
    <s v="Medium Light"/>
    <n v="60"/>
    <n v="78"/>
    <n v="5.88"/>
    <s v="USA"/>
    <s v="Ethiopia"/>
    <x v="1"/>
  </r>
  <r>
    <s v="KaвЂ™u Tropical Punch"/>
    <n v="94"/>
    <s v="Medium Light"/>
    <n v="60"/>
    <n v="78"/>
    <n v="22.05"/>
    <s v="USA"/>
    <s v="USA"/>
    <x v="0"/>
  </r>
  <r>
    <s v="Ethiopia Gesha Village Illubabor Forest Lot 22/043 (Single-Terroir) Natural Process"/>
    <n v="94"/>
    <s v="Light"/>
    <n v="64"/>
    <n v="84"/>
    <n v="299"/>
    <s v="Taiwan"/>
    <s v="Ethiopia"/>
    <x v="1"/>
  </r>
  <r>
    <s v="Ethiopia Gera Genji Challa"/>
    <n v="94"/>
    <s v="Medium Light"/>
    <n v="59"/>
    <n v="77"/>
    <n v="8.23"/>
    <s v="USA"/>
    <s v="Ethiopia"/>
    <x v="1"/>
  </r>
  <r>
    <s v="Kenya Gotomboya Peaberry"/>
    <n v="94"/>
    <s v="Medium Light"/>
    <n v="59"/>
    <n v="77"/>
    <n v="7.94"/>
    <s v="USA"/>
    <s v="Kenya"/>
    <x v="1"/>
  </r>
  <r>
    <s v="Panama Hartmann Estate Chicho Gallo Amaro Gayo Natural BOP#1"/>
    <n v="94"/>
    <s v="Medium Light"/>
    <n v="60"/>
    <n v="78"/>
    <n v="549"/>
    <s v="Taiwan"/>
    <s v="Panama"/>
    <x v="0"/>
  </r>
  <r>
    <s v="Kenya Ichamama"/>
    <n v="94"/>
    <s v="Medium Light"/>
    <n v="59"/>
    <n v="77"/>
    <n v="8.23"/>
    <s v="USA"/>
    <s v="Kenya"/>
    <x v="1"/>
  </r>
  <r>
    <s v="Ethiopia Uchoro Nansebo Washed"/>
    <n v="95"/>
    <s v="Light"/>
    <n v="60"/>
    <n v="82"/>
    <n v="7.94"/>
    <s v="USA"/>
    <s v="Ethiopia"/>
    <x v="1"/>
  </r>
  <r>
    <s v="Nekisse Phantom Roasting"/>
    <n v="95"/>
    <s v="Light"/>
    <n v="64"/>
    <n v="83"/>
    <n v="433.33"/>
    <s v="China"/>
    <s v="Ethiopia"/>
    <x v="1"/>
  </r>
  <r>
    <s v="Colombia Finca Samboni Gesha Anaerobic Natural"/>
    <n v="94"/>
    <s v="Medium Light"/>
    <n v="62"/>
    <n v="78"/>
    <n v="8.82"/>
    <s v="USA"/>
    <s v="Colombia"/>
    <x v="0"/>
  </r>
  <r>
    <s v="Kambera Inari Roasting"/>
    <n v="94"/>
    <s v="Light"/>
    <n v="62"/>
    <n v="80"/>
    <n v="353.33"/>
    <s v="China"/>
    <s v="Panama"/>
    <x v="0"/>
  </r>
  <r>
    <s v="Colombia Don Correa Gesha"/>
    <n v="94"/>
    <s v="Light"/>
    <n v="62"/>
    <n v="80"/>
    <n v="9.69"/>
    <s v="USA"/>
    <s v="Colombia"/>
    <x v="0"/>
  </r>
  <r>
    <s v="Ethiopia BergWu Maker Series Yirgacheffe Wuri G1 Lot MW21/02"/>
    <n v="94"/>
    <s v="Medium Light"/>
    <n v="62"/>
    <n v="78"/>
    <n v="64"/>
    <s v="China"/>
    <s v="Ethiopia"/>
    <x v="1"/>
  </r>
  <r>
    <s v="Mexico Finca Santa Cruz COE#1b"/>
    <n v="94"/>
    <s v="Light"/>
    <n v="64"/>
    <n v="84"/>
    <n v="498"/>
    <s v="China"/>
    <s v="Mexico"/>
    <x v="0"/>
  </r>
  <r>
    <s v="Wilton Benitez Geisha"/>
    <n v="95"/>
    <s v="Medium Light"/>
    <n v="59"/>
    <n v="81"/>
    <n v="11.02"/>
    <s v="USA"/>
    <s v="Colombia"/>
    <x v="0"/>
  </r>
  <r>
    <s v="Colombia Cerro Azul Geisha"/>
    <n v="95"/>
    <s v="Light"/>
    <n v="62"/>
    <n v="80"/>
    <n v="26.01"/>
    <s v="USA"/>
    <s v="Colombia"/>
    <x v="0"/>
  </r>
  <r>
    <s v="Yirgacheffe Mengesha Natural"/>
    <n v="94"/>
    <s v="Medium Light"/>
    <n v="60"/>
    <n v="77"/>
    <n v="6.03"/>
    <s v="USA"/>
    <s v="Ethiopia"/>
    <x v="1"/>
  </r>
  <r>
    <s v="Panama Geisha Finca Debra Symbiosis"/>
    <n v="94"/>
    <s v="Light"/>
    <n v="62"/>
    <n v="80"/>
    <n v="39.68"/>
    <s v="USA"/>
    <s v="Panama"/>
    <x v="0"/>
  </r>
  <r>
    <s v="Panama Geisha Finca Debra Echo"/>
    <n v="94"/>
    <s v="Light"/>
    <n v="64"/>
    <n v="80"/>
    <n v="20"/>
    <s v="USA"/>
    <s v="Panama"/>
    <x v="0"/>
  </r>
  <r>
    <s v="Ethiopia Hamasho Washed"/>
    <n v="95"/>
    <s v="Light"/>
    <n v="62"/>
    <n v="81"/>
    <n v="7.35"/>
    <s v="USA"/>
    <s v="Ethiopia"/>
    <x v="1"/>
  </r>
  <r>
    <s v="Ethiopia Idido Anaerobic Natural"/>
    <n v="95"/>
    <s v="Medium Light"/>
    <n v="61"/>
    <n v="80"/>
    <n v="11.76"/>
    <s v="USA"/>
    <s v="Ethiopia"/>
    <x v="1"/>
  </r>
  <r>
    <s v="Mexico Cup of Excellence #7"/>
    <n v="94"/>
    <s v="Light"/>
    <n v="62"/>
    <n v="80"/>
    <n v="11.76"/>
    <s v="USA"/>
    <s v="Mexico"/>
    <x v="0"/>
  </r>
  <r>
    <s v="Ethiopia Reko Yirgacheffe"/>
    <n v="94"/>
    <s v="Medium Light"/>
    <n v="60"/>
    <n v="76"/>
    <n v="6.91"/>
    <s v="USA"/>
    <s v="Ethiopia"/>
    <x v="1"/>
  </r>
  <r>
    <s v="Double-Anaerobic Fermentation Tamiru Tadesse"/>
    <n v="94"/>
    <s v="Light"/>
    <n v="62"/>
    <n v="80"/>
    <n v="14.11"/>
    <s v="USA"/>
    <s v="Ethiopia"/>
    <x v="1"/>
  </r>
  <r>
    <s v="Ethiopia Chelbesa Danche Yirgacheffe"/>
    <n v="94"/>
    <s v="Medium Light"/>
    <n v="60"/>
    <n v="77"/>
    <n v="7.05"/>
    <s v="USA"/>
    <s v="Ethiopia"/>
    <x v="1"/>
  </r>
  <r>
    <s v="Ethiopia Honey Process Tamiru Tadesse"/>
    <n v="94"/>
    <s v="Light"/>
    <n v="64"/>
    <n v="83"/>
    <n v="12.35"/>
    <s v="USA"/>
    <s v="Ethiopia"/>
    <x v="1"/>
  </r>
  <r>
    <s v="Ethiopia Halo Beriti"/>
    <n v="96"/>
    <s v="Medium Light"/>
    <n v="60"/>
    <n v="77"/>
    <n v="6.16"/>
    <s v="USA"/>
    <s v="Ethiopia"/>
    <x v="1"/>
  </r>
  <r>
    <s v="Narsha Gesha"/>
    <n v="96"/>
    <s v="Light"/>
    <n v="63"/>
    <n v="81"/>
    <n v="17.5"/>
    <s v="USA"/>
    <s v="Ethiopia"/>
    <x v="1"/>
  </r>
  <r>
    <s v="Ethiopia Washed Guji Uraga Welichu"/>
    <n v="96"/>
    <s v="Medium Light"/>
    <n v="58"/>
    <n v="78"/>
    <n v="165.34"/>
    <s v="Taiwan"/>
    <s v="Ethiopia"/>
    <x v="1"/>
  </r>
  <r>
    <s v="Don Roger &amp; IsabelвЂ™s Natural Fruit Symphony"/>
    <n v="94"/>
    <s v="Medium Light"/>
    <n v="60"/>
    <n v="77"/>
    <n v="10.86"/>
    <s v="USA"/>
    <s v="Nicaragua"/>
    <x v="0"/>
  </r>
  <r>
    <s v="Kenya Gitare AA TOP"/>
    <n v="95"/>
    <s v="Light"/>
    <n v="62"/>
    <n v="80"/>
    <n v="149.91"/>
    <s v="Taiwan"/>
    <s v="Kenya"/>
    <x v="1"/>
  </r>
  <r>
    <s v="Yemen Natural SanaвЂ™a Manakhah JaвЂ™adi"/>
    <n v="95"/>
    <s v="Medium Light"/>
    <n v="58"/>
    <n v="77"/>
    <n v="793.65"/>
    <s v="Taiwan"/>
    <s v="Yemen"/>
    <x v="1"/>
  </r>
  <r>
    <s v="Ethiopia Bench Maji Gesha Special Natural Lot 03"/>
    <n v="95"/>
    <s v="Light"/>
    <n v="64"/>
    <n v="81"/>
    <n v="176.37"/>
    <s v="Taiwan"/>
    <s v="Ethiopia"/>
    <x v="1"/>
  </r>
  <r>
    <s v="Ethiopia Yirgacheffe Kochere Debo Premium Lot Washed Process"/>
    <n v="94"/>
    <s v="Light"/>
    <n v="62"/>
    <n v="80"/>
    <n v="202.38"/>
    <s v="Taiwan"/>
    <s v="Ethiopia"/>
    <x v="1"/>
  </r>
  <r>
    <s v="Ethiopia Natural Yirgacheffe Burtukaana Danche"/>
    <n v="94"/>
    <s v="Medium Light"/>
    <n v="60"/>
    <n v="78"/>
    <n v="154.32"/>
    <s v="Taiwan"/>
    <s v="Ethiopia"/>
    <x v="1"/>
  </r>
  <r>
    <s v="Ethiopia Hateso Guji Washed"/>
    <n v="94"/>
    <s v="Medium Light"/>
    <n v="59"/>
    <n v="78"/>
    <n v="5.88"/>
    <s v="USA"/>
    <s v="Ethiopia"/>
    <x v="1"/>
  </r>
  <r>
    <s v="Guatemala El Injerto Pacamara"/>
    <n v="94"/>
    <s v="Medium Light"/>
    <n v="58"/>
    <n v="74"/>
    <n v="12.93"/>
    <s v="USA"/>
    <s v="Guatemala"/>
    <x v="0"/>
  </r>
  <r>
    <s v="Colombia Finca Samboni Gesha Anaerobic Natural"/>
    <n v="95"/>
    <s v="Light"/>
    <n v="62"/>
    <n v="80"/>
    <n v="13.23"/>
    <s v="USA"/>
    <s v="Colombia"/>
    <x v="0"/>
  </r>
  <r>
    <s v="Colombia Tres Dragones"/>
    <n v="94"/>
    <s v="Light"/>
    <n v="64"/>
    <n v="84"/>
    <n v="8.11"/>
    <s v="USA"/>
    <s v="Colombia"/>
    <x v="0"/>
  </r>
  <r>
    <s v="Rwanda Cyesha Natural"/>
    <n v="94"/>
    <s v="Medium Light"/>
    <n v="58"/>
    <n v="74"/>
    <n v="7.64"/>
    <s v="USA"/>
    <s v="Rwanda"/>
    <x v="1"/>
  </r>
  <r>
    <s v="Espresso No. 3"/>
    <n v="94"/>
    <s v="Medium Light"/>
    <n v="54"/>
    <n v="78"/>
    <n v="5.88"/>
    <s v="Guatemala"/>
    <s v="Guatemala"/>
    <x v="0"/>
  </r>
  <r>
    <s v="Finca Santa Isabel"/>
    <n v="94"/>
    <s v="Medium Light"/>
    <n v="58"/>
    <n v="76"/>
    <n v="3.82"/>
    <s v="Guatemala"/>
    <s v="Guatemala"/>
    <x v="0"/>
  </r>
  <r>
    <s v="Colombia Castillo Fruit Maceration Series (Passionfruit)"/>
    <n v="95"/>
    <s v="Medium Light"/>
    <n v="58"/>
    <n v="78"/>
    <n v="11.02"/>
    <s v="USA"/>
    <s v="Colombia"/>
    <x v="0"/>
  </r>
  <r>
    <s v="Colombia Castillo Fruit Maceration Series (Strawberry)"/>
    <n v="94"/>
    <s v="Medium Light"/>
    <n v="61"/>
    <n v="78"/>
    <n v="11.02"/>
    <s v="USA"/>
    <s v="Colombia"/>
    <x v="0"/>
  </r>
  <r>
    <s v="Colombia Castillo Fruit Maceration Series (Peach)"/>
    <n v="94"/>
    <s v="Medium Light"/>
    <n v="60"/>
    <n v="77"/>
    <n v="11.02"/>
    <s v="USA"/>
    <s v="Colombia"/>
    <x v="0"/>
  </r>
  <r>
    <s v="Full Moon Espresso"/>
    <n v="95"/>
    <s v="Medium"/>
    <n v="48"/>
    <n v="64"/>
    <n v="275"/>
    <s v="Taiwan"/>
    <s v="Costa Rica"/>
    <x v="0"/>
  </r>
  <r>
    <s v="Ethiopia Sidama Tamiru Tadesse Anaerobic Natural Special Auction Lot"/>
    <n v="95"/>
    <s v="Light"/>
    <n v="62"/>
    <n v="80"/>
    <n v="8.82"/>
    <s v="Taiwan"/>
    <s v="Ethiopia"/>
    <x v="1"/>
  </r>
  <r>
    <s v="Colombia La Esperanza 100% Geisha Hanashaku"/>
    <n v="94"/>
    <s v="Light"/>
    <n v="65"/>
    <n v="81"/>
    <n v="440.92"/>
    <s v="Taiwan"/>
    <s v="Colombia"/>
    <x v="0"/>
  </r>
  <r>
    <s v="Kona Extra Fancy"/>
    <n v="95"/>
    <s v="Medium Light"/>
    <n v="58"/>
    <n v="74"/>
    <n v="13.52"/>
    <s v="USA"/>
    <s v="USA"/>
    <x v="0"/>
  </r>
  <r>
    <s v="Costa Rica Las Lajas Perla Negra"/>
    <n v="94"/>
    <s v="Medium Light"/>
    <n v="57"/>
    <n v="76"/>
    <n v="5.57"/>
    <s v="USA"/>
    <s v="Costa Rica"/>
    <x v="0"/>
  </r>
  <r>
    <s v="Ecuador COE 1st place Arashi Typica Mejorado Washed"/>
    <n v="96"/>
    <s v="Light"/>
    <n v="62"/>
    <n v="80"/>
    <n v="4000"/>
    <s v="Taiwan"/>
    <s v="Ecuador"/>
    <x v="0"/>
  </r>
  <r>
    <s v="Ethiopia Getu Kurume Natural"/>
    <n v="95"/>
    <s v="Light"/>
    <n v="64"/>
    <n v="86"/>
    <n v="202.82"/>
    <s v="Taiwan"/>
    <s v="Ethiopia"/>
    <x v="1"/>
  </r>
  <r>
    <s v="Fruit of the Goddess Espresso Blend"/>
    <n v="94"/>
    <s v="Medium Light"/>
    <n v="52"/>
    <n v="70"/>
    <n v="121.15"/>
    <s v="Taiwan"/>
    <s v="Ethiopia"/>
    <x v="1"/>
  </r>
  <r>
    <s v="Papua New Guinea Wahgi Valley Sigri Estate Peaberry"/>
    <n v="94"/>
    <s v="Medium Light"/>
    <n v="57"/>
    <n v="77"/>
    <n v="242.29"/>
    <s v="Taiwan"/>
    <s v="Papua New Guinea"/>
    <x v="2"/>
  </r>
  <r>
    <s v="Kenya Nyeri Asali Peaberry"/>
    <n v="95"/>
    <s v="Medium Light"/>
    <n v="60"/>
    <n v="77"/>
    <n v="220.26"/>
    <s v="Taiwan"/>
    <s v="Kenya"/>
    <x v="1"/>
  </r>
  <r>
    <s v="Memories of Autumn"/>
    <n v="94"/>
    <s v="Light"/>
    <n v="64"/>
    <n v="82"/>
    <n v="175.93"/>
    <s v="Taiwan"/>
    <s v="Colombia"/>
    <x v="0"/>
  </r>
  <r>
    <s v="Ethiopia Gera Estate Anaerobic Natural"/>
    <n v="95"/>
    <s v="Medium Light"/>
    <n v="60"/>
    <n v="78"/>
    <n v="6.47"/>
    <s v="USA"/>
    <s v="Ethiopia"/>
    <x v="1"/>
  </r>
  <r>
    <s v="Colombia Cauca Finca El Paraiso Double-Anaerobic Flor Lychee"/>
    <n v="95"/>
    <s v="Medium Light"/>
    <n v="60"/>
    <n v="78"/>
    <n v="424.6"/>
    <s v="Taiwan"/>
    <s v="Colombia"/>
    <x v="0"/>
  </r>
  <r>
    <s v="Costa Rica Cerro Dragon Geisha Honey"/>
    <n v="94"/>
    <s v="Medium Light"/>
    <n v="59"/>
    <n v="78"/>
    <n v="8.82"/>
    <s v="USA"/>
    <s v="Costa Rica"/>
    <x v="0"/>
  </r>
  <r>
    <s v="Guatemala Washed El Injerto EI05 Mocca"/>
    <n v="96"/>
    <s v="Light"/>
    <n v="61"/>
    <n v="81"/>
    <n v="1058.2"/>
    <s v="Taiwan"/>
    <s v="Guatemala"/>
    <x v="0"/>
  </r>
  <r>
    <s v="Taiwan Natural Alishan Zhuo-Wu Geisha"/>
    <n v="95"/>
    <s v="Medium Light"/>
    <n v="60"/>
    <n v="78"/>
    <n v="1200"/>
    <s v="Taiwan"/>
    <s v="Taiwan"/>
    <x v="2"/>
  </r>
  <r>
    <s v="Ethiopia Natural Guji Uraga Tome 74110 Lot K06"/>
    <n v="95"/>
    <s v="Light"/>
    <n v="63"/>
    <n v="85"/>
    <n v="143.30000000000001"/>
    <s v="Taiwan"/>
    <s v="Ethiopia"/>
    <x v="1"/>
  </r>
  <r>
    <s v="Kenya Gathaithi AA"/>
    <n v="94"/>
    <s v="Medium Light"/>
    <n v="58"/>
    <n v="76"/>
    <n v="5.6"/>
    <s v="USA"/>
    <s v="Kenya"/>
    <x v="1"/>
  </r>
  <r>
    <s v="Ethiopia Guji Uraga Tobutu Tuta G1 Experimental LOT 181NA2021"/>
    <n v="95"/>
    <s v="Light"/>
    <n v="72"/>
    <n v="90"/>
    <n v="12.5"/>
    <s v="Japan"/>
    <s v="Ethiopia"/>
    <x v="1"/>
  </r>
  <r>
    <s v="Colombia Jardines del Eden Pink Bourbon Wine Yeast Honey"/>
    <n v="94"/>
    <s v="Light"/>
    <n v="64"/>
    <n v="86"/>
    <n v="12"/>
    <s v="Canada"/>
    <s v="Colombia"/>
    <x v="0"/>
  </r>
  <r>
    <s v="Colombia Cerro Azul Enano"/>
    <n v="94"/>
    <s v="Medium Light"/>
    <n v="60"/>
    <n v="77"/>
    <n v="7.64"/>
    <s v="USA"/>
    <s v="Colombia"/>
    <x v="0"/>
  </r>
  <r>
    <s v="Peru Incahuasi"/>
    <n v="94"/>
    <s v="Medium Light"/>
    <n v="58"/>
    <n v="78"/>
    <n v="7.64"/>
    <s v="USA"/>
    <s v="Peru"/>
    <x v="0"/>
  </r>
  <r>
    <s v="Reina de la Asuncion Ecuador"/>
    <n v="94"/>
    <s v="Medium Light"/>
    <n v="58"/>
    <n v="74"/>
    <n v="5.88"/>
    <s v="USA"/>
    <s v="Ecuador"/>
    <x v="0"/>
  </r>
  <r>
    <s v="Ethiopia Guji Uraga More Floral Kudume Washed"/>
    <n v="95"/>
    <s v="Light"/>
    <n v="65"/>
    <n v="82"/>
    <n v="275"/>
    <s v="Taiwan"/>
    <s v="Ethiopia"/>
    <x v="1"/>
  </r>
  <r>
    <s v="Ethiopia Guji Uraga More Floral Kudume Natural"/>
    <n v="94"/>
    <s v="Medium Light"/>
    <n v="62"/>
    <n v="77"/>
    <n v="275"/>
    <s v="Taiwan"/>
    <s v="Ethiopia"/>
    <x v="1"/>
  </r>
  <r>
    <s v="Kenya Nyeri Hill"/>
    <n v="94"/>
    <s v="Medium Light"/>
    <n v="60"/>
    <n v="78"/>
    <n v="6.45"/>
    <s v="USA"/>
    <s v="Kenya"/>
    <x v="1"/>
  </r>
  <r>
    <s v="Kenya AA TOP Nairobi Rose"/>
    <n v="94"/>
    <s v="Medium Light"/>
    <n v="60"/>
    <n v="77"/>
    <n v="176.37"/>
    <s v="Taiwan"/>
    <s v="Kenya"/>
    <x v="1"/>
  </r>
  <r>
    <s v="Kahiko"/>
    <n v="96"/>
    <s v="Medium Light"/>
    <n v="56"/>
    <n v="74"/>
    <n v="21.14"/>
    <s v="USA"/>
    <s v="Unknown"/>
    <x v="3"/>
  </r>
  <r>
    <s v="Kenya Ndumberi Peaberry"/>
    <n v="94"/>
    <s v="Medium Light"/>
    <n v="58"/>
    <n v="77"/>
    <n v="6.8"/>
    <s v="USA"/>
    <s v="Kenya"/>
    <x v="1"/>
  </r>
  <r>
    <s v="Taiwan Alishan Espresso Pacamara Natural"/>
    <n v="94"/>
    <s v="Medium"/>
    <n v="48"/>
    <n v="67"/>
    <n v="1000"/>
    <s v="Taiwan"/>
    <s v="Taiwan"/>
    <x v="2"/>
  </r>
  <r>
    <s v="Ethiopia Gera Reserve Anaerobic Natural"/>
    <n v="94"/>
    <s v="Light"/>
    <n v="62"/>
    <n v="84"/>
    <n v="6.88"/>
    <s v="USA"/>
    <s v="Ethiopia"/>
    <x v="1"/>
  </r>
  <r>
    <s v="Kenya Ngaita Peaberry"/>
    <n v="94"/>
    <s v="Medium Light"/>
    <n v="60"/>
    <n v="77"/>
    <n v="6.8"/>
    <s v="USA"/>
    <s v="Kenya"/>
    <x v="1"/>
  </r>
  <r>
    <s v="Kenya AB"/>
    <n v="94"/>
    <s v="Light"/>
    <n v="64"/>
    <n v="84"/>
    <n v="326.08999999999997"/>
    <s v="Taiwan"/>
    <s v="Kenya"/>
    <x v="1"/>
  </r>
  <r>
    <s v="Kona Noir"/>
    <n v="94"/>
    <s v="Light"/>
    <n v="62"/>
    <n v="80"/>
    <n v="25.57"/>
    <s v="USA"/>
    <s v="USA"/>
    <x v="0"/>
  </r>
  <r>
    <s v="Kona Red Bourbon"/>
    <n v="94"/>
    <s v="Medium Light"/>
    <n v="60"/>
    <n v="78"/>
    <n v="17.28"/>
    <s v="USA"/>
    <s v="USA"/>
    <x v="0"/>
  </r>
  <r>
    <s v="Kenya Washed Nyeri Hill Farm AA Top"/>
    <n v="96"/>
    <s v="Medium Light"/>
    <n v="60"/>
    <n v="77"/>
    <n v="171.96"/>
    <s v="Taiwan"/>
    <s v="Kenya"/>
    <x v="1"/>
  </r>
  <r>
    <s v="Ethiopia Nano Genji"/>
    <n v="95"/>
    <s v="Light"/>
    <n v="62"/>
    <n v="80"/>
    <n v="7.5"/>
    <s v="USA"/>
    <s v="Ethiopia"/>
    <x v="1"/>
  </r>
  <r>
    <s v="Ethiopia Natural Sidama Abebe 74110"/>
    <n v="95"/>
    <s v="Light"/>
    <n v="62"/>
    <n v="80"/>
    <n v="264.55"/>
    <s v="Taiwan"/>
    <s v="Ethiopia"/>
    <x v="1"/>
  </r>
  <r>
    <s v="Ethiopia Natural Guji TAMIRU 74158 Kakalove Lot"/>
    <n v="95"/>
    <s v="Light"/>
    <n v="64"/>
    <n v="84"/>
    <n v="308.64"/>
    <s v="Taiwan"/>
    <s v="Ethiopia"/>
    <x v="1"/>
  </r>
  <r>
    <s v="Rwanda Sholi Natural Single-Origin Espresso"/>
    <n v="94"/>
    <s v="Medium Light"/>
    <n v="56"/>
    <n v="72"/>
    <n v="6.47"/>
    <s v="USA"/>
    <s v="Rwanda"/>
    <x v="1"/>
  </r>
  <r>
    <s v="Guatemala Washed Finca El General Lot SummerEnd Espresso"/>
    <n v="94"/>
    <s v="Medium Light"/>
    <n v="56"/>
    <n v="74"/>
    <n v="105.82"/>
    <s v="Taiwan"/>
    <s v="Guatemala"/>
    <x v="0"/>
  </r>
  <r>
    <s v="Guatemala Washed Acatenango Finca El General Pacamara Espresso"/>
    <n v="94"/>
    <s v="Medium Light"/>
    <n v="58"/>
    <n v="78"/>
    <n v="154.32"/>
    <s v="Taiwan"/>
    <s v="Guatemala"/>
    <x v="0"/>
  </r>
  <r>
    <s v="Finca Cerro Azul Aces Lot"/>
    <n v="94"/>
    <s v="Medium Light"/>
    <n v="61"/>
    <n v="79"/>
    <n v="14.22"/>
    <s v="USA"/>
    <s v="Mexico"/>
    <x v="0"/>
  </r>
  <r>
    <s v="Gachatha Kenya"/>
    <n v="96"/>
    <s v="Medium Light"/>
    <n v="59"/>
    <n v="77"/>
    <n v="7.05"/>
    <s v="USA"/>
    <s v="Kenya"/>
    <x v="1"/>
  </r>
  <r>
    <s v="Geisha Spirit"/>
    <n v="94"/>
    <s v="Medium Light"/>
    <n v="58"/>
    <n v="78"/>
    <n v="11.61"/>
    <s v="USA"/>
    <s v="Colombia"/>
    <x v="0"/>
  </r>
  <r>
    <s v="Colombia Sudan Rume"/>
    <n v="95"/>
    <s v="Light"/>
    <n v="64"/>
    <n v="82"/>
    <n v="35.270000000000003"/>
    <s v="USA"/>
    <s v="Colombia"/>
    <x v="0"/>
  </r>
  <r>
    <s v="El Duende Peru"/>
    <n v="94"/>
    <s v="Medium Light"/>
    <n v="58"/>
    <n v="76"/>
    <n v="5"/>
    <s v="USA"/>
    <s v="Peru"/>
    <x v="0"/>
  </r>
  <r>
    <s v="Ethiopia Yirgacheffe G1 Idido Natural"/>
    <n v="95"/>
    <s v="Light"/>
    <n v="65"/>
    <n v="85"/>
    <n v="275"/>
    <s v="Taiwan"/>
    <s v="Ethiopia"/>
    <x v="1"/>
  </r>
  <r>
    <s v="Colombia Pink Bourbon Filadelfia"/>
    <n v="95"/>
    <s v="Light"/>
    <n v="64"/>
    <n v="82"/>
    <n v="9.17"/>
    <s v="USA"/>
    <s v="Colombia"/>
    <x v="0"/>
  </r>
  <r>
    <s v="Ethiopia Kayon Mountain"/>
    <n v="94"/>
    <s v="Medium Light"/>
    <n v="60"/>
    <n v="78"/>
    <n v="5.88"/>
    <s v="USA"/>
    <s v="Ethiopia"/>
    <x v="1"/>
  </r>
  <r>
    <s v="Kenya"/>
    <n v="95"/>
    <s v="Medium Light"/>
    <n v="62"/>
    <n v="77"/>
    <n v="264.32"/>
    <s v="Taiwan"/>
    <s v="Kenya"/>
    <x v="1"/>
  </r>
  <r>
    <s v="Karen J Kona Red Bourbon"/>
    <n v="96"/>
    <s v="Medium Light"/>
    <n v="58"/>
    <n v="78"/>
    <n v="24.23"/>
    <s v="USA"/>
    <s v="USA"/>
    <x v="0"/>
  </r>
  <r>
    <s v="Ethiopia Worka Sakaro"/>
    <n v="95"/>
    <s v="Medium Light"/>
    <n v="60"/>
    <n v="78"/>
    <n v="6.47"/>
    <s v="USA"/>
    <s v="Ethiopia"/>
    <x v="1"/>
  </r>
  <r>
    <s v="Colombia Geisha"/>
    <n v="94"/>
    <s v="Medium Light"/>
    <n v="58"/>
    <n v="76"/>
    <n v="10.58"/>
    <s v="USA"/>
    <s v="Colombia"/>
    <x v="0"/>
  </r>
  <r>
    <s v="Colombia Don Ruiz Anaerobic"/>
    <n v="95"/>
    <s v="Medium Light"/>
    <n v="60"/>
    <n v="78"/>
    <n v="8.3800000000000008"/>
    <s v="USA"/>
    <s v="Colombia"/>
    <x v="0"/>
  </r>
  <r>
    <s v="Colombia FUDAM NariГ±o"/>
    <n v="94"/>
    <s v="Light"/>
    <n v="62"/>
    <n v="80"/>
    <n v="5.44"/>
    <s v="USA"/>
    <s v="Colombia"/>
    <x v="0"/>
  </r>
  <r>
    <s v="Ethiopia Durato Bombe"/>
    <n v="95"/>
    <s v="Light"/>
    <n v="68"/>
    <n v="92"/>
    <n v="7.05"/>
    <s v="USA"/>
    <s v="Ethiopia"/>
    <x v="1"/>
  </r>
  <r>
    <s v="Pantan Musara Sumatra"/>
    <n v="94"/>
    <s v="Medium Light"/>
    <n v="58"/>
    <n v="76"/>
    <n v="6.17"/>
    <s v="USA"/>
    <s v="Indonesia"/>
    <x v="2"/>
  </r>
  <r>
    <s v="Sumatra Takengon Gayo Natural"/>
    <n v="94"/>
    <s v="Light"/>
    <n v="62"/>
    <n v="80"/>
    <n v="4.74"/>
    <s v="USA"/>
    <s v="Indonesia"/>
    <x v="2"/>
  </r>
  <r>
    <s v="Nano Genji #7"/>
    <n v="95"/>
    <s v="Medium Light"/>
    <n v="58"/>
    <n v="78"/>
    <n v="5.59"/>
    <s v="USA"/>
    <s v="Ethiopia"/>
    <x v="1"/>
  </r>
  <r>
    <s v="Panama Auromar Camilina Geisha Natural"/>
    <n v="95"/>
    <s v="Medium Light"/>
    <n v="60"/>
    <n v="78"/>
    <n v="44.09"/>
    <s v="USA"/>
    <s v="Panama"/>
    <x v="0"/>
  </r>
  <r>
    <s v="Tio Conejo Colombia"/>
    <n v="94"/>
    <s v="Medium Light"/>
    <n v="58"/>
    <n v="76"/>
    <n v="7.94"/>
    <s v="USA"/>
    <s v="Colombia"/>
    <x v="0"/>
  </r>
  <r>
    <s v="Panama Auromar Ironman Geisha Washed Process"/>
    <n v="94"/>
    <s v="Medium Light"/>
    <n v="60"/>
    <n v="78"/>
    <n v="44.09"/>
    <s v="USA"/>
    <s v="Panama"/>
    <x v="0"/>
  </r>
  <r>
    <s v="Cruz Loma"/>
    <n v="94"/>
    <s v="Medium Light"/>
    <n v="57"/>
    <n v="75"/>
    <n v="11.02"/>
    <s v="USA"/>
    <s v="Ecuador"/>
    <x v="0"/>
  </r>
  <r>
    <s v="Panama Elida Washed Gesha"/>
    <n v="95"/>
    <s v="Light"/>
    <n v="64"/>
    <n v="84"/>
    <n v="40"/>
    <s v="USA"/>
    <s v="Panama"/>
    <x v="0"/>
  </r>
  <r>
    <s v="El Salvador Finca La Esperanza"/>
    <n v="94"/>
    <s v="Medium Light"/>
    <n v="62"/>
    <n v="78"/>
    <n v="6.09"/>
    <s v="Taiwan"/>
    <s v="El Salvador"/>
    <x v="0"/>
  </r>
  <r>
    <s v="Panama Hacienda La Esmeralda Super Mario Geisha Yeast Washed"/>
    <n v="95"/>
    <s v="Medium Light"/>
    <n v="60"/>
    <n v="77"/>
    <n v="2083.33"/>
    <s v="Taiwan"/>
    <s v="Panama"/>
    <x v="0"/>
  </r>
  <r>
    <s v="Quartet Kaffe Blend No.10"/>
    <n v="94"/>
    <s v="Medium Light"/>
    <n v="56"/>
    <n v="72"/>
    <n v="250"/>
    <s v="Taiwan"/>
    <s v="Panama"/>
    <x v="0"/>
  </r>
  <r>
    <s v="Ethiopia Anasora Extended Natural Special Lot"/>
    <n v="94"/>
    <s v="Medium Light"/>
    <n v="60"/>
    <n v="76"/>
    <n v="440"/>
    <s v="Taiwan"/>
    <s v="Ethiopia"/>
    <x v="1"/>
  </r>
  <r>
    <s v="Ethiopia Honey Yirgacheffe Idido G1"/>
    <n v="95"/>
    <s v="Medium Light"/>
    <n v="60"/>
    <n v="80"/>
    <n v="154.32"/>
    <s v="Taiwan"/>
    <s v="Ethiopia"/>
    <x v="1"/>
  </r>
  <r>
    <s v="Taiwan Natural Alishan Ching-Ye Farm"/>
    <n v="94"/>
    <s v="Medium Light"/>
    <n v="58"/>
    <n v="76"/>
    <n v="485.01"/>
    <s v="Taiwan"/>
    <s v="Taiwan"/>
    <x v="2"/>
  </r>
  <r>
    <s v="Hawaii KaвЂЕ« Bourbon Anaerobic Natural"/>
    <n v="95"/>
    <s v="Medium Light"/>
    <n v="57"/>
    <n v="74"/>
    <n v="26.46"/>
    <s v="USA"/>
    <s v="USA"/>
    <x v="0"/>
  </r>
  <r>
    <s v="Chelchele Ethiopia"/>
    <n v="94"/>
    <s v="Medium Light"/>
    <n v="58"/>
    <n v="78"/>
    <n v="5.59"/>
    <s v="USA"/>
    <s v="Ethiopia"/>
    <x v="1"/>
  </r>
  <r>
    <s v="Colombia Antioquia Magico"/>
    <n v="94"/>
    <s v="Light"/>
    <n v="62"/>
    <n v="80"/>
    <n v="11.17"/>
    <s v="USA"/>
    <s v="Colombia"/>
    <x v="0"/>
  </r>
  <r>
    <s v="Costa Rica Hacienda La Minita"/>
    <n v="94"/>
    <s v="Medium Light"/>
    <n v="57"/>
    <n v="73"/>
    <n v="5.14"/>
    <s v="USA"/>
    <s v="Costa Rica"/>
    <x v="0"/>
  </r>
  <r>
    <s v="El Salvador Aida Batlle La Florida Natural"/>
    <n v="95"/>
    <s v="Medium Light"/>
    <n v="56"/>
    <n v="74"/>
    <n v="5.48"/>
    <s v="USA"/>
    <s v="El Salvador"/>
    <x v="0"/>
  </r>
  <r>
    <s v="Colombia Geisha Cordillera"/>
    <n v="95"/>
    <s v="Medium Light"/>
    <n v="58"/>
    <n v="78"/>
    <n v="28.66"/>
    <s v="USA"/>
    <s v="Colombia"/>
    <x v="0"/>
  </r>
  <r>
    <s v="Ethiopia Raro Boda"/>
    <n v="94"/>
    <s v="Medium Light"/>
    <n v="56"/>
    <n v="74"/>
    <n v="6.47"/>
    <s v="USA"/>
    <s v="Ethiopia"/>
    <x v="1"/>
  </r>
  <r>
    <s v="Costa Rica Bounty Gesha"/>
    <n v="94"/>
    <s v="Medium Light"/>
    <n v="60"/>
    <n v="78"/>
    <n v="11.6"/>
    <s v="USA"/>
    <s v="Costa Rica"/>
    <x v="0"/>
  </r>
  <r>
    <s v="Panama Static Gesha Natural"/>
    <n v="95"/>
    <s v="Medium Light"/>
    <n v="58"/>
    <n v="77"/>
    <n v="13.23"/>
    <s v="USA"/>
    <s v="Panama"/>
    <x v="0"/>
  </r>
  <r>
    <s v="Panama La Mula Geisha Washed"/>
    <n v="95"/>
    <s v="Light"/>
    <n v="60"/>
    <n v="82"/>
    <n v="3000"/>
    <s v="Taiwan"/>
    <s v="Panama"/>
    <x v="0"/>
  </r>
  <r>
    <s v="Costa Rica San Gabriel SL28 Anaerobic Natural"/>
    <n v="94"/>
    <s v="Medium Light"/>
    <n v="58"/>
    <n v="76"/>
    <n v="300"/>
    <s v="Taiwan"/>
    <s v="Costa Rica"/>
    <x v="0"/>
  </r>
  <r>
    <s v="Burundi Kibingo Intenso"/>
    <n v="94"/>
    <s v="Medium Light"/>
    <n v="57"/>
    <n v="74"/>
    <n v="6.17"/>
    <s v="USA"/>
    <s v="Burundi"/>
    <x v="1"/>
  </r>
  <r>
    <s v="Ecuador PeГ±aherrera AAA"/>
    <n v="95"/>
    <s v="Medium Light"/>
    <n v="58"/>
    <n v="76"/>
    <n v="7.35"/>
    <s v="USA"/>
    <s v="Ecuador"/>
    <x v="0"/>
  </r>
  <r>
    <s v="Panama Hacienda La Esmeralda Porton 5N49 Gesha Natural"/>
    <n v="95"/>
    <s v="Medium Light"/>
    <n v="60"/>
    <n v="77"/>
    <n v="28.66"/>
    <s v="USA"/>
    <s v="Panama"/>
    <x v="0"/>
  </r>
  <r>
    <s v="Kona SL34 Champagne Natural Uluwehi Farm"/>
    <n v="95"/>
    <s v="Medium Light"/>
    <n v="58"/>
    <n v="76"/>
    <n v="26.46"/>
    <s v="USA"/>
    <s v="USA"/>
    <x v="0"/>
  </r>
  <r>
    <s v="Ethiopia Yirgacheffe Adado"/>
    <n v="94"/>
    <s v="Medium Light"/>
    <n v="60"/>
    <n v="78"/>
    <n v="5.58"/>
    <s v="USA"/>
    <s v="Ethiopia"/>
    <x v="1"/>
  </r>
  <r>
    <s v="Tanzania Mbeya Mimba"/>
    <n v="95"/>
    <s v="Medium Light"/>
    <n v="58"/>
    <n v="76"/>
    <n v="5.51"/>
    <s v="USA"/>
    <s v="Tanzania"/>
    <x v="1"/>
  </r>
  <r>
    <s v="Costa Rica La Chumeca"/>
    <n v="94"/>
    <s v="Medium Light"/>
    <n v="60"/>
    <n v="78"/>
    <n v="6.76"/>
    <s v="USA"/>
    <s v="Costa Rica"/>
    <x v="0"/>
  </r>
  <r>
    <s v="Gesha Spirits"/>
    <n v="95"/>
    <s v="Medium Light"/>
    <n v="60"/>
    <n v="77"/>
    <n v="15.71"/>
    <s v="USA"/>
    <s v="Colombia"/>
    <x v="0"/>
  </r>
  <r>
    <s v="Kenya Nyeri Hill Farm AA TOP"/>
    <n v="94"/>
    <s v="Medium Light"/>
    <n v="59"/>
    <n v="79"/>
    <n v="153.88"/>
    <s v="Taiwan"/>
    <s v="Kenya"/>
    <x v="1"/>
  </r>
  <r>
    <s v="Costa Rica Las MontaГ±as Honey"/>
    <n v="94"/>
    <s v="Medium Light"/>
    <n v="60"/>
    <n v="78"/>
    <n v="4.12"/>
    <s v="USA"/>
    <s v="Costa Rica"/>
    <x v="0"/>
  </r>
  <r>
    <s v="Colombia Finca La Guaca AjГ­"/>
    <n v="94"/>
    <s v="Light"/>
    <n v="62"/>
    <n v="80"/>
    <n v="11.46"/>
    <s v="USA"/>
    <s v="Colombia"/>
    <x v="0"/>
  </r>
  <r>
    <s v="Kenya Washed Kiambu Uklili AB Espresso"/>
    <n v="96"/>
    <s v="Medium Light"/>
    <n v="54"/>
    <n v="72"/>
    <n v="176.37"/>
    <s v="Taiwan"/>
    <s v="Kenya"/>
    <x v="1"/>
  </r>
  <r>
    <s v="Karatina Kenya"/>
    <n v="95"/>
    <s v="Medium Light"/>
    <n v="58"/>
    <n v="76"/>
    <n v="6.76"/>
    <s v="USA"/>
    <s v="Kenya"/>
    <x v="1"/>
  </r>
  <r>
    <s v="Karamo Ethiopia"/>
    <n v="94"/>
    <s v="Medium Light"/>
    <n v="60"/>
    <n v="78"/>
    <n v="5.59"/>
    <s v="USA"/>
    <s v="Ethiopia"/>
    <x v="1"/>
  </r>
  <r>
    <s v="Ethiopia Natural Shakisso Mormora 74112"/>
    <n v="95"/>
    <s v="Medium Light"/>
    <n v="54"/>
    <n v="76"/>
    <n v="143.30000000000001"/>
    <s v="Taiwan"/>
    <s v="Ethiopia"/>
    <x v="1"/>
  </r>
  <r>
    <s v="Ethiopia Washed Shakisso Mormora 74112"/>
    <n v="95"/>
    <s v="Medium Light"/>
    <n v="58"/>
    <n v="78"/>
    <n v="143.30000000000001"/>
    <s v="Taiwan"/>
    <s v="Ethiopia"/>
    <x v="1"/>
  </r>
  <r>
    <s v="Tang Bohu Espresso Blend"/>
    <n v="95"/>
    <s v="Medium"/>
    <n v="45"/>
    <n v="70"/>
    <n v="286.60000000000002"/>
    <s v="Taiwan"/>
    <s v="Costa Rica"/>
    <x v="0"/>
  </r>
  <r>
    <s v="Colombia Quindio Anaerobic Natural"/>
    <n v="94"/>
    <s v="Medium Light"/>
    <n v="60"/>
    <n v="78"/>
    <n v="8.82"/>
    <s v="USA"/>
    <s v="Colombia"/>
    <x v="0"/>
  </r>
  <r>
    <s v="Colombia Tres Dragones Natural"/>
    <n v="94"/>
    <s v="Medium Light"/>
    <n v="58"/>
    <n v="76"/>
    <n v="7.35"/>
    <s v="USA"/>
    <s v="Colombia"/>
    <x v="0"/>
  </r>
  <r>
    <s v="Colombia Finca Jardines del Eden Ice Fermentation Natural"/>
    <n v="94"/>
    <s v="Medium Light"/>
    <n v="58"/>
    <n v="74"/>
    <n v="500"/>
    <s v="Taiwan"/>
    <s v="Colombia"/>
    <x v="0"/>
  </r>
  <r>
    <s v="Honduras Natural San Vicente Belarmino Contreras Pacas"/>
    <n v="94"/>
    <s v="Medium Light"/>
    <n v="58"/>
    <n v="78"/>
    <n v="121.25"/>
    <s v="Taiwan"/>
    <s v="Honduras"/>
    <x v="0"/>
  </r>
  <r>
    <s v="Chasing Horizon Natural Espresso"/>
    <n v="95"/>
    <s v="Medium"/>
    <n v="48"/>
    <n v="64"/>
    <n v="352.73"/>
    <s v="Taiwan"/>
    <s v="Ethiopia"/>
    <x v="1"/>
  </r>
  <r>
    <s v="Supernatural"/>
    <n v="95"/>
    <s v="Medium Light"/>
    <n v="56"/>
    <n v="74"/>
    <n v="5.42"/>
    <s v="USA"/>
    <s v="Ethiopia"/>
    <x v="1"/>
  </r>
  <r>
    <s v="Ethiopia Alemaza Natural SOE"/>
    <n v="95"/>
    <s v="Medium Light"/>
    <n v="58"/>
    <n v="77"/>
    <n v="158.72999999999999"/>
    <s v="Taiwan"/>
    <s v="Ethiopia"/>
    <x v="1"/>
  </r>
  <r>
    <s v="Kona Natural Espresso"/>
    <n v="95"/>
    <s v="Medium Light"/>
    <n v="57"/>
    <n v="77"/>
    <n v="27.76"/>
    <s v="USA"/>
    <s v="USA"/>
    <x v="0"/>
  </r>
  <r>
    <s v="Colombia Tres Dragones"/>
    <n v="95"/>
    <s v="Medium Light"/>
    <n v="60"/>
    <n v="76"/>
    <n v="7.94"/>
    <s v="USA"/>
    <s v="Colombia"/>
    <x v="0"/>
  </r>
  <r>
    <s v="Colombia Quindio Anaerobic Natural"/>
    <n v="94"/>
    <s v="Medium Light"/>
    <n v="61"/>
    <n v="79"/>
    <n v="8.82"/>
    <s v="USA"/>
    <s v="Colombia"/>
    <x v="0"/>
  </r>
  <r>
    <s v="Colombia Pink Bourbon"/>
    <n v="94"/>
    <s v="Medium Light"/>
    <n v="60"/>
    <n v="77"/>
    <n v="11.17"/>
    <s v="USA"/>
    <s v="Colombia"/>
    <x v="0"/>
  </r>
  <r>
    <s v="Peru Gesha"/>
    <n v="94"/>
    <s v="Medium Light"/>
    <n v="60"/>
    <n v="77"/>
    <n v="8.82"/>
    <s v="USA"/>
    <s v="Peru"/>
    <x v="0"/>
  </r>
  <r>
    <s v="Ecuador Loja Hacienda La Papaya Bourbon Sidra 168hr Anaerobic Natural"/>
    <n v="95"/>
    <s v="Light"/>
    <n v="64"/>
    <n v="84"/>
    <n v="292.04000000000002"/>
    <s v="Taiwan"/>
    <s v="Ecuador"/>
    <x v="0"/>
  </r>
  <r>
    <s v="Panama Finca Deborah Afterglow Geisha Natural"/>
    <n v="95"/>
    <s v="Light"/>
    <n v="62"/>
    <n v="80"/>
    <n v="474.29"/>
    <s v="China"/>
    <s v="Panama"/>
    <x v="0"/>
  </r>
  <r>
    <s v="Colombia ExГіtico De Altura"/>
    <n v="94"/>
    <s v="Medium Light"/>
    <n v="54"/>
    <n v="74"/>
    <n v="5.29"/>
    <s v="USA"/>
    <s v="Colombia"/>
    <x v="0"/>
  </r>
  <r>
    <s v="Ethiopia Dawencho 74110 Natural Espresso"/>
    <n v="94"/>
    <s v="Medium Light"/>
    <n v="58"/>
    <n v="77"/>
    <n v="620"/>
    <s v="Taiwan"/>
    <s v="Ethiopia"/>
    <x v="1"/>
  </r>
  <r>
    <s v="Kenya Nyeri Yerihar AA Top Lot 21/01"/>
    <n v="94"/>
    <s v="Medium Light"/>
    <n v="57"/>
    <n v="78"/>
    <n v="204.55"/>
    <s v="Taiwan"/>
    <s v="Kenya"/>
    <x v="1"/>
  </r>
  <r>
    <s v="Colombia Wush Wush Dynamic Natural"/>
    <n v="95"/>
    <s v="Light"/>
    <n v="75"/>
    <n v="93"/>
    <n v="16.5"/>
    <s v="Japan"/>
    <s v="Colombia"/>
    <x v="0"/>
  </r>
  <r>
    <s v="Rwanda Gatare"/>
    <n v="94"/>
    <s v="Medium Light"/>
    <n v="58"/>
    <n v="80"/>
    <n v="6.47"/>
    <s v="USA"/>
    <s v="Rwanda"/>
    <x v="1"/>
  </r>
  <r>
    <s v="Costa Rica Naranjo Danilo Salazar Arias"/>
    <n v="94"/>
    <s v="Medium Light"/>
    <n v="60"/>
    <n v="77"/>
    <n v="6.76"/>
    <s v="USA"/>
    <s v="Costa Rica"/>
    <x v="0"/>
  </r>
  <r>
    <s v="Ethiopia Guji Shakiso G1 Honey"/>
    <n v="94"/>
    <s v="Medium Light"/>
    <n v="59"/>
    <n v="77"/>
    <n v="176.37"/>
    <s v="Taiwan"/>
    <s v="Ethiopia"/>
    <x v="1"/>
  </r>
  <r>
    <s v="Yemen Haraaz Red Mahal Aqeeq ul Station Natural"/>
    <n v="97"/>
    <s v="Medium Light"/>
    <n v="58"/>
    <n v="76"/>
    <n v="15.43"/>
    <s v="USA"/>
    <s v="Yemen"/>
    <x v="1"/>
  </r>
  <r>
    <s v="Brazil Fazenda Samambaia Natural Fermentation Arara"/>
    <n v="95"/>
    <s v="Medium Light"/>
    <n v="58"/>
    <n v="76"/>
    <n v="264.55"/>
    <s v="Taiwan"/>
    <s v="Brazil"/>
    <x v="0"/>
  </r>
  <r>
    <s v="Costa Rica Canet Musician Series Bach Raisin Honey"/>
    <n v="94"/>
    <s v="Medium Light"/>
    <n v="60"/>
    <n v="77"/>
    <n v="242.29"/>
    <s v="Taiwan"/>
    <s v="Costa Rica"/>
    <x v="0"/>
  </r>
  <r>
    <s v="Peru Amazonas Los Santos Geisha Natural"/>
    <n v="95"/>
    <s v="Light"/>
    <n v="64"/>
    <n v="80"/>
    <n v="418.5"/>
    <s v="Taiwan"/>
    <s v="Peru"/>
    <x v="0"/>
  </r>
  <r>
    <s v="Ethiopia Odola Washed"/>
    <n v="95"/>
    <s v="Light"/>
    <n v="60"/>
    <n v="82"/>
    <n v="5.57"/>
    <s v="USA"/>
    <s v="Ethiopia"/>
    <x v="1"/>
  </r>
  <r>
    <s v="Minanga Village Sulawesi"/>
    <n v="94"/>
    <s v="Medium Light"/>
    <n v="54"/>
    <n v="72"/>
    <n v="7.05"/>
    <s v="USA"/>
    <s v="Indonesia"/>
    <x v="2"/>
  </r>
  <r>
    <s v="KaвЂЕ« Tropical Punch Washed"/>
    <n v="94"/>
    <s v="Medium Light"/>
    <n v="58"/>
    <n v="74"/>
    <n v="22.05"/>
    <s v="USA"/>
    <s v="USA"/>
    <x v="0"/>
  </r>
  <r>
    <s v="Kenya Peaberry Top Hill Farm Espresso"/>
    <n v="95"/>
    <s v="Medium"/>
    <n v="45"/>
    <n v="58"/>
    <n v="275"/>
    <s v="Taiwan"/>
    <s v="Kenya"/>
    <x v="1"/>
  </r>
  <r>
    <s v="Ethiopia Belayneh Bariso Natural"/>
    <n v="95"/>
    <s v="Medium Light"/>
    <n v="58"/>
    <n v="76"/>
    <n v="5.73"/>
    <s v="USA"/>
    <s v="Ethiopia"/>
    <x v="1"/>
  </r>
  <r>
    <s v="Kona SL34 Champagne Natural Uluwehi Farm"/>
    <n v="94"/>
    <s v="Medium Light"/>
    <n v="57"/>
    <n v="74"/>
    <n v="26.46"/>
    <s v="USA"/>
    <s v="USA"/>
    <x v="0"/>
  </r>
  <r>
    <s v="Yemen Al Mashtal Al Burhani"/>
    <n v="95"/>
    <s v="Medium Light"/>
    <n v="58"/>
    <n v="74"/>
    <n v="26.46"/>
    <s v="USA"/>
    <s v="Yemen"/>
    <x v="1"/>
  </r>
  <r>
    <s v="KaвЂЕ« Lactic Natural"/>
    <n v="95"/>
    <s v="Medium Light"/>
    <n v="60"/>
    <n v="77"/>
    <n v="26.46"/>
    <s v="USA"/>
    <s v="USA"/>
    <x v="0"/>
  </r>
  <r>
    <s v="Colombia Finca El Paraiso Castillo Red Plum"/>
    <n v="94"/>
    <s v="Light"/>
    <n v="62"/>
    <n v="80"/>
    <n v="14.11"/>
    <s v="USA"/>
    <s v="Colombia"/>
    <x v="0"/>
  </r>
  <r>
    <s v="Ethiopia Guji Uraga Tebe Burku Natural"/>
    <n v="94"/>
    <s v="Medium Light"/>
    <n v="58"/>
    <n v="74"/>
    <n v="154.19"/>
    <s v="Taiwan"/>
    <s v="Ethiopia"/>
    <x v="1"/>
  </r>
  <r>
    <s v="British Style Espresso Blend"/>
    <n v="95"/>
    <s v="Medium"/>
    <n v="50"/>
    <n v="64"/>
    <n v="220.26"/>
    <s v="Taiwan"/>
    <s v="Ethiopia"/>
    <x v="1"/>
  </r>
  <r>
    <s v="Costa Rica Brunca Rivense Las Moras Black Honey"/>
    <n v="94"/>
    <s v="Medium Light"/>
    <n v="62"/>
    <n v="76"/>
    <n v="176.21"/>
    <s v="Taiwan"/>
    <s v="Costa Rica"/>
    <x v="0"/>
  </r>
  <r>
    <s v="Ethiopia Yirgacheffe Hama Washed"/>
    <n v="94"/>
    <s v="Medium Light"/>
    <n v="62"/>
    <n v="76"/>
    <n v="154.19"/>
    <s v="Taiwan"/>
    <s v="Ethiopia"/>
    <x v="1"/>
  </r>
  <r>
    <s v="Peru Washed Santa Monica Gesha"/>
    <n v="96"/>
    <s v="Medium Light"/>
    <n v="58"/>
    <n v="77"/>
    <n v="617.28"/>
    <s v="Taiwan"/>
    <s v="Peru"/>
    <x v="0"/>
  </r>
  <r>
    <s v="Taiwan Washed Alishan Ching-Ye Farm SL34"/>
    <n v="94"/>
    <s v="Medium Light"/>
    <n v="56"/>
    <n v="74"/>
    <n v="352.73"/>
    <s v="Taiwan"/>
    <s v="Taiwan"/>
    <x v="2"/>
  </r>
  <r>
    <s v="Ethiopia Guji Odo Shakiso"/>
    <n v="94"/>
    <s v="Medium Light"/>
    <n v="60"/>
    <n v="76"/>
    <n v="5.29"/>
    <s v="USA"/>
    <s v="Ethiopia"/>
    <x v="1"/>
  </r>
  <r>
    <s v="Ethiopia Sidamo Karamo"/>
    <n v="95"/>
    <s v="Light"/>
    <n v="62"/>
    <n v="80"/>
    <n v="7.64"/>
    <s v="USA"/>
    <s v="Ethiopia"/>
    <x v="1"/>
  </r>
  <r>
    <s v="Gigesa Ethiopia"/>
    <n v="94"/>
    <s v="Medium Light"/>
    <n v="56"/>
    <n v="74"/>
    <n v="5.59"/>
    <s v="USA"/>
    <s v="Ethiopia"/>
    <x v="1"/>
  </r>
  <r>
    <s v="Oahu Triple-Bourbon вЂњSparklingвЂќ Yeast Ferment"/>
    <n v="94"/>
    <s v="Medium Light"/>
    <n v="54"/>
    <n v="74"/>
    <n v="14.99"/>
    <s v="USA"/>
    <s v="USA"/>
    <x v="0"/>
  </r>
  <r>
    <s v="Colombia Ibague Tolima"/>
    <n v="94"/>
    <s v="Light"/>
    <n v="64"/>
    <n v="80"/>
    <n v="7.64"/>
    <s v="USA"/>
    <s v="Colombia"/>
    <x v="0"/>
  </r>
  <r>
    <s v="Kenya Karatu"/>
    <n v="94"/>
    <s v="Medium Light"/>
    <n v="60"/>
    <n v="76"/>
    <n v="6.91"/>
    <s v="Kenya"/>
    <s v="Kenya"/>
    <x v="1"/>
  </r>
  <r>
    <s v="Ecuador Taza Dorada Finca Cruz Loma"/>
    <n v="96"/>
    <s v="Medium Light"/>
    <n v="60"/>
    <n v="77"/>
    <n v="123.46"/>
    <s v="USA"/>
    <s v="Ecuador"/>
    <x v="0"/>
  </r>
  <r>
    <s v="Kona Bourbon Champagne Natural Uluwehi Farm"/>
    <n v="95"/>
    <s v="Medium Light"/>
    <n v="57"/>
    <n v="74"/>
    <n v="26.46"/>
    <s v="USA"/>
    <s v="USA"/>
    <x v="0"/>
  </r>
  <r>
    <s v="Panama Hacienda La Esmeralda Geisha Washed"/>
    <n v="95"/>
    <s v="Medium"/>
    <n v="46"/>
    <n v="60"/>
    <n v="800"/>
    <s v="Taiwan"/>
    <s v="Panama"/>
    <x v="0"/>
  </r>
  <r>
    <s v="Peru Garden of Eden Farcent Geisha Anaerobic Washed"/>
    <n v="94"/>
    <s v="Medium Light"/>
    <n v="62"/>
    <n v="78"/>
    <n v="700"/>
    <s v="Taiwan"/>
    <s v="Peru"/>
    <x v="0"/>
  </r>
  <r>
    <s v="Pointu Laurina"/>
    <n v="95"/>
    <s v="Medium"/>
    <n v="46"/>
    <n v="60"/>
    <n v="29.08"/>
    <s v="USA"/>
    <s v="Unknown"/>
    <x v="3"/>
  </r>
  <r>
    <s v="Ecuador Finca Cruz Loma"/>
    <n v="95"/>
    <s v="Medium Dark"/>
    <n v="40"/>
    <n v="54"/>
    <n v="3600"/>
    <s v="Taiwan"/>
    <s v="Ecuador"/>
    <x v="0"/>
  </r>
  <r>
    <s v="Aged Sumatra Semiga"/>
    <n v="94"/>
    <s v="Medium Dark"/>
    <n v="40"/>
    <n v="50"/>
    <n v="8.82"/>
    <s v="USA"/>
    <s v="Indonesia"/>
    <x v="2"/>
  </r>
  <r>
    <s v="Indonesia Sumatra Kerinci Valley"/>
    <n v="94"/>
    <s v="Medium"/>
    <n v="47"/>
    <n v="60"/>
    <n v="7.2"/>
    <s v="USA"/>
    <s v="Indonesia"/>
    <x v="2"/>
  </r>
  <r>
    <s v="KaвЂ™u Classic Dark"/>
    <n v="94"/>
    <s v="Medium"/>
    <n v="47"/>
    <n v="61"/>
    <n v="10.050000000000001"/>
    <s v="USA"/>
    <s v="USA"/>
    <x v="0"/>
  </r>
  <r>
    <s v="Sumatra Boru Batak"/>
    <n v="95"/>
    <s v="Medium Light"/>
    <n v="57"/>
    <n v="79"/>
    <n v="6.17"/>
    <s v="USA"/>
    <s v="Indonesia"/>
    <x v="2"/>
  </r>
  <r>
    <s v="Barokah Honey Sumatra"/>
    <n v="95"/>
    <s v="Medium Light"/>
    <n v="58"/>
    <n v="80"/>
    <n v="5.59"/>
    <s v="USA"/>
    <s v="Indonesia"/>
    <x v="2"/>
  </r>
  <r>
    <s v="Colombia Finca La Primavera Sidra"/>
    <n v="96"/>
    <s v="Light"/>
    <n v="64"/>
    <n v="82"/>
    <n v="14.11"/>
    <s v="USA"/>
    <s v="Colombia"/>
    <x v="0"/>
  </r>
  <r>
    <s v="Ethiopia Natural Guji Dasaya SP"/>
    <n v="95"/>
    <s v="Medium Light"/>
    <n v="58"/>
    <n v="78"/>
    <n v="154.32"/>
    <s v="Taiwan"/>
    <s v="Ethiopia"/>
    <x v="1"/>
  </r>
  <r>
    <s v="Ethiopia Anaerobic Shantawene"/>
    <n v="94"/>
    <s v="Medium Light"/>
    <n v="58"/>
    <n v="80"/>
    <n v="5.88"/>
    <s v="USA"/>
    <s v="Ethiopia"/>
    <x v="1"/>
  </r>
  <r>
    <s v="Ethiopia Bensa Asefa Qonqana"/>
    <n v="94"/>
    <s v="Light"/>
    <n v="64"/>
    <n v="86"/>
    <n v="7.64"/>
    <s v="USA"/>
    <s v="Ethiopia"/>
    <x v="1"/>
  </r>
  <r>
    <s v="Ethiopia Durato Bombe"/>
    <n v="94"/>
    <s v="Medium Light"/>
    <n v="58"/>
    <n v="78"/>
    <n v="5.59"/>
    <s v="USA"/>
    <s v="Ethiopia"/>
    <x v="1"/>
  </r>
  <r>
    <s v="Ethiopia Washed Shantawene"/>
    <n v="94"/>
    <s v="Medium Light"/>
    <n v="60"/>
    <n v="78"/>
    <n v="5.88"/>
    <s v="USA"/>
    <s v="Ethiopia"/>
    <x v="1"/>
  </r>
  <r>
    <s v="Indonesia Sumatra Natural Aceh Musara SC19"/>
    <n v="94"/>
    <s v="Light"/>
    <n v="62"/>
    <n v="80"/>
    <n v="154.32"/>
    <s v="Taiwan"/>
    <s v="Indonesia"/>
    <x v="2"/>
  </r>
  <r>
    <s v="Kenya Washed Kabingara AA"/>
    <n v="94"/>
    <s v="Medium Light"/>
    <n v="57"/>
    <n v="77"/>
    <n v="158.72999999999999"/>
    <s v="Taiwan"/>
    <s v="Kenya"/>
    <x v="1"/>
  </r>
  <r>
    <s v="Kenya Nyeri Jungle Estate Red Cherry SLD Anaerobic Natural"/>
    <n v="95"/>
    <s v="Medium Light"/>
    <n v="57"/>
    <n v="77"/>
    <n v="330.4"/>
    <s v="Taiwan"/>
    <s v="Kenya"/>
    <x v="1"/>
  </r>
  <r>
    <s v="Lugmapata Ecuador"/>
    <n v="95"/>
    <s v="Medium Light"/>
    <n v="60"/>
    <n v="80"/>
    <n v="7.94"/>
    <s v="USA"/>
    <s v="Ecuador"/>
    <x v="0"/>
  </r>
  <r>
    <s v="Red Sunset by Andres Cardona"/>
    <n v="94"/>
    <s v="Medium Light"/>
    <n v="55"/>
    <n v="73"/>
    <n v="7.05"/>
    <s v="USA"/>
    <s v="Colombia"/>
    <x v="0"/>
  </r>
  <r>
    <s v="Macarena Colombia"/>
    <n v="94"/>
    <s v="Medium Light"/>
    <n v="60"/>
    <n v="78"/>
    <n v="7.94"/>
    <s v="USA"/>
    <s v="Colombia"/>
    <x v="0"/>
  </r>
  <r>
    <s v="Haraaz Red Yemen"/>
    <n v="94"/>
    <s v="Medium Light"/>
    <n v="58"/>
    <n v="78"/>
    <n v="11.02"/>
    <s v="USA"/>
    <s v="Yemen"/>
    <x v="1"/>
  </r>
  <r>
    <s v="El Salvador Anarquia Pacamara"/>
    <n v="94"/>
    <s v="Light"/>
    <n v="60"/>
    <n v="82"/>
    <n v="6.47"/>
    <s v="USA"/>
    <s v="El Salvador"/>
    <x v="0"/>
  </r>
  <r>
    <s v="Colombia Sidra Natural Signature Selection"/>
    <n v="96"/>
    <s v="Light"/>
    <n v="62"/>
    <n v="80"/>
    <n v="40.56"/>
    <s v="USA"/>
    <s v="Colombia"/>
    <x v="0"/>
  </r>
  <r>
    <s v="Colombia Finca El Paraiso Geisha Letty"/>
    <n v="97"/>
    <s v="Light"/>
    <n v="64"/>
    <n v="84"/>
    <n v="35.270000000000003"/>
    <s v="USA"/>
    <s v="Colombia"/>
    <x v="0"/>
  </r>
  <r>
    <s v="Monarch Estate Pacamara"/>
    <n v="94"/>
    <s v="Medium Light"/>
    <n v="60"/>
    <n v="80"/>
    <n v="36.11"/>
    <s v="USA"/>
    <s v="Unknown"/>
    <x v="3"/>
  </r>
  <r>
    <s v="Uluwehi Farm Kona SL34 Yeast-Fermentation Washed Peaberry"/>
    <n v="94"/>
    <s v="Medium Light"/>
    <n v="56"/>
    <n v="72"/>
    <n v="35.270000000000003"/>
    <s v="USA"/>
    <s v="USA"/>
    <x v="0"/>
  </r>
  <r>
    <s v="KaвЂ™u IPA Natural"/>
    <n v="95"/>
    <s v="Medium Light"/>
    <n v="58"/>
    <n v="78"/>
    <n v="22.05"/>
    <s v="USA"/>
    <s v="USA"/>
    <x v="0"/>
  </r>
  <r>
    <s v="Ecuador Finca Lugmapata Mejorado"/>
    <n v="95"/>
    <s v="Light"/>
    <n v="64"/>
    <n v="80"/>
    <n v="10.58"/>
    <s v="USA"/>
    <s v="Ecuador"/>
    <x v="0"/>
  </r>
  <r>
    <s v="Shakiso Natural"/>
    <n v="94"/>
    <s v="Medium Light"/>
    <n v="58"/>
    <n v="76"/>
    <n v="5.59"/>
    <s v="USA"/>
    <s v="Ethiopia"/>
    <x v="1"/>
  </r>
  <r>
    <s v="Cerro Azul Geisha Honey Process"/>
    <n v="94"/>
    <s v="Medium Light"/>
    <n v="58"/>
    <n v="76"/>
    <n v="15.87"/>
    <s v="USA"/>
    <s v="Colombia"/>
    <x v="0"/>
  </r>
  <r>
    <s v="La Esmeralda Diamond Mountain Washed Coffee"/>
    <n v="94"/>
    <s v="Medium Light"/>
    <n v="60"/>
    <n v="78"/>
    <n v="208.89"/>
    <s v="Taiwan"/>
    <s v="Panama"/>
    <x v="0"/>
  </r>
  <r>
    <s v="Karen J Kona Red Bourbon Natural Anaerobic"/>
    <n v="95"/>
    <s v="Medium Light"/>
    <n v="56"/>
    <n v="76"/>
    <n v="22.02"/>
    <s v="USA"/>
    <s v="USA"/>
    <x v="0"/>
  </r>
  <r>
    <s v="El Salvador Finca Mileydi Pacamara"/>
    <n v="95"/>
    <s v="Medium Light"/>
    <n v="60"/>
    <n v="78"/>
    <n v="7.35"/>
    <s v="USA"/>
    <s v="El Salvador"/>
    <x v="0"/>
  </r>
  <r>
    <s v="El Salvador Las Veraneras Red Bourbon"/>
    <n v="94"/>
    <s v="Medium Light"/>
    <n v="58"/>
    <n v="78"/>
    <n v="5.58"/>
    <s v="USA"/>
    <s v="El Salvador"/>
    <x v="0"/>
  </r>
  <r>
    <s v="Costa Rica Brunca Rivense La Guaca Passion Honey"/>
    <n v="94"/>
    <s v="Medium Light"/>
    <n v="58"/>
    <n v="78"/>
    <n v="176.21"/>
    <s v="Taiwan"/>
    <s v="Costa Rica"/>
    <x v="0"/>
  </r>
  <r>
    <s v="Hunkute by Nordic Approach"/>
    <n v="94"/>
    <s v="Light"/>
    <n v="64"/>
    <n v="88"/>
    <n v="53.4"/>
    <s v="Taiwan"/>
    <s v="Ethiopia"/>
    <x v="1"/>
  </r>
  <r>
    <s v="SchweikвЂ™s Blend"/>
    <n v="94"/>
    <s v="Light"/>
    <n v="62"/>
    <n v="80"/>
    <n v="3.95"/>
    <s v="USA"/>
    <s v="Unknown"/>
    <x v="3"/>
  </r>
  <r>
    <s v="Whiskey Dreams Moka Java"/>
    <n v="94"/>
    <s v="Medium Light"/>
    <n v="58"/>
    <n v="76"/>
    <n v="5.29"/>
    <s v="USA"/>
    <s v="Ethiopia"/>
    <x v="1"/>
  </r>
  <r>
    <s v="Black Level Blend"/>
    <n v="94"/>
    <s v="Medium Light"/>
    <n v="57"/>
    <n v="74"/>
    <n v="326.67"/>
    <s v="Taiwan"/>
    <s v="Colombia"/>
    <x v="0"/>
  </r>
  <r>
    <s v="Karindundu Kenya"/>
    <n v="94"/>
    <s v="Medium Light"/>
    <n v="58"/>
    <n v="78"/>
    <n v="6.47"/>
    <s v="USA"/>
    <s v="Kenya"/>
    <x v="1"/>
  </r>
  <r>
    <s v="Colombia Geisha Natural"/>
    <n v="94"/>
    <s v="Medium Light"/>
    <n v="60"/>
    <n v="76"/>
    <n v="15.41"/>
    <s v="USA"/>
    <s v="Colombia"/>
    <x v="0"/>
  </r>
  <r>
    <s v="Pacas Estate El Salvador Natural"/>
    <n v="94"/>
    <s v="Medium Light"/>
    <n v="54"/>
    <n v="72"/>
    <n v="4.7"/>
    <s v="USA"/>
    <s v="El Salvador"/>
    <x v="0"/>
  </r>
  <r>
    <s v="Hunapu Natural Guatemala"/>
    <n v="94"/>
    <s v="Medium Light"/>
    <n v="56"/>
    <n v="76"/>
    <n v="5.59"/>
    <s v="USA"/>
    <s v="Guatemala"/>
    <x v="0"/>
  </r>
  <r>
    <s v="Kabiufa Papua New Guinea"/>
    <n v="95"/>
    <s v="Light"/>
    <n v="60"/>
    <n v="82"/>
    <n v="5.29"/>
    <s v="USA"/>
    <s v="Papua New Guinea"/>
    <x v="2"/>
  </r>
  <r>
    <s v="Ethiopia Natural Sidama TAMIRU 74158"/>
    <n v="96"/>
    <s v="Medium Light"/>
    <n v="60"/>
    <n v="78"/>
    <n v="352.73"/>
    <s v="Taiwan"/>
    <s v="Ethiopia"/>
    <x v="1"/>
  </r>
  <r>
    <s v="Bedhatu Jibicho Natural"/>
    <n v="95"/>
    <s v="Medium Light"/>
    <n v="60"/>
    <n v="76"/>
    <n v="5.88"/>
    <s v="USA"/>
    <s v="Unknown"/>
    <x v="3"/>
  </r>
  <r>
    <s v="Ethiopia Natural Guji DoReMi"/>
    <n v="95"/>
    <s v="Medium Light"/>
    <n v="57"/>
    <n v="77"/>
    <n v="92.59"/>
    <s v="Taiwan"/>
    <s v="Ethiopia"/>
    <x v="1"/>
  </r>
  <r>
    <s v="Sabana Redonda SL28 Costa Rica"/>
    <n v="94"/>
    <s v="Medium Light"/>
    <n v="58"/>
    <n v="80"/>
    <n v="7.94"/>
    <s v="USA"/>
    <s v="Costa Rica"/>
    <x v="0"/>
  </r>
  <r>
    <s v="Ethiopia Bench Maji Gesha Village Dimma Illubabor Forest A6 Natural"/>
    <n v="95"/>
    <s v="Light"/>
    <n v="64"/>
    <n v="82"/>
    <n v="420.35"/>
    <s v="Taiwan"/>
    <s v="Ethiopia"/>
    <x v="1"/>
  </r>
  <r>
    <s v="Sumatra Siamang Forest"/>
    <n v="94"/>
    <s v="Medium Light"/>
    <n v="54"/>
    <n v="72"/>
    <n v="7.35"/>
    <s v="USA"/>
    <s v="Indonesia"/>
    <x v="2"/>
  </r>
  <r>
    <s v="Yemen Jabal Nabi Special Reserve"/>
    <n v="94"/>
    <s v="Medium Light"/>
    <n v="57"/>
    <n v="73"/>
    <n v="12.3"/>
    <s v="USA"/>
    <s v="Yemen"/>
    <x v="1"/>
  </r>
  <r>
    <s v="Kenya Gakuyuini AA"/>
    <n v="94"/>
    <s v="Medium Light"/>
    <n v="58"/>
    <n v="76"/>
    <n v="4.9800000000000004"/>
    <s v="USA"/>
    <s v="Kenya"/>
    <x v="1"/>
  </r>
  <r>
    <s v="Hacienda Esmeralda Ethiopian Accessions"/>
    <n v="95"/>
    <s v="Light"/>
    <n v="62"/>
    <n v="80"/>
    <n v="11.02"/>
    <s v="USA"/>
    <s v="Panama"/>
    <x v="0"/>
  </r>
  <r>
    <s v="Gelena Geisha"/>
    <n v="94"/>
    <s v="Medium Light"/>
    <n v="60"/>
    <n v="78"/>
    <n v="5.59"/>
    <s v="USA"/>
    <s v="Ethiopia"/>
    <x v="1"/>
  </r>
  <r>
    <s v="Ethiopia Anaerobic Natural"/>
    <n v="94"/>
    <s v="Medium Light"/>
    <n v="59"/>
    <n v="77"/>
    <n v="11.02"/>
    <s v="USA"/>
    <s v="Ethiopia"/>
    <x v="1"/>
  </r>
  <r>
    <s v="Rainy Day Espresso Blend"/>
    <n v="94"/>
    <s v="Medium Light"/>
    <n v="54"/>
    <n v="72"/>
    <n v="152.16999999999999"/>
    <s v="Taiwan"/>
    <s v="Costa Rica"/>
    <x v="0"/>
  </r>
  <r>
    <s v="Ethiopia Tamiru Tadesse Tesema Anaerobic Natural"/>
    <n v="95"/>
    <s v="Medium Light"/>
    <n v="62"/>
    <n v="78"/>
    <n v="130.07"/>
    <s v="Taiwan"/>
    <s v="Ethiopia"/>
    <x v="1"/>
  </r>
  <r>
    <s v="Ethiopia Aphrodite Washed Espresso"/>
    <n v="96"/>
    <s v="Medium"/>
    <n v="44"/>
    <n v="60"/>
    <n v="374.78"/>
    <s v="Taiwan"/>
    <s v="Ethiopia"/>
    <x v="1"/>
  </r>
  <r>
    <s v="Kona Tropical Punch Washed"/>
    <n v="94"/>
    <s v="Medium Light"/>
    <n v="60"/>
    <n v="76"/>
    <n v="22.05"/>
    <s v="USA"/>
    <s v="USA"/>
    <x v="0"/>
  </r>
  <r>
    <s v="KaвЂ™u Bourbon Champagne Natural"/>
    <n v="94"/>
    <s v="Medium Light"/>
    <n v="58"/>
    <n v="76"/>
    <n v="26.46"/>
    <s v="USA"/>
    <s v="USA"/>
    <x v="0"/>
  </r>
  <r>
    <s v="Cerro Azul Geisha"/>
    <n v="95"/>
    <s v="Medium Light"/>
    <n v="58"/>
    <n v="80"/>
    <n v="13.23"/>
    <s v="USA"/>
    <s v="Colombia"/>
    <x v="0"/>
  </r>
  <r>
    <s v="Panama Mama Cata Geisha Champagne Natural"/>
    <n v="95"/>
    <s v="Light"/>
    <n v="64"/>
    <n v="88"/>
    <n v="44.09"/>
    <s v="USA"/>
    <s v="Panama"/>
    <x v="0"/>
  </r>
  <r>
    <s v="Ethiopia Yirgacheffe Worka Sakaro"/>
    <n v="95"/>
    <s v="Medium Light"/>
    <n v="57"/>
    <n v="79"/>
    <n v="7.35"/>
    <s v="USA"/>
    <s v="Ethiopia"/>
    <x v="1"/>
  </r>
  <r>
    <s v="El Socorro Maracaturra"/>
    <n v="95"/>
    <s v="Medium Light"/>
    <n v="60"/>
    <n v="74"/>
    <n v="7.64"/>
    <s v="USA"/>
    <s v="Guatemala"/>
    <x v="0"/>
  </r>
  <r>
    <s v="Guatemala Acatenango Gesha"/>
    <n v="94"/>
    <s v="Light"/>
    <n v="62"/>
    <n v="80"/>
    <n v="10.58"/>
    <s v="USA"/>
    <s v="Guatemala"/>
    <x v="0"/>
  </r>
  <r>
    <s v="Kenya Kirinyaga"/>
    <n v="94"/>
    <s v="Medium Light"/>
    <n v="60"/>
    <n v="80"/>
    <n v="176.37"/>
    <s v="Taiwan"/>
    <s v="Kenya"/>
    <x v="1"/>
  </r>
  <r>
    <s v="Hacienda La Esmeralda MontaГ±as 71AS"/>
    <n v="96"/>
    <s v="Medium Light"/>
    <n v="59"/>
    <n v="77"/>
    <n v="66.67"/>
    <s v="United Kingdom"/>
    <s v="Panama"/>
    <x v="0"/>
  </r>
  <r>
    <s v="Kenya Nyeri Gatomboya"/>
    <n v="94"/>
    <s v="Medium Light"/>
    <n v="57"/>
    <n v="77"/>
    <n v="5.29"/>
    <s v="USA"/>
    <s v="Kenya"/>
    <x v="1"/>
  </r>
  <r>
    <s v="Ethiopia Bench Maji Natural Gesha"/>
    <n v="94"/>
    <s v="Light"/>
    <n v="62"/>
    <n v="80"/>
    <n v="242.5"/>
    <s v="Taiwan"/>
    <s v="Ethiopia"/>
    <x v="1"/>
  </r>
  <r>
    <s v="Panama Hacienda La Esmeralda Gesha"/>
    <n v="94"/>
    <s v="Light"/>
    <n v="64"/>
    <n v="84"/>
    <n v="29.39"/>
    <s v="USA"/>
    <s v="Panama"/>
    <x v="0"/>
  </r>
  <r>
    <s v="Natural KaвЂ™u Maragogipe"/>
    <n v="94"/>
    <s v="Medium Light"/>
    <n v="62"/>
    <n v="78"/>
    <n v="16.75"/>
    <s v="USA"/>
    <s v="USA"/>
    <x v="0"/>
  </r>
  <r>
    <s v="Costa Rica Volcan Azul San Isidro Red Honey"/>
    <n v="95"/>
    <s v="Medium Light"/>
    <n v="58"/>
    <n v="76"/>
    <n v="6.47"/>
    <s v="USA"/>
    <s v="Costa Rica"/>
    <x v="0"/>
  </r>
  <r>
    <s v="Ethiopia Demeka Becha"/>
    <n v="96"/>
    <s v="Medium Light"/>
    <n v="60"/>
    <n v="78"/>
    <n v="6.46"/>
    <s v="USA"/>
    <s v="Ethiopia"/>
    <x v="1"/>
  </r>
  <r>
    <s v="Sweet Holiday Blend"/>
    <n v="94"/>
    <s v="Medium Light"/>
    <n v="58"/>
    <n v="76"/>
    <n v="6.17"/>
    <s v="USA"/>
    <s v="Ethiopia"/>
    <x v="1"/>
  </r>
  <r>
    <s v="Ethiopia Washed Sidama Bensa Bombe"/>
    <n v="94"/>
    <s v="Light"/>
    <n v="60"/>
    <n v="82"/>
    <n v="165.34"/>
    <s v="Taiwan"/>
    <s v="Ethiopia"/>
    <x v="1"/>
  </r>
  <r>
    <s v="Panama Abu Geisha Lot 6"/>
    <n v="95"/>
    <s v="Medium Light"/>
    <n v="58"/>
    <n v="80"/>
    <n v="22.05"/>
    <s v="USA"/>
    <s v="Panama"/>
    <x v="0"/>
  </r>
  <r>
    <s v="Panama Finca Mi Finquita Geisha Afrodita Natural"/>
    <n v="96"/>
    <s v="Medium Light"/>
    <n v="59"/>
    <n v="81"/>
    <n v="1102.29"/>
    <s v="Taiwan"/>
    <s v="Panama"/>
    <x v="0"/>
  </r>
  <r>
    <s v="Panama El Burro Estate Natural Gesha"/>
    <n v="95"/>
    <s v="Medium Light"/>
    <n v="58"/>
    <n v="77"/>
    <n v="0.88"/>
    <s v="Taiwan"/>
    <s v="Panama"/>
    <x v="0"/>
  </r>
  <r>
    <s v="Panama La Viuda Natural Geisha 4 Hermanos"/>
    <n v="94"/>
    <s v="Light"/>
    <n v="60"/>
    <n v="84"/>
    <n v="0.88"/>
    <s v="Taiwan"/>
    <s v="Panama"/>
    <x v="0"/>
  </r>
  <r>
    <s v="Colombia Huila Finca Monteblanco Rodrigo Sanchez"/>
    <n v="94"/>
    <s v="Medium Light"/>
    <n v="58"/>
    <n v="78"/>
    <n v="87.94"/>
    <s v="China"/>
    <s v="Colombia"/>
    <x v="0"/>
  </r>
  <r>
    <s v="Ninety Plus Panama Gesha Estate MS Joseph Brodsky 2307"/>
    <n v="95"/>
    <s v="Medium Light"/>
    <n v="58"/>
    <n v="82"/>
    <n v="560"/>
    <s v="China"/>
    <s v="Panama"/>
    <x v="0"/>
  </r>
  <r>
    <s v="Espresso"/>
    <n v="94"/>
    <s v="Medium Light"/>
    <n v="56"/>
    <n v="80"/>
    <n v="27.76"/>
    <s v="USA"/>
    <s v="Unknown"/>
    <x v="3"/>
  </r>
  <r>
    <s v="Kenya Kainamui AB"/>
    <n v="94"/>
    <s v="Medium Light"/>
    <n v="58"/>
    <n v="76"/>
    <n v="6.6"/>
    <s v="USA"/>
    <s v="Kenya"/>
    <x v="1"/>
  </r>
  <r>
    <s v="Kona MoccaВ®"/>
    <n v="95"/>
    <s v="Medium Light"/>
    <n v="57"/>
    <n v="78"/>
    <n v="39.659999999999997"/>
    <s v="USA"/>
    <s v="USA"/>
    <x v="0"/>
  </r>
  <r>
    <s v="Karen J Kona Red Bourbon"/>
    <n v="95"/>
    <s v="Medium Light"/>
    <n v="56"/>
    <n v="78"/>
    <n v="22.02"/>
    <s v="USA"/>
    <s v="USA"/>
    <x v="0"/>
  </r>
  <r>
    <s v="Ethiopia Olonso Qeka"/>
    <n v="94"/>
    <s v="Medium Light"/>
    <n v="58"/>
    <n v="80"/>
    <n v="11.67"/>
    <s v="USA"/>
    <s v="Ethiopia"/>
    <x v="1"/>
  </r>
  <r>
    <s v="Ethiopia Wate Mini Natural Espresso"/>
    <n v="94"/>
    <s v="Medium Light"/>
    <n v="58"/>
    <n v="80"/>
    <n v="154.19"/>
    <s v="Taiwan"/>
    <s v="Ethiopia"/>
    <x v="1"/>
  </r>
  <r>
    <s v="Ethiopia Sidama Bensa Farmer Tamiru 74158 Natural"/>
    <n v="96"/>
    <s v="Light"/>
    <n v="64"/>
    <n v="82"/>
    <n v="507.05"/>
    <s v="Taiwan"/>
    <s v="Ethiopia"/>
    <x v="1"/>
  </r>
  <r>
    <s v="BNT Espresso Blend"/>
    <n v="94"/>
    <s v="Medium Light"/>
    <n v="56"/>
    <n v="72"/>
    <n v="154.19"/>
    <s v="Taiwan"/>
    <s v="Honduras"/>
    <x v="0"/>
  </r>
  <r>
    <s v="Holiday Coffee"/>
    <n v="96"/>
    <s v="Medium Light"/>
    <n v="58"/>
    <n v="80"/>
    <n v="22.02"/>
    <s v="USA"/>
    <s v="Unknown"/>
    <x v="3"/>
  </r>
  <r>
    <s v="Mama Cata Mokkita"/>
    <n v="97"/>
    <s v="Medium Light"/>
    <n v="57"/>
    <n v="79"/>
    <n v="132.28"/>
    <s v="USA"/>
    <s v="Panama"/>
    <x v="0"/>
  </r>
  <r>
    <s v="Ethiopia Tamiru Tadesse Anaerobic"/>
    <n v="96"/>
    <s v="Light"/>
    <n v="62"/>
    <n v="80"/>
    <n v="127.87"/>
    <s v="USA"/>
    <s v="Ethiopia"/>
    <x v="1"/>
  </r>
  <r>
    <s v="LauraвЂ™s Reserve SL34"/>
    <n v="96"/>
    <s v="Medium Light"/>
    <n v="60"/>
    <n v="78"/>
    <n v="27.76"/>
    <s v="USA"/>
    <s v="Unknown"/>
    <x v="3"/>
  </r>
  <r>
    <s v="Ethiopia Tamiru Tadesse Natural"/>
    <n v="95"/>
    <s v="Light"/>
    <n v="64"/>
    <n v="80"/>
    <n v="23.37"/>
    <s v="USA"/>
    <s v="Ethiopia"/>
    <x v="1"/>
  </r>
  <r>
    <s v="Puna Arakawa Estate Lactic Natural"/>
    <n v="95"/>
    <s v="Medium Light"/>
    <n v="60"/>
    <n v="78"/>
    <n v="26.46"/>
    <s v="USA"/>
    <s v="Unknown"/>
    <x v="3"/>
  </r>
  <r>
    <s v="100% Kona Bourbon Pointu Laurina"/>
    <n v="95"/>
    <s v="Medium Light"/>
    <n v="56"/>
    <n v="78"/>
    <n v="27.76"/>
    <s v="USA"/>
    <s v="USA"/>
    <x v="0"/>
  </r>
  <r>
    <s v="Colombia Java El Eden"/>
    <n v="94"/>
    <s v="Medium Light"/>
    <n v="58"/>
    <n v="78"/>
    <n v="5.86"/>
    <s v="USA"/>
    <s v="Colombia"/>
    <x v="0"/>
  </r>
  <r>
    <s v="Ethiopia Shantawene Natural"/>
    <n v="95"/>
    <s v="Medium Light"/>
    <n v="60"/>
    <n v="76"/>
    <n v="6.47"/>
    <s v="USA"/>
    <s v="Ethiopia"/>
    <x v="1"/>
  </r>
  <r>
    <s v="Ethiopia Buno Dambi Uddo"/>
    <n v="94"/>
    <s v="Light"/>
    <n v="65"/>
    <n v="83"/>
    <n v="7.35"/>
    <s v="USA"/>
    <s v="Ethiopia"/>
    <x v="1"/>
  </r>
  <r>
    <s v="Ethiopia Worka Sakaro Anaerobic Natural"/>
    <n v="94"/>
    <s v="Medium"/>
    <n v="56"/>
    <n v="64"/>
    <n v="4.7"/>
    <s v="USA"/>
    <s v="Ethiopia"/>
    <x v="1"/>
  </r>
  <r>
    <s v="Ethiopia Durato Bombe Natural"/>
    <n v="94"/>
    <s v="Light"/>
    <n v="64"/>
    <n v="80"/>
    <n v="6.47"/>
    <s v="USA"/>
    <s v="Ethiopia"/>
    <x v="1"/>
  </r>
  <r>
    <s v="SГ–T Coffee Roaster Colombia Wush Wush Dynamic Natural"/>
    <n v="96"/>
    <s v="Light"/>
    <n v="76"/>
    <n v="92"/>
    <n v="1680"/>
    <s v="Japan"/>
    <s v="Colombia"/>
    <x v="0"/>
  </r>
  <r>
    <s v="Colombia Trujillo Experimental Process"/>
    <n v="94"/>
    <s v="Medium Light"/>
    <n v="57"/>
    <n v="77"/>
    <n v="7.35"/>
    <s v="USA"/>
    <s v="Colombia"/>
    <x v="0"/>
  </r>
  <r>
    <s v="Colombia La Siria Geisha"/>
    <n v="96"/>
    <s v="Medium Light"/>
    <n v="60"/>
    <n v="78"/>
    <n v="83.77"/>
    <s v="USA"/>
    <s v="Colombia"/>
    <x v="0"/>
  </r>
  <r>
    <s v="Guatemala Santa Felisa Wild Yeast Natural Gesha"/>
    <n v="96"/>
    <s v="Light"/>
    <n v="62"/>
    <n v="88"/>
    <n v="330.69"/>
    <s v="Taiwan"/>
    <s v="Guatemala"/>
    <x v="0"/>
  </r>
  <r>
    <s v="Colombia Granja La Esperanza Las Margaritas Gesha Honey"/>
    <n v="95"/>
    <s v="Light"/>
    <n v="62"/>
    <n v="80"/>
    <n v="26.46"/>
    <s v="USA"/>
    <s v="Colombia"/>
    <x v="0"/>
  </r>
  <r>
    <s v="Tanzania Acacia Hills Gesha Peaberry"/>
    <n v="95"/>
    <s v="Medium Light"/>
    <n v="62"/>
    <n v="78"/>
    <n v="70.55"/>
    <s v="USA"/>
    <s v="Tanzania"/>
    <x v="1"/>
  </r>
  <r>
    <s v="Colombia La Palma Y El TucГЎn Gesha Natural"/>
    <n v="94"/>
    <s v="Medium Light"/>
    <n v="56"/>
    <n v="72"/>
    <n v="35.270000000000003"/>
    <s v="USA"/>
    <s v="Colombia"/>
    <x v="0"/>
  </r>
  <r>
    <s v="Peru Yanesha Geisha Washed Anaerobic"/>
    <n v="94"/>
    <s v="Medium Light"/>
    <n v="59"/>
    <n v="77"/>
    <n v="800"/>
    <s v="Taiwan"/>
    <s v="Peru"/>
    <x v="0"/>
  </r>
  <r>
    <s v="Guatemala Geisha"/>
    <n v="94"/>
    <s v="Light"/>
    <n v="62"/>
    <n v="80"/>
    <n v="500"/>
    <s v="Taiwan"/>
    <s v="Guatemala"/>
    <x v="0"/>
  </r>
  <r>
    <s v="Costa Rica La Rejolla Washed Geisha"/>
    <n v="94"/>
    <s v="Medium Light"/>
    <n v="58"/>
    <n v="80"/>
    <n v="11.02"/>
    <s v="USA"/>
    <s v="Costa Rica"/>
    <x v="0"/>
  </r>
  <r>
    <s v="Bekele Heto Natural Ethiopia"/>
    <n v="95"/>
    <s v="Medium Light"/>
    <n v="58"/>
    <n v="80"/>
    <n v="5.59"/>
    <s v="USA"/>
    <s v="Ethiopia"/>
    <x v="1"/>
  </r>
  <r>
    <s v="El Salvador El Matazano Pacamara"/>
    <n v="95"/>
    <s v="Medium Light"/>
    <n v="60"/>
    <n v="77"/>
    <n v="6.17"/>
    <s v="USA"/>
    <s v="El Salvador"/>
    <x v="0"/>
  </r>
  <r>
    <s v="Ethiopia Guji Mormora Organic Natural"/>
    <n v="94"/>
    <s v="Light"/>
    <n v="62"/>
    <n v="80"/>
    <n v="5.57"/>
    <s v="USA"/>
    <s v="Ethiopia"/>
    <x v="1"/>
  </r>
  <r>
    <s v="Chelbesa Ethiopia"/>
    <n v="95"/>
    <s v="Medium Light"/>
    <n v="58"/>
    <n v="78"/>
    <n v="7.94"/>
    <s v="USA"/>
    <s v="Ethiopia"/>
    <x v="1"/>
  </r>
  <r>
    <s v="Colombia La Riviera Sudan Rume"/>
    <n v="94"/>
    <s v="Medium Light"/>
    <n v="58"/>
    <n v="76"/>
    <n v="10.57"/>
    <s v="USA"/>
    <s v="Colombia"/>
    <x v="0"/>
  </r>
  <r>
    <s v="Alaka Ethiopia"/>
    <n v="94"/>
    <s v="Medium Light"/>
    <n v="62"/>
    <n v="78"/>
    <n v="5.29"/>
    <s v="USA"/>
    <s v="Ethiopia"/>
    <x v="1"/>
  </r>
  <r>
    <s v="Ethiopia Guji Uraga Tebe Burka Natural G1"/>
    <n v="94"/>
    <s v="Light"/>
    <n v="64"/>
    <n v="82"/>
    <n v="220"/>
    <s v="Taiwan"/>
    <s v="Ethiopia"/>
    <x v="1"/>
  </r>
  <r>
    <s v="Sweet Kenya J36 Espresso"/>
    <n v="95"/>
    <s v="Medium Light"/>
    <n v="52"/>
    <n v="76"/>
    <n v="333.33"/>
    <s v="Taiwan"/>
    <s v="Kenya"/>
    <x v="1"/>
  </r>
  <r>
    <s v="Acatenango Santa Felisa Wild Yeast Natural Sudan Rume Full Moon Lot 4"/>
    <n v="94"/>
    <s v="Medium Light"/>
    <n v="60"/>
    <n v="76"/>
    <n v="264.55"/>
    <s v="Taiwan"/>
    <s v="Guatemala"/>
    <x v="0"/>
  </r>
  <r>
    <s v="Guatemala Finca El General Slow Dry 6"/>
    <n v="94"/>
    <s v="Medium Light"/>
    <n v="58"/>
    <n v="78"/>
    <n v="165.34"/>
    <s v="Taiwan"/>
    <s v="Guatemala"/>
    <x v="0"/>
  </r>
  <r>
    <s v="Ethiopia Yirgacheffe Washed Banko Gotiti 3"/>
    <n v="94"/>
    <s v="Medium Light"/>
    <n v="58"/>
    <n v="80"/>
    <n v="121.25"/>
    <s v="Taiwan"/>
    <s v="Ethiopia"/>
    <x v="1"/>
  </r>
  <r>
    <s v="Ethiopia Natural Yirgacheffe Adado Feysa Dira"/>
    <n v="94"/>
    <s v="Medium Light"/>
    <n v="58"/>
    <n v="76"/>
    <n v="123.46"/>
    <s v="Taiwan"/>
    <s v="Ethiopia"/>
    <x v="1"/>
  </r>
  <r>
    <s v="Guatemala Finca El General SummerEnd Espresso"/>
    <n v="94"/>
    <s v="Medium Light"/>
    <n v="52"/>
    <n v="72"/>
    <n v="99.21"/>
    <s v="Taiwan"/>
    <s v="Guatemala"/>
    <x v="0"/>
  </r>
  <r>
    <s v="Guatemala El Injerto Natural Legendary Gesha 7"/>
    <n v="95"/>
    <s v="Light"/>
    <n v="62"/>
    <n v="80"/>
    <n v="529.1"/>
    <s v="Taiwan"/>
    <s v="Guatemala"/>
    <x v="0"/>
  </r>
  <r>
    <s v="Kenya Gachatha Nyeri AA"/>
    <n v="96"/>
    <s v="Medium Light"/>
    <n v="60"/>
    <n v="76"/>
    <n v="6.61"/>
    <s v="USA"/>
    <s v="Kenya"/>
    <x v="1"/>
  </r>
  <r>
    <s v="Ethiopia Super Wush"/>
    <n v="95"/>
    <s v="Light"/>
    <n v="62"/>
    <n v="80"/>
    <n v="7.64"/>
    <s v="USA"/>
    <s v="Ethiopia"/>
    <x v="1"/>
  </r>
  <r>
    <s v="Ethiopia Worka Sakaro Anaerobic Natural"/>
    <n v="94"/>
    <s v="Medium Light"/>
    <n v="59"/>
    <n v="77"/>
    <n v="5.73"/>
    <s v="USA"/>
    <s v="Ethiopia"/>
    <x v="1"/>
  </r>
  <r>
    <s v="Kenya Athena AB Espresso"/>
    <n v="94"/>
    <s v="Medium"/>
    <n v="46"/>
    <n v="60"/>
    <n v="374.78"/>
    <s v="Taiwan"/>
    <s v="Kenya"/>
    <x v="1"/>
  </r>
  <r>
    <s v="Colombia La Esperanza Anaerobic"/>
    <n v="94"/>
    <s v="Medium Light"/>
    <n v="54"/>
    <n v="74"/>
    <n v="12.35"/>
    <s v="USA"/>
    <s v="Colombia"/>
    <x v="0"/>
  </r>
  <r>
    <s v="Ethiopia Gogogu Bekaka #1"/>
    <n v="94"/>
    <s v="Light"/>
    <n v="64"/>
    <n v="86"/>
    <n v="7.35"/>
    <s v="USA"/>
    <s v="Ethiopia"/>
    <x v="1"/>
  </r>
  <r>
    <s v="Kenya Gichathaini"/>
    <n v="95"/>
    <s v="Medium Light"/>
    <n v="60"/>
    <n v="78"/>
    <n v="7.33"/>
    <s v="USA"/>
    <s v="Kenya"/>
    <x v="1"/>
  </r>
  <r>
    <s v="Ethiopia Kochere Hama Jet Washing Station"/>
    <n v="94"/>
    <s v="Light"/>
    <n v="64"/>
    <n v="84"/>
    <n v="176.21"/>
    <s v="Taiwan"/>
    <s v="Ethiopia"/>
    <x v="1"/>
  </r>
  <r>
    <s v="Elida Estate Dragonfly Catuai Lot 13"/>
    <n v="94"/>
    <s v="Medium Light"/>
    <n v="55"/>
    <n v="71"/>
    <n v="6.61"/>
    <s v="USA"/>
    <s v="Panama"/>
    <x v="0"/>
  </r>
  <r>
    <s v="Elida Estate ASD Natural Catuai 15"/>
    <n v="94"/>
    <s v="Medium Light"/>
    <n v="57"/>
    <n v="75"/>
    <n v="8.82"/>
    <s v="USA"/>
    <s v="Panama"/>
    <x v="0"/>
  </r>
  <r>
    <s v="Yemen Sheba Auction Lot 1: Wadi Al Mahjr"/>
    <n v="95"/>
    <s v="Medium Light"/>
    <n v="56"/>
    <n v="78"/>
    <n v="440.92"/>
    <s v="Taiwan"/>
    <s v="Yemen"/>
    <x v="1"/>
  </r>
  <r>
    <s v="Yemen Port of Mokha Al-Jabal"/>
    <n v="94"/>
    <s v="Medium Light"/>
    <n v="58"/>
    <n v="76"/>
    <n v="21.16"/>
    <s v="USA"/>
    <s v="Yemen"/>
    <x v="1"/>
  </r>
  <r>
    <s v="Colombia La Esperanza PotosГ­ Anaerobic Process"/>
    <n v="94"/>
    <s v="Medium Light"/>
    <n v="57"/>
    <n v="73"/>
    <n v="5.57"/>
    <s v="USA"/>
    <s v="Colombia"/>
    <x v="0"/>
  </r>
  <r>
    <s v="Panama Hacienda La Esmeralda Ethiopia Accessions"/>
    <n v="95"/>
    <s v="Light"/>
    <n v="62"/>
    <n v="82"/>
    <n v="22"/>
    <s v="USA"/>
    <s v="Panama"/>
    <x v="0"/>
  </r>
  <r>
    <s v="Guji Hamasho Washed"/>
    <n v="94"/>
    <s v="Medium Light"/>
    <n v="56"/>
    <n v="82"/>
    <n v="7.33"/>
    <s v="USA"/>
    <s v="Ethiopia"/>
    <x v="1"/>
  </r>
  <r>
    <s v="Kona Red Wine Process"/>
    <n v="94"/>
    <s v="Medium Light"/>
    <n v="56"/>
    <n v="76"/>
    <n v="22"/>
    <s v="USA"/>
    <s v="USA"/>
    <x v="0"/>
  </r>
  <r>
    <s v="Candelilla Geisha Natural"/>
    <n v="95"/>
    <s v="Light"/>
    <n v="62"/>
    <n v="80"/>
    <n v="9.48"/>
    <s v="USA"/>
    <s v="Costa Rica"/>
    <x v="0"/>
  </r>
  <r>
    <s v="Kiamugumo Kenya"/>
    <n v="95"/>
    <s v="Medium Light"/>
    <n v="58"/>
    <n v="80"/>
    <n v="6.17"/>
    <s v="USA"/>
    <s v="Kenya"/>
    <x v="1"/>
  </r>
  <r>
    <s v="Ethiopia Sidama Ardi"/>
    <n v="95"/>
    <s v="Light"/>
    <n v="64"/>
    <n v="86"/>
    <n v="5.59"/>
    <s v="USA"/>
    <s v="Ethiopia"/>
    <x v="1"/>
  </r>
  <r>
    <s v="Colombia Gesha"/>
    <n v="94"/>
    <s v="Medium Light"/>
    <n v="60"/>
    <n v="77"/>
    <n v="7.94"/>
    <s v="USA"/>
    <s v="Colombia"/>
    <x v="0"/>
  </r>
  <r>
    <s v="Ethiopia Kayon Mountain Washed"/>
    <n v="94"/>
    <s v="Medium Light"/>
    <n v="60"/>
    <n v="78"/>
    <n v="5.86"/>
    <s v="USA"/>
    <s v="Ethiopia"/>
    <x v="1"/>
  </r>
  <r>
    <s v="Ethiopia Gedeb Worka Wuri"/>
    <n v="95"/>
    <s v="Light"/>
    <n v="62"/>
    <n v="80"/>
    <n v="7.64"/>
    <s v="USA"/>
    <s v="Ethiopia"/>
    <x v="1"/>
  </r>
  <r>
    <s v="Mama Cata Mokkita"/>
    <n v="95"/>
    <s v="Medium Light"/>
    <n v="54"/>
    <n v="72"/>
    <n v="23.52"/>
    <s v="USA"/>
    <s v="Panama"/>
    <x v="0"/>
  </r>
  <r>
    <s v="Kenya Karatina"/>
    <n v="94"/>
    <s v="Medium Light"/>
    <n v="56"/>
    <n v="74"/>
    <n v="6.91"/>
    <s v="USA"/>
    <s v="Kenya"/>
    <x v="1"/>
  </r>
  <r>
    <s v="La Reforma El Salvador Natural"/>
    <n v="94"/>
    <s v="Medium Light"/>
    <n v="58"/>
    <n v="77"/>
    <n v="6.03"/>
    <s v="USA"/>
    <s v="El Salvador"/>
    <x v="0"/>
  </r>
  <r>
    <s v="Panama Geisha"/>
    <n v="94"/>
    <s v="Light"/>
    <n v="62"/>
    <n v="82"/>
    <n v="712"/>
    <s v="Taiwan"/>
    <s v="Panama"/>
    <x v="0"/>
  </r>
  <r>
    <s v="Guatemala COE-NW#2 Sierra Roja Geisha Washed"/>
    <n v="96"/>
    <s v="Medium Light"/>
    <n v="60"/>
    <n v="80"/>
    <n v="600"/>
    <s v="Taiwan"/>
    <s v="Guatemala"/>
    <x v="0"/>
  </r>
  <r>
    <s v="Guatemala La Voz"/>
    <n v="94"/>
    <s v="Medium Light"/>
    <n v="58"/>
    <n v="76"/>
    <n v="6.17"/>
    <s v="USA"/>
    <s v="Guatemala"/>
    <x v="0"/>
  </r>
  <r>
    <s v="Cafe Granja La Esperanza Sudan Rume"/>
    <n v="94"/>
    <s v="Medium Light"/>
    <n v="59"/>
    <n v="77"/>
    <n v="17.64"/>
    <s v="China"/>
    <s v="Colombia"/>
    <x v="0"/>
  </r>
  <r>
    <s v="Ethiopia Guji Laayoo Natural"/>
    <n v="95"/>
    <s v="Light"/>
    <n v="64"/>
    <n v="84"/>
    <n v="7.33"/>
    <s v="USA"/>
    <s v="Ethiopia"/>
    <x v="1"/>
  </r>
  <r>
    <s v="Colombia Cafe Granja La Esperanza Sidra Natural"/>
    <n v="95"/>
    <s v="Medium Light"/>
    <n v="58"/>
    <n v="80"/>
    <n v="25.71"/>
    <s v="USA"/>
    <s v="Colombia"/>
    <x v="0"/>
  </r>
  <r>
    <s v="Kenya Gatomboya"/>
    <n v="94"/>
    <s v="Medium Light"/>
    <n v="56"/>
    <n v="76"/>
    <n v="7.05"/>
    <s v="USA"/>
    <s v="Kenya"/>
    <x v="1"/>
  </r>
  <r>
    <s v="Nicaragua La Bendicion Yellow Maracaturra Natural"/>
    <n v="94"/>
    <s v="Light"/>
    <n v="64"/>
    <n v="86"/>
    <n v="8.7899999999999991"/>
    <s v="USA"/>
    <s v="Nicaragua"/>
    <x v="0"/>
  </r>
  <r>
    <s v="Kona Lactic Washed"/>
    <n v="94"/>
    <s v="Medium Light"/>
    <n v="60"/>
    <n v="76"/>
    <n v="22"/>
    <s v="USA"/>
    <s v="USA"/>
    <x v="0"/>
  </r>
  <r>
    <s v="Kenya Kamwangi"/>
    <n v="95"/>
    <s v="Medium Light"/>
    <n v="58"/>
    <n v="78"/>
    <n v="7.05"/>
    <s v="USA"/>
    <s v="Kenya"/>
    <x v="1"/>
  </r>
  <r>
    <s v="Ethiopia Bench Maji Gesha Village Oma Geisha 1931 Lot 55 Natural"/>
    <n v="94"/>
    <s v="Light"/>
    <n v="64"/>
    <n v="86"/>
    <n v="668.14"/>
    <s v="Taiwan"/>
    <s v="Ethiopia"/>
    <x v="1"/>
  </r>
  <r>
    <s v="Ethiopia Guji Natural Euphora Special Lot"/>
    <n v="94"/>
    <s v="Medium Light"/>
    <n v="59"/>
    <n v="79"/>
    <n v="141.09"/>
    <s v="Taiwan"/>
    <s v="Ethiopia"/>
    <x v="1"/>
  </r>
  <r>
    <s v="Sudan Rume"/>
    <n v="95"/>
    <s v="Medium Light"/>
    <n v="57"/>
    <n v="74"/>
    <n v="13.23"/>
    <s v="USA"/>
    <s v="Colombia"/>
    <x v="0"/>
  </r>
  <r>
    <s v="Testi Ayla Double Ethiopia"/>
    <n v="97"/>
    <s v="Light"/>
    <n v="64"/>
    <n v="86"/>
    <n v="16.149999999999999"/>
    <s v="USA"/>
    <s v="Ethiopia"/>
    <x v="1"/>
  </r>
  <r>
    <s v="Primavera Colombia Espresso"/>
    <n v="94"/>
    <s v="Medium Light"/>
    <n v="58"/>
    <n v="78"/>
    <n v="5.59"/>
    <s v="USA"/>
    <s v="Colombia"/>
    <x v="0"/>
  </r>
  <r>
    <s v="Gigesa Ethiopia"/>
    <n v="94"/>
    <s v="Light"/>
    <n v="62"/>
    <n v="80"/>
    <n v="5.29"/>
    <s v="USA"/>
    <s v="Ethiopia"/>
    <x v="1"/>
  </r>
  <r>
    <s v="Espresso Blend"/>
    <n v="94"/>
    <s v="Medium"/>
    <n v="51"/>
    <n v="64"/>
    <n v="200"/>
    <s v="Taiwan"/>
    <s v="Unknown"/>
    <x v="3"/>
  </r>
  <r>
    <s v="Classic MK Blend"/>
    <n v="94"/>
    <s v="Medium Dark"/>
    <n v="36"/>
    <n v="48"/>
    <n v="200"/>
    <s v="Taiwan"/>
    <s v="Colombia"/>
    <x v="0"/>
  </r>
  <r>
    <s v="Chocolate LoverвЂ™s Espresso"/>
    <n v="94"/>
    <s v="Medium Dark"/>
    <n v="39"/>
    <n v="53"/>
    <n v="133.33000000000001"/>
    <s v="Taiwan"/>
    <s v="Colombia"/>
    <x v="0"/>
  </r>
  <r>
    <s v="Golden Parrot Blend"/>
    <n v="95"/>
    <s v="Medium"/>
    <n v="50"/>
    <n v="67"/>
    <n v="92.59"/>
    <s v="Taiwan"/>
    <s v="Ethiopia"/>
    <x v="1"/>
  </r>
  <r>
    <s v="Bull Demon King"/>
    <n v="96"/>
    <s v="Medium Dark"/>
    <n v="35"/>
    <n v="48"/>
    <n v="242.5"/>
    <s v="Taiwan"/>
    <s v="Ethiopia"/>
    <x v="1"/>
  </r>
  <r>
    <s v="Tanzania Gesha Peaberry"/>
    <n v="95"/>
    <s v="Light"/>
    <n v="62"/>
    <n v="80"/>
    <n v="66.09"/>
    <s v="USA"/>
    <s v="Tanzania"/>
    <x v="1"/>
  </r>
  <r>
    <s v="Ethiopia Natural Guji D Minor 21/01"/>
    <n v="95"/>
    <s v="Light"/>
    <n v="64"/>
    <n v="84"/>
    <n v="165.34"/>
    <s v="Taiwan"/>
    <s v="Ethiopia"/>
    <x v="1"/>
  </r>
  <r>
    <s v="Ethiopia Hambela Yellow Honey James Selection"/>
    <n v="95"/>
    <s v="Light"/>
    <n v="62"/>
    <n v="80"/>
    <n v="180.78"/>
    <s v="Taiwan"/>
    <s v="Ethiopia"/>
    <x v="1"/>
  </r>
  <r>
    <s v="Costa Rica Black Honey"/>
    <n v="94"/>
    <s v="Medium Light"/>
    <n v="58"/>
    <n v="76"/>
    <n v="121.25"/>
    <s v="Taiwan"/>
    <s v="Costa Rica"/>
    <x v="0"/>
  </r>
  <r>
    <s v="Ethiopia Guji Hambela Kudume Yellow Honey"/>
    <n v="94"/>
    <s v="Medium Light"/>
    <n v="58"/>
    <n v="76"/>
    <n v="280"/>
    <s v="Taiwan"/>
    <s v="Ethiopia"/>
    <x v="1"/>
  </r>
  <r>
    <s v="Ethiopia Sidamo Bensa Mirado Natural"/>
    <n v="94"/>
    <s v="Light"/>
    <n v="64"/>
    <n v="80"/>
    <n v="220.26"/>
    <s v="Taiwan"/>
    <s v="Ethiopia"/>
    <x v="1"/>
  </r>
  <r>
    <s v="Costa Rica La Florida Red Honey Espresso"/>
    <n v="95"/>
    <s v="Medium Light"/>
    <n v="54"/>
    <n v="78"/>
    <n v="132.28"/>
    <s v="Taiwan"/>
    <s v="Costa Rica"/>
    <x v="0"/>
  </r>
  <r>
    <s v="Ethiopia Yirgacheffe Botabaa Washed G1 21/01"/>
    <n v="94"/>
    <s v="Medium Light"/>
    <n v="60"/>
    <n v="80"/>
    <n v="127.87"/>
    <s v="Taiwan"/>
    <s v="Ethiopia"/>
    <x v="1"/>
  </r>
  <r>
    <s v="Yemen Mocca Matari"/>
    <n v="94"/>
    <s v="Medium Light"/>
    <n v="60"/>
    <n v="78"/>
    <n v="299.56"/>
    <s v="Taiwan"/>
    <s v="Yemen"/>
    <x v="1"/>
  </r>
  <r>
    <s v="Mojave Vault Series Geisha Natural"/>
    <n v="94"/>
    <s v="Light"/>
    <n v="64"/>
    <n v="84"/>
    <n v="22.02"/>
    <s v="USA"/>
    <s v="Panama"/>
    <x v="0"/>
  </r>
  <r>
    <s v="Kabiufa Papua New Guinea"/>
    <n v="94"/>
    <s v="Light"/>
    <n v="60"/>
    <n v="82"/>
    <n v="4.7"/>
    <s v="USA"/>
    <s v="Papua New Guinea"/>
    <x v="2"/>
  </r>
  <r>
    <s v="Ethiopia Buku Abela"/>
    <n v="94"/>
    <s v="Medium Light"/>
    <n v="60"/>
    <n v="78"/>
    <n v="154.19"/>
    <s v="Taiwan"/>
    <s v="Ethiopia"/>
    <x v="1"/>
  </r>
  <r>
    <s v="Colombia Finca Santa Maria"/>
    <n v="95"/>
    <s v="Medium Light"/>
    <n v="58"/>
    <n v="78"/>
    <n v="5.29"/>
    <s v="USA"/>
    <s v="Colombia"/>
    <x v="0"/>
  </r>
  <r>
    <s v="Yemen Mocha Haimi"/>
    <n v="94"/>
    <s v="Light"/>
    <n v="63"/>
    <n v="83"/>
    <n v="15.43"/>
    <s v="USA"/>
    <s v="Yemen"/>
    <x v="1"/>
  </r>
  <r>
    <s v="Costa Rica Hacienda Tobosi Villalobos Anaerobic Natural"/>
    <n v="94"/>
    <s v="Light"/>
    <n v="62"/>
    <n v="80"/>
    <n v="300"/>
    <s v="Taiwan"/>
    <s v="Costa Rica"/>
    <x v="0"/>
  </r>
  <r>
    <s v="Colombia Wush Wush"/>
    <n v="94"/>
    <s v="Medium"/>
    <n v="56"/>
    <n v="64"/>
    <n v="7.94"/>
    <s v="USA"/>
    <s v="Colombia"/>
    <x v="0"/>
  </r>
  <r>
    <s v="Brazil Gauriroba Natural"/>
    <n v="94"/>
    <s v="Light"/>
    <n v="82"/>
    <n v="104"/>
    <n v="2980"/>
    <s v="Japan"/>
    <s v="Brazil"/>
    <x v="0"/>
  </r>
  <r>
    <s v="Rwanda вЂњSilverback ReturnsвЂќ"/>
    <n v="94"/>
    <s v="Medium Dark"/>
    <n v="42"/>
    <n v="58"/>
    <n v="352.73"/>
    <s v="Taiwan"/>
    <s v="Rwanda"/>
    <x v="1"/>
  </r>
  <r>
    <s v="Gigesa Natural"/>
    <n v="95"/>
    <s v="Medium Light"/>
    <n v="58"/>
    <n v="78"/>
    <n v="5.29"/>
    <s v="USA"/>
    <s v="Ethiopia"/>
    <x v="1"/>
  </r>
  <r>
    <s v="El Jocote Natural"/>
    <n v="95"/>
    <s v="Medium Light"/>
    <n v="60"/>
    <n v="78"/>
    <n v="7.05"/>
    <s v="USA"/>
    <s v="Costa Rica"/>
    <x v="0"/>
  </r>
  <r>
    <s v="Panama Finca Santa Teresa Summer Gesha"/>
    <n v="94"/>
    <s v="Medium Light"/>
    <n v="60"/>
    <n v="78"/>
    <n v="25.57"/>
    <s v="USA"/>
    <s v="Panama"/>
    <x v="0"/>
  </r>
  <r>
    <s v="Baby Dragons"/>
    <n v="94"/>
    <s v="Medium Light"/>
    <n v="60"/>
    <n v="77"/>
    <n v="8.23"/>
    <s v="USA"/>
    <s v="Colombia"/>
    <x v="0"/>
  </r>
  <r>
    <s v="Kona Maragogype Peaberry Natural"/>
    <n v="95"/>
    <s v="Medium Light"/>
    <n v="58"/>
    <n v="80"/>
    <n v="22.05"/>
    <s v="USA"/>
    <s v="USA"/>
    <x v="0"/>
  </r>
  <r>
    <s v="Ecuador San JosГ© de Minas Double-Anaerobic"/>
    <n v="94"/>
    <s v="Light"/>
    <n v="62"/>
    <n v="80"/>
    <n v="13.23"/>
    <s v="USA"/>
    <s v="Ecuador"/>
    <x v="0"/>
  </r>
  <r>
    <s v="Nyeri Hill Kenya"/>
    <n v="95"/>
    <s v="Medium Light"/>
    <n v="58"/>
    <n v="80"/>
    <n v="6.03"/>
    <s v="USA"/>
    <s v="Kenya"/>
    <x v="1"/>
  </r>
  <r>
    <s v="La Perla Chiquita Ecuador"/>
    <n v="95"/>
    <s v="Medium Light"/>
    <n v="56"/>
    <n v="76"/>
    <n v="6.17"/>
    <s v="USA"/>
    <s v="Ecuador"/>
    <x v="0"/>
  </r>
  <r>
    <s v="Pantan Musara Sumatra"/>
    <n v="94"/>
    <s v="Medium Light"/>
    <n v="56"/>
    <n v="74"/>
    <n v="5.26"/>
    <s v="USA"/>
    <s v="Indonesia"/>
    <x v="2"/>
  </r>
  <r>
    <s v="Las Flores Colombia"/>
    <n v="94"/>
    <s v="Medium Light"/>
    <n v="58"/>
    <n v="78"/>
    <n v="5.88"/>
    <s v="USA"/>
    <s v="Colombia"/>
    <x v="0"/>
  </r>
  <r>
    <s v="Nicaragua Yellow Pacamara Natural"/>
    <n v="94"/>
    <s v="Light"/>
    <n v="62"/>
    <n v="80"/>
    <n v="26.41"/>
    <s v="USA"/>
    <s v="Nicaragua"/>
    <x v="0"/>
  </r>
  <r>
    <s v="Ethiopia West Arsi Nensebo Natural G1"/>
    <n v="95"/>
    <s v="Medium Light"/>
    <n v="52"/>
    <n v="70"/>
    <n v="7.05"/>
    <s v="Taiwan"/>
    <s v="Ethiopia"/>
    <x v="1"/>
  </r>
  <r>
    <s v="Ethiopia Sidama Bona Sweet Natural"/>
    <n v="94"/>
    <s v="Light"/>
    <n v="62"/>
    <n v="80"/>
    <n v="5.88"/>
    <s v="Taiwan"/>
    <s v="Ethiopia"/>
    <x v="1"/>
  </r>
  <r>
    <s v="Congo Square"/>
    <n v="94"/>
    <s v="Medium Light"/>
    <n v="56"/>
    <n v="74"/>
    <n v="5.88"/>
    <s v="USA"/>
    <s v="Democratic Republic of the Congo"/>
    <x v="1"/>
  </r>
  <r>
    <s v="Rwanda Rulindo Tumba"/>
    <n v="94"/>
    <s v="Medium Light"/>
    <n v="60"/>
    <n v="78"/>
    <n v="5"/>
    <s v="USA"/>
    <s v="Rwanda"/>
    <x v="1"/>
  </r>
  <r>
    <s v="Tanzania Sambewe"/>
    <n v="94"/>
    <s v="Medium Light"/>
    <n v="58"/>
    <n v="78"/>
    <n v="4.9800000000000004"/>
    <s v="USA"/>
    <s v="Tanzania"/>
    <x v="1"/>
  </r>
  <r>
    <s v="Rwanda Kinini Village Natural"/>
    <n v="94"/>
    <s v="Medium Light"/>
    <n v="58"/>
    <n v="78"/>
    <n v="6.32"/>
    <s v="USA"/>
    <s v="Rwanda"/>
    <x v="1"/>
  </r>
  <r>
    <s v="Tanzania Peaberry"/>
    <n v="94"/>
    <s v="Medium Light"/>
    <n v="53"/>
    <n v="71"/>
    <n v="3.97"/>
    <s v="USA"/>
    <s v="Tanzania"/>
    <x v="1"/>
  </r>
  <r>
    <s v="Tanzania Ngila Estate SL28"/>
    <n v="95"/>
    <s v="Light"/>
    <n v="60"/>
    <n v="84"/>
    <n v="7.33"/>
    <s v="USA"/>
    <s v="Tanzania"/>
    <x v="1"/>
  </r>
  <r>
    <s v="Ethiopia Washed Sidama Nafasha 74158 21/01"/>
    <n v="96"/>
    <s v="Medium Light"/>
    <n v="60"/>
    <n v="78"/>
    <n v="127.87"/>
    <s v="Taiwan"/>
    <s v="Ethiopia"/>
    <x v="1"/>
  </r>
  <r>
    <s v="Ethiopia Tibe Haro Uraga"/>
    <n v="95"/>
    <s v="Medium Light"/>
    <n v="58"/>
    <n v="78"/>
    <n v="6.02"/>
    <s v="USA"/>
    <s v="Ethiopia"/>
    <x v="1"/>
  </r>
  <r>
    <s v="Taiwan Natural Alishan TFUвЂ™YA Kakalove Lot"/>
    <n v="95"/>
    <s v="Medium Light"/>
    <n v="58"/>
    <n v="78"/>
    <n v="617.28"/>
    <s v="Taiwan"/>
    <s v="Taiwan"/>
    <x v="2"/>
  </r>
  <r>
    <s v="Ethiopia Natural Guji Blue Donkey 21/01"/>
    <n v="95"/>
    <s v="Light"/>
    <n v="60"/>
    <n v="82"/>
    <n v="143.30000000000001"/>
    <s v="Taiwan"/>
    <s v="Ethiopia"/>
    <x v="1"/>
  </r>
  <r>
    <s v="Kenya Nyeri Gachatha Washed AB"/>
    <n v="94"/>
    <s v="Medium Light"/>
    <n v="58"/>
    <n v="76"/>
    <n v="143.30000000000001"/>
    <s v="Taiwan"/>
    <s v="Kenya"/>
    <x v="1"/>
  </r>
  <r>
    <s v="Ethiopia Yirgacheffe G1 Mulugeta Tsige"/>
    <n v="95"/>
    <s v="Medium Light"/>
    <n v="60"/>
    <n v="78"/>
    <n v="250"/>
    <s v="Taiwan"/>
    <s v="Ethiopia"/>
    <x v="1"/>
  </r>
  <r>
    <s v="Kenya AA Top Gathambi Station"/>
    <n v="94"/>
    <s v="Medium Light"/>
    <n v="58"/>
    <n v="76"/>
    <n v="275"/>
    <s v="Taiwan"/>
    <s v="Kenya"/>
    <x v="1"/>
  </r>
  <r>
    <s v="Ethiopia Guji Gerba Station G1 Natural Espresso"/>
    <n v="94"/>
    <s v="Medium Light"/>
    <n v="56"/>
    <n v="76"/>
    <n v="225"/>
    <s v="Taiwan"/>
    <s v="Ethiopia"/>
    <x v="1"/>
  </r>
  <r>
    <s v="Ethiopia Keramo Village"/>
    <n v="94"/>
    <s v="Medium Light"/>
    <n v="60"/>
    <n v="77"/>
    <n v="10"/>
    <s v="USA"/>
    <s v="Ethiopia"/>
    <x v="1"/>
  </r>
  <r>
    <s v="Ethiopia Uraga Washed G1"/>
    <n v="94"/>
    <s v="Medium Light"/>
    <n v="58"/>
    <n v="78"/>
    <n v="5.28"/>
    <s v="USA"/>
    <s v="Ethiopia"/>
    <x v="1"/>
  </r>
  <r>
    <s v="Kenya Karindudu AA"/>
    <n v="95"/>
    <s v="Medium Light"/>
    <n v="56"/>
    <n v="76"/>
    <n v="6.47"/>
    <s v="USA"/>
    <s v="Kenya"/>
    <x v="1"/>
  </r>
  <r>
    <s v="Colombia Cardona Natural"/>
    <n v="94"/>
    <s v="Light"/>
    <n v="62"/>
    <n v="80"/>
    <n v="7.35"/>
    <s v="USA"/>
    <s v="Colombia"/>
    <x v="0"/>
  </r>
  <r>
    <s v="Ethiopia Guji Anaerobic"/>
    <n v="94"/>
    <s v="Medium Light"/>
    <n v="57"/>
    <n v="73"/>
    <n v="7.35"/>
    <s v="USA"/>
    <s v="Ethiopia"/>
    <x v="1"/>
  </r>
  <r>
    <s v="Maypop"/>
    <n v="94"/>
    <s v="Medium Light"/>
    <n v="56"/>
    <n v="72"/>
    <n v="7.35"/>
    <s v="Colombia"/>
    <s v="Colombia"/>
    <x v="0"/>
  </r>
  <r>
    <s v="La Soledad Colombia"/>
    <n v="94"/>
    <s v="Medium Light"/>
    <n v="58"/>
    <n v="80"/>
    <n v="7.94"/>
    <s v="USA"/>
    <s v="Colombia"/>
    <x v="0"/>
  </r>
  <r>
    <s v="Colombia Huila Acevedo El Paraiso"/>
    <n v="94"/>
    <s v="Medium Light"/>
    <n v="57"/>
    <n v="77"/>
    <n v="7.35"/>
    <s v="USA"/>
    <s v="Colombia"/>
    <x v="0"/>
  </r>
  <r>
    <s v="Love of Desolate"/>
    <n v="96"/>
    <s v="Medium Light"/>
    <n v="58"/>
    <n v="80"/>
    <n v="220.26"/>
    <s v="Taiwan"/>
    <s v="Costa Rica"/>
    <x v="0"/>
  </r>
  <r>
    <s v="Blend No.7 Berrichee"/>
    <n v="95"/>
    <s v="Medium Light"/>
    <n v="54"/>
    <n v="74"/>
    <n v="210"/>
    <s v="Taiwan"/>
    <s v="Mexico"/>
    <x v="0"/>
  </r>
  <r>
    <s v="Ethiopia Niguse Gemeda Mude Natural"/>
    <n v="94"/>
    <s v="Medium Light"/>
    <n v="60"/>
    <n v="78"/>
    <n v="396.48"/>
    <s v="Taiwan"/>
    <s v="Ethiopia"/>
    <x v="1"/>
  </r>
  <r>
    <s v="La Estrella Carbonic Geisha Reserve"/>
    <n v="95"/>
    <s v="Medium Light"/>
    <n v="59"/>
    <n v="77"/>
    <n v="20"/>
    <s v="USA"/>
    <s v="Colombia"/>
    <x v="0"/>
  </r>
  <r>
    <s v="Ethiopia Guji Wush Wush Anaerobic Natural"/>
    <n v="95"/>
    <s v="Medium Light"/>
    <n v="57"/>
    <n v="77"/>
    <n v="246.7"/>
    <s v="Taiwan"/>
    <s v="Ethiopia"/>
    <x v="1"/>
  </r>
  <r>
    <s v="Ethiopia Guji Wush Wush"/>
    <n v="95"/>
    <s v="Medium Light"/>
    <n v="58"/>
    <n v="77"/>
    <n v="7.33"/>
    <s v="USA"/>
    <s v="Ethiopia"/>
    <x v="1"/>
  </r>
  <r>
    <s v="Tres Dragones Colombia"/>
    <n v="94"/>
    <s v="Medium Light"/>
    <n v="60"/>
    <n v="78"/>
    <n v="7.35"/>
    <s v="USA"/>
    <s v="Colombia"/>
    <x v="0"/>
  </r>
  <r>
    <s v="Panama Elida Estate CatuaГ­ Natural ASD"/>
    <n v="94"/>
    <s v="Medium Light"/>
    <n v="58"/>
    <n v="76"/>
    <n v="7.27"/>
    <s v="USA"/>
    <s v="Panama"/>
    <x v="0"/>
  </r>
  <r>
    <s v="Ethiopia Yirgacheffe Israel Degfa Natural Gr.1"/>
    <n v="94"/>
    <s v="Medium Light"/>
    <n v="56"/>
    <n v="76"/>
    <n v="198.24"/>
    <s v="Taiwan"/>
    <s v="Ethiopia"/>
    <x v="1"/>
  </r>
  <r>
    <s v="Panama Elida Estate Washed"/>
    <n v="96"/>
    <s v="Medium Light"/>
    <n v="59"/>
    <n v="77"/>
    <n v="40"/>
    <s v="USA"/>
    <s v="Panama"/>
    <x v="0"/>
  </r>
  <r>
    <s v="Kona Maragogype Natural"/>
    <n v="94"/>
    <s v="Medium Light"/>
    <n v="58"/>
    <n v="82"/>
    <n v="26.41"/>
    <s v="USA"/>
    <s v="USA"/>
    <x v="0"/>
  </r>
  <r>
    <s v="Kenya Washed Nakuru Gachombe Factory AB"/>
    <n v="95"/>
    <s v="Medium Light"/>
    <n v="56"/>
    <n v="78"/>
    <n v="92.59"/>
    <s v="Taiwan"/>
    <s v="Kenya"/>
    <x v="1"/>
  </r>
  <r>
    <s v="Ethiopia Natural Guji Hambella Wate Peaberry"/>
    <n v="95"/>
    <s v="Light"/>
    <n v="62"/>
    <n v="84"/>
    <n v="165.34"/>
    <s v="Taiwan"/>
    <s v="Ethiopia"/>
    <x v="1"/>
  </r>
  <r>
    <s v="Ethiopia Guji Shakiso Dambi Udo Natural Anaerobic"/>
    <n v="94"/>
    <s v="Medium Light"/>
    <n v="59"/>
    <n v="77"/>
    <n v="160"/>
    <s v="Taiwan"/>
    <s v="Ethiopia"/>
    <x v="1"/>
  </r>
  <r>
    <s v="Ethiopia Natural Guji"/>
    <n v="94"/>
    <s v="Medium Light"/>
    <n v="56"/>
    <n v="76"/>
    <n v="92.59"/>
    <s v="Taiwan"/>
    <s v="Ethiopia"/>
    <x v="1"/>
  </r>
  <r>
    <s v="Costa Rica Yellow Honey Kinka Bear Lot 20-02"/>
    <n v="94"/>
    <s v="Medium Light"/>
    <n v="52"/>
    <n v="70"/>
    <n v="110.23"/>
    <s v="Taiwan"/>
    <s v="Costa Rica"/>
    <x v="0"/>
  </r>
  <r>
    <s v="Ethiopia Guji Shakiso Dambi Udo Honey"/>
    <n v="94"/>
    <s v="Light"/>
    <n v="62"/>
    <n v="80"/>
    <n v="155.56"/>
    <s v="Taiwan"/>
    <s v="Ethiopia"/>
    <x v="1"/>
  </r>
  <r>
    <s v="Kenya Washed Nyeri Gichathaini Factory AB"/>
    <n v="94"/>
    <s v="Medium Light"/>
    <n v="60"/>
    <n v="78"/>
    <n v="171.96"/>
    <s v="Taiwan"/>
    <s v="Kenya"/>
    <x v="1"/>
  </r>
  <r>
    <s v="Colombia Pink Bourbon Honey"/>
    <n v="95"/>
    <s v="Medium Light"/>
    <n v="60"/>
    <n v="80"/>
    <n v="8.52"/>
    <s v="USA"/>
    <s v="Colombia"/>
    <x v="0"/>
  </r>
  <r>
    <s v="Karatina Kenya"/>
    <n v="95"/>
    <s v="Medium Light"/>
    <n v="60"/>
    <n v="78"/>
    <n v="6.47"/>
    <s v="USA"/>
    <s v="Kenya"/>
    <x v="1"/>
  </r>
  <r>
    <s v="Cerro Azul Geisha"/>
    <n v="95"/>
    <s v="Light"/>
    <n v="62"/>
    <n v="80"/>
    <n v="12.35"/>
    <s v="USA"/>
    <s v="Colombia"/>
    <x v="0"/>
  </r>
  <r>
    <s v="Kona SL34 Sweet Spot"/>
    <n v="94"/>
    <s v="Medium Light"/>
    <n v="58"/>
    <n v="80"/>
    <n v="25.17"/>
    <s v="USA"/>
    <s v="USA"/>
    <x v="0"/>
  </r>
  <r>
    <s v="Haraaz Red"/>
    <n v="95"/>
    <s v="Medium Light"/>
    <n v="58"/>
    <n v="82"/>
    <n v="7.72"/>
    <s v="USA"/>
    <s v="Yemen"/>
    <x v="1"/>
  </r>
  <r>
    <s v="Kona MoccaВ®"/>
    <n v="96"/>
    <s v="Medium Light"/>
    <n v="56"/>
    <n v="74"/>
    <n v="38.58"/>
    <s v="USA"/>
    <s v="USA"/>
    <x v="0"/>
  </r>
  <r>
    <s v="Panama Elida Green-Tip Geisha La Torre ASD"/>
    <n v="95"/>
    <s v="Light"/>
    <n v="62"/>
    <n v="84"/>
    <n v="26.46"/>
    <s v="USA"/>
    <s v="Panama"/>
    <x v="0"/>
  </r>
  <r>
    <s v="Kona Peaberry"/>
    <n v="94"/>
    <s v="Medium Light"/>
    <n v="56"/>
    <n v="76"/>
    <n v="12.35"/>
    <s v="USA"/>
    <s v="USA"/>
    <x v="0"/>
  </r>
  <r>
    <s v="Panama Finca Los Lajones Natural"/>
    <n v="94"/>
    <s v="Light"/>
    <n v="60"/>
    <n v="82"/>
    <n v="8.52"/>
    <s v="USA"/>
    <s v="Panama"/>
    <x v="0"/>
  </r>
  <r>
    <s v="SL28"/>
    <n v="94"/>
    <s v="Medium Light"/>
    <n v="56"/>
    <n v="76"/>
    <n v="14.55"/>
    <s v="USA"/>
    <s v="Unknown"/>
    <x v="3"/>
  </r>
  <r>
    <s v="Bourbon Pointu Natural"/>
    <n v="94"/>
    <s v="Medium Light"/>
    <n v="58"/>
    <n v="76"/>
    <n v="25.2"/>
    <s v="USA"/>
    <s v="Unknown"/>
    <x v="3"/>
  </r>
  <r>
    <s v="Ethiopia Guji Hambela Buku Abel Slow Dry Natural 2400m"/>
    <n v="94"/>
    <s v="Light"/>
    <n v="64"/>
    <n v="82"/>
    <n v="181.82"/>
    <s v="Taiwan"/>
    <s v="Ethiopia"/>
    <x v="1"/>
  </r>
  <r>
    <s v="Yemen Al Mashtal Al Burhani"/>
    <n v="94"/>
    <s v="Medium Light"/>
    <n v="58"/>
    <n v="78"/>
    <n v="22"/>
    <s v="USA"/>
    <s v="Yemen"/>
    <x v="1"/>
  </r>
  <r>
    <s v="Flight Seasonal Espresso"/>
    <n v="95"/>
    <s v="Medium Light"/>
    <n v="58"/>
    <n v="74"/>
    <n v="5.58"/>
    <s v="USA"/>
    <s v="Unknown"/>
    <x v="3"/>
  </r>
  <r>
    <s v="Panama Boquete Flor De Mariposa Geisha Espresso"/>
    <n v="96"/>
    <s v="Medium Light"/>
    <n v="54"/>
    <n v="76"/>
    <n v="220.46"/>
    <s v="Taiwan"/>
    <s v="Panama"/>
    <x v="0"/>
  </r>
  <r>
    <s v="Guji Ethiopia Washed"/>
    <n v="94"/>
    <s v="Light"/>
    <n v="62"/>
    <n v="84"/>
    <n v="5.29"/>
    <s v="USA"/>
    <s v="Ethiopia"/>
    <x v="1"/>
  </r>
  <r>
    <s v="Colombia Monteblanco Geisha"/>
    <n v="94"/>
    <s v="Light"/>
    <n v="64"/>
    <n v="82"/>
    <n v="8.81"/>
    <s v="USA"/>
    <s v="Colombia"/>
    <x v="0"/>
  </r>
  <r>
    <s v="Ethiopia Gedeo Kochere Reko Natural"/>
    <n v="94"/>
    <s v="Light"/>
    <n v="64"/>
    <n v="84"/>
    <n v="6.96"/>
    <s v="Taiwan"/>
    <s v="Ethiopia"/>
    <x v="1"/>
  </r>
  <r>
    <s v="Costa Rica Aris Red Honey Lot 2002 Espresso"/>
    <n v="94"/>
    <s v="Medium Light"/>
    <n v="52"/>
    <n v="70"/>
    <n v="119.05"/>
    <s v="Taiwan"/>
    <s v="Costa Rica"/>
    <x v="0"/>
  </r>
  <r>
    <s v="Twisted V.6 Espresso"/>
    <n v="94"/>
    <s v="Medium Light"/>
    <n v="54"/>
    <n v="74"/>
    <n v="4.63"/>
    <s v="USA"/>
    <s v="Unknown"/>
    <x v="3"/>
  </r>
  <r>
    <s v="Aged Sumatra Ulos Batak 2015"/>
    <n v="94"/>
    <s v="Medium"/>
    <n v="45"/>
    <n v="63"/>
    <n v="5.57"/>
    <s v="USA"/>
    <s v="Indonesia"/>
    <x v="2"/>
  </r>
  <r>
    <s v="Kona Uluwehi SL34"/>
    <n v="94"/>
    <s v="Medium Light"/>
    <n v="60"/>
    <n v="80"/>
    <n v="26.41"/>
    <s v="USA"/>
    <s v="USA"/>
    <x v="0"/>
  </r>
  <r>
    <s v="Colombia Pink Bourbon Finca El Chaparote"/>
    <n v="94"/>
    <s v="Light"/>
    <n v="64"/>
    <n v="82"/>
    <n v="8.7899999999999991"/>
    <s v="USA"/>
    <s v="Colombia"/>
    <x v="0"/>
  </r>
  <r>
    <s v="Ethiopia Neja Fadil"/>
    <n v="94"/>
    <s v="Medium Light"/>
    <n v="58"/>
    <n v="78"/>
    <n v="5.88"/>
    <s v="USA"/>
    <s v="Ethiopia"/>
    <x v="1"/>
  </r>
  <r>
    <s v="Peru Buena Vista Valerio Almanza Ccahua"/>
    <n v="94"/>
    <s v="Medium Light"/>
    <n v="60"/>
    <n v="78"/>
    <n v="11.9"/>
    <s v="USA"/>
    <s v="Peru"/>
    <x v="0"/>
  </r>
  <r>
    <s v="Panama Finca Santa Teresa Lot 9"/>
    <n v="94"/>
    <s v="Medium Light"/>
    <n v="60"/>
    <n v="78"/>
    <n v="5.88"/>
    <s v="USA"/>
    <s v="Panama"/>
    <x v="0"/>
  </r>
  <r>
    <s v="Guatemala CobГЎn Chicoj Cooperative Red Honey Fair Trade"/>
    <n v="94"/>
    <s v="Medium Light"/>
    <n v="58"/>
    <n v="78"/>
    <n v="160"/>
    <s v="Taiwan"/>
    <s v="Guatemala"/>
    <x v="0"/>
  </r>
  <r>
    <s v="Ethiopia Halo Hartume Daniel Mijane"/>
    <n v="94"/>
    <s v="Medium Light"/>
    <n v="58"/>
    <n v="78"/>
    <n v="5.59"/>
    <s v="USA"/>
    <s v="Ethiopia"/>
    <x v="1"/>
  </r>
  <r>
    <s v="Colombia Cauca El Paraiso"/>
    <n v="96"/>
    <s v="Light"/>
    <n v="85"/>
    <n v="105"/>
    <n v="1"/>
    <s v="Japan"/>
    <s v="Colombia"/>
    <x v="0"/>
  </r>
  <r>
    <s v="Taiwan Songyue Geisha"/>
    <n v="94"/>
    <s v="Light"/>
    <n v="79"/>
    <n v="92"/>
    <n v="4"/>
    <s v="Japan"/>
    <s v="Taiwan"/>
    <x v="2"/>
  </r>
  <r>
    <s v="Kenya Nyeri"/>
    <n v="94"/>
    <s v="Medium Light"/>
    <n v="60"/>
    <n v="78"/>
    <n v="288.89"/>
    <s v="Taiwan"/>
    <s v="Kenya"/>
    <x v="1"/>
  </r>
  <r>
    <s v="Kenya Kirinyaga Baragwi Karumandi AA"/>
    <n v="94"/>
    <s v="Medium Light"/>
    <n v="54"/>
    <n v="74"/>
    <n v="4.9800000000000004"/>
    <s v="USA"/>
    <s v="Kenya"/>
    <x v="1"/>
  </r>
  <r>
    <s v="Harimau Tiger Sumatra"/>
    <n v="94"/>
    <s v="Medium Light"/>
    <n v="54"/>
    <n v="74"/>
    <n v="5"/>
    <s v="USA"/>
    <s v="Indonesia"/>
    <x v="2"/>
  </r>
  <r>
    <s v="Ethiopia Sidamo Washed"/>
    <n v="95"/>
    <s v="Medium Light"/>
    <n v="58"/>
    <n v="78"/>
    <n v="163.88"/>
    <s v="Taiwan"/>
    <s v="Ethiopia"/>
    <x v="1"/>
  </r>
  <r>
    <s v="Ethiopia Guji Uraga Washed"/>
    <n v="95"/>
    <s v="Medium Light"/>
    <n v="60"/>
    <n v="78"/>
    <n v="111.01"/>
    <s v="Taiwan"/>
    <s v="Ethiopia"/>
    <x v="1"/>
  </r>
  <r>
    <s v="Indonesia Golden Sumatra TP Espresso"/>
    <n v="96"/>
    <s v="Medium"/>
    <n v="44"/>
    <n v="62"/>
    <n v="225"/>
    <s v="Taiwan"/>
    <s v="Indonesia"/>
    <x v="2"/>
  </r>
  <r>
    <s v="Kenya Gachatha"/>
    <n v="95"/>
    <s v="Medium Light"/>
    <n v="54"/>
    <n v="72"/>
    <n v="6.61"/>
    <s v="USA"/>
    <s v="Kenya"/>
    <x v="1"/>
  </r>
  <r>
    <s v="Ethiopia Suke Quto Single-Origin Espresso"/>
    <n v="94"/>
    <s v="Medium Light"/>
    <n v="52"/>
    <n v="72"/>
    <n v="5.59"/>
    <s v="USA"/>
    <s v="Ethiopia"/>
    <x v="1"/>
  </r>
  <r>
    <s v="Ethiopia Gera Limu"/>
    <n v="94"/>
    <s v="Medium Light"/>
    <n v="58"/>
    <n v="80"/>
    <n v="5.59"/>
    <s v="USA"/>
    <s v="Ethiopia"/>
    <x v="1"/>
  </r>
  <r>
    <s v="Panama Pacamara Natural"/>
    <n v="94"/>
    <s v="Medium Light"/>
    <n v="52"/>
    <n v="70"/>
    <n v="25"/>
    <s v="Canada"/>
    <s v="Panama"/>
    <x v="0"/>
  </r>
  <r>
    <s v="KaвЂ™u Pink Honey"/>
    <n v="94"/>
    <s v="Light"/>
    <n v="64"/>
    <n v="84"/>
    <n v="22"/>
    <s v="USA"/>
    <s v="USA"/>
    <x v="0"/>
  </r>
  <r>
    <s v="Kona Maragogype Pink Honey"/>
    <n v="94"/>
    <s v="Light"/>
    <n v="64"/>
    <n v="86"/>
    <n v="26.41"/>
    <s v="USA"/>
    <s v="USA"/>
    <x v="0"/>
  </r>
  <r>
    <s v="RD1 Espresso Blend"/>
    <n v="95"/>
    <s v="Medium Light"/>
    <n v="54"/>
    <n v="72"/>
    <n v="132.28"/>
    <s v="Taiwan"/>
    <s v="Indonesia"/>
    <x v="2"/>
  </r>
  <r>
    <s v="Bull Espresso Blend"/>
    <n v="95"/>
    <s v="Medium Light"/>
    <n v="56"/>
    <n v="76"/>
    <n v="99.12"/>
    <s v="Taiwan"/>
    <s v="Kenya"/>
    <x v="1"/>
  </r>
  <r>
    <s v="Ethiopia Yirgacheffe Gotiti Natural"/>
    <n v="95"/>
    <s v="Medium Light"/>
    <n v="58"/>
    <n v="80"/>
    <n v="167.55"/>
    <s v="Taiwan"/>
    <s v="Ethiopia"/>
    <x v="1"/>
  </r>
  <r>
    <s v="Ethiopia Demeka Becha"/>
    <n v="95"/>
    <s v="Light"/>
    <n v="64"/>
    <n v="82"/>
    <n v="6.46"/>
    <s v="USA"/>
    <s v="Ethiopia"/>
    <x v="1"/>
  </r>
  <r>
    <s v="Trust the Process вЂ” Full Natural"/>
    <n v="96"/>
    <s v="Light"/>
    <n v="64"/>
    <n v="84"/>
    <n v="8.3699999999999992"/>
    <s v="USA"/>
    <s v="Colombia"/>
    <x v="0"/>
  </r>
  <r>
    <s v="Colombia Finca El Caucho Pink Bourbon"/>
    <n v="95"/>
    <s v="Light"/>
    <n v="62"/>
    <n v="80"/>
    <n v="9.9600000000000009"/>
    <s v="USA"/>
    <s v="Colombia"/>
    <x v="0"/>
  </r>
  <r>
    <s v="Colombia Antioquia Natural Carbonic Maceration Caturra"/>
    <n v="95"/>
    <s v="Medium Light"/>
    <n v="60"/>
    <n v="80"/>
    <n v="136.68"/>
    <s v="Taiwan"/>
    <s v="Colombia"/>
    <x v="0"/>
  </r>
  <r>
    <s v="Colombia La Gallera Estate"/>
    <n v="94"/>
    <s v="Light"/>
    <n v="64"/>
    <n v="84"/>
    <n v="273.37"/>
    <s v="Taiwan"/>
    <s v="Colombia"/>
    <x v="0"/>
  </r>
  <r>
    <s v="Colombia Diofanor Ruiz"/>
    <n v="94"/>
    <s v="Medium Light"/>
    <n v="58"/>
    <n v="76"/>
    <n v="14.7"/>
    <s v="China"/>
    <s v="Colombia"/>
    <x v="0"/>
  </r>
  <r>
    <s v="Colombia Java El EdГ©n Limited Edition"/>
    <n v="94"/>
    <s v="Medium Light"/>
    <n v="58"/>
    <n v="80"/>
    <n v="8.82"/>
    <s v="USA"/>
    <s v="Colombia"/>
    <x v="0"/>
  </r>
  <r>
    <s v="Finca La Maria Geisha Natural"/>
    <n v="94"/>
    <s v="Light"/>
    <n v="62"/>
    <n v="80"/>
    <n v="1146.3800000000001"/>
    <s v="Taiwan"/>
    <s v="Colombia"/>
    <x v="0"/>
  </r>
  <r>
    <s v="Angamaza"/>
    <n v="94"/>
    <s v="Medium Light"/>
    <n v="60"/>
    <n v="78"/>
    <n v="5.88"/>
    <s v="USA"/>
    <s v="Ecuador"/>
    <x v="0"/>
  </r>
  <r>
    <s v="Ethiopia Rhapsody Espresso"/>
    <n v="95"/>
    <s v="Medium Light"/>
    <n v="52"/>
    <n v="70"/>
    <n v="263.88"/>
    <s v="Taiwan"/>
    <s v="Ethiopia"/>
    <x v="1"/>
  </r>
  <r>
    <s v="Kona Geisha Champagne Natural"/>
    <n v="95"/>
    <s v="Light"/>
    <n v="64"/>
    <n v="84"/>
    <n v="66.09"/>
    <s v="USA"/>
    <s v="USA"/>
    <x v="0"/>
  </r>
  <r>
    <s v="Dafis Abafita Natural Ethiopia"/>
    <n v="95"/>
    <s v="Light"/>
    <n v="64"/>
    <n v="84"/>
    <n v="6.32"/>
    <s v="USA"/>
    <s v="Ethiopia"/>
    <x v="1"/>
  </r>
  <r>
    <s v="Berg Wu Championship Sidamo Washed G1 Lot 20-02"/>
    <n v="95"/>
    <s v="Light"/>
    <n v="64"/>
    <n v="84"/>
    <n v="149.91"/>
    <s v="Taiwan"/>
    <s v="Ethiopia"/>
    <x v="1"/>
  </r>
  <r>
    <s v="KaвЂ™u Yellow Bourbon"/>
    <n v="94"/>
    <s v="Medium Light"/>
    <n v="60"/>
    <n v="78"/>
    <n v="11.64"/>
    <s v="USA"/>
    <s v="USA"/>
    <x v="0"/>
  </r>
  <r>
    <s v="Ethiopia Natural Hambela Wate"/>
    <n v="95"/>
    <s v="Medium Light"/>
    <n v="58"/>
    <n v="76"/>
    <n v="136.68"/>
    <s v="Taiwan"/>
    <s v="Ethiopia"/>
    <x v="1"/>
  </r>
  <r>
    <s v="Kinini Village Rwanda"/>
    <n v="94"/>
    <s v="Medium Light"/>
    <n v="58"/>
    <n v="76"/>
    <n v="5.88"/>
    <s v="USA"/>
    <s v="Rwanda"/>
    <x v="1"/>
  </r>
  <r>
    <s v="Ethiopia Natural Guji Uraga G1 Lot 20-05"/>
    <n v="94"/>
    <s v="Medium Light"/>
    <n v="58"/>
    <n v="78"/>
    <n v="165.34"/>
    <s v="Taiwan"/>
    <s v="Ethiopia"/>
    <x v="1"/>
  </r>
  <r>
    <s v="Kenya Nyeri Muchoki Estate AA"/>
    <n v="94"/>
    <s v="Light"/>
    <n v="62"/>
    <n v="80"/>
    <n v="154.32"/>
    <s v="Taiwan"/>
    <s v="Kenya"/>
    <x v="1"/>
  </r>
  <r>
    <s v="Fruity Espresso Blend"/>
    <n v="95"/>
    <s v="Medium Light"/>
    <n v="56"/>
    <n v="74"/>
    <n v="59"/>
    <s v="China"/>
    <s v="Kenya"/>
    <x v="1"/>
  </r>
  <r>
    <s v="Ethiopia Yirgacheffe Cleopatra Natural"/>
    <n v="94"/>
    <s v="Medium Light"/>
    <n v="56"/>
    <n v="76"/>
    <n v="300"/>
    <s v="Taiwan"/>
    <s v="Ethiopia"/>
    <x v="1"/>
  </r>
  <r>
    <s v="Ethiopia Yirgacheffe Dumerso G1 Natural"/>
    <n v="94"/>
    <s v="Medium Light"/>
    <n v="57"/>
    <n v="73"/>
    <n v="5.57"/>
    <s v="USA"/>
    <s v="Ethiopia"/>
    <x v="1"/>
  </r>
  <r>
    <s v="Guatemala Santa Felisa Solar Eclipse Gesha Natural"/>
    <n v="94"/>
    <s v="Light"/>
    <n v="64"/>
    <n v="80"/>
    <n v="546.74"/>
    <s v="Taiwan"/>
    <s v="Guatemala"/>
    <x v="0"/>
  </r>
  <r>
    <s v="Coral"/>
    <n v="94"/>
    <s v="Medium Light"/>
    <n v="58"/>
    <n v="78"/>
    <n v="4"/>
    <s v="Peru"/>
    <s v="Peru"/>
    <x v="0"/>
  </r>
  <r>
    <s v="Ethiopia Guji Goro Muda Washed G1"/>
    <n v="95"/>
    <s v="Light"/>
    <n v="64"/>
    <n v="82"/>
    <n v="198.41"/>
    <s v="Taiwan"/>
    <s v="Ethiopia"/>
    <x v="1"/>
  </r>
  <r>
    <s v="Ethiopian Guji Ana Sora Alcoholic Natural G1"/>
    <n v="94"/>
    <s v="Medium Light"/>
    <n v="60"/>
    <n v="80"/>
    <n v="132.28"/>
    <s v="Taiwan"/>
    <s v="Ethiopia"/>
    <x v="1"/>
  </r>
  <r>
    <s v="Panama Hacienda La Esmeralda Gesha"/>
    <n v="96"/>
    <s v="Medium Light"/>
    <n v="58"/>
    <n v="78"/>
    <n v="24.69"/>
    <s v="USA"/>
    <s v="Panama"/>
    <x v="0"/>
  </r>
  <r>
    <s v="Ethiopia Cup of Excellence Guji Natural"/>
    <n v="95"/>
    <s v="Light"/>
    <n v="68"/>
    <n v="90"/>
    <n v="17.59"/>
    <s v="USA"/>
    <s v="Ethiopia"/>
    <x v="1"/>
  </r>
  <r>
    <s v="Ethiopia Sidama Telamo FTO Natural"/>
    <n v="95"/>
    <s v="Medium Light"/>
    <n v="58"/>
    <n v="76"/>
    <n v="6.76"/>
    <s v="USA"/>
    <s v="Ethiopia"/>
    <x v="1"/>
  </r>
  <r>
    <s v="Ethiopia Guji Laayyoo Natural"/>
    <n v="94"/>
    <s v="Light"/>
    <n v="64"/>
    <n v="82"/>
    <n v="7.33"/>
    <s v="USA"/>
    <s v="Ethiopia"/>
    <x v="1"/>
  </r>
  <r>
    <s v="Magic Cat Kenya Civet AFCA TOH NO.2 Gatuya Factory New Murarandia AA"/>
    <n v="94"/>
    <s v="Medium Light"/>
    <n v="56"/>
    <n v="78"/>
    <n v="90.83"/>
    <s v="Taiwan"/>
    <s v="Kenya"/>
    <x v="1"/>
  </r>
  <r>
    <s v="Ethiopia Grade 1 Chelchele"/>
    <n v="94"/>
    <s v="Light"/>
    <n v="62"/>
    <n v="80"/>
    <n v="6.47"/>
    <s v="USA"/>
    <s v="Ethiopia"/>
    <x v="1"/>
  </r>
  <r>
    <s v="Ethiopia Natural Yirgacheffe Gr.1 Cleopatra"/>
    <n v="95"/>
    <s v="Medium"/>
    <n v="47"/>
    <n v="73"/>
    <n v="485.01"/>
    <s v="Taiwan"/>
    <s v="Ethiopia"/>
    <x v="1"/>
  </r>
  <r>
    <s v="Taiwan Alishan Zhou-Zhu-Yuan Farm Estate Reserve Washed"/>
    <n v="94"/>
    <s v="Medium"/>
    <n v="46"/>
    <n v="64"/>
    <n v="485.01"/>
    <s v="Taiwan"/>
    <s v="Taiwan"/>
    <x v="2"/>
  </r>
  <r>
    <s v="Ethiopia Keramo Zero Oxygen Natural"/>
    <n v="94"/>
    <s v="Medium Light"/>
    <n v="60"/>
    <n v="78"/>
    <n v="24.25"/>
    <s v="USA"/>
    <s v="Ethiopia"/>
    <x v="1"/>
  </r>
  <r>
    <s v="Panama Elida ASD Natural"/>
    <n v="94"/>
    <s v="Light"/>
    <n v="62"/>
    <n v="80"/>
    <n v="40"/>
    <s v="USA"/>
    <s v="Panama"/>
    <x v="0"/>
  </r>
  <r>
    <s v="Peru Yanesha Geisha"/>
    <n v="94"/>
    <s v="Medium Light"/>
    <n v="61"/>
    <n v="79"/>
    <n v="0.44"/>
    <s v="Taiwan"/>
    <s v="Peru"/>
    <x v="0"/>
  </r>
  <r>
    <s v="Ethiopia Guji Chembi"/>
    <n v="95"/>
    <s v="Medium Light"/>
    <n v="58"/>
    <n v="76"/>
    <n v="198.24"/>
    <s v="Taiwan"/>
    <s v="Ethiopia"/>
    <x v="1"/>
  </r>
  <r>
    <s v="Kenya Nyeri"/>
    <n v="94"/>
    <s v="Medium Light"/>
    <n v="57"/>
    <n v="77"/>
    <n v="200"/>
    <s v="Taiwan"/>
    <s v="Kenya"/>
    <x v="1"/>
  </r>
  <r>
    <s v="Kona Red Bourbon Anaerobic Washed Uluwehi Farm"/>
    <n v="95"/>
    <s v="Medium Light"/>
    <n v="58"/>
    <n v="74"/>
    <n v="26.41"/>
    <s v="USA"/>
    <s v="USA"/>
    <x v="0"/>
  </r>
  <r>
    <s v="Wush Wush"/>
    <n v="95"/>
    <s v="Light"/>
    <n v="60"/>
    <n v="82"/>
    <n v="6.17"/>
    <s v="USA"/>
    <s v="Ethiopia"/>
    <x v="1"/>
  </r>
  <r>
    <s v="Honey Typica Anaerobic"/>
    <n v="95"/>
    <s v="Medium Light"/>
    <n v="56"/>
    <n v="74"/>
    <n v="16.53"/>
    <s v="USA"/>
    <s v="Unknown"/>
    <x v="3"/>
  </r>
  <r>
    <s v="Geisha"/>
    <n v="94"/>
    <s v="Medium Light"/>
    <n v="55"/>
    <n v="71"/>
    <n v="14.55"/>
    <s v="USA"/>
    <s v="Unknown"/>
    <x v="3"/>
  </r>
  <r>
    <s v="Panama Abu Natural ASD Geisha BOP GN11"/>
    <n v="96"/>
    <s v="Medium Light"/>
    <n v="58"/>
    <n v="76"/>
    <n v="1058.2"/>
    <s v="Taiwan"/>
    <s v="Panama"/>
    <x v="0"/>
  </r>
  <r>
    <s v="Ethiopia Kochere Boji"/>
    <n v="95"/>
    <s v="Medium Light"/>
    <n v="60"/>
    <n v="77"/>
    <n v="5.86"/>
    <s v="USA"/>
    <s v="Ethiopia"/>
    <x v="1"/>
  </r>
  <r>
    <s v="Panama Finca Minerva-Mirage Pacamara BOP PAC04"/>
    <n v="95"/>
    <s v="Medium Light"/>
    <n v="46"/>
    <n v="76"/>
    <n v="529.1"/>
    <s v="Taiwan"/>
    <s v="Panama"/>
    <x v="0"/>
  </r>
  <r>
    <s v="Tanzania Shimiligwanda"/>
    <n v="94"/>
    <s v="Light"/>
    <n v="62"/>
    <n v="80"/>
    <n v="5.28"/>
    <s v="USA"/>
    <s v="Tanzania"/>
    <x v="1"/>
  </r>
  <r>
    <s v="Ethiopia Natural Guji Blue-Donkey 2020"/>
    <n v="95"/>
    <s v="Medium Light"/>
    <n v="59"/>
    <n v="77"/>
    <n v="143.30000000000001"/>
    <s v="Taiwan"/>
    <s v="Ethiopia"/>
    <x v="1"/>
  </r>
  <r>
    <s v="Kenya Washed Peaberry Rnyeusi"/>
    <n v="94"/>
    <s v="Medium Light"/>
    <n v="52"/>
    <n v="74"/>
    <n v="143.30000000000001"/>
    <s v="Taiwan"/>
    <s v="Kenya"/>
    <x v="1"/>
  </r>
  <r>
    <s v="Ethiopia COE 2nd place Washed Sidamo Rumudamo"/>
    <n v="94"/>
    <s v="Medium Light"/>
    <n v="60"/>
    <n v="78"/>
    <n v="1750"/>
    <s v="Taiwan"/>
    <s v="Ethiopia"/>
    <x v="1"/>
  </r>
  <r>
    <s v="Ethiopia Yirgacheffe Natural Haru Suke G1"/>
    <n v="94"/>
    <s v="Medium Light"/>
    <n v="60"/>
    <n v="80"/>
    <n v="136.68"/>
    <s v="Taiwan"/>
    <s v="Ethiopia"/>
    <x v="1"/>
  </r>
  <r>
    <s v="Finca Sophia Gesha Washed"/>
    <n v="98"/>
    <s v="Medium Light"/>
    <n v="58"/>
    <n v="76"/>
    <n v="44.09"/>
    <s v="USA"/>
    <s v="Panama"/>
    <x v="0"/>
  </r>
  <r>
    <s v="Colombia Granja La Esperanza Java Anaerobic"/>
    <n v="95"/>
    <s v="Medium Light"/>
    <n v="53"/>
    <n v="73"/>
    <n v="49.97"/>
    <s v="USA"/>
    <s v="Colombia"/>
    <x v="0"/>
  </r>
  <r>
    <s v="Shantawene Ethiopia Daya Bensa Natural"/>
    <n v="94"/>
    <s v="Light"/>
    <n v="62"/>
    <n v="80"/>
    <n v="5.59"/>
    <s v="USA"/>
    <s v="Ethiopia"/>
    <x v="1"/>
  </r>
  <r>
    <s v="Kenya AA FAQ"/>
    <n v="94"/>
    <s v="Medium Light"/>
    <n v="60"/>
    <n v="77"/>
    <n v="165"/>
    <s v="Taiwan"/>
    <s v="Kenya"/>
    <x v="1"/>
  </r>
  <r>
    <s v="Ardent Ethiopia Natural"/>
    <n v="97"/>
    <s v="Medium Light"/>
    <n v="57"/>
    <n v="77"/>
    <n v="15.43"/>
    <s v="USA"/>
    <s v="Ethiopia"/>
    <x v="1"/>
  </r>
  <r>
    <s v="Kona MoccaВ®"/>
    <n v="96"/>
    <s v="Medium Light"/>
    <n v="52"/>
    <n v="70"/>
    <n v="33.049999999999997"/>
    <s v="USA"/>
    <s v="USA"/>
    <x v="0"/>
  </r>
  <r>
    <s v="Holiday Coffee"/>
    <n v="94"/>
    <s v="Medium Light"/>
    <n v="54"/>
    <n v="74"/>
    <n v="17.61"/>
    <s v="USA"/>
    <s v="Unknown"/>
    <x v="3"/>
  </r>
  <r>
    <s v="Ethiopia Dur Feres Natural"/>
    <n v="94"/>
    <s v="Medium Light"/>
    <n v="60"/>
    <n v="78"/>
    <n v="5.58"/>
    <s v="USA"/>
    <s v="Ethiopia"/>
    <x v="1"/>
  </r>
  <r>
    <s v="Kenya AA Ares Phoenix Special"/>
    <n v="96"/>
    <s v="Medium"/>
    <n v="44"/>
    <n v="60"/>
    <n v="396.83"/>
    <s v="Taiwan"/>
    <s v="Kenya"/>
    <x v="1"/>
  </r>
  <r>
    <s v="GW01 Finca Sophia Olympus Geisha"/>
    <n v="98"/>
    <s v="Medium Light"/>
    <n v="58"/>
    <n v="76"/>
    <n v="25"/>
    <s v="Taiwan"/>
    <s v="Panama"/>
    <x v="0"/>
  </r>
  <r>
    <s v="La Esperanza Colombian Natural X.O."/>
    <n v="94"/>
    <s v="Medium Light"/>
    <n v="54"/>
    <n v="70"/>
    <n v="4.9800000000000004"/>
    <s v="USA"/>
    <s v="Colombia"/>
    <x v="0"/>
  </r>
  <r>
    <s v="Taiwan Geisha Honey"/>
    <n v="94"/>
    <s v="Light"/>
    <n v="62"/>
    <n v="80"/>
    <n v="57.28"/>
    <s v="USA"/>
    <s v="Taiwan"/>
    <x v="2"/>
  </r>
  <r>
    <s v="Camilina Geisha"/>
    <n v="95"/>
    <s v="Medium Light"/>
    <n v="60"/>
    <n v="78"/>
    <n v="49.97"/>
    <s v="USA"/>
    <s v="Panama"/>
    <x v="0"/>
  </r>
  <r>
    <s v="Hacienda La Esmeralda Buenos Aires Geisha Natural"/>
    <n v="95"/>
    <s v="Medium Light"/>
    <n v="54"/>
    <n v="70"/>
    <n v="28.66"/>
    <s v="USA"/>
    <s v="Panama"/>
    <x v="0"/>
  </r>
  <r>
    <s v="Ethiopia Sidama Bona Washed G1"/>
    <n v="94"/>
    <s v="Medium Light"/>
    <n v="58"/>
    <n v="78"/>
    <n v="12.79"/>
    <s v="Taiwan"/>
    <s v="Ethiopia"/>
    <x v="1"/>
  </r>
  <r>
    <s v="Sidama Extreme Papilio Washed"/>
    <n v="94"/>
    <s v="Medium Light"/>
    <n v="59"/>
    <n v="74"/>
    <n v="7.35"/>
    <s v="Taiwan"/>
    <s v="Ethiopia"/>
    <x v="1"/>
  </r>
  <r>
    <s v="Finca Santa Isabel"/>
    <n v="94"/>
    <s v="Medium Light"/>
    <n v="55"/>
    <n v="73"/>
    <n v="3.82"/>
    <s v="Guatemala"/>
    <s v="Guatemala"/>
    <x v="0"/>
  </r>
  <r>
    <s v="Finca San Carlos"/>
    <n v="94"/>
    <s v="Medium Light"/>
    <n v="56"/>
    <n v="72"/>
    <n v="3.82"/>
    <s v="Guatemala"/>
    <s v="Guatemala"/>
    <x v="0"/>
  </r>
  <r>
    <s v="Ethiopia Natural Guji D Minor Special Lot"/>
    <n v="97"/>
    <s v="Medium Light"/>
    <n v="60"/>
    <n v="76"/>
    <n v="176.37"/>
    <s v="Taiwan"/>
    <s v="Ethiopia"/>
    <x v="1"/>
  </r>
  <r>
    <s v="2020 Savage Auction Deborah Carbonic-Macerated Natural Geisha"/>
    <n v="94"/>
    <s v="Medium Light"/>
    <n v="58"/>
    <n v="74"/>
    <n v="661.38"/>
    <s v="Taiwan"/>
    <s v="Panama"/>
    <x v="0"/>
  </r>
  <r>
    <s v="Costa Rica Cordillera del Fuego"/>
    <n v="94"/>
    <s v="Medium Light"/>
    <n v="58"/>
    <n v="76"/>
    <n v="10.58"/>
    <s v="USA"/>
    <s v="Costa Rica"/>
    <x v="0"/>
  </r>
  <r>
    <s v="Ethiopia Bombe Mountains"/>
    <n v="94"/>
    <s v="Medium Light"/>
    <n v="58"/>
    <n v="76"/>
    <n v="7.35"/>
    <s v="USA"/>
    <s v="Ethiopia"/>
    <x v="1"/>
  </r>
  <r>
    <s v="Ethiopia Yirgacheffe G1 Natural Asfaw Maru"/>
    <n v="94"/>
    <s v="Medium Light"/>
    <n v="52"/>
    <n v="70"/>
    <n v="4.9800000000000004"/>
    <s v="USA"/>
    <s v="Ethiopia"/>
    <x v="1"/>
  </r>
  <r>
    <s v="Coffea Diversa Rume Sudan Winey"/>
    <n v="95"/>
    <s v="Light"/>
    <n v="64"/>
    <n v="84"/>
    <n v="17.59"/>
    <s v="USA"/>
    <s v="Guatemala"/>
    <x v="0"/>
  </r>
  <r>
    <s v="HawaiвЂ™i Puna Anaerobic Washed"/>
    <n v="94"/>
    <s v="Medium Light"/>
    <n v="58"/>
    <n v="76"/>
    <n v="17.59"/>
    <s v="USA"/>
    <s v="USA"/>
    <x v="0"/>
  </r>
  <r>
    <s v="Colombia Hacienda Casablanca"/>
    <n v="94"/>
    <s v="Medium Light"/>
    <n v="62"/>
    <n v="78"/>
    <n v="5.88"/>
    <s v="Canada"/>
    <s v="Colombia"/>
    <x v="0"/>
  </r>
  <r>
    <s v="Ethiopia Natural Guji Kercha Lot Riverside"/>
    <n v="94"/>
    <s v="Medium Light"/>
    <n v="58"/>
    <n v="78"/>
    <n v="121.25"/>
    <s v="Taiwan"/>
    <s v="Ethiopia"/>
    <x v="1"/>
  </r>
  <r>
    <s v="Costa Rica Yellow Honey Lot Kinka Bear"/>
    <n v="94"/>
    <s v="Medium Light"/>
    <n v="52"/>
    <n v="70"/>
    <n v="110.23"/>
    <s v="Taiwan"/>
    <s v="Costa Rica"/>
    <x v="0"/>
  </r>
  <r>
    <s v="San Diego Natural"/>
    <n v="95"/>
    <s v="Medium Light"/>
    <n v="55"/>
    <n v="75"/>
    <n v="5.26"/>
    <s v="USA"/>
    <s v="Costa Rica"/>
    <x v="0"/>
  </r>
  <r>
    <s v="Buna Boka #1"/>
    <n v="94"/>
    <s v="Medium Light"/>
    <n v="60"/>
    <n v="78"/>
    <n v="5.51"/>
    <s v="USA"/>
    <s v="Ethiopia"/>
    <x v="1"/>
  </r>
  <r>
    <s v="El Jardin"/>
    <n v="94"/>
    <s v="Medium Light"/>
    <n v="58"/>
    <n v="74"/>
    <n v="12.35"/>
    <s v="USA"/>
    <s v="Colombia"/>
    <x v="0"/>
  </r>
  <r>
    <s v="Kenya Wachuri"/>
    <n v="95"/>
    <s v="Medium"/>
    <n v="48"/>
    <n v="66"/>
    <n v="6.47"/>
    <s v="USA"/>
    <s v="Kenya"/>
    <x v="1"/>
  </r>
  <r>
    <s v="Kenya Baragwi Guama AB"/>
    <n v="95"/>
    <s v="Medium Light"/>
    <n v="60"/>
    <n v="80"/>
    <n v="5"/>
    <s v="USA"/>
    <s v="Kenya"/>
    <x v="1"/>
  </r>
  <r>
    <s v="Kenya ARES"/>
    <n v="95"/>
    <s v="Medium Light"/>
    <n v="54"/>
    <n v="74"/>
    <n v="330.43"/>
    <s v="Taiwan"/>
    <s v="Kenya"/>
    <x v="1"/>
  </r>
  <r>
    <s v="Empress Kenya"/>
    <n v="95"/>
    <s v="Medium Light"/>
    <n v="58"/>
    <n v="74"/>
    <n v="244.44"/>
    <s v="Taiwan"/>
    <s v="Kenya"/>
    <x v="1"/>
  </r>
  <r>
    <s v="Kenya Kiambu AB Top Lot"/>
    <n v="94"/>
    <s v="Medium Light"/>
    <n v="54"/>
    <n v="72"/>
    <n v="198.24"/>
    <s v="Taiwan"/>
    <s v="Kenya"/>
    <x v="1"/>
  </r>
  <r>
    <s v="Kenya Kiambu Maua Lot AB"/>
    <n v="94"/>
    <s v="Medium Light"/>
    <n v="60"/>
    <n v="78"/>
    <n v="143.30000000000001"/>
    <s v="Taiwan"/>
    <s v="Kenya"/>
    <x v="1"/>
  </r>
  <r>
    <s v="Kenya Thunguri AA"/>
    <n v="94"/>
    <s v="Medium Light"/>
    <n v="58"/>
    <n v="80"/>
    <n v="6.45"/>
    <s v="USA"/>
    <s v="Kenya"/>
    <x v="1"/>
  </r>
  <r>
    <s v="Kenya Kirinyaga Kabare Karani AA"/>
    <n v="94"/>
    <s v="Medium Light"/>
    <n v="60"/>
    <n v="78"/>
    <n v="9.7799999999999994"/>
    <s v="Canada"/>
    <s v="Kenya"/>
    <x v="1"/>
  </r>
  <r>
    <s v="Kenya Kirinyaga Kii"/>
    <n v="94"/>
    <s v="Medium Light"/>
    <n v="57"/>
    <n v="77"/>
    <n v="250"/>
    <s v="Taiwan"/>
    <s v="Kenya"/>
    <x v="1"/>
  </r>
  <r>
    <s v="Kenya Rungeto"/>
    <n v="94"/>
    <s v="Medium Light"/>
    <n v="56"/>
    <n v="72"/>
    <n v="6.76"/>
    <s v="USA"/>
    <s v="Kenya"/>
    <x v="1"/>
  </r>
  <r>
    <s v="Kenya AA Top Gatomboya"/>
    <n v="94"/>
    <s v="Medium Light"/>
    <n v="54"/>
    <n v="72"/>
    <n v="5.29"/>
    <s v="USA"/>
    <s v="Kenya"/>
    <x v="1"/>
  </r>
  <r>
    <s v="Heart &amp; Soul Espresso Blend"/>
    <n v="94"/>
    <s v="Medium"/>
    <n v="50"/>
    <n v="70"/>
    <n v="5.29"/>
    <s v="USA"/>
    <s v="Ethiopia"/>
    <x v="1"/>
  </r>
  <r>
    <s v="Ethiopia Banko Gotiti"/>
    <n v="94"/>
    <s v="Medium Light"/>
    <n v="57"/>
    <n v="77"/>
    <n v="5.88"/>
    <s v="USA"/>
    <s v="Ethiopia"/>
    <x v="1"/>
  </r>
  <r>
    <s v="Ethiopia Yabitu Koba"/>
    <n v="94"/>
    <s v="Medium Light"/>
    <n v="58"/>
    <n v="78"/>
    <n v="5.88"/>
    <s v="USA"/>
    <s v="Ethiopia"/>
    <x v="1"/>
  </r>
  <r>
    <s v="Ethiopia Banko Gotiti"/>
    <n v="94"/>
    <s v="Medium Light"/>
    <n v="60"/>
    <n v="78"/>
    <n v="5.73"/>
    <s v="USA"/>
    <s v="Ethiopia"/>
    <x v="1"/>
  </r>
  <r>
    <s v="Rhapsody of Dreams"/>
    <n v="94"/>
    <s v="Medium Light"/>
    <n v="58"/>
    <n v="74"/>
    <n v="198.24"/>
    <s v="Taiwan"/>
    <s v="Colombia"/>
    <x v="0"/>
  </r>
  <r>
    <s v="LauraвЂ™s Reserve SL34"/>
    <n v="95"/>
    <s v="Medium Light"/>
    <n v="60"/>
    <n v="78"/>
    <n v="27.76"/>
    <s v="USA"/>
    <s v="Unknown"/>
    <x v="3"/>
  </r>
  <r>
    <s v="Ethiopia Reko Yirgacheffe"/>
    <n v="94"/>
    <s v="Medium Light"/>
    <n v="60"/>
    <n v="76"/>
    <n v="6.03"/>
    <s v="USA"/>
    <s v="Ethiopia"/>
    <x v="1"/>
  </r>
  <r>
    <s v="Colombia Asobombo Inza"/>
    <n v="94"/>
    <s v="Light"/>
    <n v="62"/>
    <n v="84"/>
    <n v="4.7"/>
    <s v="USA"/>
    <s v="Colombia"/>
    <x v="0"/>
  </r>
  <r>
    <s v="Ethiopia Sidamo Natural Twakok G1"/>
    <n v="94"/>
    <s v="Medium Light"/>
    <n v="52"/>
    <n v="72"/>
    <n v="239.13"/>
    <s v="Taiwan"/>
    <s v="Ethiopia"/>
    <x v="1"/>
  </r>
  <r>
    <s v="Panama Boquete Torre Lot #1 Geisha Honey"/>
    <n v="94"/>
    <s v="Light"/>
    <n v="62"/>
    <n v="80"/>
    <n v="2500"/>
    <s v="Taiwan"/>
    <s v="Panama"/>
    <x v="0"/>
  </r>
  <r>
    <s v="Yellow Caturra (special lot)"/>
    <n v="94"/>
    <s v="Medium Light"/>
    <n v="56"/>
    <n v="70"/>
    <n v="13.23"/>
    <s v="USA"/>
    <s v="Unknown"/>
    <x v="3"/>
  </r>
  <r>
    <s v="HawaiвЂ™i Kilauea Volcano Yeast Fermentation Washed"/>
    <n v="96"/>
    <s v="Medium Light"/>
    <n v="58"/>
    <n v="76"/>
    <n v="26.41"/>
    <s v="USA"/>
    <s v="USA"/>
    <x v="0"/>
  </r>
  <r>
    <s v="Kona Pink Honey Black Rock Farm"/>
    <n v="94"/>
    <s v="Medium Light"/>
    <n v="58"/>
    <n v="78"/>
    <n v="22"/>
    <s v="USA"/>
    <s v="USA"/>
    <x v="0"/>
  </r>
  <r>
    <s v="Ethiopia Kayon Mountain"/>
    <n v="94"/>
    <s v="Medium Light"/>
    <n v="60"/>
    <n v="78"/>
    <n v="5.86"/>
    <s v="USA"/>
    <s v="Ethiopia"/>
    <x v="1"/>
  </r>
  <r>
    <s v="Benti Nenqa #209 Ethiopia"/>
    <n v="94"/>
    <s v="Medium Light"/>
    <n v="60"/>
    <n v="78"/>
    <n v="5.51"/>
    <s v="USA"/>
    <s v="Ethiopia"/>
    <x v="1"/>
  </r>
  <r>
    <s v="El Salvador Santa Elena Pacamara"/>
    <n v="94"/>
    <s v="Medium Light"/>
    <n v="54"/>
    <n v="70"/>
    <n v="250"/>
    <s v="Taiwan"/>
    <s v="El Salvador"/>
    <x v="0"/>
  </r>
  <r>
    <s v="Ethiopia Sheka Kawo Kamina Natural"/>
    <n v="95"/>
    <s v="Medium Light"/>
    <n v="58"/>
    <n v="72"/>
    <n v="7.33"/>
    <s v="USA"/>
    <s v="Ethiopia"/>
    <x v="1"/>
  </r>
  <r>
    <s v="Black Swan Blend"/>
    <n v="94"/>
    <s v="Medium Light"/>
    <n v="54"/>
    <n v="70"/>
    <n v="114.64"/>
    <s v="Taiwan"/>
    <s v="Ethiopia"/>
    <x v="1"/>
  </r>
  <r>
    <s v="Indonesia Lintong Mandheling"/>
    <n v="94"/>
    <s v="Medium Light"/>
    <n v="58"/>
    <n v="78"/>
    <n v="200"/>
    <s v="Taiwan"/>
    <s v="Indonesia"/>
    <x v="2"/>
  </r>
  <r>
    <s v="Ethiopia Yirgacheffe Natural Farm Direct"/>
    <n v="94"/>
    <s v="Medium Light"/>
    <n v="58"/>
    <n v="76"/>
    <n v="6.47"/>
    <s v="USA"/>
    <s v="Ethiopia"/>
    <x v="1"/>
  </r>
  <r>
    <s v="Kenya Karatina AA 2020"/>
    <n v="94"/>
    <s v="Medium Light"/>
    <n v="58"/>
    <n v="76"/>
    <n v="7.05"/>
    <s v="USA"/>
    <s v="Kenya"/>
    <x v="1"/>
  </r>
  <r>
    <s v="Colombia San LuГ­s Gesha"/>
    <n v="94"/>
    <s v="Medium Light"/>
    <n v="60"/>
    <n v="76"/>
    <n v="8.81"/>
    <s v="USA"/>
    <s v="Colombia"/>
    <x v="0"/>
  </r>
  <r>
    <s v="Karani Kenya"/>
    <n v="95"/>
    <s v="Medium Light"/>
    <n v="56"/>
    <n v="74"/>
    <n v="6.17"/>
    <s v="USA"/>
    <s v="Kenya"/>
    <x v="1"/>
  </r>
  <r>
    <s v="Miraflores Colombia"/>
    <n v="95"/>
    <s v="Medium Light"/>
    <n v="58"/>
    <n v="78"/>
    <n v="6.47"/>
    <s v="USA"/>
    <s v="Colombia"/>
    <x v="0"/>
  </r>
  <r>
    <s v="Kenya Gatuya"/>
    <n v="94"/>
    <s v="Medium Light"/>
    <n v="55"/>
    <n v="73"/>
    <n v="6.17"/>
    <s v="USA"/>
    <s v="Kenya"/>
    <x v="1"/>
  </r>
  <r>
    <s v="Flight Seasonal Espresso"/>
    <n v="94"/>
    <s v="Medium Light"/>
    <n v="58"/>
    <n v="80"/>
    <n v="5.44"/>
    <s v="USA"/>
    <s v="Ethiopia"/>
    <x v="1"/>
  </r>
  <r>
    <s v="Kenya Gicherori"/>
    <n v="94"/>
    <s v="Medium Light"/>
    <n v="58"/>
    <n v="78"/>
    <n v="6.91"/>
    <s v="USA"/>
    <s v="Kenya"/>
    <x v="1"/>
  </r>
  <r>
    <s v="Ethiopia Kayon Mountain (Natural)"/>
    <n v="94"/>
    <s v="Light"/>
    <n v="64"/>
    <n v="92"/>
    <n v="5.58"/>
    <s v="USA"/>
    <s v="Ethiopia"/>
    <x v="1"/>
  </r>
  <r>
    <s v="Ethiopia Kayon Mountain (Washed)"/>
    <n v="94"/>
    <s v="Light"/>
    <n v="62"/>
    <n v="88"/>
    <n v="5.44"/>
    <s v="USA"/>
    <s v="Ethiopia"/>
    <x v="1"/>
  </r>
  <r>
    <s v="Ethiopia Dame Dabaye"/>
    <n v="95"/>
    <s v="Medium Light"/>
    <n v="60"/>
    <n v="76"/>
    <n v="4.7"/>
    <s v="USA"/>
    <s v="Ethiopia"/>
    <x v="1"/>
  </r>
  <r>
    <s v="Kenya Nyeri AB Nyeshun"/>
    <n v="96"/>
    <s v="Medium Light"/>
    <n v="58"/>
    <n v="78"/>
    <n v="176.37"/>
    <s v="Taiwan"/>
    <s v="Kenya"/>
    <x v="1"/>
  </r>
  <r>
    <s v="Ethiopia Guji Bishala"/>
    <n v="94"/>
    <s v="Medium Light"/>
    <n v="58"/>
    <n v="76"/>
    <n v="127.87"/>
    <s v="Taiwan"/>
    <s v="Ethiopia"/>
    <x v="1"/>
  </r>
  <r>
    <s v="Ethiopia Wegida Natural"/>
    <n v="94"/>
    <s v="Light"/>
    <n v="62"/>
    <n v="80"/>
    <n v="5.88"/>
    <s v="USA"/>
    <s v="Ethiopia"/>
    <x v="1"/>
  </r>
  <r>
    <s v="KaвЂ™u Red Caturra Peaberry"/>
    <n v="94"/>
    <s v="Medium Light"/>
    <n v="58"/>
    <n v="78"/>
    <n v="14.7"/>
    <s v="USA"/>
    <s v="USA"/>
    <x v="0"/>
  </r>
  <r>
    <s v="Wush Wush Ginbo Keffa Ethiopia"/>
    <n v="95"/>
    <s v="Medium Light"/>
    <n v="60"/>
    <n v="74"/>
    <n v="5.29"/>
    <s v="USA"/>
    <s v="Ethiopia"/>
    <x v="1"/>
  </r>
  <r>
    <s v="Burundi Karehe"/>
    <n v="95"/>
    <s v="Medium Light"/>
    <n v="60"/>
    <n v="76"/>
    <n v="5.88"/>
    <s v="USA"/>
    <s v="Burundi"/>
    <x v="1"/>
  </r>
  <r>
    <s v="Ethiopia Guji Natural"/>
    <n v="94"/>
    <s v="Light"/>
    <n v="64"/>
    <n v="83"/>
    <n v="5.29"/>
    <s v="USA"/>
    <s v="Ethiopia"/>
    <x v="1"/>
  </r>
  <r>
    <s v="Ethiopia Gera Estate Natural"/>
    <n v="94"/>
    <s v="Light"/>
    <n v="67"/>
    <n v="96"/>
    <n v="4.7"/>
    <s v="USA"/>
    <s v="Ethiopia"/>
    <x v="1"/>
  </r>
  <r>
    <s v="EstelГ­ Nicaragua"/>
    <n v="94"/>
    <s v="Medium Light"/>
    <n v="60"/>
    <n v="79"/>
    <n v="6.61"/>
    <s v="USA"/>
    <s v="Nicaragua"/>
    <x v="0"/>
  </r>
  <r>
    <s v="Limu Ethiopia Natural"/>
    <n v="94"/>
    <s v="Light"/>
    <n v="66"/>
    <n v="85"/>
    <n v="4.12"/>
    <s v="USA"/>
    <s v="Ethiopia"/>
    <x v="1"/>
  </r>
  <r>
    <s v="Colombia Finca El Roblar"/>
    <n v="94"/>
    <s v="Medium Light"/>
    <n v="60"/>
    <n v="76"/>
    <n v="4.8499999999999996"/>
    <s v="USA"/>
    <s v="Colombia"/>
    <x v="0"/>
  </r>
  <r>
    <s v="Guatemala Bella Carmona"/>
    <n v="94"/>
    <s v="Medium Light"/>
    <n v="58"/>
    <n v="74"/>
    <n v="5.59"/>
    <s v="USA"/>
    <s v="Guatemala"/>
    <x v="0"/>
  </r>
  <r>
    <s v="Ethiopia Yirgacheffe Kochere Debo"/>
    <n v="94"/>
    <s v="Medium Light"/>
    <n v="54"/>
    <n v="70"/>
    <n v="4.12"/>
    <s v="USA"/>
    <s v="Ethiopia"/>
    <x v="1"/>
  </r>
  <r>
    <s v="Kilauea Volcano Champagne Natural"/>
    <n v="95"/>
    <s v="Light"/>
    <n v="64"/>
    <n v="80"/>
    <n v="26.41"/>
    <s v="USA"/>
    <s v="Unknown"/>
    <x v="3"/>
  </r>
  <r>
    <s v="Nicaragua La Benedicion SL28 Natural"/>
    <n v="94"/>
    <s v="Light"/>
    <n v="62"/>
    <n v="80"/>
    <n v="11.73"/>
    <s v="USA"/>
    <s v="Nicaragua"/>
    <x v="0"/>
  </r>
  <r>
    <s v="Colombia Tolima Geisha"/>
    <n v="94"/>
    <s v="Light"/>
    <n v="62"/>
    <n v="82"/>
    <n v="17.62"/>
    <s v="USA"/>
    <s v="Colombia"/>
    <x v="0"/>
  </r>
  <r>
    <s v="Ethiopia Haro Guta Natural"/>
    <n v="94"/>
    <s v="Light"/>
    <n v="62"/>
    <n v="80"/>
    <n v="176.37"/>
    <s v="Taiwan"/>
    <s v="Ethiopia"/>
    <x v="1"/>
  </r>
  <r>
    <s v="Kenya AA Kirinyaga Kii"/>
    <n v="95"/>
    <s v="Medium Light"/>
    <n v="60"/>
    <n v="78"/>
    <n v="264.55"/>
    <s v="Taiwan"/>
    <s v="Kenya"/>
    <x v="1"/>
  </r>
  <r>
    <s v="Colombia Antioquia La Papaya Bourbon Chiroso"/>
    <n v="94"/>
    <s v="Medium Light"/>
    <n v="62"/>
    <n v="76"/>
    <n v="308.64"/>
    <s v="Taiwan"/>
    <s v="Colombia"/>
    <x v="0"/>
  </r>
  <r>
    <s v="Karimiuki Espresso"/>
    <n v="96"/>
    <s v="Medium Light"/>
    <n v="58"/>
    <n v="76"/>
    <n v="6.17"/>
    <s v="USA"/>
    <s v="Kenya"/>
    <x v="1"/>
  </r>
  <r>
    <s v="Karimiuki Kenya"/>
    <n v="95"/>
    <s v="Medium Light"/>
    <n v="58"/>
    <n v="76"/>
    <n v="6.17"/>
    <s v="USA"/>
    <s v="Kenya"/>
    <x v="1"/>
  </r>
  <r>
    <s v="Colombia San Pedro"/>
    <n v="94"/>
    <s v="Medium Light"/>
    <n v="56"/>
    <n v="72"/>
    <n v="5.59"/>
    <s v="USA"/>
    <s v="Colombia"/>
    <x v="0"/>
  </r>
  <r>
    <s v="DR Congo, Gera Village, SOPACDI"/>
    <n v="94"/>
    <s v="Medium Light"/>
    <n v="58"/>
    <n v="76"/>
    <n v="6.17"/>
    <s v="USA"/>
    <s v="Democratic Republic of the Congo"/>
    <x v="1"/>
  </r>
  <r>
    <s v="El Floral Colombia"/>
    <n v="95"/>
    <s v="Medium Light"/>
    <n v="59"/>
    <n v="77"/>
    <n v="6.17"/>
    <s v="USA"/>
    <s v="Colombia"/>
    <x v="0"/>
  </r>
  <r>
    <s v="El Salvador Geisha Natural"/>
    <n v="94"/>
    <s v="Medium Light"/>
    <n v="58"/>
    <n v="74"/>
    <n v="9.9600000000000009"/>
    <s v="USA"/>
    <s v="El Salvador"/>
    <x v="0"/>
  </r>
  <r>
    <s v="Ethiopia Natural Guji Lot D Minor"/>
    <n v="95"/>
    <s v="Medium Light"/>
    <n v="58"/>
    <n v="76"/>
    <n v="121.25"/>
    <s v="Taiwan"/>
    <s v="Ethiopia"/>
    <x v="1"/>
  </r>
  <r>
    <s v="Taiwan Natural Alishan Zhuo-Wu Farm Geisha"/>
    <n v="94"/>
    <s v="Medium Light"/>
    <n v="56"/>
    <n v="72"/>
    <n v="0.88"/>
    <s v="Taiwan"/>
    <s v="Taiwan"/>
    <x v="2"/>
  </r>
  <r>
    <s v="All Rise"/>
    <n v="94"/>
    <s v="Medium Light"/>
    <n v="54"/>
    <n v="72"/>
    <n v="5.88"/>
    <s v="USA"/>
    <s v="Democratic Republic of the Congo"/>
    <x v="1"/>
  </r>
  <r>
    <s v="Costa Rica Hacienda Tobosi Copey Villa Sarchi Black Honey"/>
    <n v="94"/>
    <s v="Medium Light"/>
    <n v="52"/>
    <n v="70"/>
    <n v="204.55"/>
    <s v="Taiwan"/>
    <s v="Costa Rica"/>
    <x v="0"/>
  </r>
  <r>
    <s v="Sudan Rume"/>
    <n v="94"/>
    <s v="Light"/>
    <n v="62"/>
    <n v="80"/>
    <n v="17.64"/>
    <s v="USA"/>
    <s v="Colombia"/>
    <x v="0"/>
  </r>
  <r>
    <s v="Ethiopia Sidama Keramo Village"/>
    <n v="94"/>
    <s v="Medium Light"/>
    <n v="60"/>
    <n v="76"/>
    <n v="7.35"/>
    <s v="USA"/>
    <s v="Ethiopia"/>
    <x v="1"/>
  </r>
  <r>
    <s v="Red Bourbon Natural Exclusive Reserve"/>
    <n v="95"/>
    <s v="Medium Light"/>
    <n v="58"/>
    <n v="76"/>
    <n v="16.75"/>
    <s v="USA"/>
    <s v="USA"/>
    <x v="0"/>
  </r>
  <r>
    <s v="Nano Genji Agaro Gera"/>
    <n v="94"/>
    <s v="Medium"/>
    <n v="52"/>
    <n v="68"/>
    <n v="6.17"/>
    <s v="USA"/>
    <s v="Ethiopia"/>
    <x v="1"/>
  </r>
  <r>
    <s v="Sumatra Pantan Musara"/>
    <n v="94"/>
    <s v="Medium Light"/>
    <n v="58"/>
    <n v="74"/>
    <n v="6.17"/>
    <s v="USA"/>
    <s v="Indonesia"/>
    <x v="2"/>
  </r>
  <r>
    <s v="Kona Classic Black Rock Farm"/>
    <n v="94"/>
    <s v="Medium"/>
    <n v="52"/>
    <n v="68"/>
    <n v="16.71"/>
    <s v="USA"/>
    <s v="USA"/>
    <x v="0"/>
  </r>
  <r>
    <s v="Ethiopian Yirgacheffe Natural"/>
    <n v="94"/>
    <s v="Medium Light"/>
    <n v="58"/>
    <n v="76"/>
    <n v="5.88"/>
    <s v="USA"/>
    <s v="Ethiopia"/>
    <x v="1"/>
  </r>
  <r>
    <s v="Colombia Cauca AtвЂ™e"/>
    <n v="94"/>
    <s v="Medium Light"/>
    <n v="60"/>
    <n v="78"/>
    <n v="5.29"/>
    <s v="USA"/>
    <s v="Colombia"/>
    <x v="0"/>
  </r>
  <r>
    <s v="Sumatra Pantan Musara"/>
    <n v="94"/>
    <s v="Medium Light"/>
    <n v="54"/>
    <n v="72"/>
    <n v="7.33"/>
    <s v="USA"/>
    <s v="Indonesia"/>
    <x v="2"/>
  </r>
  <r>
    <s v="Sumatra Gayo G1 Triple-Picked Lot 005"/>
    <n v="94"/>
    <s v="Medium Light"/>
    <n v="56"/>
    <n v="74"/>
    <n v="99.21"/>
    <s v="Taiwan"/>
    <s v="Indonesia"/>
    <x v="2"/>
  </r>
  <r>
    <s v="Nano Genji #4 Espresso"/>
    <n v="96"/>
    <s v="Medium Light"/>
    <n v="56"/>
    <n v="74"/>
    <n v="5.51"/>
    <s v="USA"/>
    <s v="Ethiopia"/>
    <x v="1"/>
  </r>
  <r>
    <s v="Ignacio Quintero Colombia"/>
    <n v="95"/>
    <s v="Medium Light"/>
    <n v="58"/>
    <n v="78"/>
    <n v="5.29"/>
    <s v="USA"/>
    <s v="Colombia"/>
    <x v="0"/>
  </r>
  <r>
    <s v="KaвЂ™u Giant Maragogipe"/>
    <n v="94"/>
    <s v="Medium Light"/>
    <n v="54"/>
    <n v="68"/>
    <n v="12.35"/>
    <s v="USA"/>
    <s v="USA"/>
    <x v="0"/>
  </r>
  <r>
    <s v="Organic Ethiopia Agaro-Nano Challa"/>
    <n v="94"/>
    <s v="Medium Light"/>
    <n v="58"/>
    <n v="74"/>
    <n v="6.75"/>
    <s v="USA"/>
    <s v="Ethiopia"/>
    <x v="1"/>
  </r>
  <r>
    <s v="Kerinci Palompek Sumatra"/>
    <n v="94"/>
    <s v="Medium Light"/>
    <n v="58"/>
    <n v="78"/>
    <n v="5.23"/>
    <s v="USA"/>
    <s v="Indonesia"/>
    <x v="2"/>
  </r>
  <r>
    <s v="Kenya Embu Gicherori Factory AA Top"/>
    <n v="95"/>
    <s v="Medium Light"/>
    <n v="58"/>
    <n v="74"/>
    <n v="290"/>
    <s v="Taiwan"/>
    <s v="Kenya"/>
    <x v="1"/>
  </r>
  <r>
    <s v="Colombia Finca Lord Baltimore Papayo"/>
    <n v="94"/>
    <s v="Light"/>
    <n v="62"/>
    <n v="80"/>
    <n v="7.33"/>
    <s v="USA"/>
    <s v="Colombia"/>
    <x v="0"/>
  </r>
  <r>
    <s v="Mocha Java"/>
    <n v="96"/>
    <s v="Medium"/>
    <n v="52"/>
    <n v="68"/>
    <n v="4.26"/>
    <s v="USA"/>
    <s v="Ethiopia"/>
    <x v="1"/>
  </r>
  <r>
    <s v="Ethiopia Shantawene Washed"/>
    <n v="96"/>
    <s v="Medium Light"/>
    <n v="60"/>
    <n v="78"/>
    <n v="6.17"/>
    <s v="USA"/>
    <s v="Ethiopia"/>
    <x v="1"/>
  </r>
  <r>
    <s v="Organic Suke Quto Ethiopia"/>
    <n v="95"/>
    <s v="Medium Light"/>
    <n v="56"/>
    <n v="74"/>
    <n v="5.59"/>
    <s v="USA"/>
    <s v="Ethiopia"/>
    <x v="1"/>
  </r>
  <r>
    <s v="Kenya Tuikit Factory AA"/>
    <n v="95"/>
    <s v="Medium Light"/>
    <n v="56"/>
    <n v="72"/>
    <n v="132.28"/>
    <s v="Taiwan"/>
    <s v="Kenya"/>
    <x v="1"/>
  </r>
  <r>
    <s v="Karen J Kona Red Bourbon"/>
    <n v="94"/>
    <s v="Medium Light"/>
    <n v="58"/>
    <n v="80"/>
    <n v="4.41"/>
    <s v="USA"/>
    <s v="USA"/>
    <x v="0"/>
  </r>
  <r>
    <s v="Abu Natural Panama Geisha"/>
    <n v="94"/>
    <s v="Medium Light"/>
    <n v="58"/>
    <n v="78"/>
    <n v="20.55"/>
    <s v="USA"/>
    <s v="Panama"/>
    <x v="0"/>
  </r>
  <r>
    <s v="Colombia Finca Las Margaritas Natural Sudan Rume"/>
    <n v="94"/>
    <s v="Medium Light"/>
    <n v="55"/>
    <n v="73"/>
    <n v="17.64"/>
    <s v="USA"/>
    <s v="Colombia"/>
    <x v="0"/>
  </r>
  <r>
    <s v="Ecuador Finca Carolina Sidra"/>
    <n v="94"/>
    <s v="Medium Light"/>
    <n v="60"/>
    <n v="78"/>
    <n v="8.8000000000000007"/>
    <s v="USA"/>
    <s v="Ecuador"/>
    <x v="0"/>
  </r>
  <r>
    <s v="Gesha Village Single-Variety Gesha Special Selection"/>
    <n v="94"/>
    <s v="Medium Light"/>
    <n v="58"/>
    <n v="74"/>
    <n v="13.23"/>
    <s v="China"/>
    <s v="Ethiopia"/>
    <x v="1"/>
  </r>
  <r>
    <s v="Indestec El Paraiso"/>
    <n v="94"/>
    <s v="Medium Light"/>
    <n v="58"/>
    <n v="74"/>
    <n v="8.52"/>
    <s v="USA"/>
    <s v="Colombia"/>
    <x v="0"/>
  </r>
  <r>
    <s v="Monteblanco Cold Fermentation Geisha"/>
    <n v="94"/>
    <s v="Medium Light"/>
    <n v="57"/>
    <n v="73"/>
    <n v="8.52"/>
    <s v="USA"/>
    <s v="Colombia"/>
    <x v="0"/>
  </r>
  <r>
    <s v="Funky Chicken"/>
    <n v="94"/>
    <s v="Medium"/>
    <n v="46"/>
    <n v="64"/>
    <n v="9.8699999999999992"/>
    <s v="USA"/>
    <s v="Unknown"/>
    <x v="3"/>
  </r>
  <r>
    <s v="Yemen Al-Obbarat"/>
    <n v="95"/>
    <s v="Medium Light"/>
    <n v="54"/>
    <n v="72"/>
    <n v="44.05"/>
    <s v="USA"/>
    <s v="Yemen"/>
    <x v="1"/>
  </r>
  <r>
    <s v="Ecuador Quilanga Typica Yeast Fermentation"/>
    <n v="94"/>
    <s v="Medium Light"/>
    <n v="57"/>
    <n v="73"/>
    <n v="6.75"/>
    <s v="USA"/>
    <s v="Ecuador"/>
    <x v="0"/>
  </r>
  <r>
    <s v="Ethiopia Natural Guji PB JackyLai Lot"/>
    <n v="94"/>
    <s v="Medium Light"/>
    <n v="56"/>
    <n v="76"/>
    <n v="132.28"/>
    <s v="Taiwan"/>
    <s v="Ethiopia"/>
    <x v="1"/>
  </r>
  <r>
    <s v="Ethiopia Wush Wush"/>
    <n v="96"/>
    <s v="Light"/>
    <n v="62"/>
    <n v="80"/>
    <n v="9.6999999999999993"/>
    <s v="USA"/>
    <s v="Ethiopia"/>
    <x v="1"/>
  </r>
  <r>
    <s v="Ethiopia Hassen Ware Akrabi"/>
    <n v="94"/>
    <s v="Medium Light"/>
    <n v="58"/>
    <n v="74"/>
    <n v="6.61"/>
    <s v="USA"/>
    <s v="Ethiopia"/>
    <x v="1"/>
  </r>
  <r>
    <s v="Costa Rica Luis Campos Anaerobic"/>
    <n v="94"/>
    <s v="Medium Light"/>
    <n v="58"/>
    <n v="76"/>
    <n v="6.76"/>
    <s v="USA"/>
    <s v="Costa Rica"/>
    <x v="0"/>
  </r>
  <r>
    <s v="Colombia Granja La Esperanza Tres Dragones"/>
    <n v="94"/>
    <s v="Medium Light"/>
    <n v="60"/>
    <n v="74"/>
    <n v="6.91"/>
    <s v="USA"/>
    <s v="Colombia"/>
    <x v="0"/>
  </r>
  <r>
    <s v="Colombia Finca La Loma Microlot"/>
    <n v="94"/>
    <s v="Medium Light"/>
    <n v="58"/>
    <n v="76"/>
    <n v="4.8499999999999996"/>
    <s v="USA"/>
    <s v="Colombia"/>
    <x v="0"/>
  </r>
  <r>
    <s v="Kenya Kiambu AB Uklili 1905 Lot"/>
    <n v="94"/>
    <s v="Medium Light"/>
    <n v="58"/>
    <n v="76"/>
    <n v="132.28"/>
    <s v="Taiwan"/>
    <s v="Kenya"/>
    <x v="1"/>
  </r>
  <r>
    <s v="Elida Natural Dragonfly Lot"/>
    <n v="95"/>
    <s v="Medium Light"/>
    <n v="54"/>
    <n v="70"/>
    <n v="5.88"/>
    <s v="USA"/>
    <s v="Panama"/>
    <x v="0"/>
  </r>
  <r>
    <s v="Kona Laurina Pointu"/>
    <n v="94"/>
    <s v="Medium Light"/>
    <n v="56"/>
    <n v="70"/>
    <n v="25.2"/>
    <s v="USA"/>
    <s v="USA"/>
    <x v="0"/>
  </r>
  <r>
    <s v="Dadaocheng Garden Blend Espresso"/>
    <n v="94"/>
    <s v="Medium"/>
    <n v="52"/>
    <n v="68"/>
    <n v="175"/>
    <s v="Taiwan"/>
    <s v="Guatemala"/>
    <x v="0"/>
  </r>
  <r>
    <s v="Ethiopia Dimtu"/>
    <n v="95"/>
    <s v="Medium Light"/>
    <n v="58"/>
    <n v="82"/>
    <n v="6.17"/>
    <s v="USA"/>
    <s v="Ethiopia"/>
    <x v="1"/>
  </r>
  <r>
    <s v="Ethiopia Sidama Anaerobic"/>
    <n v="94"/>
    <s v="Medium Light"/>
    <n v="58"/>
    <n v="78"/>
    <n v="5.81"/>
    <s v="USA"/>
    <s v="Ethiopia"/>
    <x v="1"/>
  </r>
  <r>
    <s v="Kenya Kiri Peaberry"/>
    <n v="94"/>
    <s v="Medium Light"/>
    <n v="56"/>
    <n v="74"/>
    <n v="5.59"/>
    <s v="USA"/>
    <s v="Kenya"/>
    <x v="1"/>
  </r>
  <r>
    <s v="Ethiopia Violent Andromeda Natural"/>
    <n v="94"/>
    <s v="Medium"/>
    <n v="48"/>
    <n v="66"/>
    <n v="300"/>
    <s v="Taiwan"/>
    <s v="Ethiopia"/>
    <x v="1"/>
  </r>
  <r>
    <s v="Kenya Nyeri Yerihar AA Lot 1901 Espresso"/>
    <n v="95"/>
    <s v="Medium Light"/>
    <n v="52"/>
    <n v="78"/>
    <n v="143.30000000000001"/>
    <s v="Taiwan"/>
    <s v="Kenya"/>
    <x v="1"/>
  </r>
  <r>
    <s v="Costa Rica Aris Red Honey Lot 1901 Espresso"/>
    <n v="95"/>
    <s v="Medium"/>
    <n v="50"/>
    <n v="68"/>
    <n v="88.18"/>
    <s v="Taiwan"/>
    <s v="Costa Rica"/>
    <x v="0"/>
  </r>
  <r>
    <s v="100% Kona Bourbon Pointu Laurina"/>
    <n v="95"/>
    <s v="Medium Light"/>
    <n v="53"/>
    <n v="75"/>
    <n v="27.76"/>
    <s v="USA"/>
    <s v="USA"/>
    <x v="0"/>
  </r>
  <r>
    <s v="Panama Hacienda La Esmeralda Geisha Natural Special Auction ES-N-2"/>
    <n v="94"/>
    <s v="Medium Light"/>
    <n v="54"/>
    <n v="72"/>
    <n v="1410.93"/>
    <s v="Taiwan"/>
    <s v="Panama"/>
    <x v="0"/>
  </r>
  <r>
    <s v="El Salvador Finca El Cerro Natural"/>
    <n v="94"/>
    <s v="Medium Light"/>
    <n v="58"/>
    <n v="78"/>
    <n v="6.76"/>
    <s v="USA"/>
    <s v="El Salvador"/>
    <x v="0"/>
  </r>
  <r>
    <s v="Halo Hartume Espresso"/>
    <n v="94"/>
    <s v="Medium Light"/>
    <n v="57"/>
    <n v="77"/>
    <n v="5.26"/>
    <s v="USA"/>
    <s v="Ethiopia"/>
    <x v="1"/>
  </r>
  <r>
    <s v="Giusto Organic Espresso Blend"/>
    <n v="94"/>
    <s v="Medium"/>
    <n v="48"/>
    <n v="60"/>
    <n v="4.1900000000000004"/>
    <s v="USA"/>
    <s v="Unknown"/>
    <x v="3"/>
  </r>
  <r>
    <s v="Berg Wu Championship Selection Yirgacheffe G1 Natural Lot 19/01"/>
    <n v="95"/>
    <s v="Medium Light"/>
    <n v="60"/>
    <n v="78"/>
    <n v="275"/>
    <s v="Taiwan"/>
    <s v="Ethiopia"/>
    <x v="1"/>
  </r>
  <r>
    <s v="Ethiopia Mulegeta Sintayehu Washed"/>
    <n v="94"/>
    <s v="Medium Light"/>
    <n v="59"/>
    <n v="77"/>
    <n v="500"/>
    <s v="Taiwan"/>
    <s v="Ethiopia"/>
    <x v="1"/>
  </r>
  <r>
    <s v="Ecuador Eugenioides Natural Finca Perla Negra"/>
    <n v="94"/>
    <s v="Medium Light"/>
    <n v="55"/>
    <n v="73"/>
    <n v="10.29"/>
    <s v="USA"/>
    <s v="Ecuador"/>
    <x v="0"/>
  </r>
  <r>
    <s v="Panama Esmeralda Geisha Natural"/>
    <n v="96"/>
    <s v="Medium Light"/>
    <n v="56"/>
    <n v="74"/>
    <n v="17.59"/>
    <s v="USA"/>
    <s v="Panama"/>
    <x v="0"/>
  </r>
  <r>
    <s v="Ethiopia Suke Quto Honey"/>
    <n v="95"/>
    <s v="Medium Light"/>
    <n v="52"/>
    <n v="70"/>
    <n v="5.81"/>
    <s v="USA"/>
    <s v="Ethiopia"/>
    <x v="1"/>
  </r>
  <r>
    <s v="Kenya FSC AB"/>
    <n v="94"/>
    <s v="Medium"/>
    <n v="50"/>
    <n v="67"/>
    <n v="1"/>
    <s v="Taiwan"/>
    <s v="Kenya"/>
    <x v="1"/>
  </r>
  <r>
    <s v="Ceri Ceri Meriah Coffee"/>
    <n v="94"/>
    <s v="Medium Light"/>
    <n v="54"/>
    <n v="72"/>
    <n v="60"/>
    <s v="Indonesia"/>
    <s v="Indonesia"/>
    <x v="2"/>
  </r>
  <r>
    <s v="Alamendah Patuha Coffee"/>
    <n v="94"/>
    <s v="Medium"/>
    <n v="50"/>
    <n v="66"/>
    <n v="60"/>
    <s v="Indonesia"/>
    <s v="Indonesia"/>
    <x v="2"/>
  </r>
  <r>
    <s v="Holiday Blend"/>
    <n v="94"/>
    <s v="Medium Light"/>
    <n v="54"/>
    <n v="74"/>
    <n v="8"/>
    <s v="China"/>
    <s v="Ethiopia"/>
    <x v="1"/>
  </r>
  <r>
    <s v="2019 Celebration"/>
    <n v="94"/>
    <s v="Medium"/>
    <n v="47"/>
    <n v="67"/>
    <n v="5.51"/>
    <s v="USA"/>
    <s v="Guatemala"/>
    <x v="0"/>
  </r>
  <r>
    <s v="Kenya Kiandu Peaberry"/>
    <n v="95"/>
    <s v="Medium Light"/>
    <n v="56"/>
    <n v="74"/>
    <n v="285"/>
    <s v="Taiwan"/>
    <s v="Kenya"/>
    <x v="1"/>
  </r>
  <r>
    <s v="Sumatra Raja Harimau Lintong Espresso"/>
    <n v="96"/>
    <s v="Medium"/>
    <n v="44"/>
    <n v="61"/>
    <n v="121.25"/>
    <s v="Taiwan"/>
    <s v="Indonesia"/>
    <x v="2"/>
  </r>
  <r>
    <s v="Panama Esmeralda Geisha PortГіn Oro Yeast"/>
    <n v="94"/>
    <s v="Medium Light"/>
    <n v="59"/>
    <n v="77"/>
    <n v="41.12"/>
    <s v="USA"/>
    <s v="Panama"/>
    <x v="0"/>
  </r>
  <r>
    <s v="Kenya Kiambu Peaberry Uklili 1904 Lot"/>
    <n v="94"/>
    <s v="Medium"/>
    <n v="50"/>
    <n v="68"/>
    <n v="132.28"/>
    <s v="Taiwan"/>
    <s v="Kenya"/>
    <x v="1"/>
  </r>
  <r>
    <s v="Kenya Kiambu AB Uklili 1903 Lot"/>
    <n v="94"/>
    <s v="Medium Light"/>
    <n v="52"/>
    <n v="70"/>
    <n v="132.28"/>
    <s v="Taiwan"/>
    <s v="Kenya"/>
    <x v="1"/>
  </r>
  <r>
    <s v="Ethiopia Natural Yirgacheffe Blue Donkey Lot #2"/>
    <n v="94"/>
    <s v="Medium Light"/>
    <n v="56"/>
    <n v="78"/>
    <n v="132.28"/>
    <s v="Taiwan"/>
    <s v="Ethiopia"/>
    <x v="1"/>
  </r>
  <r>
    <s v="Ethiopia Nansebo Worka"/>
    <n v="95"/>
    <s v="Medium Light"/>
    <n v="56"/>
    <n v="74"/>
    <n v="6.17"/>
    <s v="USA"/>
    <s v="Ethiopia"/>
    <x v="1"/>
  </r>
  <r>
    <s v="Panama Elida Geisha Natural 1029"/>
    <n v="97"/>
    <s v="Medium Light"/>
    <n v="54"/>
    <n v="74"/>
    <n v="555.55999999999995"/>
    <s v="USA"/>
    <s v="Panama"/>
    <x v="0"/>
  </r>
  <r>
    <s v="Port of Mokha Yemen JSP"/>
    <n v="97"/>
    <s v="Medium"/>
    <n v="44"/>
    <n v="58"/>
    <n v="60"/>
    <s v="China"/>
    <s v="Yemen"/>
    <x v="1"/>
  </r>
  <r>
    <s v="Panama Elida Natural Catuai"/>
    <n v="95"/>
    <s v="Medium Light"/>
    <n v="58"/>
    <n v="78"/>
    <n v="6.45"/>
    <s v="USA"/>
    <s v="Panama"/>
    <x v="0"/>
  </r>
  <r>
    <s v="Cate Natural G5"/>
    <n v="95"/>
    <s v="Medium Light"/>
    <n v="52"/>
    <n v="70"/>
    <n v="100"/>
    <s v="Taiwan"/>
    <s v="Ethiopia"/>
    <x v="1"/>
  </r>
  <r>
    <s v="Harimau Tiger Sumatra"/>
    <n v="96"/>
    <s v="Medium Light"/>
    <n v="52"/>
    <n v="70"/>
    <n v="5.0599999999999996"/>
    <s v="USA"/>
    <s v="Indonesia"/>
    <x v="2"/>
  </r>
  <r>
    <s v="Gachami Kenya"/>
    <n v="94"/>
    <s v="Medium Light"/>
    <n v="56"/>
    <n v="72"/>
    <n v="5.64"/>
    <s v="USA"/>
    <s v="Kenya"/>
    <x v="1"/>
  </r>
  <r>
    <s v="Ethiopia Natural вЂњPhoenixвЂќ"/>
    <n v="95"/>
    <s v="Medium"/>
    <n v="44"/>
    <n v="60"/>
    <n v="0.44"/>
    <s v="Taiwan"/>
    <s v="Ethiopia"/>
    <x v="1"/>
  </r>
  <r>
    <s v="Costa Rica SL-28 Yellow Honey Espresso"/>
    <n v="95"/>
    <s v="Medium Dark"/>
    <n v="38"/>
    <n v="46"/>
    <n v="0.44"/>
    <s v="Taiwan"/>
    <s v="Costa Rica"/>
    <x v="0"/>
  </r>
  <r>
    <s v="Washed Geisha Hacienda La Esmeralda Jaramillo Special"/>
    <n v="97"/>
    <s v="Medium Light"/>
    <n v="56"/>
    <n v="76"/>
    <n v="110.23"/>
    <s v="USA"/>
    <s v="Panama"/>
    <x v="0"/>
  </r>
  <r>
    <s v="Panama Perci Geisha Natural"/>
    <n v="96"/>
    <s v="Medium Light"/>
    <n v="52"/>
    <n v="72"/>
    <n v="26.46"/>
    <s v="USA"/>
    <s v="Panama"/>
    <x v="0"/>
  </r>
  <r>
    <s v="Elida Estate Geisha Green-Tip Natural"/>
    <n v="98"/>
    <s v="Medium Light"/>
    <n v="54"/>
    <n v="78"/>
    <n v="476.19"/>
    <s v="USA"/>
    <s v="Panama"/>
    <x v="0"/>
  </r>
  <r>
    <s v="Washed Kenya"/>
    <n v="95"/>
    <s v="Medium"/>
    <n v="47"/>
    <n v="67"/>
    <n v="244.44"/>
    <s v="Taiwan"/>
    <s v="Kenya"/>
    <x v="1"/>
  </r>
  <r>
    <s v="Panama Hacienda La Esmeralda Super Mario Geisha"/>
    <n v="96"/>
    <s v="Medium Light"/>
    <n v="54"/>
    <n v="78"/>
    <n v="100"/>
    <s v="Australia"/>
    <s v="Panama"/>
    <x v="0"/>
  </r>
  <r>
    <s v="Kenya Gakundu FCS Kamviu Wet Mill"/>
    <n v="94"/>
    <s v="Medium Light"/>
    <n v="56"/>
    <n v="78"/>
    <n v="6.17"/>
    <s v="Canada"/>
    <s v="Kenya"/>
    <x v="1"/>
  </r>
  <r>
    <s v="Rukira Kenya"/>
    <n v="94"/>
    <s v="Medium Light"/>
    <n v="58"/>
    <n v="80"/>
    <n v="6"/>
    <s v="USA"/>
    <s v="Kenya"/>
    <x v="1"/>
  </r>
  <r>
    <s v="Gesha Village Lot #85 Natural"/>
    <n v="95"/>
    <s v="Medium Light"/>
    <n v="54"/>
    <n v="72"/>
    <n v="17.61"/>
    <s v="USA"/>
    <s v="Ethiopia"/>
    <x v="1"/>
  </r>
  <r>
    <s v="Ethiopia Natural Yirgacheffe Banko Gotiti"/>
    <n v="94"/>
    <s v="Medium Light"/>
    <n v="52"/>
    <n v="70"/>
    <n v="143.30000000000001"/>
    <s v="Taiwan"/>
    <s v="Ethiopia"/>
    <x v="1"/>
  </r>
  <r>
    <s v="Indonesia Sumatra Gayo Espresso"/>
    <n v="94"/>
    <s v="Dark"/>
    <n v="36"/>
    <n v="44"/>
    <n v="264.56"/>
    <s v="Taiwan"/>
    <s v="Indonesia"/>
    <x v="2"/>
  </r>
  <r>
    <s v="Ethiopia Limu Nano Challa Lot #10"/>
    <n v="94"/>
    <s v="Medium Light"/>
    <n v="54"/>
    <n v="74"/>
    <n v="5.73"/>
    <s v="USA"/>
    <s v="Ethiopia"/>
    <x v="1"/>
  </r>
  <r>
    <s v="Best of Panama GNEP-01 Elida Geisha Green Tip Natural"/>
    <n v="97"/>
    <s v="Medium Light"/>
    <n v="55"/>
    <n v="73"/>
    <n v="188.88"/>
    <s v="USA"/>
    <s v="Panama"/>
    <x v="0"/>
  </r>
  <r>
    <s v="Geisha XO"/>
    <n v="96"/>
    <s v="Medium"/>
    <n v="54"/>
    <n v="62"/>
    <n v="26.46"/>
    <s v="USA"/>
    <s v="Colombia"/>
    <x v="0"/>
  </r>
  <r>
    <s v="Colombia Finca La Maria Geisha Natural"/>
    <n v="96"/>
    <s v="Medium Light"/>
    <n v="57"/>
    <n v="74"/>
    <n v="32.299999999999997"/>
    <s v="USA"/>
    <s v="Colombia"/>
    <x v="0"/>
  </r>
  <r>
    <s v="Panama Finca Kalithea Natural Geisha"/>
    <n v="96"/>
    <s v="Medium Light"/>
    <n v="55"/>
    <n v="79"/>
    <n v="661.38"/>
    <s v="Taiwan"/>
    <s v="Panama"/>
    <x v="0"/>
  </r>
  <r>
    <s v="Panama Hacienda La Esmeralda Super Mario 6 Geisha"/>
    <n v="95"/>
    <s v="Medium Light"/>
    <n v="51"/>
    <n v="71"/>
    <n v="26.46"/>
    <s v="USA"/>
    <s v="Panama"/>
    <x v="0"/>
  </r>
  <r>
    <s v="Panama Geisha Alto Jaramillo"/>
    <n v="94"/>
    <s v="Medium Light"/>
    <n v="53"/>
    <n v="71"/>
    <n v="35.270000000000003"/>
    <s v="USA"/>
    <s v="Panama"/>
    <x v="0"/>
  </r>
  <r>
    <s v="Colombia Laderas del Tapias Estate Natural Geisha"/>
    <n v="94"/>
    <s v="Medium Light"/>
    <n v="52"/>
    <n v="70"/>
    <n v="586.96"/>
    <s v="Taiwan"/>
    <s v="Colombia"/>
    <x v="0"/>
  </r>
  <r>
    <s v="Gesha Village Natural Lot #19"/>
    <n v="94"/>
    <s v="Medium Light"/>
    <n v="58"/>
    <n v="80"/>
    <n v="1200"/>
    <s v="Taiwan"/>
    <s v="Ethiopia"/>
    <x v="1"/>
  </r>
  <r>
    <s v="Gesha Village 1931 Lot 27"/>
    <n v="94"/>
    <s v="Medium Light"/>
    <n v="60"/>
    <n v="78"/>
    <n v="22.05"/>
    <s v="USA"/>
    <s v="Ethiopia"/>
    <x v="1"/>
  </r>
  <r>
    <s v="Ethiopia Sidamo Gora Kone"/>
    <n v="94"/>
    <s v="Medium Light"/>
    <n v="59"/>
    <n v="72"/>
    <n v="5.59"/>
    <s v="USA"/>
    <s v="Ethiopia"/>
    <x v="1"/>
  </r>
  <r>
    <s v="Kebele Village Espresso"/>
    <n v="94"/>
    <s v="Medium Light"/>
    <n v="52"/>
    <n v="70"/>
    <n v="5.03"/>
    <s v="USA"/>
    <s v="Ethiopia"/>
    <x v="1"/>
  </r>
  <r>
    <s v="Panama Finca San Sebastian"/>
    <n v="94"/>
    <s v="Medium Light"/>
    <n v="53"/>
    <n v="71"/>
    <n v="3.53"/>
    <s v="USA"/>
    <s v="Panama"/>
    <x v="0"/>
  </r>
  <r>
    <s v="Yirgacheffe Gedeb G1 Natural"/>
    <n v="94"/>
    <s v="Light"/>
    <n v="62"/>
    <n v="83"/>
    <n v="154.32"/>
    <s v="Taiwan"/>
    <s v="Ethiopia"/>
    <x v="1"/>
  </r>
  <r>
    <s v="Kenya Kiambu Uklili AA"/>
    <n v="95"/>
    <s v="Medium"/>
    <n v="52"/>
    <n v="68"/>
    <n v="154.32"/>
    <s v="Taiwan"/>
    <s v="Kenya"/>
    <x v="1"/>
  </r>
  <r>
    <s v="Ethiopia Guji Shakisso Natural Lot 24"/>
    <n v="94"/>
    <s v="Medium Light"/>
    <n v="53"/>
    <n v="71"/>
    <n v="114.64"/>
    <s v="Taiwan"/>
    <s v="Ethiopia"/>
    <x v="1"/>
  </r>
  <r>
    <s v="Ethiopia Washed Yirgacheffe Nafasha Lot"/>
    <n v="94"/>
    <s v="Medium Light"/>
    <n v="55"/>
    <n v="77"/>
    <n v="121.25"/>
    <s v="Taiwan"/>
    <s v="Ethiopia"/>
    <x v="1"/>
  </r>
  <r>
    <s v="El Salvador"/>
    <n v="94"/>
    <s v="Medium"/>
    <n v="47"/>
    <n v="59"/>
    <n v="8.66"/>
    <s v="China"/>
    <s v="El Salvador"/>
    <x v="0"/>
  </r>
  <r>
    <s v="Ethiopia Kayon Mountain Natural"/>
    <n v="94"/>
    <s v="Medium"/>
    <n v="50"/>
    <n v="70"/>
    <n v="6.17"/>
    <s v="USA"/>
    <s v="Ethiopia"/>
    <x v="1"/>
  </r>
  <r>
    <s v="Ethiopia Natural Yirgacheffe Blue Donkey Lot"/>
    <n v="94"/>
    <s v="Medium Light"/>
    <n v="57"/>
    <n v="75"/>
    <n v="132.28"/>
    <s v="Taiwan"/>
    <s v="Ethiopia"/>
    <x v="1"/>
  </r>
  <r>
    <s v="Geisha Village Auction Lot #11"/>
    <n v="94"/>
    <s v="Medium Light"/>
    <n v="52"/>
    <n v="75"/>
    <n v="22.71"/>
    <s v="USA"/>
    <s v="Ethiopia"/>
    <x v="1"/>
  </r>
  <r>
    <s v="Ethiopia Yirgacheffe Chelelektu Natural"/>
    <n v="96"/>
    <s v="Medium Light"/>
    <n v="58"/>
    <n v="82"/>
    <n v="5.29"/>
    <s v="USA"/>
    <s v="Ethiopia"/>
    <x v="1"/>
  </r>
  <r>
    <s v="Kenya Kimaruri"/>
    <n v="94"/>
    <s v="Medium Light"/>
    <n v="54"/>
    <n v="72"/>
    <n v="6.76"/>
    <s v="USA"/>
    <s v="Kenya"/>
    <x v="1"/>
  </r>
  <r>
    <s v="Kenya Handege"/>
    <n v="94"/>
    <s v="Medium"/>
    <n v="53"/>
    <n v="65"/>
    <n v="5.59"/>
    <s v="USA"/>
    <s v="Kenya"/>
    <x v="1"/>
  </r>
  <r>
    <s v="Colombia Valle del Cauca Cerro Azul Geisha"/>
    <n v="96"/>
    <s v="Medium"/>
    <n v="48"/>
    <n v="67"/>
    <n v="16.670000000000002"/>
    <s v="USA"/>
    <s v="Colombia"/>
    <x v="0"/>
  </r>
  <r>
    <s v="Green-Tip Geisha"/>
    <n v="94"/>
    <s v="Medium Light"/>
    <n v="56"/>
    <n v="78"/>
    <n v="15.43"/>
    <s v="Mexico"/>
    <s v="Mexico"/>
    <x v="0"/>
  </r>
  <r>
    <s v="Barichu Double"/>
    <n v="94"/>
    <s v="Medium Light"/>
    <n v="53"/>
    <n v="75"/>
    <n v="11.76"/>
    <s v="USA"/>
    <s v="Kenya"/>
    <x v="1"/>
  </r>
  <r>
    <s v="Rukera Kenya"/>
    <n v="97"/>
    <s v="Medium Light"/>
    <n v="54"/>
    <n v="78"/>
    <n v="6.23"/>
    <s v="USA"/>
    <s v="Kenya"/>
    <x v="1"/>
  </r>
  <r>
    <s v="Rukera Espresso"/>
    <n v="97"/>
    <s v="Medium Light"/>
    <n v="54"/>
    <n v="78"/>
    <n v="6.23"/>
    <s v="USA"/>
    <s v="Kenya"/>
    <x v="1"/>
  </r>
  <r>
    <s v="The Core Espresso"/>
    <n v="94"/>
    <s v="Medium"/>
    <n v="45"/>
    <n v="67"/>
    <n v="5.07"/>
    <s v="USA"/>
    <s v="Unknown"/>
    <x v="3"/>
  </r>
  <r>
    <s v="Espresso Mandarina"/>
    <n v="94"/>
    <s v="Medium"/>
    <n v="46"/>
    <n v="68"/>
    <n v="4.9800000000000004"/>
    <s v="USA"/>
    <s v="Ethiopia"/>
    <x v="1"/>
  </r>
  <r>
    <s v="SOB Espresso"/>
    <n v="94"/>
    <s v="Medium"/>
    <n v="46"/>
    <n v="68"/>
    <n v="5.57"/>
    <s v="USA"/>
    <s v="Colombia"/>
    <x v="0"/>
  </r>
  <r>
    <s v="Ethiopia Gedeb Worka Sakaro"/>
    <n v="95"/>
    <s v="Medium Light"/>
    <n v="60"/>
    <n v="78"/>
    <n v="293.33"/>
    <s v="Taiwan"/>
    <s v="Ethiopia"/>
    <x v="1"/>
  </r>
  <r>
    <s v="La Belleza Colombia"/>
    <n v="94"/>
    <s v="Medium Light"/>
    <n v="57"/>
    <n v="79"/>
    <n v="5.73"/>
    <s v="USA"/>
    <s v="Colombia"/>
    <x v="0"/>
  </r>
  <r>
    <s v="Colombia Pink Bourbon"/>
    <n v="94"/>
    <s v="Medium Light"/>
    <n v="56"/>
    <n v="74"/>
    <n v="7.33"/>
    <s v="USA"/>
    <s v="Colombia"/>
    <x v="0"/>
  </r>
  <r>
    <s v="Crystalina"/>
    <n v="94"/>
    <s v="Medium Light"/>
    <n v="60"/>
    <n v="78"/>
    <n v="5.88"/>
    <s v="USA"/>
    <s v="Colombia"/>
    <x v="0"/>
  </r>
  <r>
    <s v="Kenya Kiambu Gititu AA"/>
    <n v="94"/>
    <s v="Medium Light"/>
    <n v="55"/>
    <n v="75"/>
    <n v="158.72999999999999"/>
    <s v="Taiwan"/>
    <s v="Kenya"/>
    <x v="1"/>
  </r>
  <r>
    <s v="Ninety Plus Gesha Estates JBC Custom Lot #252"/>
    <n v="94"/>
    <s v="Medium Light"/>
    <n v="55"/>
    <n v="74"/>
    <n v="43.65"/>
    <s v="USA"/>
    <s v="Panama"/>
    <x v="0"/>
  </r>
  <r>
    <s v="La Palma Y El Tucan Hero Series Colombia Sidra Lot #190"/>
    <n v="96"/>
    <s v="Medium Light"/>
    <n v="57"/>
    <n v="83"/>
    <n v="26.46"/>
    <s v="USA"/>
    <s v="Colombia"/>
    <x v="0"/>
  </r>
  <r>
    <s v="KaвЂ™u Champagne Natural"/>
    <n v="94"/>
    <s v="Light"/>
    <n v="58"/>
    <n v="84"/>
    <n v="17.59"/>
    <s v="USA"/>
    <s v="USA"/>
    <x v="0"/>
  </r>
  <r>
    <s v="Monarch Gesha"/>
    <n v="94"/>
    <s v="Medium Light"/>
    <n v="51"/>
    <n v="73"/>
    <n v="37.04"/>
    <s v="USA"/>
    <s v="Unknown"/>
    <x v="3"/>
  </r>
  <r>
    <s v="Australian Blend Espresso"/>
    <n v="95"/>
    <s v="Medium Light"/>
    <n v="51"/>
    <n v="73"/>
    <n v="9.5"/>
    <s v="China"/>
    <s v="Ethiopia"/>
    <x v="1"/>
  </r>
  <r>
    <s v="Colombia Tolima Monteverde Estate Natural Wush Wush"/>
    <n v="94"/>
    <s v="Medium"/>
    <n v="53"/>
    <n v="64"/>
    <n v="533.33000000000004"/>
    <s v="Taiwan"/>
    <s v="Colombia"/>
    <x v="0"/>
  </r>
  <r>
    <s v="Ethiopia Oromia Guji Washed"/>
    <n v="94"/>
    <s v="Medium Light"/>
    <n v="60"/>
    <n v="79"/>
    <n v="266.67"/>
    <s v="Taiwan"/>
    <s v="Ethiopia"/>
    <x v="1"/>
  </r>
  <r>
    <s v="Kenya MurangвЂ™a Githiga AA"/>
    <n v="94"/>
    <s v="Medium Light"/>
    <n v="53"/>
    <n v="75"/>
    <n v="5.95"/>
    <s v="Taiwan"/>
    <s v="Kenya"/>
    <x v="1"/>
  </r>
  <r>
    <s v="Ethiopia Sidama Shantewene"/>
    <n v="95"/>
    <s v="Medium Light"/>
    <n v="58"/>
    <n v="82"/>
    <n v="5.59"/>
    <s v="USA"/>
    <s v="Ethiopia"/>
    <x v="1"/>
  </r>
  <r>
    <s v="Gesha Rebecca Natural"/>
    <n v="95"/>
    <s v="Medium Light"/>
    <n v="58"/>
    <n v="80"/>
    <n v="154.32"/>
    <s v="Taiwan"/>
    <s v="Ethiopia"/>
    <x v="1"/>
  </r>
  <r>
    <s v="CafГ© Granja La Esperanza Sudan Rume Natural"/>
    <n v="95"/>
    <s v="Medium"/>
    <n v="51"/>
    <n v="69"/>
    <n v="16.53"/>
    <s v="USA"/>
    <s v="Colombia"/>
    <x v="0"/>
  </r>
  <r>
    <s v="Boru Batak Sumatra"/>
    <n v="94"/>
    <s v="Medium Light"/>
    <n v="53"/>
    <n v="75"/>
    <n v="5.29"/>
    <s v="Canada"/>
    <s v="Indonesia"/>
    <x v="2"/>
  </r>
  <r>
    <s v="Sumatra Tano Batak"/>
    <n v="94"/>
    <s v="Medium Light"/>
    <n v="55"/>
    <n v="68"/>
    <n v="5.29"/>
    <s v="USA"/>
    <s v="Indonesia"/>
    <x v="2"/>
  </r>
  <r>
    <s v="Sumatra Lintong"/>
    <n v="95"/>
    <s v="Medium"/>
    <n v="51"/>
    <n v="68"/>
    <n v="5"/>
    <s v="USA"/>
    <s v="Indonesia"/>
    <x v="2"/>
  </r>
  <r>
    <s v="Ethiopia Natural Guji Hambela G1 Bishan Fugu"/>
    <n v="95"/>
    <s v="Medium Light"/>
    <n v="51"/>
    <n v="73"/>
    <n v="143.30000000000001"/>
    <s v="Taiwan"/>
    <s v="Ethiopia"/>
    <x v="1"/>
  </r>
  <r>
    <s v="Tanzania Tarime AB"/>
    <n v="94"/>
    <s v="Medium Light"/>
    <n v="56"/>
    <n v="80"/>
    <n v="5"/>
    <s v="USA"/>
    <s v="Tanzania"/>
    <x v="1"/>
  </r>
  <r>
    <s v="El Salvador Cerro Las Ranas Honey Espresso"/>
    <n v="94"/>
    <s v="Medium Light"/>
    <n v="50"/>
    <n v="74"/>
    <n v="79.37"/>
    <s v="Taiwan"/>
    <s v="El Salvador"/>
    <x v="0"/>
  </r>
  <r>
    <s v="Panama Baru Geisha Black"/>
    <n v="94"/>
    <s v="Medium Light"/>
    <n v="52"/>
    <n v="74"/>
    <n v="485.01"/>
    <s v="Taiwan"/>
    <s v="Panama"/>
    <x v="0"/>
  </r>
  <r>
    <s v="Flight Seasonal Espresso"/>
    <n v="94"/>
    <s v="Medium Light"/>
    <n v="54"/>
    <n v="78"/>
    <n v="5.29"/>
    <s v="USA"/>
    <s v="Ethiopia"/>
    <x v="1"/>
  </r>
  <r>
    <s v="Eaagads Estate Kenya"/>
    <n v="94"/>
    <s v="Medium Light"/>
    <n v="52"/>
    <n v="76"/>
    <n v="5.59"/>
    <s v="USA"/>
    <s v="Kenya"/>
    <x v="1"/>
  </r>
  <r>
    <s v="Ethiopia Guji"/>
    <n v="94"/>
    <s v="Medium Light"/>
    <n v="54"/>
    <n v="78"/>
    <n v="5.29"/>
    <s v="USA"/>
    <s v="Ethiopia"/>
    <x v="1"/>
  </r>
  <r>
    <s v="Ethiopia Yirgacheffe G1"/>
    <n v="94"/>
    <s v="Light"/>
    <n v="58"/>
    <n v="84"/>
    <n v="111.11"/>
    <s v="Taiwan"/>
    <s v="Ethiopia"/>
    <x v="1"/>
  </r>
  <r>
    <s v="Kenya Karindundu AA Small Lot Reserve"/>
    <n v="97"/>
    <s v="Medium Light"/>
    <n v="54"/>
    <n v="78"/>
    <n v="5.29"/>
    <s v="USA"/>
    <s v="Kenya"/>
    <x v="1"/>
  </r>
  <r>
    <s v="Rwanda Kanzu"/>
    <n v="94"/>
    <s v="Medium Light"/>
    <n v="55"/>
    <n v="77"/>
    <n v="7.05"/>
    <s v="USA"/>
    <s v="Rwanda"/>
    <x v="1"/>
  </r>
  <r>
    <s v="Ethiopia Kochere Natural"/>
    <n v="94"/>
    <s v="Medium Light"/>
    <n v="52"/>
    <n v="74"/>
    <n v="5.29"/>
    <s v="USA"/>
    <s v="Ethiopia"/>
    <x v="1"/>
  </r>
  <r>
    <s v="Kenya Thirikwa Single-Origin Espresso"/>
    <n v="94"/>
    <s v="Medium"/>
    <n v="42"/>
    <n v="64"/>
    <n v="6.47"/>
    <s v="USA"/>
    <s v="Kenya"/>
    <x v="1"/>
  </r>
  <r>
    <s v="Sumatra Tano Batak"/>
    <n v="95"/>
    <s v="Medium Light"/>
    <n v="54"/>
    <n v="76"/>
    <n v="6.17"/>
    <s v="USA"/>
    <s v="Indonesia"/>
    <x v="2"/>
  </r>
  <r>
    <s v="Rwanda Mushonyi Natural"/>
    <n v="94"/>
    <s v="Medium Light"/>
    <n v="54"/>
    <n v="78"/>
    <n v="8.8000000000000007"/>
    <s v="USA"/>
    <s v="Rwanda"/>
    <x v="1"/>
  </r>
  <r>
    <s v="Ethiopia Hambela Natural Organic"/>
    <n v="94"/>
    <s v="Medium Light"/>
    <n v="52"/>
    <n v="76"/>
    <n v="4.41"/>
    <s v="USA"/>
    <s v="Ethiopia"/>
    <x v="1"/>
  </r>
  <r>
    <s v="Kenya AB"/>
    <n v="94"/>
    <s v="Medium"/>
    <n v="47"/>
    <n v="69"/>
    <n v="5.29"/>
    <s v="USA"/>
    <s v="Kenya"/>
    <x v="1"/>
  </r>
  <r>
    <s v="Tanzania Ngorongoro Ridge Peaberry"/>
    <n v="95"/>
    <s v="Medium Light"/>
    <n v="55"/>
    <n v="79"/>
    <n v="4.7"/>
    <s v="USA"/>
    <s v="Tanzania"/>
    <x v="1"/>
  </r>
  <r>
    <s v="100% Kona Bourbon Pointu Laurina"/>
    <n v="95"/>
    <s v="Medium Light"/>
    <n v="52"/>
    <n v="74"/>
    <n v="19.82"/>
    <s v="USA"/>
    <s v="USA"/>
    <x v="0"/>
  </r>
  <r>
    <s v="Ethiopia Haro Wachu"/>
    <n v="94"/>
    <s v="Medium Light"/>
    <n v="50"/>
    <n v="72"/>
    <n v="6.61"/>
    <s v="USA"/>
    <s v="Ethiopia"/>
    <x v="1"/>
  </r>
  <r>
    <s v="Banco Gotete Ethiopia"/>
    <n v="94"/>
    <s v="Medium Light"/>
    <n v="53"/>
    <n v="75"/>
    <n v="5.44"/>
    <s v="USA"/>
    <s v="Ethiopia"/>
    <x v="1"/>
  </r>
  <r>
    <s v="Kenya Ruthaka Peaberry"/>
    <n v="95"/>
    <s v="Medium"/>
    <n v="48"/>
    <n v="72"/>
    <n v="5.59"/>
    <s v="USA"/>
    <s v="Kenya"/>
    <x v="1"/>
  </r>
  <r>
    <s v="Honduras Las Flores Parainema"/>
    <n v="94"/>
    <s v="Medium Light"/>
    <n v="56"/>
    <n v="80"/>
    <n v="6.47"/>
    <s v="USA"/>
    <s v="Honduras"/>
    <x v="0"/>
  </r>
  <r>
    <s v="Kivu DR Congo"/>
    <n v="94"/>
    <s v="Medium Light"/>
    <n v="56"/>
    <n v="78"/>
    <n v="4.97"/>
    <s v="USA"/>
    <s v="Democratic Republic of the Congo"/>
    <x v="1"/>
  </r>
  <r>
    <s v="Panama Ninety Plus Perci Lot 50"/>
    <n v="97"/>
    <s v="Medium Light"/>
    <n v="50"/>
    <n v="74"/>
    <n v="26.46"/>
    <s v="USA"/>
    <s v="Panama"/>
    <x v="0"/>
  </r>
  <r>
    <s v="Colombia Sidra"/>
    <n v="94"/>
    <s v="Medium Light"/>
    <n v="58"/>
    <n v="80"/>
    <n v="6.61"/>
    <s v="Taiwan"/>
    <s v="Colombia"/>
    <x v="0"/>
  </r>
  <r>
    <s v="Colombia Geisha"/>
    <n v="94"/>
    <s v="Medium Light"/>
    <n v="53"/>
    <n v="77"/>
    <n v="7.61"/>
    <s v="USA"/>
    <s v="Colombia"/>
    <x v="0"/>
  </r>
  <r>
    <s v="Kenya Murunga New Gatanga FCS Mukurwe Factory AB"/>
    <n v="94"/>
    <s v="Medium Light"/>
    <n v="54"/>
    <n v="76"/>
    <n v="7.05"/>
    <s v="Taiwan"/>
    <s v="Kenya"/>
    <x v="1"/>
  </r>
  <r>
    <s v="Ethiopia WORKA"/>
    <n v="94"/>
    <s v="Medium Light"/>
    <n v="60"/>
    <n v="80"/>
    <n v="5.29"/>
    <s v="USA"/>
    <s v="Ethiopia"/>
    <x v="1"/>
  </r>
  <r>
    <s v="Ethiopia Banko Dhadhato Washed"/>
    <n v="94"/>
    <s v="Light"/>
    <n v="62"/>
    <n v="82"/>
    <n v="5.29"/>
    <s v="USA"/>
    <s v="Ethiopia"/>
    <x v="1"/>
  </r>
  <r>
    <s v="Kenya Karuthi AA"/>
    <n v="95"/>
    <s v="Medium Light"/>
    <n v="56"/>
    <n v="72"/>
    <n v="6"/>
    <s v="USA"/>
    <s v="Kenya"/>
    <x v="1"/>
  </r>
  <r>
    <s v="Kenya Nyeri Nudurutu Factory AB"/>
    <n v="94"/>
    <s v="Medium Light"/>
    <n v="57"/>
    <n v="79"/>
    <n v="132.28"/>
    <s v="Taiwan"/>
    <s v="Kenya"/>
    <x v="1"/>
  </r>
  <r>
    <s v="Ethiopia Kochere Washed Saona Lot"/>
    <n v="95"/>
    <s v="Medium Light"/>
    <n v="57"/>
    <n v="79"/>
    <n v="127.87"/>
    <s v="Taiwan"/>
    <s v="Ethiopia"/>
    <x v="1"/>
  </r>
  <r>
    <s v="Ethiopia Guji Natural Dasaya"/>
    <n v="94"/>
    <s v="Medium Light"/>
    <n v="57"/>
    <n v="79"/>
    <n v="132.28"/>
    <s v="Taiwan"/>
    <s v="Ethiopia"/>
    <x v="1"/>
  </r>
  <r>
    <s v="Holiday Sweet Blend"/>
    <n v="94"/>
    <s v="Medium Light"/>
    <n v="54"/>
    <n v="76"/>
    <n v="4.99"/>
    <s v="USA"/>
    <s v="Colombia"/>
    <x v="0"/>
  </r>
  <r>
    <s v="Colombia El Obraje Gesha"/>
    <n v="94"/>
    <s v="Medium Light"/>
    <n v="54"/>
    <n v="74"/>
    <n v="14.11"/>
    <s v="USA"/>
    <s v="Colombia"/>
    <x v="0"/>
  </r>
  <r>
    <s v="Flowery Nekisse"/>
    <n v="95"/>
    <s v="Medium Light"/>
    <n v="60"/>
    <n v="80"/>
    <n v="7.94"/>
    <s v="Taiwan"/>
    <s v="Ethiopia"/>
    <x v="1"/>
  </r>
  <r>
    <s v="Baru Gesha"/>
    <n v="96"/>
    <s v="Medium Light"/>
    <n v="55"/>
    <n v="75"/>
    <n v="12"/>
    <s v="USA"/>
    <s v="Panama"/>
    <x v="0"/>
  </r>
  <r>
    <s v="Camilina Geisha"/>
    <n v="94"/>
    <s v="Medium Light"/>
    <n v="54"/>
    <n v="78"/>
    <n v="19.84"/>
    <s v="USA"/>
    <s v="Panama"/>
    <x v="0"/>
  </r>
  <r>
    <s v="Mama Cata Geisha Washed"/>
    <n v="94"/>
    <s v="Medium Light"/>
    <n v="56"/>
    <n v="84"/>
    <n v="15.87"/>
    <s v="USA"/>
    <s v="Panama"/>
    <x v="0"/>
  </r>
  <r>
    <s v="Wei Rong Blend"/>
    <n v="94"/>
    <s v="Medium Light"/>
    <n v="55"/>
    <n v="72"/>
    <n v="132.28"/>
    <s v="Taiwan"/>
    <s v="Kenya"/>
    <x v="1"/>
  </r>
  <r>
    <s v="Kiunyu Peaberry"/>
    <n v="94"/>
    <s v="Medium Light"/>
    <n v="52"/>
    <n v="76"/>
    <n v="7.64"/>
    <s v="USA"/>
    <s v="Kenya"/>
    <x v="1"/>
  </r>
  <r>
    <s v="Kona MoccaВ®"/>
    <n v="96"/>
    <s v="Medium"/>
    <n v="46"/>
    <n v="64"/>
    <n v="19.82"/>
    <s v="USA"/>
    <s v="USA"/>
    <x v="0"/>
  </r>
  <r>
    <s v="Kibugu Kenya"/>
    <n v="95"/>
    <s v="Medium Light"/>
    <n v="54"/>
    <n v="74"/>
    <n v="5.86"/>
    <s v="USA"/>
    <s v="Kenya"/>
    <x v="1"/>
  </r>
  <r>
    <s v="Poseidon Blend Espresso"/>
    <n v="95"/>
    <s v="Medium Light"/>
    <n v="52"/>
    <n v="74"/>
    <n v="132.16"/>
    <s v="Taiwan"/>
    <s v="Unknown"/>
    <x v="3"/>
  </r>
  <r>
    <s v="Kenya Gikirima Kibugu"/>
    <n v="94"/>
    <s v="Medium Light"/>
    <n v="56"/>
    <n v="74"/>
    <n v="5.73"/>
    <s v="USA"/>
    <s v="Kenya"/>
    <x v="1"/>
  </r>
  <r>
    <s v="Elida Estate Geisha Natural Dragonfly Reserve"/>
    <n v="95"/>
    <s v="Medium Light"/>
    <n v="54"/>
    <n v="78"/>
    <n v="30.86"/>
    <s v="USA"/>
    <s v="Panama"/>
    <x v="0"/>
  </r>
  <r>
    <s v="Costa Rica Geisha Honey COE 2018 2nd Place"/>
    <n v="94"/>
    <s v="Medium Light"/>
    <n v="50"/>
    <n v="76"/>
    <n v="19.84"/>
    <s v="USA"/>
    <s v="Costa Rica"/>
    <x v="0"/>
  </r>
  <r>
    <s v="Guatemala Pacamara Natural"/>
    <n v="95"/>
    <s v="Medium Light"/>
    <n v="57"/>
    <n v="77"/>
    <n v="639.33000000000004"/>
    <s v="Taiwan"/>
    <s v="Guatemala"/>
    <x v="0"/>
  </r>
  <r>
    <s v="La Providencia Guatemala Maragogype"/>
    <n v="94"/>
    <s v="Medium Light"/>
    <n v="56"/>
    <n v="78"/>
    <n v="6.17"/>
    <s v="USA"/>
    <s v="Guatemala"/>
    <x v="0"/>
  </r>
  <r>
    <s v="Kenya Kabingara"/>
    <n v="94"/>
    <s v="Medium Light"/>
    <n v="58"/>
    <n v="80"/>
    <n v="5.86"/>
    <s v="USA"/>
    <s v="Kenya"/>
    <x v="1"/>
  </r>
  <r>
    <s v="Kenya Konyu"/>
    <n v="95"/>
    <s v="Medium Light"/>
    <n v="57"/>
    <n v="81"/>
    <n v="5.73"/>
    <s v="USA"/>
    <s v="Kenya"/>
    <x v="1"/>
  </r>
  <r>
    <s v="Hacienda La Esmeralda Cabana Geisha Natural"/>
    <n v="95"/>
    <s v="Medium Light"/>
    <n v="57"/>
    <n v="83"/>
    <n v="33.07"/>
    <s v="USA"/>
    <s v="Panama"/>
    <x v="0"/>
  </r>
  <r>
    <s v="Finca La Aurora Camilina Geisha"/>
    <n v="96"/>
    <s v="Medium Light"/>
    <n v="56"/>
    <n v="76"/>
    <n v="19.84"/>
    <s v="USA"/>
    <s v="Panama"/>
    <x v="0"/>
  </r>
  <r>
    <s v="Twenty Five"/>
    <n v="96"/>
    <s v="Medium Light"/>
    <n v="50"/>
    <n v="74"/>
    <n v="4.25"/>
    <s v="USA"/>
    <s v="Guatemala"/>
    <x v="0"/>
  </r>
  <r>
    <s v="Karimikui Kenya"/>
    <n v="94"/>
    <s v="Medium Light"/>
    <n v="55"/>
    <n v="75"/>
    <n v="5.73"/>
    <s v="USA"/>
    <s v="Kenya"/>
    <x v="1"/>
  </r>
  <r>
    <s v="Kenya Baragwi Thimu Peaberry"/>
    <n v="94"/>
    <s v="Medium Light"/>
    <n v="52"/>
    <n v="74"/>
    <n v="5.73"/>
    <s v="USA"/>
    <s v="Kenya"/>
    <x v="1"/>
  </r>
  <r>
    <s v="Kariru Kenya"/>
    <n v="94"/>
    <s v="Medium Light"/>
    <n v="56"/>
    <n v="75"/>
    <n v="5.73"/>
    <s v="USA"/>
    <s v="Kenya"/>
    <x v="1"/>
  </r>
  <r>
    <s v="Esmeralda Estate Porton Geisha Natural"/>
    <n v="96"/>
    <s v="Medium Light"/>
    <n v="56"/>
    <n v="84"/>
    <n v="33.07"/>
    <s v="USA"/>
    <s v="Panama"/>
    <x v="0"/>
  </r>
  <r>
    <s v="Kenya Kiambu"/>
    <n v="94"/>
    <s v="Medium Light"/>
    <n v="53"/>
    <n v="81"/>
    <n v="4.92"/>
    <s v="USA"/>
    <s v="Kenya"/>
    <x v="1"/>
  </r>
  <r>
    <s v="Ethiopia Washed Phoenix Special вЂњMuseвЂќ"/>
    <n v="95"/>
    <s v="Medium Dark"/>
    <n v="40"/>
    <n v="48"/>
    <n v="308.64999999999998"/>
    <s v="Taiwan"/>
    <s v="Ethiopia"/>
    <x v="1"/>
  </r>
  <r>
    <s v="Kenya AB Phoenix Special вЂњGloryвЂќ"/>
    <n v="94"/>
    <s v="Medium Dark"/>
    <n v="39"/>
    <n v="45"/>
    <n v="330.7"/>
    <s v="Taiwan"/>
    <s v="Kenya"/>
    <x v="1"/>
  </r>
  <r>
    <s v="Kenya Ritho FCS Handege Factory AB"/>
    <n v="96"/>
    <s v="Medium Light"/>
    <n v="53"/>
    <n v="81"/>
    <n v="165.34"/>
    <s v="Taiwan"/>
    <s v="Kenya"/>
    <x v="1"/>
  </r>
  <r>
    <s v="Ethiopia Yirgacheffe Botabaa Washed"/>
    <n v="95"/>
    <s v="Light"/>
    <n v="56"/>
    <n v="86"/>
    <n v="127.87"/>
    <s v="Taiwan"/>
    <s v="Ethiopia"/>
    <x v="1"/>
  </r>
  <r>
    <s v="Ethiopia Hambela Natural"/>
    <n v="94"/>
    <s v="Medium Light"/>
    <n v="56"/>
    <n v="82"/>
    <n v="5.29"/>
    <s v="USA"/>
    <s v="Ethiopia"/>
    <x v="1"/>
  </r>
  <r>
    <s v="Ethiopia Gera Limmu Oromia"/>
    <n v="94"/>
    <s v="Medium Light"/>
    <n v="58"/>
    <n v="82"/>
    <n v="5.14"/>
    <s v="USA"/>
    <s v="Ethiopia"/>
    <x v="1"/>
  </r>
  <r>
    <s v="Kenya Kabare Konyu"/>
    <n v="94"/>
    <s v="Medium Light"/>
    <n v="54"/>
    <n v="80"/>
    <n v="6.03"/>
    <s v="USA"/>
    <s v="Kenya"/>
    <x v="1"/>
  </r>
  <r>
    <s v="Alemu Bukato Espresso"/>
    <n v="95"/>
    <s v="Medium Light"/>
    <n v="56"/>
    <n v="80"/>
    <n v="5.51"/>
    <s v="USA"/>
    <s v="Ethiopia"/>
    <x v="1"/>
  </r>
  <r>
    <s v="Tarime Tanzania"/>
    <n v="95"/>
    <s v="Medium Light"/>
    <n v="58"/>
    <n v="82"/>
    <n v="4.34"/>
    <s v="USA"/>
    <s v="Tanzania"/>
    <x v="1"/>
  </r>
  <r>
    <s v="Berlina Geisha"/>
    <n v="96"/>
    <s v="Medium Light"/>
    <n v="56"/>
    <n v="84"/>
    <n v="11.76"/>
    <s v="USA"/>
    <s v="Panama"/>
    <x v="0"/>
  </r>
  <r>
    <s v="Gatugi Triple"/>
    <n v="95"/>
    <s v="Light"/>
    <n v="58"/>
    <n v="86"/>
    <n v="11.76"/>
    <s v="USA"/>
    <s v="Kenya"/>
    <x v="1"/>
  </r>
  <r>
    <s v="Ethiopia Yirgacheffe Natural Espresso"/>
    <n v="94"/>
    <s v="Medium Light"/>
    <n v="51"/>
    <n v="74"/>
    <n v="5.29"/>
    <s v="USA"/>
    <s v="Ethiopia"/>
    <x v="1"/>
  </r>
  <r>
    <s v="Ethiopia Yirgacheffe Natural"/>
    <n v="94"/>
    <s v="Medium Light"/>
    <n v="55"/>
    <n v="80"/>
    <n v="5.29"/>
    <s v="USA"/>
    <s v="Ethiopia"/>
    <x v="1"/>
  </r>
  <r>
    <s v="Guatemala Finca El General Lot ALT8 Espresso"/>
    <n v="94"/>
    <s v="Medium Light"/>
    <n v="52"/>
    <n v="74"/>
    <n v="121.25"/>
    <s v="Taiwan"/>
    <s v="Guatemala"/>
    <x v="0"/>
  </r>
  <r>
    <s v="Green Dolphin Blend Espresso"/>
    <n v="94"/>
    <s v="Medium Light"/>
    <n v="50"/>
    <n v="74"/>
    <n v="105.82"/>
    <s v="Taiwan"/>
    <s v="Unknown"/>
    <x v="3"/>
  </r>
  <r>
    <s v="Finca El Socorro Maracaturra"/>
    <n v="95"/>
    <s v="Medium Light"/>
    <n v="52"/>
    <n v="78"/>
    <n v="6.61"/>
    <s v="USA"/>
    <s v="Guatemala"/>
    <x v="0"/>
  </r>
  <r>
    <s v="Ethiopia Kochere Debo Washed Gellana"/>
    <n v="94"/>
    <s v="Medium Light"/>
    <n v="57"/>
    <n v="83"/>
    <n v="121.25"/>
    <s v="Taiwan"/>
    <s v="Ethiopia"/>
    <x v="1"/>
  </r>
  <r>
    <s v="Ethiopia Gotiti Natural"/>
    <n v="95"/>
    <s v="Medium"/>
    <n v="46"/>
    <n v="72"/>
    <n v="255.73"/>
    <s v="Taiwan"/>
    <s v="Ethiopia"/>
    <x v="1"/>
  </r>
  <r>
    <s v="Cream Tabby Espresso Blend"/>
    <n v="94"/>
    <s v="Medium Light"/>
    <n v="49"/>
    <n v="74"/>
    <n v="177.78"/>
    <s v="Taiwan"/>
    <s v="Kenya"/>
    <x v="1"/>
  </r>
  <r>
    <s v="Ethiopia Girma Eshetu"/>
    <n v="94"/>
    <s v="Medium Light"/>
    <n v="56"/>
    <n v="80"/>
    <n v="6.17"/>
    <s v="Canada"/>
    <s v="Ethiopia"/>
    <x v="1"/>
  </r>
  <r>
    <s v="Karimikui Espresso"/>
    <n v="94"/>
    <s v="Medium Light"/>
    <n v="51"/>
    <n v="73"/>
    <n v="5.73"/>
    <s v="USA"/>
    <s v="Kenya"/>
    <x v="1"/>
  </r>
  <r>
    <s v="Ethiospro Blend"/>
    <n v="94"/>
    <s v="Medium Light"/>
    <n v="54"/>
    <n v="73"/>
    <n v="5.22"/>
    <s v="USA"/>
    <s v="Ethiopia"/>
    <x v="1"/>
  </r>
  <r>
    <s v="Costa Rica Cumbres Del Poas вЂњPerla NegraвЂќ Natural"/>
    <n v="94"/>
    <s v="Medium Light"/>
    <n v="59"/>
    <n v="79"/>
    <n v="5.29"/>
    <s v="USA"/>
    <s v="Costa Rica"/>
    <x v="0"/>
  </r>
  <r>
    <s v="Natural Sidamo Twakok G1"/>
    <n v="94"/>
    <s v="Light"/>
    <n v="59"/>
    <n v="85"/>
    <n v="114.64"/>
    <s v="Taiwan"/>
    <s v="Ethiopia"/>
    <x v="1"/>
  </r>
  <r>
    <s v="Yemen Haraaz"/>
    <n v="94"/>
    <s v="Medium Light"/>
    <n v="55"/>
    <n v="75"/>
    <n v="10.29"/>
    <s v="USA"/>
    <s v="Yemen"/>
    <x v="1"/>
  </r>
  <r>
    <s v="YCFCU Banko Gotiti Coop G1"/>
    <n v="95"/>
    <s v="Medium Dark"/>
    <n v="41"/>
    <n v="53"/>
    <n v="187.39"/>
    <s v="Taiwan"/>
    <s v="Ethiopia"/>
    <x v="1"/>
  </r>
  <r>
    <s v="Gesha Village Lot #25"/>
    <n v="95"/>
    <s v="Medium Light"/>
    <n v="52"/>
    <n v="75"/>
    <n v="661.38"/>
    <s v="Taiwan"/>
    <s v="Ethiopia"/>
    <x v="1"/>
  </r>
  <r>
    <s v="Costa Rica Perla Negra"/>
    <n v="95"/>
    <s v="Medium"/>
    <n v="50"/>
    <n v="65"/>
    <n v="4.9800000000000004"/>
    <s v="USA"/>
    <s v="Costa Rica"/>
    <x v="0"/>
  </r>
  <r>
    <s v="Espresso 1849 Blend"/>
    <n v="94"/>
    <s v="Medium"/>
    <n v="50"/>
    <n v="70"/>
    <n v="5.29"/>
    <s v="USA"/>
    <s v="Ethiopia"/>
    <x v="1"/>
  </r>
  <r>
    <s v="Ethiopia Kayon Mountain"/>
    <n v="94"/>
    <s v="Light"/>
    <n v="60"/>
    <n v="88"/>
    <n v="5.58"/>
    <s v="USA"/>
    <s v="Ethiopia"/>
    <x v="1"/>
  </r>
  <r>
    <s v="Tano Batak Sumatra"/>
    <n v="94"/>
    <s v="Medium Light"/>
    <n v="58"/>
    <n v="75"/>
    <n v="5.44"/>
    <s v="USA"/>
    <s v="Indonesia"/>
    <x v="2"/>
  </r>
  <r>
    <s v="No. 7 Espresso Blend"/>
    <n v="95"/>
    <s v="Medium"/>
    <n v="47"/>
    <n v="69"/>
    <n v="198.41"/>
    <s v="Taiwan"/>
    <s v="Guatemala"/>
    <x v="0"/>
  </r>
  <r>
    <s v="Kenya Embu Uteuzi Jimbo"/>
    <n v="94"/>
    <s v="Medium Light"/>
    <n v="56"/>
    <n v="80"/>
    <n v="154.32"/>
    <s v="Taiwan"/>
    <s v="Kenya"/>
    <x v="1"/>
  </r>
  <r>
    <s v="DR Congo FTO Bourbon SOPACDI"/>
    <n v="94"/>
    <s v="Medium Light"/>
    <n v="50"/>
    <n v="74"/>
    <n v="5.29"/>
    <s v="USA"/>
    <s v="Democratic Republic of the Congo"/>
    <x v="1"/>
  </r>
  <r>
    <s v="Tarime Tanzania"/>
    <n v="95"/>
    <s v="Medium Light"/>
    <n v="56"/>
    <n v="80"/>
    <n v="5.64"/>
    <s v="USA"/>
    <s v="Tanzania"/>
    <x v="1"/>
  </r>
  <r>
    <s v="Kiniyota Espresso"/>
    <n v="95"/>
    <s v="Medium Light"/>
    <n v="54"/>
    <n v="78"/>
    <n v="5.17"/>
    <s v="USA"/>
    <s v="Unknown"/>
    <x v="3"/>
  </r>
  <r>
    <s v="El Obraje Geisha"/>
    <n v="95"/>
    <s v="Medium Light"/>
    <n v="52"/>
    <n v="78"/>
    <n v="15.43"/>
    <s v="USA"/>
    <s v="Colombia"/>
    <x v="0"/>
  </r>
  <r>
    <s v="Mandheling Onan Ganjang"/>
    <n v="94"/>
    <s v="Medium Light"/>
    <n v="55"/>
    <n v="77"/>
    <n v="121.25"/>
    <s v="Taiwan"/>
    <s v="Indonesia"/>
    <x v="2"/>
  </r>
  <r>
    <s v="Ethiopia Banko Gotiti Natural"/>
    <n v="94"/>
    <s v="Light"/>
    <n v="60"/>
    <n v="84"/>
    <n v="154.32"/>
    <s v="Taiwan"/>
    <s v="Ethiopia"/>
    <x v="1"/>
  </r>
  <r>
    <s v="Yemen Microlot"/>
    <n v="96"/>
    <s v="Light"/>
    <n v="58"/>
    <n v="84"/>
    <n v="33.07"/>
    <s v="USA"/>
    <s v="Yemen"/>
    <x v="1"/>
  </r>
  <r>
    <s v="Lycello by Ninety Plus"/>
    <n v="95"/>
    <s v="Medium Light"/>
    <n v="54"/>
    <n v="78"/>
    <n v="33.07"/>
    <s v="USA"/>
    <s v="Panama"/>
    <x v="0"/>
  </r>
  <r>
    <s v="Lotus by Ninety Plus"/>
    <n v="95"/>
    <s v="Medium Light"/>
    <n v="52"/>
    <n v="72"/>
    <n v="63.93"/>
    <s v="USA"/>
    <s v="Panama"/>
    <x v="0"/>
  </r>
  <r>
    <s v="Karen J Red Bourbon"/>
    <n v="94"/>
    <s v="Medium Light"/>
    <n v="58"/>
    <n v="80"/>
    <n v="20.260000000000002"/>
    <s v="USA"/>
    <s v="USA"/>
    <x v="0"/>
  </r>
  <r>
    <s v="Kenya Nyeri Gatugi Peaberry"/>
    <n v="94"/>
    <s v="Medium"/>
    <n v="45"/>
    <n v="75"/>
    <n v="5.28"/>
    <s v="USA"/>
    <s v="Kenya"/>
    <x v="1"/>
  </r>
  <r>
    <s v="Kenya Gura AA"/>
    <n v="94"/>
    <s v="Medium Light"/>
    <n v="56"/>
    <n v="78"/>
    <n v="202.82"/>
    <s v="Taiwan"/>
    <s v="Kenya"/>
    <x v="1"/>
  </r>
  <r>
    <s v="Sumatra Tano Batak"/>
    <n v="94"/>
    <s v="Medium Light"/>
    <n v="53"/>
    <n v="77"/>
    <n v="6.17"/>
    <s v="USA"/>
    <s v="Indonesia"/>
    <x v="2"/>
  </r>
  <r>
    <s v="Sumatra Tano Batak"/>
    <n v="94"/>
    <s v="Medium Light"/>
    <n v="55"/>
    <n v="77"/>
    <n v="5"/>
    <s v="USA"/>
    <s v="Indonesia"/>
    <x v="2"/>
  </r>
  <r>
    <s v="Yemen Port of Mokha Al-Durrar"/>
    <n v="94"/>
    <s v="Medium Light"/>
    <n v="50"/>
    <n v="76"/>
    <n v="26.9"/>
    <s v="USA"/>
    <s v="Yemen"/>
    <x v="1"/>
  </r>
  <r>
    <s v="Finca La Maria Geisha Natural"/>
    <n v="95"/>
    <s v="Medium Light"/>
    <n v="55"/>
    <n v="79"/>
    <n v="22.49"/>
    <s v="USA"/>
    <s v="Colombia"/>
    <x v="0"/>
  </r>
  <r>
    <s v="Ethiopia Guji Gigessa"/>
    <n v="94"/>
    <s v="Light"/>
    <n v="60"/>
    <n v="84"/>
    <n v="202.82"/>
    <s v="Taiwan"/>
    <s v="Ethiopia"/>
    <x v="1"/>
  </r>
  <r>
    <s v="Granja La Esperanza Sudan Rume Natural"/>
    <n v="95"/>
    <s v="Medium"/>
    <n v="50"/>
    <n v="70"/>
    <n v="16.53"/>
    <s v="USA"/>
    <s v="Colombia"/>
    <x v="0"/>
  </r>
  <r>
    <s v="Gedeb Espresso"/>
    <n v="94"/>
    <s v="Medium Light"/>
    <n v="51"/>
    <n v="74"/>
    <n v="5.51"/>
    <s v="USA"/>
    <s v="Ethiopia"/>
    <x v="1"/>
  </r>
  <r>
    <s v="Panama Baru Geisha Honey by Joseph"/>
    <n v="94"/>
    <s v="Medium Light"/>
    <n v="56"/>
    <n v="78"/>
    <n v="396.83"/>
    <s v="Taiwan"/>
    <s v="Panama"/>
    <x v="0"/>
  </r>
  <r>
    <s v="Panama Baru Geisha Natural by Joseph"/>
    <n v="94"/>
    <s v="Medium Light"/>
    <n v="58"/>
    <n v="80"/>
    <n v="418.87"/>
    <s v="Taiwan"/>
    <s v="Panama"/>
    <x v="0"/>
  </r>
  <r>
    <s v="Burundi Buhorwa"/>
    <n v="94"/>
    <s v="Medium Light"/>
    <n v="54"/>
    <n v="78"/>
    <n v="4.41"/>
    <s v="USA"/>
    <s v="Burundi"/>
    <x v="1"/>
  </r>
  <r>
    <s v="Dodora Double"/>
    <n v="96"/>
    <s v="Light"/>
    <n v="60"/>
    <n v="84"/>
    <n v="8.77"/>
    <s v="USA"/>
    <s v="Ethiopia"/>
    <x v="1"/>
  </r>
  <r>
    <s v="Summer Night Blend Espresso"/>
    <n v="94"/>
    <s v="Medium Light"/>
    <n v="58"/>
    <n v="82"/>
    <n v="110.23"/>
    <s v="Taiwan"/>
    <s v="Ethiopia"/>
    <x v="1"/>
  </r>
  <r>
    <s v="Kenya Kirinyaga"/>
    <n v="94"/>
    <s v="Light"/>
    <n v="65"/>
    <n v="91"/>
    <n v="4.41"/>
    <s v="USA"/>
    <s v="Kenya"/>
    <x v="1"/>
  </r>
  <r>
    <s v="Sumatra Mutu Batak"/>
    <n v="94"/>
    <s v="Medium"/>
    <n v="49"/>
    <n v="71"/>
    <n v="4.3899999999999997"/>
    <s v="USA"/>
    <s v="Indonesia"/>
    <x v="2"/>
  </r>
  <r>
    <s v="Three Queens Blend"/>
    <n v="94"/>
    <s v="Medium Light"/>
    <n v="52"/>
    <n v="73"/>
    <n v="4.1100000000000003"/>
    <s v="USA"/>
    <s v="Kenya"/>
    <x v="1"/>
  </r>
  <r>
    <s v="Kiniyota Burundi"/>
    <n v="95"/>
    <s v="Medium Light"/>
    <n v="52"/>
    <n v="78"/>
    <n v="5.17"/>
    <s v="USA"/>
    <s v="Burundi"/>
    <x v="1"/>
  </r>
  <r>
    <s v="Kona MoccaВ®"/>
    <n v="95"/>
    <s v="Medium"/>
    <n v="46"/>
    <n v="62"/>
    <n v="19.82"/>
    <s v="USA"/>
    <s v="USA"/>
    <x v="0"/>
  </r>
  <r>
    <s v="Ethiopia Suke Quto Honey"/>
    <n v="94"/>
    <s v="Medium Light"/>
    <n v="58"/>
    <n v="82"/>
    <n v="5.28"/>
    <s v="USA"/>
    <s v="Ethiopia"/>
    <x v="1"/>
  </r>
  <r>
    <s v="Ethiopia Biftu Gundina Coop Espresso"/>
    <n v="94"/>
    <s v="Medium Dark"/>
    <n v="42"/>
    <n v="57"/>
    <n v="121.25"/>
    <s v="Taiwan"/>
    <s v="Ethiopia"/>
    <x v="1"/>
  </r>
  <r>
    <s v="Ethiopia Banko Gotiti Natural"/>
    <n v="94"/>
    <s v="Light"/>
    <n v="60"/>
    <n v="88"/>
    <n v="143.30000000000001"/>
    <s v="Taiwan"/>
    <s v="Ethiopia"/>
    <x v="1"/>
  </r>
  <r>
    <s v="Canoe Blend"/>
    <n v="94"/>
    <s v="Medium Light"/>
    <n v="56"/>
    <n v="82"/>
    <n v="4.12"/>
    <s v="USA"/>
    <s v="Indonesia"/>
    <x v="2"/>
  </r>
  <r>
    <s v="Guatemala Retiro Natural Process"/>
    <n v="94"/>
    <s v="Medium Light"/>
    <n v="57"/>
    <n v="70"/>
    <n v="4.63"/>
    <s v="USA"/>
    <s v="Guatemala"/>
    <x v="0"/>
  </r>
  <r>
    <s v="Kenya Gatugi AB"/>
    <n v="94"/>
    <s v="Medium Light"/>
    <n v="53"/>
    <n v="85"/>
    <n v="35"/>
    <s v="Taiwan"/>
    <s v="Kenya"/>
    <x v="1"/>
  </r>
  <r>
    <s v="Gedeb Ethiopia"/>
    <n v="95"/>
    <s v="Medium Light"/>
    <n v="58"/>
    <n v="82"/>
    <n v="5.51"/>
    <s v="USA"/>
    <s v="Ethiopia"/>
    <x v="1"/>
  </r>
  <r>
    <s v="Ethiopia Dry-Processed Guji Mt. Kayon"/>
    <n v="95"/>
    <s v="Medium Light"/>
    <n v="56"/>
    <n v="75"/>
    <n v="35"/>
    <s v="Taiwan"/>
    <s v="Ethiopia"/>
    <x v="1"/>
  </r>
  <r>
    <s v="Ethiopia Banko Gotiti"/>
    <n v="94"/>
    <s v="Light"/>
    <n v="65"/>
    <n v="93"/>
    <n v="4.99"/>
    <s v="USA"/>
    <s v="Ethiopia"/>
    <x v="1"/>
  </r>
  <r>
    <s v="Panama Auromar Estate Geisha Peaberry"/>
    <n v="95"/>
    <s v="Medium Light"/>
    <n v="53"/>
    <n v="81"/>
    <n v="22.49"/>
    <s v="USA"/>
    <s v="Panama"/>
    <x v="0"/>
  </r>
  <r>
    <s v="Panama Finca Hartmann Geisha Natural"/>
    <n v="95"/>
    <s v="Light"/>
    <n v="60"/>
    <n v="84"/>
    <n v="23.81"/>
    <s v="USA"/>
    <s v="Panama"/>
    <x v="0"/>
  </r>
  <r>
    <s v="Mini-Me Washed Kaffa Forest"/>
    <n v="95"/>
    <s v="Medium Dark"/>
    <n v="40"/>
    <n v="60"/>
    <n v="286.60000000000002"/>
    <s v="Taiwan"/>
    <s v="Ethiopia"/>
    <x v="1"/>
  </r>
  <r>
    <s v="Jade Espresso"/>
    <n v="94"/>
    <s v="Medium Light"/>
    <n v="56"/>
    <n v="72"/>
    <n v="4.12"/>
    <s v="USA"/>
    <s v="Unknown"/>
    <x v="3"/>
  </r>
  <r>
    <s v="Ulos Batak Sumatra"/>
    <n v="96"/>
    <s v="Medium Light"/>
    <n v="54"/>
    <n v="76"/>
    <n v="5.57"/>
    <s v="USA"/>
    <s v="Indonesia"/>
    <x v="2"/>
  </r>
  <r>
    <s v="Blue Label La Esmeralda Porton Pascua Gesha"/>
    <n v="95"/>
    <s v="Medium Light"/>
    <n v="53"/>
    <n v="85"/>
    <n v="26.46"/>
    <s v="USA"/>
    <s v="Panama"/>
    <x v="0"/>
  </r>
  <r>
    <s v="David Mburu Kenya"/>
    <n v="96"/>
    <s v="Light"/>
    <n v="58"/>
    <n v="84"/>
    <n v="6"/>
    <s v="USA"/>
    <s v="Kenya"/>
    <x v="1"/>
  </r>
  <r>
    <s v="El PeГ±on Nicaragua"/>
    <n v="94"/>
    <s v="Light"/>
    <n v="61"/>
    <n v="93"/>
    <n v="5.28"/>
    <s v="USA"/>
    <s v="Nicaragua"/>
    <x v="0"/>
  </r>
  <r>
    <s v="Kenya Chorongi Peaberry"/>
    <n v="95"/>
    <s v="Medium Light"/>
    <n v="50"/>
    <n v="76"/>
    <n v="5.88"/>
    <s v="USA"/>
    <s v="Kenya"/>
    <x v="1"/>
  </r>
  <r>
    <s v="Kenya Riakiberu AB"/>
    <n v="95"/>
    <s v="Medium Light"/>
    <n v="55"/>
    <n v="77"/>
    <n v="5.6"/>
    <s v="USA"/>
    <s v="Kenya"/>
    <x v="1"/>
  </r>
  <r>
    <s v="Yule Blend 2018"/>
    <n v="94"/>
    <s v="Medium Light"/>
    <n v="56"/>
    <n v="80"/>
    <n v="4.41"/>
    <s v="USA"/>
    <s v="Kenya"/>
    <x v="1"/>
  </r>
  <r>
    <s v="Kenya Thaitu"/>
    <n v="95"/>
    <s v="Medium Light"/>
    <n v="54"/>
    <n v="78"/>
    <n v="6.47"/>
    <s v="USA"/>
    <s v="Kenya"/>
    <x v="1"/>
  </r>
  <r>
    <s v="Ethiopia Banko Gotiti Natural G1"/>
    <n v="94"/>
    <s v="Light"/>
    <n v="58"/>
    <n v="86"/>
    <n v="263.64"/>
    <s v="Taiwan"/>
    <s v="Ethiopia"/>
    <x v="1"/>
  </r>
  <r>
    <s v="Panama Auromar Geisha Natural"/>
    <n v="96"/>
    <s v="Medium Light"/>
    <n v="56"/>
    <n v="80"/>
    <n v="16.170000000000002"/>
    <s v="USA"/>
    <s v="Panama"/>
    <x v="0"/>
  </r>
  <r>
    <s v="El Salvador Finca Kilimanjaro"/>
    <n v="95"/>
    <s v="Medium Light"/>
    <n v="56"/>
    <n v="80"/>
    <n v="7.35"/>
    <s v="USA"/>
    <s v="El Salvador"/>
    <x v="0"/>
  </r>
  <r>
    <s v="Panama Elida Green Tip Gesha Natural"/>
    <n v="94"/>
    <s v="Medium Light"/>
    <n v="53"/>
    <n v="77"/>
    <n v="32.630000000000003"/>
    <s v="USA"/>
    <s v="Panama"/>
    <x v="0"/>
  </r>
  <r>
    <s v="Gikanda Kenya"/>
    <n v="96"/>
    <s v="Medium Light"/>
    <n v="55"/>
    <n v="76"/>
    <n v="5.66"/>
    <s v="USA"/>
    <s v="Kenya"/>
    <x v="1"/>
  </r>
  <r>
    <s v="Panama Don Julian Pacamara"/>
    <n v="95"/>
    <s v="Medium Light"/>
    <n v="56"/>
    <n v="80"/>
    <n v="11.02"/>
    <s v="USA"/>
    <s v="Panama"/>
    <x v="0"/>
  </r>
  <r>
    <s v="100% Kona Bourbon Pointu Laurina"/>
    <n v="95"/>
    <s v="Medium Light"/>
    <n v="52"/>
    <n v="76"/>
    <n v="19.82"/>
    <s v="USA"/>
    <s v="USA"/>
    <x v="0"/>
  </r>
  <r>
    <s v="Kenya AB Muchoki"/>
    <n v="95"/>
    <s v="Medium Light"/>
    <n v="55"/>
    <n v="75"/>
    <n v="5.86"/>
    <s v="USA"/>
    <s v="Kenya"/>
    <x v="1"/>
  </r>
  <r>
    <s v="Geisha Panama Santamaria Natural"/>
    <n v="95"/>
    <s v="Medium Light"/>
    <n v="54"/>
    <n v="78"/>
    <n v="24"/>
    <s v="Australia"/>
    <s v="Panama"/>
    <x v="0"/>
  </r>
  <r>
    <s v="100% Kona SL-28"/>
    <n v="97"/>
    <s v="Medium Light"/>
    <n v="56"/>
    <n v="78"/>
    <n v="33.049999999999997"/>
    <s v="USA"/>
    <s v="USA"/>
    <x v="0"/>
  </r>
  <r>
    <s v="Kenya Kirinyaga Mukangu AB"/>
    <n v="95"/>
    <s v="Medium Light"/>
    <n v="54"/>
    <n v="76"/>
    <n v="143.30000000000001"/>
    <s v="Taiwan"/>
    <s v="Kenya"/>
    <x v="1"/>
  </r>
  <r>
    <s v="Ethiopia Washed Yirgacheffe Adado"/>
    <n v="95"/>
    <s v="Medium Light"/>
    <n v="56"/>
    <n v="78"/>
    <n v="121.25"/>
    <s v="Taiwan"/>
    <s v="Ethiopia"/>
    <x v="1"/>
  </r>
  <r>
    <s v="Ace Espresso"/>
    <n v="94"/>
    <s v="Medium Light"/>
    <n v="52"/>
    <n v="74"/>
    <n v="5.29"/>
    <s v="Canada"/>
    <s v="Ethiopia"/>
    <x v="1"/>
  </r>
  <r>
    <s v="Kenya Mutungati"/>
    <n v="94"/>
    <s v="Medium Light"/>
    <n v="54"/>
    <n v="80"/>
    <n v="6.17"/>
    <s v="Canada"/>
    <s v="Kenya"/>
    <x v="1"/>
  </r>
  <r>
    <s v="Ethiopia Gedeb Halo Beriti"/>
    <n v="94"/>
    <s v="Medium"/>
    <n v="48"/>
    <n v="70"/>
    <n v="4.8499999999999996"/>
    <s v="USA"/>
    <s v="Ethiopia"/>
    <x v="1"/>
  </r>
  <r>
    <s v="Ethiopia Sidama"/>
    <n v="94"/>
    <s v="Medium"/>
    <n v="47"/>
    <n v="72"/>
    <n v="5"/>
    <s v="Canada"/>
    <s v="Ethiopia"/>
    <x v="1"/>
  </r>
  <r>
    <s v="Thiriku AA Kenya"/>
    <n v="95"/>
    <s v="Medium"/>
    <n v="47"/>
    <n v="65"/>
    <n v="7.2"/>
    <s v="USA"/>
    <s v="Kenya"/>
    <x v="1"/>
  </r>
  <r>
    <s v="Flora Blend Espresso"/>
    <n v="94"/>
    <s v="Medium Light"/>
    <n v="54"/>
    <n v="77"/>
    <n v="69.599999999999994"/>
    <s v="China"/>
    <s v="Unknown"/>
    <x v="3"/>
  </r>
  <r>
    <s v="вЂњSweetyвЂќ Espresso Blend"/>
    <n v="95"/>
    <s v="Medium Light"/>
    <n v="50"/>
    <n v="73"/>
    <n v="110.13"/>
    <s v="China"/>
    <s v="Ethiopia"/>
    <x v="1"/>
  </r>
  <r>
    <s v="вЂњFruityвЂќ Espresso Blend"/>
    <n v="95"/>
    <s v="Medium Light"/>
    <n v="54"/>
    <n v="78"/>
    <n v="88.11"/>
    <s v="China"/>
    <s v="China"/>
    <x v="2"/>
  </r>
  <r>
    <s v="El Aquila Pacamara Espresso"/>
    <n v="94"/>
    <s v="Medium Light"/>
    <n v="54"/>
    <n v="75"/>
    <n v="5.26"/>
    <s v="USA"/>
    <s v="El Salvador"/>
    <x v="0"/>
  </r>
  <r>
    <s v="Guatemala Finca El Injerto Gesha"/>
    <n v="94"/>
    <s v="Medium Light"/>
    <n v="56"/>
    <n v="82"/>
    <n v="22.49"/>
    <s v="USA"/>
    <s v="Guatemala"/>
    <x v="0"/>
  </r>
  <r>
    <s v="Kenya Gatomboya AA"/>
    <n v="94"/>
    <s v="Medium Light"/>
    <n v="56"/>
    <n v="76"/>
    <n v="5.29"/>
    <s v="USA"/>
    <s v="Kenya"/>
    <x v="1"/>
  </r>
  <r>
    <s v="Flight Seasonal Espresso"/>
    <n v="95"/>
    <s v="Medium Light"/>
    <n v="56"/>
    <n v="80"/>
    <n v="4.8499999999999996"/>
    <s v="USA"/>
    <s v="Kenya"/>
    <x v="1"/>
  </r>
  <r>
    <s v="A.G.E. Duetto Espresso"/>
    <n v="95"/>
    <s v="Medium Light"/>
    <n v="56"/>
    <n v="76"/>
    <n v="11.46"/>
    <s v="Taiwan"/>
    <s v="Ethiopia"/>
    <x v="1"/>
  </r>
  <r>
    <s v="Kenya Nyeri Hill Farm"/>
    <n v="94"/>
    <s v="Medium Light"/>
    <n v="55"/>
    <n v="79"/>
    <n v="5.29"/>
    <s v="USA"/>
    <s v="Kenya"/>
    <x v="1"/>
  </r>
  <r>
    <s v="Jinotega Geisha"/>
    <n v="94"/>
    <s v="Medium Light"/>
    <n v="53"/>
    <n v="78"/>
    <n v="5.57"/>
    <s v="USA"/>
    <s v="Nicaragua"/>
    <x v="0"/>
  </r>
  <r>
    <s v="Nicaragua Un Regalo de Dios Bourbon"/>
    <n v="94"/>
    <s v="Medium Light"/>
    <n v="56"/>
    <n v="81"/>
    <n v="4.99"/>
    <s v="USA"/>
    <s v="Nicaragua"/>
    <x v="0"/>
  </r>
  <r>
    <s v="Gedeb Lot 83 Ethiopia Natural"/>
    <n v="95"/>
    <s v="Medium Light"/>
    <n v="58"/>
    <n v="82"/>
    <n v="5.57"/>
    <s v="USA"/>
    <s v="Ethiopia"/>
    <x v="1"/>
  </r>
  <r>
    <s v="Halo Beriti Ethiopia"/>
    <n v="94"/>
    <s v="Medium Light"/>
    <n v="53"/>
    <n v="77"/>
    <n v="5.26"/>
    <s v="USA"/>
    <s v="Ethiopia"/>
    <x v="1"/>
  </r>
  <r>
    <s v="Ethiopia Konga Sede"/>
    <n v="94"/>
    <s v="Medium Light"/>
    <n v="60"/>
    <n v="78"/>
    <n v="4.8499999999999996"/>
    <s v="USA"/>
    <s v="Ethiopia"/>
    <x v="1"/>
  </r>
  <r>
    <s v="Static Amaro Gayo Natural Ethiopia"/>
    <n v="95"/>
    <s v="Medium"/>
    <n v="45"/>
    <n v="61"/>
    <n v="5"/>
    <s v="USA"/>
    <s v="Ethiopia"/>
    <x v="1"/>
  </r>
  <r>
    <s v="Static Cali Classic Espresso"/>
    <n v="94"/>
    <s v="Medium Light"/>
    <n v="54"/>
    <n v="68"/>
    <n v="4.3899999999999997"/>
    <s v="USA"/>
    <s v="Colombia"/>
    <x v="0"/>
  </r>
  <r>
    <s v="Shine Day El Salvador"/>
    <n v="94"/>
    <s v="Light"/>
    <n v="61"/>
    <n v="84"/>
    <n v="217.78"/>
    <s v="Taiwan"/>
    <s v="El Salvador"/>
    <x v="0"/>
  </r>
  <r>
    <s v="Kenya Kirinyaga Baragwi Guama AB"/>
    <n v="95"/>
    <s v="Medium Light"/>
    <n v="59"/>
    <n v="77"/>
    <n v="132.28"/>
    <s v="Taiwan"/>
    <s v="Kenya"/>
    <x v="1"/>
  </r>
  <r>
    <s v="Guatemala Finca El General Espresso"/>
    <n v="94"/>
    <s v="Medium Light"/>
    <n v="56"/>
    <n v="76"/>
    <n v="121.25"/>
    <s v="Taiwan"/>
    <s v="Guatemala"/>
    <x v="0"/>
  </r>
  <r>
    <s v="Ethiopia Guji Zone Natural"/>
    <n v="94"/>
    <s v="Light"/>
    <n v="60"/>
    <n v="82"/>
    <n v="6.5"/>
    <s v="South Korea"/>
    <s v="Ethiopia"/>
    <x v="1"/>
  </r>
  <r>
    <s v="Kenya Boma AA"/>
    <n v="94"/>
    <s v="Medium Light"/>
    <n v="53"/>
    <n v="76"/>
    <n v="4.7"/>
    <s v="USA"/>
    <s v="Kenya"/>
    <x v="1"/>
  </r>
  <r>
    <s v="Colombia Finca Campoalegre"/>
    <n v="94"/>
    <s v="Medium Light"/>
    <n v="55"/>
    <n v="77"/>
    <n v="3.81"/>
    <s v="USA"/>
    <s v="Colombia"/>
    <x v="0"/>
  </r>
  <r>
    <s v="Kenya Boma Peaberry"/>
    <n v="94"/>
    <s v="Medium Light"/>
    <n v="54"/>
    <n v="76"/>
    <n v="4.99"/>
    <s v="USA"/>
    <s v="Kenya"/>
    <x v="1"/>
  </r>
  <r>
    <s v="Panama Geisha"/>
    <n v="94"/>
    <s v="Medium Dark"/>
    <n v="34"/>
    <n v="52"/>
    <n v="8.82"/>
    <s v="USA"/>
    <s v="Panama"/>
    <x v="0"/>
  </r>
  <r>
    <s v="Esmeralda Special Auction Washed Geisha"/>
    <n v="94"/>
    <s v="Medium Light"/>
    <n v="54"/>
    <n v="78"/>
    <n v="22.05"/>
    <s v="USA"/>
    <s v="Panama"/>
    <x v="0"/>
  </r>
  <r>
    <s v="Gesha Village 1931, Lot 86"/>
    <n v="95"/>
    <s v="Medium Light"/>
    <n v="54"/>
    <n v="78"/>
    <n v="33.07"/>
    <s v="USA"/>
    <s v="Ethiopia"/>
    <x v="1"/>
  </r>
  <r>
    <s v="Gesha Village Natural Oma Block Lot 72"/>
    <n v="95"/>
    <s v="Medium Light"/>
    <n v="56"/>
    <n v="77"/>
    <n v="705.48"/>
    <s v="Taiwan"/>
    <s v="Ethiopia"/>
    <x v="1"/>
  </r>
  <r>
    <s v="Gesha Village Lot 76 Nasha Block"/>
    <n v="95"/>
    <s v="Light"/>
    <n v="64"/>
    <n v="86"/>
    <n v="32.630000000000003"/>
    <s v="Taiwan"/>
    <s v="Ethiopia"/>
    <x v="1"/>
  </r>
  <r>
    <s v="Gesha Village Auction Lot 26 Gori Gesha Natural"/>
    <n v="95"/>
    <s v="Medium Light"/>
    <n v="54"/>
    <n v="74"/>
    <n v="30"/>
    <s v="Canada"/>
    <s v="Ethiopia"/>
    <x v="1"/>
  </r>
  <r>
    <s v="Carmen Geisha El Palomar Best of Panama #4 Carlos Aguilera"/>
    <n v="96"/>
    <s v="Medium Light"/>
    <n v="54"/>
    <n v="78"/>
    <n v="22.05"/>
    <s v="USA"/>
    <s v="Panama"/>
    <x v="0"/>
  </r>
  <r>
    <s v="Karuthi Espresso"/>
    <n v="95"/>
    <s v="Medium Light"/>
    <n v="53"/>
    <n v="77"/>
    <n v="5.57"/>
    <s v="USA"/>
    <s v="Kenya"/>
    <x v="1"/>
  </r>
  <r>
    <s v="Chelelektu Espresso"/>
    <n v="94"/>
    <s v="Medium Light"/>
    <n v="51"/>
    <n v="73"/>
    <n v="5.07"/>
    <s v="USA"/>
    <s v="Ethiopia"/>
    <x v="1"/>
  </r>
  <r>
    <s v="Karuthi Kenya"/>
    <n v="95"/>
    <s v="Medium Light"/>
    <n v="53"/>
    <n v="76"/>
    <n v="5.57"/>
    <s v="USA"/>
    <s v="Kenya"/>
    <x v="1"/>
  </r>
  <r>
    <s v="Finca El Obraje Colombia Gesha"/>
    <n v="95"/>
    <s v="Medium"/>
    <n v="46"/>
    <n v="64"/>
    <n v="17.61"/>
    <s v="USA"/>
    <s v="Colombia"/>
    <x v="0"/>
  </r>
  <r>
    <s v="Kenya AA Top Nyeri Tekangu Tegu Microlot"/>
    <n v="94"/>
    <s v="Medium Dark"/>
    <n v="41"/>
    <n v="49"/>
    <n v="9.5"/>
    <s v="South Korea"/>
    <s v="Kenya"/>
    <x v="1"/>
  </r>
  <r>
    <s v="Washed Ethiopia Yirgacheffe Banko Gotiti"/>
    <n v="95"/>
    <s v="Medium Light"/>
    <n v="58"/>
    <n v="82"/>
    <n v="242.5"/>
    <s v="Taiwan"/>
    <s v="Ethiopia"/>
    <x v="1"/>
  </r>
  <r>
    <s v="Sumatra Danau Toba"/>
    <n v="94"/>
    <s v="Medium Light"/>
    <n v="55"/>
    <n v="77"/>
    <n v="4.9800000000000004"/>
    <s v="USA"/>
    <s v="Indonesia"/>
    <x v="2"/>
  </r>
  <r>
    <s v="Kapsakiso Kenya"/>
    <n v="94"/>
    <s v="Light"/>
    <n v="60"/>
    <n v="84"/>
    <n v="5.57"/>
    <s v="USA"/>
    <s v="Kenya"/>
    <x v="1"/>
  </r>
  <r>
    <s v="Ethiopia Washed Kayon Mountain"/>
    <n v="95"/>
    <s v="Medium Light"/>
    <n v="58"/>
    <n v="80"/>
    <n v="121.25"/>
    <s v="Taiwan"/>
    <s v="Ethiopia"/>
    <x v="1"/>
  </r>
  <r>
    <s v="Ninety Plus Gesha Estates Limited Batch #227"/>
    <n v="97"/>
    <s v="Light"/>
    <n v="67"/>
    <n v="97"/>
    <n v="60.41"/>
    <s v="USA"/>
    <s v="Panama"/>
    <x v="0"/>
  </r>
  <r>
    <s v="Tano Batak Sumatra"/>
    <n v="95"/>
    <s v="Medium Light"/>
    <n v="54"/>
    <n v="80"/>
    <n v="4.8499999999999996"/>
    <s v="USA"/>
    <s v="Indonesia"/>
    <x v="2"/>
  </r>
  <r>
    <s v="Makwa Kenya AB"/>
    <n v="94"/>
    <s v="Light"/>
    <n v="62"/>
    <n v="84"/>
    <n v="4.12"/>
    <s v="USA"/>
    <s v="Kenya"/>
    <x v="1"/>
  </r>
  <r>
    <s v="Finca El Guamo Colombia"/>
    <n v="94"/>
    <s v="Medium Light"/>
    <n v="54"/>
    <n v="75"/>
    <n v="4.7"/>
    <s v="USA"/>
    <s v="Colombia"/>
    <x v="0"/>
  </r>
  <r>
    <s v="Kenya Ndaroini AA"/>
    <n v="94"/>
    <s v="Medium Light"/>
    <n v="54"/>
    <n v="76"/>
    <n v="5.88"/>
    <s v="USA"/>
    <s v="Kenya"/>
    <x v="1"/>
  </r>
  <r>
    <s v="El Salvador Finca Kilimanjaro Natural"/>
    <n v="94"/>
    <s v="Medium Light"/>
    <n v="54"/>
    <n v="78"/>
    <n v="10.29"/>
    <s v="USA"/>
    <s v="El Salvador"/>
    <x v="0"/>
  </r>
  <r>
    <s v="Kamagogo Kenya"/>
    <n v="96"/>
    <s v="Medium Light"/>
    <n v="53"/>
    <n v="76"/>
    <n v="6.14"/>
    <s v="USA"/>
    <s v="Kenya"/>
    <x v="1"/>
  </r>
  <r>
    <s v="Twisted 4.0 Espresso"/>
    <n v="94"/>
    <s v="Medium Light"/>
    <n v="53"/>
    <n v="75"/>
    <n v="4.63"/>
    <s v="USA"/>
    <s v="Unknown"/>
    <x v="3"/>
  </r>
  <r>
    <s v="El Salvador Finca Kilimanjaro Cascara Fermentation Aida Batlle"/>
    <n v="95"/>
    <s v="Medium"/>
    <n v="50"/>
    <n v="71"/>
    <n v="10.29"/>
    <s v="USA"/>
    <s v="El Salvador"/>
    <x v="0"/>
  </r>
  <r>
    <s v="Puna Natural"/>
    <n v="94"/>
    <s v="Medium Light"/>
    <n v="54"/>
    <n v="74"/>
    <n v="10.23"/>
    <s v="USA"/>
    <s v="USA"/>
    <x v="0"/>
  </r>
  <r>
    <s v="Colombia La Palma Y El Tucan Gesha"/>
    <n v="94"/>
    <s v="Light"/>
    <n v="62"/>
    <n v="84"/>
    <n v="58.24"/>
    <s v="USA"/>
    <s v="Colombia"/>
    <x v="0"/>
  </r>
  <r>
    <s v="Bourbon Peaberry"/>
    <n v="94"/>
    <s v="Medium Light"/>
    <n v="54"/>
    <n v="80"/>
    <n v="22.02"/>
    <s v="USA"/>
    <s v="USA"/>
    <x v="0"/>
  </r>
  <r>
    <s v="Sumatra Boru Batak"/>
    <n v="94"/>
    <s v="Medium Light"/>
    <n v="54"/>
    <n v="80"/>
    <n v="4.41"/>
    <s v="Canada"/>
    <s v="Indonesia"/>
    <x v="2"/>
  </r>
  <r>
    <s v="Gesha Village Estate Bench Maji Gesha G1"/>
    <n v="95"/>
    <s v="Medium Light"/>
    <n v="55"/>
    <n v="78"/>
    <n v="15.43"/>
    <s v="USA"/>
    <s v="Ethiopia"/>
    <x v="1"/>
  </r>
  <r>
    <s v="Bourbon-Barrel-Aged Kenya Baragu"/>
    <n v="94"/>
    <s v="Medium Light"/>
    <n v="55"/>
    <n v="76"/>
    <n v="8.82"/>
    <s v="USA"/>
    <s v="Kenya"/>
    <x v="1"/>
  </r>
  <r>
    <s v="Aged Sumatra Ulos Batak Peaberry"/>
    <n v="94"/>
    <s v="Medium Light"/>
    <n v="53"/>
    <n v="73"/>
    <n v="5.29"/>
    <s v="USA"/>
    <s v="Indonesia"/>
    <x v="2"/>
  </r>
  <r>
    <s v="Colombia La Palma and El Tucan Espresso"/>
    <n v="94"/>
    <s v="Medium Light"/>
    <n v="51"/>
    <n v="72"/>
    <n v="110.23"/>
    <s v="Taiwan"/>
    <s v="Colombia"/>
    <x v="0"/>
  </r>
  <r>
    <s v="Flight Seasonal Espresso"/>
    <n v="94"/>
    <s v="Medium Light"/>
    <n v="56"/>
    <n v="80"/>
    <n v="4.26"/>
    <s v="USA"/>
    <s v="Ethiopia"/>
    <x v="1"/>
  </r>
  <r>
    <s v="Kenya Kabare AA"/>
    <n v="96"/>
    <s v="Medium Light"/>
    <n v="56"/>
    <n v="77"/>
    <n v="4.26"/>
    <s v="USA"/>
    <s v="Kenya"/>
    <x v="1"/>
  </r>
  <r>
    <s v="Gesha, Gesha Village 1931"/>
    <n v="94"/>
    <s v="Medium Light"/>
    <n v="56"/>
    <n v="77"/>
    <n v="38.799999999999997"/>
    <s v="USA"/>
    <s v="Ethiopia"/>
    <x v="1"/>
  </r>
  <r>
    <s v="Aricha Yirgacheffe Ethiopia"/>
    <n v="94"/>
    <s v="Medium Light"/>
    <n v="58"/>
    <n v="82"/>
    <n v="5.86"/>
    <s v="USA"/>
    <s v="Ethiopia"/>
    <x v="1"/>
  </r>
  <r>
    <s v="Guatemala Finca Cappuccino вЂњEcho-LotвЂќ Espresso"/>
    <n v="95"/>
    <s v="Medium Light"/>
    <n v="50"/>
    <n v="74"/>
    <n v="99.21"/>
    <s v="Taiwan"/>
    <s v="Guatemala"/>
    <x v="0"/>
  </r>
  <r>
    <s v="Ethiopia Guji Shakiso Danbi Uddo"/>
    <n v="94"/>
    <s v="Medium Light"/>
    <n v="56"/>
    <n v="76"/>
    <n v="5.29"/>
    <s v="USA"/>
    <s v="Ethiopia"/>
    <x v="1"/>
  </r>
  <r>
    <s v="Kenya AA Gura Auction Lot"/>
    <n v="94"/>
    <s v="Medium Light"/>
    <n v="56"/>
    <n v="76"/>
    <n v="4.5"/>
    <s v="USA"/>
    <s v="Kenya"/>
    <x v="1"/>
  </r>
  <r>
    <s v="100% Kona Bourbon Pointu Laurina"/>
    <n v="96"/>
    <s v="Medium Light"/>
    <n v="56"/>
    <n v="76"/>
    <n v="22.02"/>
    <s v="USA"/>
    <s v="USA"/>
    <x v="0"/>
  </r>
  <r>
    <s v="Yirgacheffe G1 Idido"/>
    <n v="95"/>
    <s v="Medium Light"/>
    <n v="56"/>
    <n v="76"/>
    <n v="335.1"/>
    <s v="Taiwan"/>
    <s v="Ethiopia"/>
    <x v="1"/>
  </r>
  <r>
    <s v="Yemen Port of Mokha Hayma Microlot"/>
    <n v="97"/>
    <s v="Medium"/>
    <n v="47"/>
    <n v="68"/>
    <n v="37.479999999999997"/>
    <s v="USA"/>
    <s v="Yemen"/>
    <x v="1"/>
  </r>
  <r>
    <s v="Edgar Motta Colombia Pink Bourbon"/>
    <n v="94"/>
    <s v="Medium Light"/>
    <n v="59"/>
    <n v="78"/>
    <n v="5.59"/>
    <s v="USA"/>
    <s v="Colombia"/>
    <x v="0"/>
  </r>
  <r>
    <s v="Papua New Guinea PB Kimel Estate"/>
    <n v="94"/>
    <s v="Medium Light"/>
    <n v="56"/>
    <n v="70"/>
    <n v="3.86"/>
    <s v="USA"/>
    <s v="Papua New Guinea"/>
    <x v="2"/>
  </r>
  <r>
    <s v="Panama La Esmeralda Noria Enero Geisha"/>
    <n v="95"/>
    <s v="Medium Light"/>
    <n v="57"/>
    <n v="83"/>
    <n v="33.51"/>
    <s v="USA"/>
    <s v="Panama"/>
    <x v="0"/>
  </r>
  <r>
    <s v="Rwanda Bufcafe"/>
    <n v="95"/>
    <s v="Medium Light"/>
    <n v="54"/>
    <n v="78"/>
    <n v="5.07"/>
    <s v="USA"/>
    <s v="Rwanda"/>
    <x v="1"/>
  </r>
  <r>
    <s v="Ethiopia Queen Sheba Natural Yirgacheffe Phoenix Special"/>
    <n v="94"/>
    <s v="Medium Light"/>
    <n v="54"/>
    <n v="76"/>
    <n v="330.7"/>
    <s v="Taiwan"/>
    <s v="Ethiopia"/>
    <x v="1"/>
  </r>
  <r>
    <s v="Ulos Batak Sumatra Peaberry"/>
    <n v="97"/>
    <s v="Medium Light"/>
    <n v="57"/>
    <n v="76"/>
    <n v="5.47"/>
    <s v="USA"/>
    <s v="Indonesia"/>
    <x v="2"/>
  </r>
  <r>
    <s v="Bernachon High-Level Espresso"/>
    <n v="94"/>
    <s v="Medium"/>
    <n v="50"/>
    <n v="64"/>
    <n v="22.03"/>
    <s v="Taiwan"/>
    <s v="Ethiopia"/>
    <x v="1"/>
  </r>
  <r>
    <s v="Mora Negra Geisha Hartmann Farm"/>
    <n v="95"/>
    <s v="Medium Light"/>
    <n v="56"/>
    <n v="78"/>
    <n v="12.79"/>
    <s v="USA"/>
    <s v="Panama"/>
    <x v="0"/>
  </r>
  <r>
    <s v="Gori Gesha Forest"/>
    <n v="95"/>
    <s v="Medium Light"/>
    <n v="54"/>
    <n v="74"/>
    <n v="15.43"/>
    <s v="USA"/>
    <s v="Ethiopia"/>
    <x v="1"/>
  </r>
  <r>
    <s v="Ethiopia Natural Hambela Buku"/>
    <n v="94"/>
    <s v="Medium Light"/>
    <n v="58"/>
    <n v="78"/>
    <n v="4.1900000000000004"/>
    <s v="Taiwan"/>
    <s v="Ethiopia"/>
    <x v="1"/>
  </r>
  <r>
    <s v="Panama Camilina Natural Geisha"/>
    <n v="94"/>
    <s v="Medium Light"/>
    <n v="58"/>
    <n v="78"/>
    <n v="22.02"/>
    <s v="USA"/>
    <s v="Panama"/>
    <x v="0"/>
  </r>
  <r>
    <s v="Kenya Nyeri Thageini Peaberry"/>
    <n v="94"/>
    <s v="Medium Light"/>
    <n v="52"/>
    <n v="71"/>
    <n v="5.73"/>
    <s v="USA"/>
    <s v="Kenya"/>
    <x v="1"/>
  </r>
  <r>
    <s v="Hawaii Kilauea Volcano Nano-Lot"/>
    <n v="96"/>
    <s v="Medium Light"/>
    <n v="59"/>
    <n v="82"/>
    <n v="21.16"/>
    <s v="USA"/>
    <s v="USA"/>
    <x v="0"/>
  </r>
  <r>
    <s v="Ethiopia Charbanta Natural"/>
    <n v="95"/>
    <s v="Medium Light"/>
    <n v="60"/>
    <n v="80"/>
    <n v="5.29"/>
    <s v="USA"/>
    <s v="Ethiopia"/>
    <x v="1"/>
  </r>
  <r>
    <s v="Panama Don Julian Pacamara"/>
    <n v="95"/>
    <s v="Light"/>
    <n v="65"/>
    <n v="82"/>
    <n v="11.02"/>
    <s v="USA"/>
    <s v="Panama"/>
    <x v="0"/>
  </r>
  <r>
    <s v="Esmeralda Noria Natural"/>
    <n v="95"/>
    <s v="Medium Light"/>
    <n v="58"/>
    <n v="78"/>
    <n v="20.94"/>
    <s v="USA"/>
    <s v="Panama"/>
    <x v="0"/>
  </r>
  <r>
    <s v="Miami Winter Holiday Blend"/>
    <n v="94"/>
    <s v="Light"/>
    <n v="62"/>
    <n v="84"/>
    <n v="8.82"/>
    <s v="USA"/>
    <s v="Kenya"/>
    <x v="1"/>
  </r>
  <r>
    <s v="Duncan Estate Panamanian Gesha"/>
    <n v="94"/>
    <s v="Light"/>
    <n v="66"/>
    <n v="82"/>
    <n v="14.11"/>
    <s v="USA"/>
    <s v="Panama"/>
    <x v="0"/>
  </r>
  <r>
    <s v="The Jungle"/>
    <n v="94"/>
    <s v="Medium Dark"/>
    <n v="43"/>
    <n v="52"/>
    <n v="220.46"/>
    <s v="Taiwan"/>
    <s v="Mexico"/>
    <x v="0"/>
  </r>
  <r>
    <s v="Ethiopia Yirgacheffe"/>
    <n v="94"/>
    <s v="Light"/>
    <n v="63"/>
    <n v="84"/>
    <n v="6.8"/>
    <s v="USA"/>
    <s v="Ethiopia"/>
    <x v="1"/>
  </r>
  <r>
    <s v="Ethiopia Washed Yirgacheffe вЂњParadiseвЂќ Espresso"/>
    <n v="95"/>
    <s v="Medium"/>
    <n v="47"/>
    <n v="70"/>
    <n v="308.64999999999998"/>
    <s v="Taiwan"/>
    <s v="Ethiopia"/>
    <x v="1"/>
  </r>
  <r>
    <s v="Kenya Lenana"/>
    <n v="94"/>
    <s v="Medium"/>
    <n v="52"/>
    <n v="64"/>
    <n v="4.78"/>
    <s v="USA"/>
    <s v="Kenya"/>
    <x v="1"/>
  </r>
  <r>
    <s v="вЂњMini-MeвЂќ Washed Yirgacheffe"/>
    <n v="95"/>
    <s v="Medium Light"/>
    <n v="52"/>
    <n v="74"/>
    <n v="286.60000000000002"/>
    <s v="Taiwan"/>
    <s v="Ethiopia"/>
    <x v="1"/>
  </r>
  <r>
    <s v="Kenya Guama Peaberry"/>
    <n v="97"/>
    <s v="Medium Light"/>
    <n v="56"/>
    <n v="78"/>
    <n v="7.05"/>
    <s v="USA"/>
    <s v="Kenya"/>
    <x v="1"/>
  </r>
  <r>
    <s v="Sumatra Tano Batak"/>
    <n v="95"/>
    <s v="Medium Light"/>
    <n v="55"/>
    <n v="77"/>
    <n v="6.17"/>
    <s v="USA"/>
    <s v="Indonesia"/>
    <x v="2"/>
  </r>
  <r>
    <s v="Los Congos Pacamara Natural"/>
    <n v="94"/>
    <s v="Medium Light"/>
    <n v="60"/>
    <n v="76"/>
    <n v="5.88"/>
    <s v="USA"/>
    <s v="Nicaragua"/>
    <x v="0"/>
  </r>
  <r>
    <s v="Kibugu Kenya"/>
    <n v="94"/>
    <s v="Medium Light"/>
    <n v="60"/>
    <n v="78"/>
    <n v="5.28"/>
    <s v="USA"/>
    <s v="Kenya"/>
    <x v="1"/>
  </r>
  <r>
    <s v="Granja La Esperanza Colombia"/>
    <n v="94"/>
    <s v="Medium Light"/>
    <n v="56"/>
    <n v="78"/>
    <n v="7.05"/>
    <s v="USA"/>
    <s v="Colombia"/>
    <x v="0"/>
  </r>
  <r>
    <s v="Mokka"/>
    <n v="95"/>
    <s v="Medium Light"/>
    <n v="54"/>
    <n v="76"/>
    <n v="17.61"/>
    <s v="USA"/>
    <s v="USA"/>
    <x v="0"/>
  </r>
  <r>
    <s v="Kenya Gathugu"/>
    <n v="95"/>
    <s v="Medium Light"/>
    <n v="60"/>
    <n v="80"/>
    <n v="5.28"/>
    <s v="USA"/>
    <s v="Kenya"/>
    <x v="1"/>
  </r>
  <r>
    <s v="Pacamara Finca Los Planes El Salvador"/>
    <n v="94"/>
    <s v="Medium Light"/>
    <n v="55"/>
    <n v="78"/>
    <n v="5.73"/>
    <s v="USA"/>
    <s v="El Salvador"/>
    <x v="0"/>
  </r>
  <r>
    <s v="Kenya Karindundu"/>
    <n v="95"/>
    <s v="Medium Light"/>
    <n v="56"/>
    <n v="78"/>
    <n v="5.29"/>
    <s v="USA"/>
    <s v="Kenya"/>
    <x v="1"/>
  </r>
  <r>
    <s v="Panama Finca Las Brujas Geisha Natural"/>
    <n v="96"/>
    <s v="Medium Light"/>
    <n v="57"/>
    <n v="80"/>
    <n v="22.05"/>
    <s v="USA"/>
    <s v="Panama"/>
    <x v="0"/>
  </r>
  <r>
    <s v="P.r.o. Coffee Ethiopia Yirgacheffe"/>
    <n v="95"/>
    <s v="Medium Light"/>
    <n v="56"/>
    <n v="78"/>
    <n v="52.86"/>
    <s v="China"/>
    <s v="Ethiopia"/>
    <x v="1"/>
  </r>
  <r>
    <s v="Gichichi Peaberry Kenya"/>
    <n v="94"/>
    <s v="Medium Light"/>
    <n v="57"/>
    <n v="77"/>
    <n v="4.7"/>
    <s v="USA"/>
    <s v="Kenya"/>
    <x v="1"/>
  </r>
  <r>
    <s v="Blade Runner Blend"/>
    <n v="95"/>
    <s v="Medium Light"/>
    <n v="56"/>
    <n v="82"/>
    <n v="6.4"/>
    <s v="Australia"/>
    <s v="Brazil"/>
    <x v="0"/>
  </r>
  <r>
    <s v="LauraвЂ™s Reserve SL-28"/>
    <n v="96"/>
    <s v="Medium Light"/>
    <n v="56"/>
    <n v="82"/>
    <n v="19.82"/>
    <s v="USA"/>
    <s v="USA"/>
    <x v="0"/>
  </r>
  <r>
    <s v="Panama Finca Mama Cata Microlot Tona"/>
    <n v="94"/>
    <s v="Light"/>
    <n v="58"/>
    <n v="84"/>
    <n v="6.61"/>
    <s v="USA"/>
    <s v="Panama"/>
    <x v="0"/>
  </r>
  <r>
    <s v="Mr. David Mburu Kenya"/>
    <n v="96"/>
    <s v="Medium Light"/>
    <n v="56"/>
    <n v="78"/>
    <n v="6"/>
    <s v="USA"/>
    <s v="Kenya"/>
    <x v="1"/>
  </r>
  <r>
    <s v="Meaza Ethiopia"/>
    <n v="95"/>
    <s v="Medium Light"/>
    <n v="54"/>
    <n v="74"/>
    <n v="6"/>
    <s v="USA"/>
    <s v="Ethiopia"/>
    <x v="1"/>
  </r>
  <r>
    <s v="Costa Rica Finca Chispirta"/>
    <n v="94"/>
    <s v="Medium Light"/>
    <n v="54"/>
    <n v="68"/>
    <n v="11.02"/>
    <s v="USA"/>
    <s v="Costa Rica"/>
    <x v="0"/>
  </r>
  <r>
    <s v="Las Lajas Perla Negra Natural"/>
    <n v="94"/>
    <s v="Medium Light"/>
    <n v="52"/>
    <n v="70"/>
    <n v="6.47"/>
    <s v="USA"/>
    <s v="Costa Rica"/>
    <x v="0"/>
  </r>
  <r>
    <s v="Ninety Plus Silvia Solkiln N2"/>
    <n v="96"/>
    <s v="Medium"/>
    <n v="45"/>
    <n v="58"/>
    <n v="1152.42"/>
    <s v="Taiwan"/>
    <s v="Panama"/>
    <x v="0"/>
  </r>
  <r>
    <s v="P.R.O. Special Blended Coffee"/>
    <n v="94"/>
    <s v="Medium Dark"/>
    <n v="44"/>
    <n v="54"/>
    <n v="509.25"/>
    <s v="Taiwan"/>
    <s v="Costa Rica"/>
    <x v="0"/>
  </r>
  <r>
    <s v="Ethiopia Natural Yirgacheffe Gedeb G1 Lot 118"/>
    <n v="94"/>
    <s v="Medium Light"/>
    <n v="58"/>
    <n v="80"/>
    <n v="4.63"/>
    <s v="Taiwan"/>
    <s v="Ethiopia"/>
    <x v="1"/>
  </r>
  <r>
    <s v="Kenya Karatu"/>
    <n v="94"/>
    <s v="Medium Light"/>
    <n v="57"/>
    <n v="78"/>
    <n v="5.29"/>
    <s v="USA"/>
    <s v="Kenya"/>
    <x v="1"/>
  </r>
  <r>
    <s v="Ethiopia Gedeb Natural"/>
    <n v="94"/>
    <s v="Medium Light"/>
    <n v="58"/>
    <n v="77"/>
    <n v="5"/>
    <s v="USA"/>
    <s v="Ethiopia"/>
    <x v="1"/>
  </r>
  <r>
    <s v="Sumatra Tano Batak"/>
    <n v="95"/>
    <s v="Medium"/>
    <n v="51"/>
    <n v="62"/>
    <n v="4.4800000000000004"/>
    <s v="USA"/>
    <s v="Indonesia"/>
    <x v="2"/>
  </r>
  <r>
    <s v="Kenya Gathiruini"/>
    <n v="95"/>
    <s v="Medium Light"/>
    <n v="56"/>
    <n v="78"/>
    <n v="7.35"/>
    <s v="USA"/>
    <s v="Kenya"/>
    <x v="1"/>
  </r>
  <r>
    <s v="Kenya Thageini"/>
    <n v="96"/>
    <s v="Light"/>
    <n v="58"/>
    <n v="84"/>
    <n v="6.17"/>
    <s v="USA"/>
    <s v="Kenya"/>
    <x v="1"/>
  </r>
  <r>
    <s v="Kenya Gatomboya Peaberry"/>
    <n v="96"/>
    <s v="Medium Light"/>
    <n v="55"/>
    <n v="74"/>
    <n v="5.57"/>
    <s v="USA"/>
    <s v="Kenya"/>
    <x v="1"/>
  </r>
  <r>
    <s v="Elida Natural Dragonfly Lot"/>
    <n v="94"/>
    <s v="Medium Light"/>
    <n v="55"/>
    <n v="75"/>
    <n v="5.29"/>
    <s v="USA"/>
    <s v="Panama"/>
    <x v="0"/>
  </r>
  <r>
    <s v="Worka Ethiopia"/>
    <n v="95"/>
    <s v="Medium Light"/>
    <n v="58"/>
    <n v="78"/>
    <n v="5.51"/>
    <s v="USA"/>
    <s v="Ethiopia"/>
    <x v="1"/>
  </r>
  <r>
    <s v="Indonesia Sumatra Tano Batak"/>
    <n v="94"/>
    <s v="Medium Light"/>
    <n v="52"/>
    <n v="74"/>
    <n v="6.17"/>
    <s v="USA"/>
    <s v="Indonesia"/>
    <x v="2"/>
  </r>
  <r>
    <s v="Ethiopia Hambela Washed"/>
    <n v="94"/>
    <s v="Light"/>
    <n v="65"/>
    <n v="78"/>
    <n v="4.7"/>
    <s v="USA"/>
    <s v="Ethiopia"/>
    <x v="1"/>
  </r>
  <r>
    <s v="Kenya Muranga Gondo AA"/>
    <n v="96"/>
    <s v="Medium Light"/>
    <n v="56"/>
    <n v="80"/>
    <n v="4.8499999999999996"/>
    <s v="Taiwan"/>
    <s v="Kenya"/>
    <x v="1"/>
  </r>
  <r>
    <s v="Kenya Small-Lot Reserve Karatina AA"/>
    <n v="95"/>
    <s v="Medium Light"/>
    <n v="56"/>
    <n v="78"/>
    <n v="5.29"/>
    <s v="USA"/>
    <s v="Kenya"/>
    <x v="1"/>
  </r>
  <r>
    <s v="Washed Yirgacheffe Aramo Alemayehu Berhanu"/>
    <n v="95"/>
    <s v="Medium Light"/>
    <n v="56"/>
    <n v="78"/>
    <n v="4.1900000000000004"/>
    <s v="Taiwan"/>
    <s v="Ethiopia"/>
    <x v="1"/>
  </r>
  <r>
    <s v="Kenya Nyeri Gathugu"/>
    <n v="94"/>
    <s v="Medium Light"/>
    <n v="54"/>
    <n v="75"/>
    <n v="4.41"/>
    <s v="USA"/>
    <s v="Kenya"/>
    <x v="1"/>
  </r>
  <r>
    <s v="Ethiopia Yirgacheffe Chelelektu"/>
    <n v="94"/>
    <s v="Light"/>
    <n v="69"/>
    <n v="84"/>
    <n v="2557.3200000000002"/>
    <s v="Taiwan"/>
    <s v="Ethiopia"/>
    <x v="1"/>
  </r>
  <r>
    <s v="Passport Collection Kenya Ichamara"/>
    <n v="94"/>
    <s v="Medium Light"/>
    <n v="54"/>
    <n v="73"/>
    <n v="4.7"/>
    <s v="USA"/>
    <s v="Kenya"/>
    <x v="1"/>
  </r>
  <r>
    <s v="Ethiopia Limu Natural No. 701"/>
    <n v="94"/>
    <s v="Medium Light"/>
    <n v="57"/>
    <n v="80"/>
    <n v="4.8499999999999996"/>
    <s v="USA"/>
    <s v="Ethiopia"/>
    <x v="1"/>
  </r>
  <r>
    <s v="Ethiopia Yirgacheffe YCFCU Idido"/>
    <n v="94"/>
    <s v="Medium Light"/>
    <n v="52"/>
    <n v="76"/>
    <n v="255.51"/>
    <s v="Taiwan"/>
    <s v="Ethiopia"/>
    <x v="1"/>
  </r>
  <r>
    <s v="Sumatra Black Panther"/>
    <n v="94"/>
    <s v="Medium"/>
    <n v="50"/>
    <n v="69"/>
    <n v="4"/>
    <s v="South Korea"/>
    <s v="Indonesia"/>
    <x v="2"/>
  </r>
  <r>
    <s v="Sumatra Lintong Mutu Batak"/>
    <n v="94"/>
    <s v="Medium Light"/>
    <n v="54"/>
    <n v="74"/>
    <n v="4.26"/>
    <s v="USA"/>
    <s v="Indonesia"/>
    <x v="2"/>
  </r>
  <r>
    <s v="Amaro Gayo Natural Ethiopia"/>
    <n v="94"/>
    <s v="Light"/>
    <n v="58"/>
    <n v="90"/>
    <n v="5.28"/>
    <s v="USA"/>
    <s v="Ethiopia"/>
    <x v="1"/>
  </r>
  <r>
    <s v="Ardi Ethiopia Natural"/>
    <n v="94"/>
    <s v="Medium Light"/>
    <n v="54"/>
    <n v="79"/>
    <n v="4.7"/>
    <s v="USA"/>
    <s v="Ethiopia"/>
    <x v="1"/>
  </r>
  <r>
    <s v="Deri Kochoha Espresso"/>
    <n v="96"/>
    <s v="Medium Light"/>
    <n v="56"/>
    <n v="78"/>
    <n v="4.9400000000000004"/>
    <s v="USA"/>
    <s v="Ethiopia"/>
    <x v="1"/>
  </r>
  <r>
    <s v="Camilina Geisha Auromar Natural"/>
    <n v="95"/>
    <s v="Light"/>
    <n v="58"/>
    <n v="84"/>
    <n v="21.83"/>
    <s v="USA"/>
    <s v="Panama"/>
    <x v="0"/>
  </r>
  <r>
    <s v="ManLao River Ethiopia Yirgacheffe Dry Process Gedeb Asasa"/>
    <n v="94"/>
    <s v="Medium Light"/>
    <n v="54"/>
    <n v="78"/>
    <n v="50"/>
    <s v="China"/>
    <s v="Ethiopia"/>
    <x v="1"/>
  </r>
  <r>
    <s v="Deri Kochoha Ethiopia"/>
    <n v="94"/>
    <s v="Medium Light"/>
    <n v="56"/>
    <n v="80"/>
    <n v="4.9400000000000004"/>
    <s v="USA"/>
    <s v="Ethiopia"/>
    <x v="1"/>
  </r>
  <r>
    <s v="Cachajinas Guatemala Huehuetenango"/>
    <n v="94"/>
    <s v="Medium Light"/>
    <n v="56"/>
    <n v="80"/>
    <n v="5.28"/>
    <s v="USA"/>
    <s v="Guatemala"/>
    <x v="0"/>
  </r>
  <r>
    <s v="Ethiopia Yirgacheffe Goro"/>
    <n v="94"/>
    <s v="Medium Light"/>
    <n v="54"/>
    <n v="76"/>
    <n v="6.4"/>
    <s v="Australia"/>
    <s v="Ethiopia"/>
    <x v="1"/>
  </r>
  <r>
    <s v="El Obraje Geisha"/>
    <n v="95"/>
    <s v="Medium Light"/>
    <n v="50"/>
    <n v="73"/>
    <n v="9.41"/>
    <s v="USA"/>
    <s v="Colombia"/>
    <x v="0"/>
  </r>
  <r>
    <s v="Ethiopia Yirgacheffe Reko"/>
    <n v="96"/>
    <s v="Medium Light"/>
    <n v="54"/>
    <n v="76"/>
    <n v="5.73"/>
    <s v="USA"/>
    <s v="Ethiopia"/>
    <x v="1"/>
  </r>
  <r>
    <s v="Costa Rica Alberto Guardia Bourbon Natural"/>
    <n v="95"/>
    <s v="Medium Light"/>
    <n v="60"/>
    <n v="80"/>
    <n v="6.03"/>
    <s v="USA"/>
    <s v="Costa Rica"/>
    <x v="0"/>
  </r>
  <r>
    <s v="Colombia San Adolfo"/>
    <n v="94"/>
    <s v="Light"/>
    <n v="65"/>
    <n v="81"/>
    <n v="5"/>
    <s v="USA"/>
    <s v="Colombia"/>
    <x v="0"/>
  </r>
  <r>
    <s v="LauraвЂ™s Reserve SL-28"/>
    <n v="94"/>
    <s v="Medium Light"/>
    <n v="58"/>
    <n v="83"/>
    <n v="17.61"/>
    <s v="USA"/>
    <s v="USA"/>
    <x v="0"/>
  </r>
  <r>
    <s v="Brazil Estancia Telese"/>
    <n v="94"/>
    <s v="Light"/>
    <n v="66"/>
    <n v="83"/>
    <n v="3.89"/>
    <s v="USA"/>
    <s v="Brazil"/>
    <x v="0"/>
  </r>
  <r>
    <s v="Brazil Fazenda Passeio Natural"/>
    <n v="94"/>
    <s v="Medium Light"/>
    <n v="55"/>
    <n v="81"/>
    <n v="3.08"/>
    <s v="USA"/>
    <s v="Brazil"/>
    <x v="0"/>
  </r>
  <r>
    <s v="Kenya Nyeri Gatugi AA"/>
    <n v="94"/>
    <s v="Light"/>
    <n v="60"/>
    <n v="84"/>
    <n v="110.23"/>
    <s v="Taiwan"/>
    <s v="Kenya"/>
    <x v="1"/>
  </r>
  <r>
    <s v="Panama La Esmeralda Bosque Geisha"/>
    <n v="95"/>
    <s v="Medium Light"/>
    <n v="53"/>
    <n v="80"/>
    <n v="22.05"/>
    <s v="USA"/>
    <s v="Panama"/>
    <x v="0"/>
  </r>
  <r>
    <s v="Ethiopia Yirgacheffe Kebele Kochore"/>
    <n v="94"/>
    <s v="Medium Light"/>
    <n v="48"/>
    <n v="78"/>
    <n v="6.17"/>
    <s v="USA"/>
    <s v="Ethiopia"/>
    <x v="1"/>
  </r>
  <r>
    <s v="El Sitio Ecuador"/>
    <n v="94"/>
    <s v="Medium Light"/>
    <n v="52"/>
    <n v="80"/>
    <n v="5.57"/>
    <s v="USA"/>
    <s v="Ecuador"/>
    <x v="0"/>
  </r>
  <r>
    <s v="Harfusa Espresso"/>
    <n v="94"/>
    <s v="Medium Light"/>
    <n v="57"/>
    <n v="84"/>
    <n v="5.23"/>
    <s v="USA"/>
    <s v="Ethiopia"/>
    <x v="1"/>
  </r>
  <r>
    <s v="SOPACDI Congo"/>
    <n v="94"/>
    <s v="Medium Light"/>
    <n v="54"/>
    <n v="74"/>
    <n v="5.28"/>
    <s v="USA"/>
    <s v="Democratic Republic of the Congo"/>
    <x v="1"/>
  </r>
  <r>
    <s v="Reserve Panama Geisha Hacienda La Esmeralda"/>
    <n v="95"/>
    <s v="Medium Light"/>
    <n v="54"/>
    <n v="86"/>
    <n v="23.37"/>
    <s v="USA"/>
    <s v="Panama"/>
    <x v="0"/>
  </r>
  <r>
    <s v="Competition Blend"/>
    <n v="94"/>
    <s v="Light"/>
    <n v="62"/>
    <n v="84"/>
    <n v="4.99"/>
    <s v="USA"/>
    <s v="Ethiopia"/>
    <x v="1"/>
  </r>
  <r>
    <s v="Bean Brain Reserve Suke Quto Ethiopia Sidamo Espresso"/>
    <n v="94"/>
    <s v="Medium Light"/>
    <n v="60"/>
    <n v="80"/>
    <n v="5.59"/>
    <s v="USA"/>
    <s v="Ethiopia"/>
    <x v="1"/>
  </r>
  <r>
    <s v="Hambela Ethiopia"/>
    <n v="96"/>
    <s v="Medium Light"/>
    <n v="57"/>
    <n v="82"/>
    <n v="5.13"/>
    <s v="USA"/>
    <s v="Ethiopia"/>
    <x v="1"/>
  </r>
  <r>
    <s v="Drima Zede Ethiopia"/>
    <n v="94"/>
    <s v="Medium Light"/>
    <n v="57"/>
    <n v="82"/>
    <n v="39.65"/>
    <s v="China"/>
    <s v="Ethiopia"/>
    <x v="1"/>
  </r>
  <r>
    <s v="Ecuador Juan PeГ±a"/>
    <n v="94"/>
    <s v="Light"/>
    <n v="64"/>
    <n v="78"/>
    <n v="8"/>
    <s v="USA"/>
    <s v="Ecuador"/>
    <x v="0"/>
  </r>
  <r>
    <s v="Kenya Othaya Peaberry"/>
    <n v="94"/>
    <s v="Medium Light"/>
    <n v="55"/>
    <n v="80"/>
    <n v="4.34"/>
    <s v="USA"/>
    <s v="Kenya"/>
    <x v="1"/>
  </r>
  <r>
    <s v="Organic Ethiopia Aramo Natural"/>
    <n v="94"/>
    <s v="Light"/>
    <n v="64"/>
    <n v="84"/>
    <n v="5.22"/>
    <s v="USA"/>
    <s v="Ethiopia"/>
    <x v="1"/>
  </r>
  <r>
    <s v="Love Shack (Kenya)"/>
    <n v="94"/>
    <s v="Medium Light"/>
    <n v="54"/>
    <n v="78"/>
    <n v="5.14"/>
    <s v="USA"/>
    <s v="Kenya"/>
    <x v="1"/>
  </r>
  <r>
    <s v="100% Kona Bourbon Pointu Laurina"/>
    <n v="94"/>
    <s v="Medium Light"/>
    <n v="56"/>
    <n v="78"/>
    <n v="15.41"/>
    <s v="USA"/>
    <s v="USA"/>
    <x v="0"/>
  </r>
  <r>
    <s v="Costa Rica Alberto Guardia Venecia Natural"/>
    <n v="95"/>
    <s v="Light"/>
    <n v="60"/>
    <n v="82"/>
    <n v="5.44"/>
    <s v="USA"/>
    <s v="Costa Rica"/>
    <x v="0"/>
  </r>
  <r>
    <s v="Adame Gorbota Espresso"/>
    <n v="95"/>
    <s v="Medium Light"/>
    <n v="56"/>
    <n v="72"/>
    <n v="5.14"/>
    <s v="USA"/>
    <s v="Ethiopia"/>
    <x v="1"/>
  </r>
  <r>
    <s v="El Aguila Pacamara Espresso"/>
    <n v="94"/>
    <s v="Medium Light"/>
    <n v="60"/>
    <n v="80"/>
    <n v="4.63"/>
    <s v="El Salvador"/>
    <s v="El Salvador"/>
    <x v="0"/>
  </r>
  <r>
    <s v="Ethiopia Natural Yirgacheffe Banko Gutiti Coop"/>
    <n v="95"/>
    <s v="Light"/>
    <n v="62"/>
    <n v="84"/>
    <n v="132.28"/>
    <s v="Taiwan"/>
    <s v="Ethiopia"/>
    <x v="1"/>
  </r>
  <r>
    <s v="Ethiopia Natural Sidamo Guji Shakisso"/>
    <n v="94"/>
    <s v="Medium Light"/>
    <n v="53"/>
    <n v="81"/>
    <n v="110.23"/>
    <s v="Taiwan"/>
    <s v="Ethiopia"/>
    <x v="1"/>
  </r>
  <r>
    <s v="Colombia Granja La Esperanza Las Margaritas Sudan Rume"/>
    <n v="95"/>
    <s v="Medium Light"/>
    <n v="52"/>
    <n v="78"/>
    <n v="15.43"/>
    <s v="USA"/>
    <s v="Colombia"/>
    <x v="0"/>
  </r>
  <r>
    <s v="Adame Gorbota Ethiopia"/>
    <n v="94"/>
    <s v="Medium Light"/>
    <n v="54"/>
    <n v="82"/>
    <n v="5.14"/>
    <s v="USA"/>
    <s v="Ethiopia"/>
    <x v="1"/>
  </r>
  <r>
    <s v="Ethiopia Yirgacheffe Adado"/>
    <n v="94"/>
    <s v="Medium Light"/>
    <n v="55"/>
    <n v="78"/>
    <n v="4.5599999999999996"/>
    <s v="USA"/>
    <s v="Ethiopia"/>
    <x v="1"/>
  </r>
  <r>
    <s v="Panama Ratibor Hartmann Natural"/>
    <n v="95"/>
    <s v="Medium Light"/>
    <n v="58"/>
    <n v="80"/>
    <n v="5.14"/>
    <s v="USA"/>
    <s v="Panama"/>
    <x v="0"/>
  </r>
  <r>
    <s v="Kenya AA Nyeri Tambaya"/>
    <n v="94"/>
    <s v="Light"/>
    <n v="60"/>
    <n v="84"/>
    <n v="4.55"/>
    <s v="USA"/>
    <s v="Kenya"/>
    <x v="1"/>
  </r>
  <r>
    <s v="Costa Rica Las Lajas Red Honey"/>
    <n v="94"/>
    <s v="Medium Light"/>
    <n v="53"/>
    <n v="77"/>
    <n v="4.8499999999999996"/>
    <s v="USA"/>
    <s v="Costa Rica"/>
    <x v="0"/>
  </r>
  <r>
    <s v="Bernachon Panama Geisha"/>
    <n v="95"/>
    <s v="Medium Light"/>
    <n v="60"/>
    <n v="76"/>
    <n v="616.74"/>
    <s v="Taiwan"/>
    <s v="Panama"/>
    <x v="0"/>
  </r>
  <r>
    <s v="Panama La Esmeralda Geisha Bosque Natural"/>
    <n v="97"/>
    <s v="Medium Light"/>
    <n v="59"/>
    <n v="82"/>
    <n v="27.34"/>
    <s v="USA"/>
    <s v="Panama"/>
    <x v="0"/>
  </r>
  <r>
    <s v="Harfusa Ethiopia Yirgacheffe Fair Trade Organic"/>
    <n v="95"/>
    <s v="Medium Light"/>
    <n v="54"/>
    <n v="76"/>
    <n v="5.23"/>
    <s v="USA"/>
    <s v="Ethiopia"/>
    <x v="1"/>
  </r>
  <r>
    <s v="ASOPCAFA Colombia"/>
    <n v="94"/>
    <s v="Medium Light"/>
    <n v="60"/>
    <n v="77"/>
    <n v="4.37"/>
    <s v="USA"/>
    <s v="Colombia"/>
    <x v="0"/>
  </r>
  <r>
    <s v="Guatemala San Sebastian Natural"/>
    <n v="95"/>
    <s v="Medium Light"/>
    <n v="59"/>
    <n v="78"/>
    <n v="5.8"/>
    <s v="USA"/>
    <s v="Guatemala"/>
    <x v="0"/>
  </r>
  <r>
    <s v="Ethiopia Hachira Natural Espresso"/>
    <n v="94"/>
    <s v="Light"/>
    <n v="62"/>
    <n v="87"/>
    <n v="9"/>
    <s v="USA"/>
    <s v="Ethiopia"/>
    <x v="1"/>
  </r>
  <r>
    <s v="Ethiopia Kochere Espresso Profile"/>
    <n v="94"/>
    <s v="Medium Light"/>
    <n v="50"/>
    <n v="79"/>
    <n v="5.62"/>
    <s v="USA"/>
    <s v="Ethiopia"/>
    <x v="1"/>
  </r>
  <r>
    <s v="Kenya Nyeri Kiama FCS Ichuga Factory Peaberry"/>
    <n v="95"/>
    <s v="Medium"/>
    <n v="49"/>
    <n v="68"/>
    <n v="5.73"/>
    <s v="USA"/>
    <s v="Kenya"/>
    <x v="1"/>
  </r>
  <r>
    <s v="Kenya Nyeri Thageini"/>
    <n v="94"/>
    <s v="Medium Light"/>
    <n v="54"/>
    <n v="68"/>
    <n v="5.29"/>
    <s v="USA"/>
    <s v="Kenya"/>
    <x v="1"/>
  </r>
  <r>
    <s v="Kenya AA Lot-125 вЂњQueen FloraвЂќ"/>
    <n v="95"/>
    <s v="Medium Dark"/>
    <n v="44"/>
    <n v="56"/>
    <n v="396.83"/>
    <s v="Taiwan"/>
    <s v="Kenya"/>
    <x v="1"/>
  </r>
  <r>
    <s v="Ethiopia Natural Yirgacheffe Phoenix Special вЂњKing SolomonвЂќ"/>
    <n v="94"/>
    <s v="Medium"/>
    <n v="48"/>
    <n v="60"/>
    <n v="352.73"/>
    <s v="Taiwan"/>
    <s v="Ethiopia"/>
    <x v="1"/>
  </r>
  <r>
    <s v="Fully Washed Ethiopia Phoenix Special вЂњDr. EvilвЂќ"/>
    <n v="94"/>
    <s v="Medium"/>
    <n v="45"/>
    <n v="57"/>
    <n v="308.64"/>
    <s v="Taiwan"/>
    <s v="Ethiopia"/>
    <x v="1"/>
  </r>
  <r>
    <s v="Sulawesi вЂњTanah KebangkitanвЂќ Phoenix Special Espresso"/>
    <n v="94"/>
    <s v="Medium Dark"/>
    <n v="44"/>
    <n v="56"/>
    <n v="308.64"/>
    <s v="Taiwan"/>
    <s v="Indonesia"/>
    <x v="2"/>
  </r>
  <r>
    <s v="Kenya AA Lot-122 вЂњExcaliburвЂќ Espresso"/>
    <n v="94"/>
    <s v="Medium Dark"/>
    <n v="45"/>
    <n v="54"/>
    <n v="396.83"/>
    <s v="Taiwan"/>
    <s v="Kenya"/>
    <x v="1"/>
  </r>
  <r>
    <s v="Panama Elida Natural Lot #13"/>
    <n v="95"/>
    <s v="Light"/>
    <n v="63"/>
    <n v="86"/>
    <n v="8"/>
    <s v="USA"/>
    <s v="Panama"/>
    <x v="0"/>
  </r>
  <r>
    <s v="EmmaвЂ™s Jo: The Leam Hammer Competition Espresso"/>
    <n v="95"/>
    <s v="Medium Light"/>
    <n v="55"/>
    <n v="75"/>
    <n v="5.29"/>
    <s v="USA"/>
    <s v="Unknown"/>
    <x v="3"/>
  </r>
  <r>
    <s v="Costa Rica Sumava Natural Lot"/>
    <n v="94"/>
    <s v="Light"/>
    <n v="61"/>
    <n v="85"/>
    <n v="8"/>
    <s v="USA"/>
    <s v="Costa Rica"/>
    <x v="0"/>
  </r>
  <r>
    <s v="Panama Auromar Geisha Natural Peaberry"/>
    <n v="96"/>
    <s v="Medium Light"/>
    <n v="53"/>
    <n v="70"/>
    <n v="17.64"/>
    <s v="USA"/>
    <s v="Panama"/>
    <x v="0"/>
  </r>
  <r>
    <s v="El Burro Geisha Tachi Natural"/>
    <n v="95"/>
    <s v="Medium Light"/>
    <n v="55"/>
    <n v="75"/>
    <n v="13.8"/>
    <s v="USA"/>
    <s v="Panama"/>
    <x v="0"/>
  </r>
  <r>
    <s v="Holiday Blend"/>
    <n v="95"/>
    <s v="Medium Light"/>
    <n v="54"/>
    <n v="77"/>
    <n v="4.4800000000000004"/>
    <s v="USA"/>
    <s v="Unknown"/>
    <x v="3"/>
  </r>
  <r>
    <s v="Holiday Blend"/>
    <n v="95"/>
    <s v="Light"/>
    <n v="66"/>
    <n v="82"/>
    <n v="11.02"/>
    <s v="Taiwan"/>
    <s v="Unknown"/>
    <x v="3"/>
  </r>
  <r>
    <s v="Nicaragua Pacamara Los Congos Lot #8"/>
    <n v="95"/>
    <s v="Light"/>
    <n v="68"/>
    <n v="82"/>
    <n v="8"/>
    <s v="USA"/>
    <s v="Nicaragua"/>
    <x v="0"/>
  </r>
  <r>
    <s v="Panama Boquete Kotowa Gesha Natural"/>
    <n v="94"/>
    <s v="Light"/>
    <n v="64"/>
    <n v="84"/>
    <n v="19.84"/>
    <s v="USA"/>
    <s v="Panama"/>
    <x v="0"/>
  </r>
  <r>
    <s v="Holiday Blend"/>
    <n v="94"/>
    <s v="Medium Light"/>
    <n v="59"/>
    <n v="70"/>
    <n v="5.56"/>
    <s v="USA"/>
    <s v="Ethiopia"/>
    <x v="1"/>
  </r>
  <r>
    <s v="Panama Finca Auromar Camilina Natural"/>
    <n v="94"/>
    <s v="Light"/>
    <n v="66"/>
    <n v="90"/>
    <n v="22.05"/>
    <s v="USA"/>
    <s v="Panama"/>
    <x v="0"/>
  </r>
  <r>
    <s v="El Aguila SL-28 El Salvador"/>
    <n v="94"/>
    <s v="Medium Light"/>
    <n v="58"/>
    <n v="77"/>
    <n v="5.51"/>
    <s v="USA"/>
    <s v="El Salvador"/>
    <x v="0"/>
  </r>
  <r>
    <s v="Ethiopia Sidama Special Lot Natural"/>
    <n v="95"/>
    <s v="Light"/>
    <n v="63"/>
    <n v="86"/>
    <n v="5.29"/>
    <s v="USA"/>
    <s v="Ethiopia"/>
    <x v="1"/>
  </r>
  <r>
    <s v="Panama Finca Deborah Caturra Natural"/>
    <n v="94"/>
    <s v="Light"/>
    <n v="65"/>
    <n v="88"/>
    <n v="8.82"/>
    <s v="USA"/>
    <s v="Panama"/>
    <x v="0"/>
  </r>
  <r>
    <s v="Nekisse Red N2 Level 39"/>
    <n v="96"/>
    <s v="Medium Light"/>
    <n v="63"/>
    <n v="74"/>
    <n v="188"/>
    <s v="China"/>
    <s v="Ethiopia"/>
    <x v="1"/>
  </r>
  <r>
    <s v="Panama La Esmeralda Bosque Lot 1 Gesha"/>
    <n v="94"/>
    <s v="Light"/>
    <n v="64"/>
    <n v="85"/>
    <n v="21.16"/>
    <s v="USA"/>
    <s v="Panama"/>
    <x v="0"/>
  </r>
  <r>
    <s v="Finca La Mula Panama Geisha Natural"/>
    <n v="95"/>
    <s v="Medium Light"/>
    <n v="52"/>
    <n v="73"/>
    <n v="22.02"/>
    <s v="USA"/>
    <s v="Panama"/>
    <x v="0"/>
  </r>
  <r>
    <s v="La Lagunita El Salvador"/>
    <n v="94"/>
    <s v="Medium Light"/>
    <n v="59"/>
    <n v="79"/>
    <n v="5.51"/>
    <s v="USA"/>
    <s v="El Salvador"/>
    <x v="0"/>
  </r>
  <r>
    <s v="Kenya Kinuyu AA"/>
    <n v="95"/>
    <s v="Medium Light"/>
    <n v="57"/>
    <n v="70"/>
    <n v="6.17"/>
    <s v="USA"/>
    <s v="Kenya"/>
    <x v="1"/>
  </r>
  <r>
    <s v="Costa Rica Alberto Guardia Venecia Honey"/>
    <n v="94"/>
    <s v="Light"/>
    <n v="63"/>
    <n v="85"/>
    <n v="5.44"/>
    <s v="USA"/>
    <s v="Costa Rica"/>
    <x v="0"/>
  </r>
  <r>
    <s v="Nicaragua Cafe Vidita Los Congos Pacamara Natural"/>
    <n v="95"/>
    <s v="Light"/>
    <n v="63"/>
    <n v="91"/>
    <n v="5.29"/>
    <s v="USA"/>
    <s v="Nicaragua"/>
    <x v="0"/>
  </r>
  <r>
    <s v="Kenya Kigutha AA"/>
    <n v="94"/>
    <s v="Medium Light"/>
    <n v="60"/>
    <n v="78"/>
    <n v="5.28"/>
    <s v="USA"/>
    <s v="Kenya"/>
    <x v="1"/>
  </r>
  <r>
    <s v="Panama Altieri Natural Geisha"/>
    <n v="96"/>
    <s v="Medium"/>
    <n v="49"/>
    <n v="72"/>
    <n v="22.02"/>
    <s v="USA"/>
    <s v="Panama"/>
    <x v="0"/>
  </r>
  <r>
    <s v="Organic Espresso"/>
    <n v="94"/>
    <s v="Medium"/>
    <n v="52"/>
    <n v="60"/>
    <n v="4.41"/>
    <s v="USA"/>
    <s v="Unknown"/>
    <x v="3"/>
  </r>
  <r>
    <s v="Kemgin Ninety Plus"/>
    <n v="94"/>
    <s v="Medium Light"/>
    <n v="52"/>
    <n v="72"/>
    <n v="7.63"/>
    <s v="USA"/>
    <s v="Ethiopia"/>
    <x v="1"/>
  </r>
  <r>
    <s v="Ethiopia Nigusse Lemma"/>
    <n v="94"/>
    <s v="Medium Light"/>
    <n v="58"/>
    <n v="76"/>
    <n v="4.9800000000000004"/>
    <s v="USA"/>
    <s v="Ethiopia"/>
    <x v="1"/>
  </r>
  <r>
    <s v="Panama Don Pepe Estate Geisha Single-Origin Espresso"/>
    <n v="96"/>
    <s v="Medium"/>
    <n v="48"/>
    <n v="59"/>
    <n v="5.73"/>
    <s v="USA"/>
    <s v="Panama"/>
    <x v="0"/>
  </r>
  <r>
    <s v="Ichamama Kenya"/>
    <n v="94"/>
    <s v="Medium Light"/>
    <n v="56"/>
    <n v="74"/>
    <n v="4.7300000000000004"/>
    <s v="USA"/>
    <s v="Kenya"/>
    <x v="1"/>
  </r>
  <r>
    <s v="Las Flores Espresso"/>
    <n v="95"/>
    <s v="Medium Light"/>
    <n v="57"/>
    <n v="78"/>
    <n v="4.6399999999999997"/>
    <s v="USA"/>
    <s v="Costa Rica"/>
    <x v="0"/>
  </r>
  <r>
    <s v="El Salvador Finca Medrano Pacamara Nohemi Ventura"/>
    <n v="94"/>
    <s v="Light"/>
    <n v="62"/>
    <n v="87"/>
    <n v="8"/>
    <s v="South Korea"/>
    <s v="El Salvador"/>
    <x v="0"/>
  </r>
  <r>
    <s v="Ethiopia Jimma Agaro"/>
    <n v="95"/>
    <s v="Light"/>
    <n v="66"/>
    <n v="87"/>
    <n v="5.88"/>
    <s v="USA"/>
    <s v="Ethiopia"/>
    <x v="1"/>
  </r>
  <r>
    <s v="Rwanda Silverback Espresso"/>
    <n v="95"/>
    <s v="Medium Dark"/>
    <n v="43"/>
    <n v="52"/>
    <n v="0.22"/>
    <s v="Taiwan"/>
    <s v="Rwanda"/>
    <x v="1"/>
  </r>
  <r>
    <s v="Ecuador вЂњMama KilyaвЂќ Espresso"/>
    <n v="94"/>
    <s v="Medium Dark"/>
    <n v="44"/>
    <n v="50"/>
    <n v="0.44"/>
    <s v="Taiwan"/>
    <s v="Ecuador"/>
    <x v="0"/>
  </r>
  <r>
    <s v="Ethiopia Hambela"/>
    <n v="94"/>
    <s v="Medium Light"/>
    <n v="55"/>
    <n v="78"/>
    <n v="5.57"/>
    <s v="USA"/>
    <s v="Ethiopia"/>
    <x v="1"/>
  </r>
  <r>
    <s v="Kenya Nyeri Peaberry"/>
    <n v="95"/>
    <s v="Medium Light"/>
    <n v="55"/>
    <n v="76"/>
    <n v="4.2300000000000004"/>
    <s v="USA"/>
    <s v="Kenya"/>
    <x v="1"/>
  </r>
  <r>
    <s v="Panama Lino Esmeralda Geisha Natural"/>
    <n v="96"/>
    <s v="Light"/>
    <n v="67"/>
    <n v="88"/>
    <n v="22.49"/>
    <s v="USA"/>
    <s v="Panama"/>
    <x v="0"/>
  </r>
  <r>
    <s v="Ethiopia Sidama Akrabi"/>
    <n v="94"/>
    <s v="Medium Light"/>
    <n v="58"/>
    <n v="71"/>
    <n v="16.41"/>
    <s v="USA"/>
    <s v="Ethiopia"/>
    <x v="1"/>
  </r>
  <r>
    <s v="Kenya AA Gakuyuri"/>
    <n v="94"/>
    <s v="Medium Light"/>
    <n v="60"/>
    <n v="75"/>
    <n v="4.4800000000000004"/>
    <s v="USA"/>
    <s v="Kenya"/>
    <x v="1"/>
  </r>
  <r>
    <s v="Kenya Embu Gakui Peaberry"/>
    <n v="95"/>
    <s v="Medium Light"/>
    <n v="54"/>
    <n v="70"/>
    <n v="5.14"/>
    <s v="USA"/>
    <s v="Kenya"/>
    <x v="1"/>
  </r>
  <r>
    <s v="Kenya AA Kigwandi Estate"/>
    <n v="95"/>
    <s v="Medium Light"/>
    <n v="59"/>
    <n v="75"/>
    <n v="3.97"/>
    <s v="USA"/>
    <s v="Kenya"/>
    <x v="1"/>
  </r>
  <r>
    <s v="Ethiopia Yirgacheffe Buna Ababa"/>
    <n v="94"/>
    <s v="Medium Light"/>
    <n v="57"/>
    <n v="76"/>
    <n v="6.61"/>
    <s v="USA"/>
    <s v="Ethiopia"/>
    <x v="1"/>
  </r>
  <r>
    <s v="Panama Don Pepe Fully Washed Geisha"/>
    <n v="96"/>
    <s v="Medium Light"/>
    <n v="58"/>
    <n v="72"/>
    <n v="17.64"/>
    <s v="USA"/>
    <s v="Panama"/>
    <x v="0"/>
  </r>
  <r>
    <s v="Golden Mean Espresso Blend"/>
    <n v="94"/>
    <s v="Medium"/>
    <n v="48"/>
    <n v="60"/>
    <n v="4.3899999999999997"/>
    <s v="USA"/>
    <s v="Unknown"/>
    <x v="3"/>
  </r>
  <r>
    <s v="Finca La Mula Panama Geisha"/>
    <n v="97"/>
    <s v="Medium"/>
    <n v="52"/>
    <n v="66"/>
    <n v="26.43"/>
    <s v="USA"/>
    <s v="Panama"/>
    <x v="0"/>
  </r>
  <r>
    <s v="S.O. Espresso Brazil Fazenda Santa Ines"/>
    <n v="94"/>
    <s v="Medium"/>
    <n v="47"/>
    <n v="60"/>
    <n v="3.81"/>
    <s v="USA"/>
    <s v="Brazil"/>
    <x v="0"/>
  </r>
  <r>
    <s v="Black House"/>
    <n v="94"/>
    <s v="Medium Light"/>
    <n v="55"/>
    <n v="69"/>
    <n v="4.12"/>
    <s v="USA"/>
    <s v="Unknown"/>
    <x v="3"/>
  </r>
  <r>
    <s v="Kenya Gachatha AA"/>
    <n v="96"/>
    <s v="Medium Light"/>
    <n v="54"/>
    <n v="76"/>
    <n v="7.33"/>
    <s v="USA"/>
    <s v="Kenya"/>
    <x v="1"/>
  </r>
  <r>
    <s v="Burundi Kayanza Province Mpanga Washing Station"/>
    <n v="94"/>
    <s v="Medium Light"/>
    <n v="54"/>
    <n v="74"/>
    <n v="6.17"/>
    <s v="USA"/>
    <s v="Burundi"/>
    <x v="1"/>
  </r>
  <r>
    <s v="Ethiopia Yirgacheffe Dabub Matebya"/>
    <n v="94"/>
    <s v="Light"/>
    <n v="65"/>
    <n v="87"/>
    <n v="4.41"/>
    <s v="USA"/>
    <s v="Ethiopia"/>
    <x v="1"/>
  </r>
  <r>
    <s v="Yemen Haraaz Red A+"/>
    <n v="94"/>
    <s v="Medium Light"/>
    <n v="54"/>
    <n v="74"/>
    <n v="8.3800000000000008"/>
    <s v="USA"/>
    <s v="Yemen"/>
    <x v="1"/>
  </r>
  <r>
    <s v="El Salvador Finca Loma La Gloria"/>
    <n v="94"/>
    <s v="Light"/>
    <n v="78"/>
    <n v="99"/>
    <n v="5.58"/>
    <s v="USA"/>
    <s v="El Salvador"/>
    <x v="0"/>
  </r>
  <r>
    <s v="Ethiopia Sidama Ardi"/>
    <n v="95"/>
    <s v="Medium Light"/>
    <n v="57"/>
    <n v="78"/>
    <n v="5.59"/>
    <s v="USA"/>
    <s v="Ethiopia"/>
    <x v="1"/>
  </r>
  <r>
    <s v="Ethiopia Washed Limu Gera"/>
    <n v="94"/>
    <s v="Medium Light"/>
    <n v="61"/>
    <n v="79"/>
    <n v="3.75"/>
    <s v="Taiwan"/>
    <s v="Ethiopia"/>
    <x v="1"/>
  </r>
  <r>
    <s v="Ethiopia Aricha"/>
    <n v="94"/>
    <s v="Light"/>
    <n v="62"/>
    <n v="88"/>
    <n v="5.29"/>
    <s v="USA"/>
    <s v="Ethiopia"/>
    <x v="1"/>
  </r>
  <r>
    <s v="Ace Espresso"/>
    <n v="94"/>
    <s v="Medium Light"/>
    <n v="55"/>
    <n v="72"/>
    <n v="3.53"/>
    <s v="Canada"/>
    <s v="Unknown"/>
    <x v="3"/>
  </r>
  <r>
    <s v="Colombia Special Process Microlot 511 вЂњMemory OrchardвЂќ Espresso"/>
    <n v="94"/>
    <s v="Medium"/>
    <n v="47"/>
    <n v="56"/>
    <n v="0.44"/>
    <s v="Taiwan"/>
    <s v="Colombia"/>
    <x v="0"/>
  </r>
  <r>
    <s v="Costa Rica Sonora Bourbon Natural"/>
    <n v="94"/>
    <s v="Light"/>
    <n v="68"/>
    <n v="92"/>
    <n v="5.59"/>
    <s v="USA"/>
    <s v="Costa Rica"/>
    <x v="0"/>
  </r>
  <r>
    <s v="The Secret Coffee"/>
    <n v="94"/>
    <s v="Light"/>
    <n v="66"/>
    <n v="99"/>
    <n v="264.32"/>
    <s v="Taiwan"/>
    <s v="Unknown"/>
    <x v="3"/>
  </r>
  <r>
    <s v="Panama Finca Hartmann"/>
    <n v="95"/>
    <s v="Light"/>
    <n v="63"/>
    <n v="81"/>
    <n v="5.14"/>
    <s v="USA"/>
    <s v="Panama"/>
    <x v="0"/>
  </r>
  <r>
    <s v="Sumatra Ulos Batak"/>
    <n v="94"/>
    <s v="Medium Light"/>
    <n v="54"/>
    <n v="70"/>
    <n v="5.29"/>
    <s v="USA"/>
    <s v="Indonesia"/>
    <x v="2"/>
  </r>
  <r>
    <s v="Espresso Blend"/>
    <n v="94"/>
    <s v="Medium"/>
    <n v="52"/>
    <n v="68"/>
    <n v="231.11"/>
    <s v="Taiwan"/>
    <s v="Unknown"/>
    <x v="3"/>
  </r>
  <r>
    <s v="Sillvia Solkiln N2 Level 95"/>
    <n v="96"/>
    <s v="Medium Light"/>
    <n v="59"/>
    <n v="80"/>
    <n v="466.67"/>
    <s v="China"/>
    <s v="Unknown"/>
    <x v="3"/>
  </r>
  <r>
    <s v="Sweet MariaвЂ™s Acatenango Gesha"/>
    <n v="94"/>
    <s v="Medium Light"/>
    <n v="60"/>
    <n v="74"/>
    <n v="187.2"/>
    <s v="China"/>
    <s v="Unknown"/>
    <x v="3"/>
  </r>
  <r>
    <s v="Keremara AA Kenya"/>
    <n v="95"/>
    <s v="Medium Light"/>
    <n v="60"/>
    <n v="79"/>
    <n v="5.42"/>
    <s v="USA"/>
    <s v="Kenya"/>
    <x v="1"/>
  </r>
  <r>
    <s v="Tchembe Gedeo Ethiopia"/>
    <n v="94"/>
    <s v="Medium Light"/>
    <n v="58"/>
    <n v="72"/>
    <n v="9.1"/>
    <s v="USA"/>
    <s v="Ethiopia"/>
    <x v="1"/>
  </r>
  <r>
    <s v="Ethiopia Yirgacheffe Gedeo"/>
    <n v="95"/>
    <s v="Light"/>
    <n v="64"/>
    <n v="94"/>
    <n v="4.26"/>
    <s v="USA"/>
    <s v="Ethiopia"/>
    <x v="1"/>
  </r>
  <r>
    <s v="Finca La Aurora Camilina Geisha"/>
    <n v="95"/>
    <s v="Light"/>
    <n v="62"/>
    <n v="88"/>
    <n v="21.38"/>
    <s v="USA"/>
    <s v="Unknown"/>
    <x v="3"/>
  </r>
  <r>
    <s v="Sumatra Lake Toba Peaberry"/>
    <n v="94"/>
    <s v="Medium"/>
    <n v="47"/>
    <n v="65"/>
    <n v="5.29"/>
    <s v="USA"/>
    <s v="Indonesia"/>
    <x v="2"/>
  </r>
  <r>
    <s v="Sumatra Ulos Batak"/>
    <n v="94"/>
    <s v="Medium Light"/>
    <n v="56"/>
    <n v="70"/>
    <n v="5.07"/>
    <s v="USA"/>
    <s v="Indonesia"/>
    <x v="2"/>
  </r>
  <r>
    <s v="Ethiopian Washed Kochere G1 SO Espresso"/>
    <n v="94"/>
    <s v="Medium"/>
    <n v="49"/>
    <n v="62"/>
    <n v="2.65"/>
    <s v="Taiwan"/>
    <s v="Ethiopia"/>
    <x v="1"/>
  </r>
  <r>
    <s v="Colombia Granja La Esperanza Grand Cru Mokka"/>
    <n v="94"/>
    <s v="Light"/>
    <n v="65"/>
    <n v="86"/>
    <n v="8.08"/>
    <s v="USA"/>
    <s v="Colombia"/>
    <x v="0"/>
  </r>
  <r>
    <s v="Panama Esmeralda Geisha"/>
    <n v="96"/>
    <s v="Medium Light"/>
    <n v="57"/>
    <n v="83"/>
    <n v="16.23"/>
    <s v="USA"/>
    <s v="Panama"/>
    <x v="0"/>
  </r>
  <r>
    <s v="Rum-Barrel Conditioned Ethiopia Gelena Abaya"/>
    <n v="94"/>
    <s v="Light"/>
    <n v="65"/>
    <n v="85"/>
    <n v="5.29"/>
    <s v="USA"/>
    <s v="Ethiopia"/>
    <x v="1"/>
  </r>
  <r>
    <s v="Finca La Mula Panama Geisha"/>
    <n v="96"/>
    <s v="Medium Light"/>
    <n v="57"/>
    <n v="81"/>
    <n v="21.72"/>
    <s v="USA"/>
    <s v="Panama"/>
    <x v="0"/>
  </r>
  <r>
    <s v="Milepost Kenya Nyeri Ruarai"/>
    <n v="94"/>
    <s v="Medium Light"/>
    <n v="58"/>
    <n v="81"/>
    <n v="5.29"/>
    <s v="USA"/>
    <s v="Kenya"/>
    <x v="1"/>
  </r>
  <r>
    <s v="Kenya Thiriku"/>
    <n v="95"/>
    <s v="Medium Light"/>
    <n v="56"/>
    <n v="77"/>
    <n v="5.14"/>
    <s v="USA"/>
    <s v="Kenya"/>
    <x v="1"/>
  </r>
  <r>
    <s v="Ari-Ari Seuri-Seuri"/>
    <n v="94"/>
    <s v="Medium Light"/>
    <n v="56"/>
    <n v="72"/>
    <n v="6"/>
    <s v="South Korea"/>
    <s v="Unknown"/>
    <x v="3"/>
  </r>
  <r>
    <s v="Jazz Apricot (Espresso)"/>
    <n v="94"/>
    <s v="Medium"/>
    <n v="50"/>
    <n v="62"/>
    <n v="110.23"/>
    <s v="Taiwan"/>
    <s v="Unknown"/>
    <x v="3"/>
  </r>
  <r>
    <s v="Ethiopia Biloya Organic"/>
    <n v="95"/>
    <s v="Medium Light"/>
    <n v="55"/>
    <n v="75"/>
    <n v="4.92"/>
    <s v="USA"/>
    <s v="Ethiopia"/>
    <x v="1"/>
  </r>
  <r>
    <s v="Organic Ethiopian Worka Special Prep"/>
    <n v="94"/>
    <s v="Light"/>
    <n v="60"/>
    <n v="83"/>
    <n v="5.22"/>
    <s v="USA"/>
    <s v="Ethiopia"/>
    <x v="1"/>
  </r>
  <r>
    <s v="Ethiopia Washed Yirgacheffe Alemu Station"/>
    <n v="94"/>
    <s v="Light"/>
    <n v="65"/>
    <n v="88"/>
    <n v="3.97"/>
    <s v="Taiwan"/>
    <s v="Ethiopia"/>
    <x v="1"/>
  </r>
  <r>
    <s v="Kenya Kianjuri AB"/>
    <n v="94"/>
    <s v="Medium"/>
    <n v="53"/>
    <n v="68"/>
    <n v="5.29"/>
    <s v="USA"/>
    <s v="Kenya"/>
    <x v="1"/>
  </r>
  <r>
    <s v="Kenya Nyeri Tambaya Peaberry"/>
    <n v="94"/>
    <s v="Medium"/>
    <n v="49"/>
    <n v="65"/>
    <n v="5.73"/>
    <s v="USA"/>
    <s v="Kenya"/>
    <x v="1"/>
  </r>
  <r>
    <s v="Ethiopian Yirgacheffe Idido Natural"/>
    <n v="94"/>
    <s v="Medium Light"/>
    <n v="58"/>
    <n v="83"/>
    <n v="5.29"/>
    <s v="USA"/>
    <s v="Ethiopia"/>
    <x v="1"/>
  </r>
  <r>
    <s v="Kenya AA"/>
    <n v="95"/>
    <s v="Medium Light"/>
    <n v="56"/>
    <n v="79"/>
    <n v="220.46"/>
    <s v="Taiwan"/>
    <s v="Kenya"/>
    <x v="1"/>
  </r>
  <r>
    <s v="Ethiopia Suke Quto Organic"/>
    <n v="95"/>
    <s v="Medium"/>
    <n v="52"/>
    <n v="65"/>
    <n v="4.3899999999999997"/>
    <s v="USA"/>
    <s v="Ethiopia"/>
    <x v="1"/>
  </r>
  <r>
    <s v="Espresso Blend Spring 15"/>
    <n v="94"/>
    <s v="Medium"/>
    <n v="48"/>
    <n v="54"/>
    <n v="127.87"/>
    <s v="Taiwan"/>
    <s v="Unknown"/>
    <x v="3"/>
  </r>
  <r>
    <s v="Esmeralda Leon Natural Geisha"/>
    <n v="96"/>
    <s v="Light"/>
    <n v="71"/>
    <n v="89"/>
    <n v="19.84"/>
    <s v="USA"/>
    <s v="Unknown"/>
    <x v="3"/>
  </r>
  <r>
    <s v="Shilcho Ethiopia, Red Cherry Initiative"/>
    <n v="94"/>
    <s v="Medium"/>
    <n v="53"/>
    <n v="66"/>
    <n v="5"/>
    <s v="USA"/>
    <s v="Ethiopia"/>
    <x v="1"/>
  </r>
  <r>
    <s v="Lomi Tasha Worka, Ethiopia"/>
    <n v="95"/>
    <s v="Light"/>
    <n v="64"/>
    <n v="85"/>
    <n v="7.35"/>
    <s v="USA"/>
    <s v="Ethiopia"/>
    <x v="1"/>
  </r>
  <r>
    <s v="LauraвЂ™s Reserve SL-28"/>
    <n v="94"/>
    <s v="Medium"/>
    <n v="53"/>
    <n v="68"/>
    <n v="15.85"/>
    <s v="USA"/>
    <s v="Unknown"/>
    <x v="3"/>
  </r>
  <r>
    <s v="Semeon Abay Ethiopia"/>
    <n v="95"/>
    <s v="Light"/>
    <n v="66"/>
    <n v="84"/>
    <n v="121.4"/>
    <s v="USA"/>
    <s v="Ethiopia"/>
    <x v="1"/>
  </r>
  <r>
    <s v="Kenya Nyeri Rukira AB"/>
    <n v="95"/>
    <s v="Medium"/>
    <n v="49"/>
    <n v="66"/>
    <n v="4.41"/>
    <s v="Taiwan"/>
    <s v="Kenya"/>
    <x v="1"/>
  </r>
  <r>
    <s v="Auromar Camilina Geisha"/>
    <n v="95"/>
    <s v="Light"/>
    <n v="62"/>
    <n v="88"/>
    <n v="17.64"/>
    <s v="USA"/>
    <s v="Unknown"/>
    <x v="3"/>
  </r>
  <r>
    <s v="Holiday Blend"/>
    <n v="95"/>
    <s v="Medium Light"/>
    <n v="59"/>
    <n v="78"/>
    <n v="5.07"/>
    <s v="USA"/>
    <s v="Unknown"/>
    <x v="3"/>
  </r>
  <r>
    <s v="Ethiopia Wenago Natural"/>
    <n v="95"/>
    <s v="Medium Light"/>
    <n v="55"/>
    <n v="73"/>
    <n v="5.29"/>
    <s v="USA"/>
    <s v="Ethiopia"/>
    <x v="1"/>
  </r>
  <r>
    <s v="Panama Geisha Holiday Blend"/>
    <n v="95"/>
    <s v="Light"/>
    <n v="67"/>
    <n v="88"/>
    <n v="16"/>
    <s v="USA"/>
    <s v="Panama"/>
    <x v="0"/>
  </r>
  <r>
    <s v="Panama Esmeralda Especial Geisha Bosque 2"/>
    <n v="94"/>
    <s v="Medium"/>
    <n v="50"/>
    <n v="65"/>
    <n v="27.34"/>
    <s v="USA"/>
    <s v="Panama"/>
    <x v="0"/>
  </r>
  <r>
    <s v="Gratitude Special Blend"/>
    <n v="94"/>
    <s v="Medium"/>
    <n v="46"/>
    <n v="64"/>
    <n v="3.67"/>
    <s v="USA"/>
    <s v="Unknown"/>
    <x v="3"/>
  </r>
  <r>
    <s v="Nicaragua Pacamara Reserve Los Congos"/>
    <n v="94"/>
    <s v="Medium Light"/>
    <n v="57"/>
    <n v="73"/>
    <n v="5.29"/>
    <s v="USA"/>
    <s v="Nicaragua"/>
    <x v="0"/>
  </r>
  <r>
    <s v="Kenya Muthonjo AA"/>
    <n v="94"/>
    <s v="Medium"/>
    <n v="49"/>
    <n v="64"/>
    <n v="10.67"/>
    <s v="USA"/>
    <s v="Kenya"/>
    <x v="1"/>
  </r>
  <r>
    <s v="Ethiopia Ninety Plus Hachira N2"/>
    <n v="95"/>
    <s v="Medium"/>
    <n v="51"/>
    <n v="67"/>
    <n v="8.82"/>
    <s v="USA"/>
    <s v="Ethiopia"/>
    <x v="1"/>
  </r>
  <r>
    <s v="Perci Red Panama Gesha"/>
    <n v="95"/>
    <s v="Light"/>
    <n v="74"/>
    <n v="101"/>
    <n v="21.3"/>
    <s v="USA"/>
    <s v="Panama"/>
    <x v="0"/>
  </r>
  <r>
    <s v="Kenya Karagoto"/>
    <n v="94"/>
    <s v="Medium"/>
    <n v="54"/>
    <n v="66"/>
    <n v="3.82"/>
    <s v="USA"/>
    <s v="Kenya"/>
    <x v="1"/>
  </r>
  <r>
    <s v="Nekisse Natural Process Ethiopia"/>
    <n v="94"/>
    <s v="Light"/>
    <n v="64"/>
    <n v="89"/>
    <n v="9.1"/>
    <s v="USA"/>
    <s v="Ethiopia"/>
    <x v="1"/>
  </r>
  <r>
    <s v="Ethiopia Yirgacheffe Gutiti"/>
    <n v="94"/>
    <s v="Medium"/>
    <n v="52"/>
    <n v="69"/>
    <n v="4.9800000000000004"/>
    <s v="USA"/>
    <s v="Ethiopia"/>
    <x v="1"/>
  </r>
  <r>
    <s v="Ulos Batak Sumatra Peaberry"/>
    <n v="95"/>
    <s v="Medium Light"/>
    <n v="54"/>
    <n v="78"/>
    <n v="5.44"/>
    <s v="USA"/>
    <s v="Indonesia"/>
    <x v="2"/>
  </r>
  <r>
    <s v="Ethiopia Konga"/>
    <n v="94"/>
    <s v="Medium Light"/>
    <n v="56"/>
    <n v="76"/>
    <n v="4.9800000000000004"/>
    <s v="USA"/>
    <s v="Ethiopia"/>
    <x v="1"/>
  </r>
  <r>
    <s v="Kenya AA Top 405A Espresso"/>
    <n v="95"/>
    <s v="Medium"/>
    <n v="47"/>
    <n v="62"/>
    <n v="352.74"/>
    <s v="Taiwan"/>
    <s v="Kenya"/>
    <x v="1"/>
  </r>
  <r>
    <s v="Seasonal Mini-Me Yirgacheffe Washed"/>
    <n v="94"/>
    <s v="Medium"/>
    <n v="52"/>
    <n v="68"/>
    <n v="220.46"/>
    <s v="Taiwan"/>
    <s v="Ethiopia"/>
    <x v="1"/>
  </r>
  <r>
    <s v="Panama Mama Cata Natural"/>
    <n v="95"/>
    <s v="Medium"/>
    <n v="42"/>
    <n v="63"/>
    <n v="9.98"/>
    <s v="USA"/>
    <s v="Panama"/>
    <x v="0"/>
  </r>
  <r>
    <s v="High Mountain Red Bourbon"/>
    <n v="95"/>
    <s v="Medium Light"/>
    <n v="61"/>
    <n v="77"/>
    <n v="15.41"/>
    <s v="USA"/>
    <s v="Unknown"/>
    <x v="3"/>
  </r>
  <r>
    <s v="Nicaragua Pacamara Reserve Los Congos"/>
    <n v="94"/>
    <s v="Medium Light"/>
    <n v="56"/>
    <n v="73"/>
    <n v="5.29"/>
    <s v="USA"/>
    <s v="Nicaragua"/>
    <x v="0"/>
  </r>
  <r>
    <s v="Panama Duncan Natural Gesha"/>
    <n v="94"/>
    <s v="Light"/>
    <n v="61"/>
    <n v="81"/>
    <n v="20.72"/>
    <s v="USA"/>
    <s v="Panama"/>
    <x v="0"/>
  </r>
  <r>
    <s v="Guatemala Acatenango Gesha"/>
    <n v="94"/>
    <s v="Light"/>
    <n v="72"/>
    <n v="87"/>
    <n v="9.6999999999999993"/>
    <s v="USA"/>
    <s v="Guatemala"/>
    <x v="0"/>
  </r>
  <r>
    <s v="Kenya Kigwandi AA"/>
    <n v="94"/>
    <s v="Medium Light"/>
    <n v="53"/>
    <n v="70"/>
    <n v="5.86"/>
    <s v="USA"/>
    <s v="Kenya"/>
    <x v="1"/>
  </r>
  <r>
    <s v="Ethiopia Homacho Waeno"/>
    <n v="95"/>
    <s v="Medium Light"/>
    <n v="62"/>
    <n v="75"/>
    <n v="217.47"/>
    <s v="USA"/>
    <s v="Ethiopia"/>
    <x v="1"/>
  </r>
  <r>
    <s v="Colombia Granja Esperanza Gesha AAA"/>
    <n v="95"/>
    <s v="Medium Light"/>
    <n v="53"/>
    <n v="76"/>
    <n v="97.39"/>
    <s v="USA"/>
    <s v="Colombia"/>
    <x v="0"/>
  </r>
  <r>
    <s v="Kenya Mathew Mugo"/>
    <n v="94"/>
    <s v="Medium Light"/>
    <n v="61"/>
    <n v="79"/>
    <n v="5.28"/>
    <s v="USA"/>
    <s v="Kenya"/>
    <x v="1"/>
  </r>
  <r>
    <s v="Organic Ethiopian Banko Natural"/>
    <n v="94"/>
    <s v="Medium Light"/>
    <n v="59"/>
    <n v="75"/>
    <n v="4.92"/>
    <s v="USA"/>
    <s v="Ethiopia"/>
    <x v="1"/>
  </r>
  <r>
    <s v="Kenya Nyeri"/>
    <n v="94"/>
    <s v="Medium"/>
    <n v="52"/>
    <n v="62"/>
    <n v="5.29"/>
    <s v="USA"/>
    <s v="Kenya"/>
    <x v="1"/>
  </r>
  <r>
    <s v="Konga Natural Ethiopia"/>
    <n v="94"/>
    <s v="Light"/>
    <n v="62"/>
    <n v="84"/>
    <n v="5.24"/>
    <s v="USA"/>
    <s v="Ethiopia"/>
    <x v="1"/>
  </r>
  <r>
    <s v="Kenya AA Giakanja"/>
    <n v="94"/>
    <s v="Medium Light"/>
    <n v="53"/>
    <n v="71"/>
    <n v="43.82"/>
    <s v="USA"/>
    <s v="Kenya"/>
    <x v="1"/>
  </r>
  <r>
    <s v="Ethiopia CheleвЂ™ Lektu"/>
    <n v="94"/>
    <s v="Medium"/>
    <n v="52"/>
    <n v="68"/>
    <n v="4.12"/>
    <s v="USA"/>
    <s v="Ethiopia"/>
    <x v="1"/>
  </r>
  <r>
    <s v="Ethiopia Boke Natural Grade 1 Espresso"/>
    <n v="94"/>
    <s v="Medium Light"/>
    <n v="56"/>
    <n v="66"/>
    <n v="5.14"/>
    <s v="USA"/>
    <s v="Ethiopia"/>
    <x v="1"/>
  </r>
  <r>
    <s v="Kochoha Espresso"/>
    <n v="94"/>
    <s v="Medium Light"/>
    <n v="56"/>
    <n v="72"/>
    <n v="4.37"/>
    <s v="USA"/>
    <s v="Unknown"/>
    <x v="3"/>
  </r>
  <r>
    <s v="Kenya Nyeri Giakanja"/>
    <n v="95"/>
    <s v="Medium"/>
    <n v="50"/>
    <n v="55"/>
    <n v="6.17"/>
    <s v="USA"/>
    <s v="Kenya"/>
    <x v="1"/>
  </r>
  <r>
    <s v="Perci N2 L39"/>
    <n v="94"/>
    <s v="Medium Light"/>
    <n v="55"/>
    <n v="78"/>
    <n v="188"/>
    <s v="China"/>
    <s v="Unknown"/>
    <x v="3"/>
  </r>
  <r>
    <s v="Yirgacheffe Aricha Natural G1"/>
    <n v="94"/>
    <s v="Medium Light"/>
    <n v="59"/>
    <n v="74"/>
    <n v="10"/>
    <s v="South Korea"/>
    <s v="Ethiopia"/>
    <x v="1"/>
  </r>
  <r>
    <s v="Sumatra Tano Batak"/>
    <n v="94"/>
    <s v="Medium"/>
    <n v="54"/>
    <n v="66"/>
    <n v="5.14"/>
    <s v="USA"/>
    <s v="Indonesia"/>
    <x v="2"/>
  </r>
  <r>
    <s v="Panama Ironman Camilina Geisha"/>
    <n v="97"/>
    <s v="Medium Light"/>
    <n v="58"/>
    <n v="80"/>
    <n v="22.02"/>
    <s v="USA"/>
    <s v="Panama"/>
    <x v="0"/>
  </r>
  <r>
    <s v="Panama Estate Reserve: Elida Estate Natural"/>
    <n v="94"/>
    <s v="Medium Light"/>
    <n v="58"/>
    <n v="80"/>
    <n v="5.29"/>
    <s v="USA"/>
    <s v="Panama"/>
    <x v="0"/>
  </r>
  <r>
    <s v="ByronвЂ™s Maracaturra Natural Nicaragua"/>
    <n v="94"/>
    <s v="Light"/>
    <n v="64"/>
    <n v="80"/>
    <n v="4.8499999999999996"/>
    <s v="USA"/>
    <s v="Nicaragua"/>
    <x v="0"/>
  </r>
  <r>
    <s v="Panama Chiriqui Finca Santa Teresa Geisha"/>
    <n v="94"/>
    <s v="Light"/>
    <n v="72"/>
    <n v="87"/>
    <n v="7.94"/>
    <s v="USA"/>
    <s v="Panama"/>
    <x v="0"/>
  </r>
  <r>
    <s v="Costa Rica Cerro San Luis Natural"/>
    <n v="94"/>
    <s v="Medium Light"/>
    <n v="57"/>
    <n v="74"/>
    <n v="5.26"/>
    <s v="USA"/>
    <s v="Costa Rica"/>
    <x v="0"/>
  </r>
  <r>
    <s v="Panama La Berlina Typica Natural"/>
    <n v="94"/>
    <s v="Medium Light"/>
    <n v="56"/>
    <n v="76"/>
    <n v="211.64"/>
    <s v="Taiwan"/>
    <s v="Panama"/>
    <x v="0"/>
  </r>
  <r>
    <s v="Costa Rica Flor de Santos Bourbon Natural"/>
    <n v="94"/>
    <s v="Medium Light"/>
    <n v="57"/>
    <n v="79"/>
    <n v="89"/>
    <s v="China"/>
    <s v="Costa Rica"/>
    <x v="0"/>
  </r>
  <r>
    <s v="Panama NPGE Perci N2"/>
    <n v="94"/>
    <s v="Medium Light"/>
    <n v="59"/>
    <n v="77"/>
    <n v="25"/>
    <s v="South Korea"/>
    <s v="Panama"/>
    <x v="0"/>
  </r>
  <r>
    <s v="El Salvador Cerro Las Ranas Espresso"/>
    <n v="94"/>
    <s v="Medium Dark"/>
    <n v="44"/>
    <n v="50"/>
    <n v="4.6900000000000004"/>
    <s v="USA"/>
    <s v="El Salvador"/>
    <x v="0"/>
  </r>
  <r>
    <s v="Kii Kenya"/>
    <n v="94"/>
    <s v="Medium Light"/>
    <n v="58"/>
    <n v="73"/>
    <n v="5.86"/>
    <s v="USA"/>
    <s v="Kenya"/>
    <x v="1"/>
  </r>
  <r>
    <s v="Ethiopia Boke Washed Grade 1"/>
    <n v="95"/>
    <s v="Medium Light"/>
    <n v="57"/>
    <n v="82"/>
    <n v="5"/>
    <s v="USA"/>
    <s v="Ethiopia"/>
    <x v="1"/>
  </r>
  <r>
    <s v="Ethiopia Semeon Abay N3"/>
    <n v="94"/>
    <s v="Light"/>
    <n v="62"/>
    <n v="87"/>
    <n v="95"/>
    <s v="South Korea"/>
    <s v="Ethiopia"/>
    <x v="1"/>
  </r>
  <r>
    <s v="Kenya Kahiriga"/>
    <n v="94"/>
    <s v="Medium Light"/>
    <n v="56"/>
    <n v="74"/>
    <n v="5.44"/>
    <s v="USA"/>
    <s v="Kenya"/>
    <x v="1"/>
  </r>
  <r>
    <s v="Elida Estate Panama"/>
    <n v="95"/>
    <s v="Medium Light"/>
    <n v="57"/>
    <n v="74"/>
    <n v="7.64"/>
    <s v="USA"/>
    <s v="Panama"/>
    <x v="0"/>
  </r>
  <r>
    <s v="Kenya Baragwi Kagongo Peaberry"/>
    <n v="94"/>
    <s v="Medium"/>
    <n v="49"/>
    <n v="71"/>
    <n v="4.26"/>
    <s v="USA"/>
    <s v="Kenya"/>
    <x v="1"/>
  </r>
  <r>
    <s v="Sumatra Ulos Batak"/>
    <n v="96"/>
    <s v="Medium"/>
    <n v="53"/>
    <n v="68"/>
    <n v="5.29"/>
    <s v="USA"/>
    <s v="Indonesia"/>
    <x v="2"/>
  </r>
  <r>
    <s v="Washed Yirgacheffe"/>
    <n v="94"/>
    <s v="Medium Light"/>
    <n v="54"/>
    <n v="76"/>
    <n v="5.58"/>
    <s v="USA"/>
    <s v="Ethiopia"/>
    <x v="1"/>
  </r>
  <r>
    <s v="Kenya Kikai"/>
    <n v="95"/>
    <s v="Medium Light"/>
    <n v="57"/>
    <n v="77"/>
    <n v="5.22"/>
    <s v="USA"/>
    <s v="Kenya"/>
    <x v="1"/>
  </r>
  <r>
    <s v="Ethiopia Yirgacheffe Kore Kochore"/>
    <n v="94"/>
    <s v="Medium Light"/>
    <n v="59"/>
    <n v="76"/>
    <n v="4.26"/>
    <s v="USA"/>
    <s v="Ethiopia"/>
    <x v="1"/>
  </r>
  <r>
    <s v="SO Espresso Brazil Fazenda Rainha Natural"/>
    <n v="94"/>
    <s v="Medium"/>
    <n v="54"/>
    <n v="66"/>
    <n v="3.81"/>
    <s v="USA"/>
    <s v="Brazil"/>
    <x v="0"/>
  </r>
  <r>
    <s v="Papua New Guinea Kunjin"/>
    <n v="94"/>
    <s v="Light"/>
    <n v="64"/>
    <n v="82"/>
    <n v="4.8499999999999996"/>
    <s v="USA"/>
    <s v="Papua New Guinea"/>
    <x v="2"/>
  </r>
  <r>
    <s v="Ethiopia Sidama Ardi"/>
    <n v="94"/>
    <s v="Medium"/>
    <n v="52"/>
    <n v="61"/>
    <n v="5"/>
    <s v="USA"/>
    <s v="Ethiopia"/>
    <x v="1"/>
  </r>
  <r>
    <s v="Celinga Ethiopia Espresso"/>
    <n v="94"/>
    <s v="Medium Light"/>
    <n v="57"/>
    <n v="73"/>
    <n v="4.8499999999999996"/>
    <s v="USA"/>
    <s v="Ethiopia"/>
    <x v="1"/>
  </r>
  <r>
    <s v="Celinga Ethiopia"/>
    <n v="95"/>
    <s v="Medium Light"/>
    <n v="57"/>
    <n v="73"/>
    <n v="4.8499999999999996"/>
    <s v="USA"/>
    <s v="Ethiopia"/>
    <x v="1"/>
  </r>
  <r>
    <s v="Ethiopia Danch Meng"/>
    <n v="94"/>
    <s v="Medium Light"/>
    <n v="57"/>
    <n v="77"/>
    <n v="5.73"/>
    <s v="USA"/>
    <s v="Ethiopia"/>
    <x v="1"/>
  </r>
  <r>
    <s v="Ethiopia Moplaco Yirgacheffe"/>
    <n v="94"/>
    <s v="Medium Light"/>
    <n v="58"/>
    <n v="80"/>
    <n v="450"/>
    <s v="Taiwan"/>
    <s v="Ethiopia"/>
    <x v="1"/>
  </r>
  <r>
    <s v="Ethiopia Yirga Natural Bedhatu"/>
    <n v="94"/>
    <s v="Light"/>
    <n v="65"/>
    <n v="90"/>
    <n v="5.07"/>
    <s v="Taiwan"/>
    <s v="Ethiopia"/>
    <x v="1"/>
  </r>
  <r>
    <s v="Kenya Nyeri Tambaya AA"/>
    <n v="95"/>
    <s v="Medium Light"/>
    <n v="55"/>
    <n v="72"/>
    <n v="450"/>
    <s v="Taiwan"/>
    <s v="Kenya"/>
    <x v="1"/>
  </r>
  <r>
    <s v="Guji Zone Ethiopia"/>
    <n v="95"/>
    <s v="Medium Light"/>
    <n v="59"/>
    <n v="77"/>
    <n v="5.29"/>
    <s v="USA"/>
    <s v="Ethiopia"/>
    <x v="1"/>
  </r>
  <r>
    <s v="Colombia Cerro Azul Geisha"/>
    <n v="95"/>
    <s v="Medium"/>
    <n v="52"/>
    <n v="63"/>
    <n v="13.33"/>
    <s v="USA"/>
    <s v="Colombia"/>
    <x v="0"/>
  </r>
  <r>
    <s v="Colombia Cerro Azul Enano"/>
    <n v="94"/>
    <s v="Medium Light"/>
    <n v="60"/>
    <n v="79"/>
    <n v="4.51"/>
    <s v="USA"/>
    <s v="Colombia"/>
    <x v="0"/>
  </r>
  <r>
    <s v="Colombia Finca Monte Verde, Gildardo Gutierrez"/>
    <n v="94"/>
    <s v="Medium Light"/>
    <n v="58"/>
    <n v="73"/>
    <n v="5.73"/>
    <s v="USA"/>
    <s v="Colombia"/>
    <x v="0"/>
  </r>
  <r>
    <s v="Twisted 3.0 Espresso"/>
    <n v="94"/>
    <s v="Medium"/>
    <n v="50"/>
    <n v="60"/>
    <n v="4.63"/>
    <s v="USA"/>
    <s v="Unknown"/>
    <x v="3"/>
  </r>
  <r>
    <s v="Ethiopia Amaro Gayo Dry Process"/>
    <n v="94"/>
    <s v="Medium Light"/>
    <n v="60"/>
    <n v="81"/>
    <n v="3.97"/>
    <s v="USA"/>
    <s v="Ethiopia"/>
    <x v="1"/>
  </r>
  <r>
    <s v="Ethiopia Gedeo Yirgacheffe"/>
    <n v="94"/>
    <s v="Light"/>
    <n v="63"/>
    <n v="85"/>
    <n v="4.04"/>
    <s v="USA"/>
    <s v="Ethiopia"/>
    <x v="1"/>
  </r>
  <r>
    <s v="Rwanda Karongi Gitesi"/>
    <n v="94"/>
    <s v="Medium Light"/>
    <n v="53"/>
    <n v="71"/>
    <n v="4.26"/>
    <s v="USA"/>
    <s v="Rwanda"/>
    <x v="1"/>
  </r>
  <r>
    <s v="Gelgelu Adame Ethiopia Yirgacheffe Organic Natural Process"/>
    <n v="96"/>
    <s v="Light"/>
    <n v="63"/>
    <n v="81"/>
    <n v="5.66"/>
    <s v="USA"/>
    <s v="Ethiopia"/>
    <x v="1"/>
  </r>
  <r>
    <s v="Ethiopia FTO Worka"/>
    <n v="95"/>
    <s v="Light"/>
    <n v="66"/>
    <n v="88"/>
    <n v="4.41"/>
    <s v="USA"/>
    <s v="Ethiopia"/>
    <x v="1"/>
  </r>
  <r>
    <s v="Kenya Makwa AB"/>
    <n v="96"/>
    <s v="Medium"/>
    <n v="54"/>
    <n v="67"/>
    <n v="4.9800000000000004"/>
    <s v="USA"/>
    <s v="Kenya"/>
    <x v="1"/>
  </r>
  <r>
    <s v="Kenya Kabare AB"/>
    <n v="95"/>
    <s v="Light"/>
    <n v="64"/>
    <n v="84"/>
    <n v="4.26"/>
    <s v="USA"/>
    <s v="Kenya"/>
    <x v="1"/>
  </r>
  <r>
    <s v="El Salvador Santa Elena Honey Pacamara"/>
    <n v="94"/>
    <s v="Medium Light"/>
    <n v="55"/>
    <n v="68"/>
    <n v="5.59"/>
    <s v="USA"/>
    <s v="El Salvador"/>
    <x v="0"/>
  </r>
  <r>
    <s v="Kenya Makwa AB"/>
    <n v="95"/>
    <s v="Medium"/>
    <n v="51"/>
    <n v="59"/>
    <n v="4.7"/>
    <s v="USA"/>
    <s v="Kenya"/>
    <x v="1"/>
  </r>
  <r>
    <s v="Ethiopia Yirgacheffe ECX Auction Lot"/>
    <n v="94"/>
    <s v="Medium Light"/>
    <n v="56"/>
    <n v="71"/>
    <n v="5"/>
    <s v="USA"/>
    <s v="Ethiopia"/>
    <x v="1"/>
  </r>
  <r>
    <s v="Ethiopia Ninety Plus Pheribo N2"/>
    <n v="95"/>
    <s v="Light"/>
    <n v="66"/>
    <n v="85"/>
    <n v="15"/>
    <s v="South Korea"/>
    <s v="Ethiopia"/>
    <x v="1"/>
  </r>
  <r>
    <s v="Ethiopia Washed Sidama Shilcho Coop G1"/>
    <n v="94"/>
    <s v="Light"/>
    <n v="64"/>
    <n v="80"/>
    <n v="143.30000000000001"/>
    <s v="Taiwan"/>
    <s v="Ethiopia"/>
    <x v="1"/>
  </r>
  <r>
    <s v="Ethiopia Washed Yirgacheffe вЂњMini-MeвЂќ 2014"/>
    <n v="96"/>
    <s v="Medium"/>
    <n v="50"/>
    <n v="65"/>
    <n v="220.46"/>
    <s v="Taiwan"/>
    <s v="Ethiopia"/>
    <x v="1"/>
  </r>
  <r>
    <s v="Panama Los Lajones Bambu Geisha"/>
    <n v="96"/>
    <s v="Medium Light"/>
    <n v="57"/>
    <n v="78"/>
    <n v="26.46"/>
    <s v="USA"/>
    <s v="Panama"/>
    <x v="0"/>
  </r>
  <r>
    <s v="Kikai Kenya"/>
    <n v="95"/>
    <s v="Medium"/>
    <n v="52"/>
    <n v="62"/>
    <n v="4.26"/>
    <s v="USA"/>
    <s v="Kenya"/>
    <x v="1"/>
  </r>
  <r>
    <s v="Panama Gesha Perci Red"/>
    <n v="96"/>
    <s v="Light"/>
    <n v="66"/>
    <n v="88"/>
    <n v="21.3"/>
    <s v="USA"/>
    <s v="Panama"/>
    <x v="0"/>
  </r>
  <r>
    <s v="Organic Ethiopian Yirgacheffe Idido"/>
    <n v="94"/>
    <s v="Medium Light"/>
    <n v="59"/>
    <n v="74"/>
    <n v="4.63"/>
    <s v="USA"/>
    <s v="Ethiopia"/>
    <x v="1"/>
  </r>
  <r>
    <s v="Holiday Blend"/>
    <n v="95"/>
    <s v="Medium Light"/>
    <n v="56"/>
    <n v="78"/>
    <n v="3.75"/>
    <s v="USA"/>
    <s v="Unknown"/>
    <x v="3"/>
  </r>
  <r>
    <s v="Panama Finca La Mula Geisha Natural"/>
    <n v="94"/>
    <s v="Medium Light"/>
    <n v="60"/>
    <n v="75"/>
    <n v="22.02"/>
    <s v="USA"/>
    <s v="Panama"/>
    <x v="0"/>
  </r>
  <r>
    <s v="Kenya Gichuka AA"/>
    <n v="94"/>
    <s v="Medium Light"/>
    <n v="56"/>
    <n v="72"/>
    <n v="5"/>
    <s v="USA"/>
    <s v="Kenya"/>
    <x v="1"/>
  </r>
  <r>
    <s v="Ethiopia Washed Yirgacheffe Mini-Me"/>
    <n v="94"/>
    <s v="Medium"/>
    <n v="50"/>
    <n v="62"/>
    <n v="220.46"/>
    <s v="Taiwan"/>
    <s v="Ethiopia"/>
    <x v="1"/>
  </r>
  <r>
    <s v="Ethiopia Kelenso Mokanisa"/>
    <n v="94"/>
    <s v="Medium Light"/>
    <n v="59"/>
    <n v="73"/>
    <n v="4.1100000000000003"/>
    <s v="USA"/>
    <s v="Ethiopia"/>
    <x v="1"/>
  </r>
  <r>
    <s v="Ganesha Espresso"/>
    <n v="94"/>
    <s v="Medium"/>
    <n v="49"/>
    <n v="59"/>
    <n v="3.08"/>
    <s v="USA"/>
    <s v="Unknown"/>
    <x v="3"/>
  </r>
  <r>
    <s v="Lennette Kenya"/>
    <n v="94"/>
    <s v="Medium Light"/>
    <n v="56"/>
    <n v="68"/>
    <n v="4.7"/>
    <s v="USA"/>
    <s v="Kenya"/>
    <x v="1"/>
  </r>
  <r>
    <s v="Ethiopia Ninety Plus Nekisse Red"/>
    <n v="95"/>
    <s v="Medium"/>
    <n v="49"/>
    <n v="66"/>
    <n v="19.11"/>
    <s v="USA"/>
    <s v="Ethiopia"/>
    <x v="1"/>
  </r>
  <r>
    <s v="Ethiopia Yirgacheffe Kochere Aricha"/>
    <n v="94"/>
    <s v="Medium Light"/>
    <n v="53"/>
    <n v="79"/>
    <n v="3.56"/>
    <s v="USA"/>
    <s v="Ethiopia"/>
    <x v="1"/>
  </r>
  <r>
    <s v="Ethiopia Banko Natural"/>
    <n v="94"/>
    <s v="Medium Light"/>
    <n v="58"/>
    <n v="75"/>
    <n v="4.79"/>
    <s v="USA"/>
    <s v="Ethiopia"/>
    <x v="1"/>
  </r>
  <r>
    <s v="Makwa Kenya Nyeri"/>
    <n v="94"/>
    <s v="Medium Light"/>
    <n v="57"/>
    <n v="71"/>
    <n v="5.29"/>
    <s v="USA"/>
    <s v="Kenya"/>
    <x v="1"/>
  </r>
  <r>
    <s v="Panama Los Lajones Bambu Geisha Natural"/>
    <n v="94"/>
    <s v="Medium Light"/>
    <n v="58"/>
    <n v="75"/>
    <n v="26.43"/>
    <s v="USA"/>
    <s v="Panama"/>
    <x v="0"/>
  </r>
  <r>
    <s v="Juliette Red Ninety Plus Gesha Estate Panama"/>
    <n v="94"/>
    <s v="Medium Light"/>
    <n v="53"/>
    <n v="72"/>
    <n v="35"/>
    <s v="South Korea"/>
    <s v="Panama"/>
    <x v="0"/>
  </r>
  <r>
    <s v="100% Kona High Mountain Io Extra Fancy"/>
    <n v="94"/>
    <s v="Medium Light"/>
    <n v="55"/>
    <n v="75"/>
    <n v="15.85"/>
    <s v="USA"/>
    <s v="USA"/>
    <x v="0"/>
  </r>
  <r>
    <s v="Sumatra Blue Batak Peaberry"/>
    <n v="94"/>
    <s v="Medium"/>
    <n v="53"/>
    <n v="68"/>
    <n v="4.8499999999999996"/>
    <s v="USA"/>
    <s v="Indonesia"/>
    <x v="2"/>
  </r>
  <r>
    <s v="Panama Gesha Ninety Plus Perci Red"/>
    <n v="95"/>
    <s v="Medium"/>
    <n v="52"/>
    <n v="68"/>
    <n v="19.11"/>
    <s v="USA"/>
    <s v="Panama"/>
    <x v="0"/>
  </r>
  <r>
    <s v="El Agulia Pacamara El Salvador"/>
    <n v="94"/>
    <s v="Light"/>
    <n v="63"/>
    <n v="82"/>
    <n v="5.1100000000000003"/>
    <s v="USA"/>
    <s v="El Salvador"/>
    <x v="0"/>
  </r>
  <r>
    <s v="Mexico Finca Kassandra Pacamara"/>
    <n v="94"/>
    <s v="Medium Light"/>
    <n v="55"/>
    <n v="68"/>
    <n v="5"/>
    <s v="USA"/>
    <s v="Mexico"/>
    <x v="0"/>
  </r>
  <r>
    <s v="Panama Finca Santa Teresa Honey Geisha"/>
    <n v="94"/>
    <s v="Medium"/>
    <n v="55"/>
    <n v="66"/>
    <n v="1234.57"/>
    <s v="Taiwan"/>
    <s v="Panama"/>
    <x v="0"/>
  </r>
  <r>
    <s v="Batista Natural Geisha"/>
    <n v="94"/>
    <s v="Light"/>
    <n v="65"/>
    <n v="84"/>
    <n v="837.74"/>
    <s v="Taiwan"/>
    <s v="Unknown"/>
    <x v="3"/>
  </r>
  <r>
    <s v="Perci N2 Ninety Plus Gesha Estates Panama"/>
    <n v="94"/>
    <s v="Medium Light"/>
    <n v="58"/>
    <n v="71"/>
    <n v="35"/>
    <s v="South Korea"/>
    <s v="Panama"/>
    <x v="0"/>
  </r>
  <r>
    <s v="Ethiopia Sidama Deri Kochoha"/>
    <n v="94"/>
    <s v="Medium"/>
    <n v="52"/>
    <n v="66"/>
    <n v="3.97"/>
    <s v="USA"/>
    <s v="Ethiopia"/>
    <x v="1"/>
  </r>
  <r>
    <s v="Kenya Kirinyaga Karimikui Peaberry"/>
    <n v="95"/>
    <s v="Medium"/>
    <n v="52"/>
    <n v="66"/>
    <n v="4.26"/>
    <s v="USA"/>
    <s v="Kenya"/>
    <x v="1"/>
  </r>
  <r>
    <s v="Ethiopia Yirgacheffe"/>
    <n v="94"/>
    <s v="Light"/>
    <n v="59"/>
    <n v="84"/>
    <n v="4.41"/>
    <s v="USA"/>
    <s v="Ethiopia"/>
    <x v="1"/>
  </r>
  <r>
    <s v="Panama Auromar Estate вЂњIronmanвЂќ Geisha"/>
    <n v="94"/>
    <s v="Medium Light"/>
    <n v="56"/>
    <n v="82"/>
    <n v="23.36"/>
    <s v="USA"/>
    <s v="Panama"/>
    <x v="0"/>
  </r>
  <r>
    <s v="Guatemala Acatenango Gesha"/>
    <n v="95"/>
    <s v="Medium"/>
    <n v="50"/>
    <n v="65"/>
    <n v="8.82"/>
    <s v="USA"/>
    <s v="Guatemala"/>
    <x v="0"/>
  </r>
  <r>
    <s v="Kenya Ruira Mchana Estate"/>
    <n v="94"/>
    <s v="Medium"/>
    <n v="51"/>
    <n v="55"/>
    <n v="4.5599999999999996"/>
    <s v="USA"/>
    <s v="Kenya"/>
    <x v="1"/>
  </r>
  <r>
    <s v="Honeyed Yellow Caturra"/>
    <n v="94"/>
    <s v="Medium"/>
    <n v="52"/>
    <n v="60"/>
    <n v="11.76"/>
    <s v="USA"/>
    <s v="USA"/>
    <x v="0"/>
  </r>
  <r>
    <s v="Hawaii KaвЂ™u Isla"/>
    <n v="94"/>
    <s v="Medium Light"/>
    <n v="57"/>
    <n v="75"/>
    <n v="9.69"/>
    <s v="USA"/>
    <s v="USA"/>
    <x v="0"/>
  </r>
  <r>
    <s v="Ethiopia Yirgacheffe Kochere Grade 1"/>
    <n v="94"/>
    <s v="Medium Light"/>
    <n v="58"/>
    <n v="74"/>
    <n v="4.5599999999999996"/>
    <s v="USA"/>
    <s v="Ethiopia"/>
    <x v="1"/>
  </r>
  <r>
    <s v="Colombia Valle del Cauca Cerro Azul Geisha AAA"/>
    <n v="96"/>
    <s v="Medium Light"/>
    <n v="60"/>
    <n v="81"/>
    <n v="26.34"/>
    <s v="USA"/>
    <s v="Colombia"/>
    <x v="0"/>
  </r>
  <r>
    <s v="Nyala Kenya Peaberry"/>
    <n v="94"/>
    <s v="Medium Light"/>
    <n v="55"/>
    <n v="68"/>
    <n v="4.41"/>
    <s v="USA"/>
    <s v="Kenya"/>
    <x v="1"/>
  </r>
  <r>
    <s v="Ethiopia Kercha Naturally Processed Sidama"/>
    <n v="94"/>
    <s v="Light"/>
    <n v="64"/>
    <n v="81"/>
    <n v="5.23"/>
    <s v="Canada"/>
    <s v="Ethiopia"/>
    <x v="1"/>
  </r>
  <r>
    <s v="Kenya AA Top Lot A114"/>
    <n v="94"/>
    <s v="Medium"/>
    <n v="49"/>
    <n v="62"/>
    <n v="352.74"/>
    <s v="Taiwan"/>
    <s v="Kenya"/>
    <x v="1"/>
  </r>
  <r>
    <s v="Mchana Kenya Peaberry"/>
    <n v="95"/>
    <s v="Medium"/>
    <n v="53"/>
    <n v="65"/>
    <n v="4.7"/>
    <s v="USA"/>
    <s v="Kenya"/>
    <x v="1"/>
  </r>
  <r>
    <s v="Deri Kochoha Ethiopian Sidamo"/>
    <n v="94"/>
    <s v="Medium Light"/>
    <n v="57"/>
    <n v="72"/>
    <n v="4.41"/>
    <s v="USA"/>
    <s v="Ethiopia"/>
    <x v="1"/>
  </r>
  <r>
    <s v="Kemgin Ethiopia"/>
    <n v="94"/>
    <s v="Medium"/>
    <n v="51"/>
    <n v="62"/>
    <n v="4.3"/>
    <s v="USA"/>
    <s v="Ethiopia"/>
    <x v="1"/>
  </r>
  <r>
    <s v="Lintong Sumatra Dolok Sangul"/>
    <n v="94"/>
    <s v="Medium Light"/>
    <n v="54"/>
    <n v="77"/>
    <n v="4.8499999999999996"/>
    <s v="USA"/>
    <s v="Indonesia"/>
    <x v="2"/>
  </r>
  <r>
    <s v="Tano Batak Sumatra"/>
    <n v="94"/>
    <s v="Medium Light"/>
    <n v="54"/>
    <n v="73"/>
    <n v="4.1100000000000003"/>
    <s v="USA"/>
    <s v="Indonesia"/>
    <x v="2"/>
  </r>
  <r>
    <s v="Momma Bear Espresso"/>
    <n v="94"/>
    <s v="Medium Light"/>
    <n v="56"/>
    <n v="76"/>
    <n v="5"/>
    <s v="USA"/>
    <s v="Unknown"/>
    <x v="3"/>
  </r>
  <r>
    <s v="Ethiopia Yirgacheffe Kochere G1"/>
    <n v="94"/>
    <s v="Medium Light"/>
    <n v="58"/>
    <n v="75"/>
    <n v="4.8499999999999996"/>
    <s v="USA"/>
    <s v="Ethiopia"/>
    <x v="1"/>
  </r>
  <r>
    <s v="Maragogype Honey Process"/>
    <n v="94"/>
    <s v="Medium Light"/>
    <n v="51"/>
    <n v="75"/>
    <n v="20.16"/>
    <s v="USA"/>
    <s v="USA"/>
    <x v="0"/>
  </r>
  <r>
    <s v="Ulos Batak Sumatra Peaberry"/>
    <n v="95"/>
    <s v="Medium"/>
    <n v="52"/>
    <n v="68"/>
    <n v="4.41"/>
    <s v="USA"/>
    <s v="Indonesia"/>
    <x v="2"/>
  </r>
  <r>
    <s v="Ninety Plus Kemgin W2 Ethiopia"/>
    <n v="94"/>
    <s v="Medium"/>
    <n v="49"/>
    <n v="65"/>
    <n v="286.60000000000002"/>
    <s v="Taiwan"/>
    <s v="Ethiopia"/>
    <x v="1"/>
  </r>
  <r>
    <s v="Ethiopia Dry Process Saris Abaya"/>
    <n v="94"/>
    <s v="Medium Light"/>
    <n v="59"/>
    <n v="72"/>
    <n v="198.41"/>
    <s v="Taiwan"/>
    <s v="Ethiopia"/>
    <x v="1"/>
  </r>
  <r>
    <s v="Kenya AB Top Lot Single-Origin Espresso"/>
    <n v="94"/>
    <s v="Medium Dark"/>
    <n v="46"/>
    <n v="53"/>
    <n v="286.60000000000002"/>
    <s v="Taiwan"/>
    <s v="Kenya"/>
    <x v="1"/>
  </r>
  <r>
    <s v="Geisha S94"/>
    <n v="94"/>
    <s v="Light"/>
    <n v="61"/>
    <n v="93"/>
    <n v="288"/>
    <s v="China"/>
    <s v="Panama"/>
    <x v="0"/>
  </r>
  <r>
    <s v="Sumatra Mandheling Wahana"/>
    <n v="94"/>
    <s v="Medium Light"/>
    <n v="59"/>
    <n v="76"/>
    <n v="3.97"/>
    <s v="USA"/>
    <s v="Indonesia"/>
    <x v="2"/>
  </r>
  <r>
    <s v="Geisha P.E.B. (RFA)"/>
    <n v="94"/>
    <s v="Medium Light"/>
    <n v="56"/>
    <n v="83"/>
    <n v="588"/>
    <s v="China"/>
    <s v="Panama"/>
    <x v="0"/>
  </r>
  <r>
    <s v="Ethiopia Dry Process Grade 1 Aricha Yirgacheffe"/>
    <n v="95"/>
    <s v="Medium Light"/>
    <n v="56"/>
    <n v="81"/>
    <n v="500"/>
    <s v="Taiwan"/>
    <s v="Ethiopia"/>
    <x v="1"/>
  </r>
  <r>
    <s v="Ethiopia Yirgacheffe ECX"/>
    <n v="96"/>
    <s v="Light"/>
    <n v="64"/>
    <n v="83"/>
    <n v="4.5599999999999996"/>
    <s v="USA"/>
    <s v="Ethiopia"/>
    <x v="1"/>
  </r>
  <r>
    <s v="Tchembe Single Origin Espresso"/>
    <n v="94"/>
    <s v="Medium"/>
    <n v="53"/>
    <n v="66"/>
    <n v="5.5"/>
    <s v="USA"/>
    <s v="Unknown"/>
    <x v="3"/>
  </r>
  <r>
    <s v="Ethiopia Ninety Plus Kemgin"/>
    <n v="96"/>
    <s v="Medium Light"/>
    <n v="52"/>
    <n v="73"/>
    <n v="5.29"/>
    <s v="USA"/>
    <s v="Ethiopia"/>
    <x v="1"/>
  </r>
  <r>
    <s v="El Salvador Santa Marta Honey"/>
    <n v="94"/>
    <s v="Medium Light"/>
    <n v="55"/>
    <n v="79"/>
    <n v="4.9800000000000004"/>
    <s v="USA"/>
    <s v="El Salvador"/>
    <x v="0"/>
  </r>
  <r>
    <s v="Rwanda Nyamasheke"/>
    <n v="95"/>
    <s v="Medium Light"/>
    <n v="56"/>
    <n v="73"/>
    <n v="4.12"/>
    <s v="USA"/>
    <s v="Rwanda"/>
    <x v="1"/>
  </r>
  <r>
    <s v="Kenya Riakiberu Peaberry"/>
    <n v="95"/>
    <s v="Medium"/>
    <n v="45"/>
    <n v="67"/>
    <n v="3.82"/>
    <s v="USA"/>
    <s v="Kenya"/>
    <x v="1"/>
  </r>
  <r>
    <s v="Belekatu Ethiopia Yirgacheffe"/>
    <n v="94"/>
    <s v="Medium Light"/>
    <n v="56"/>
    <n v="78"/>
    <n v="4.41"/>
    <s v="USA"/>
    <s v="Ethiopia"/>
    <x v="1"/>
  </r>
  <r>
    <s v="Yukro Ethiopia"/>
    <n v="94"/>
    <s v="Medium Light"/>
    <n v="57"/>
    <n v="72"/>
    <n v="6.17"/>
    <s v="USA"/>
    <s v="Ethiopia"/>
    <x v="1"/>
  </r>
  <r>
    <s v="Kenya Nyeri Gaturiri Peaberry"/>
    <n v="95"/>
    <s v="Medium"/>
    <n v="49"/>
    <n v="69"/>
    <n v="4.7"/>
    <s v="USA"/>
    <s v="Kenya"/>
    <x v="1"/>
  </r>
  <r>
    <s v="Rutana Burundi Espresso"/>
    <n v="94"/>
    <s v="Medium Dark"/>
    <n v="46"/>
    <n v="55"/>
    <n v="4.1100000000000003"/>
    <s v="USA"/>
    <s v="Burundi"/>
    <x v="1"/>
  </r>
  <r>
    <s v="La Esmeralda Mario Carnaval 2012 Panama"/>
    <n v="96"/>
    <s v="Light"/>
    <n v="66"/>
    <n v="86"/>
    <n v="104.84"/>
    <s v="USA"/>
    <s v="Panama"/>
    <x v="0"/>
  </r>
  <r>
    <s v="Sumatra Wahana Natural"/>
    <n v="94"/>
    <s v="Medium Light"/>
    <n v="59"/>
    <n v="69"/>
    <n v="4.76"/>
    <s v="USA"/>
    <s v="Indonesia"/>
    <x v="2"/>
  </r>
  <r>
    <s v="Harfusa Ethiopia Yirgacheffe Fair Trade Organic"/>
    <n v="94"/>
    <s v="Medium Light"/>
    <n v="56"/>
    <n v="73"/>
    <n v="4.41"/>
    <s v="USA"/>
    <s v="Ethiopia"/>
    <x v="1"/>
  </r>
  <r>
    <s v="Kenya Mukurweini Kamuchuni AA"/>
    <n v="94"/>
    <s v="Medium"/>
    <n v="53"/>
    <n v="63"/>
    <n v="5.29"/>
    <s v="USA"/>
    <s v="Kenya"/>
    <x v="1"/>
  </r>
  <r>
    <s v="Sweet Breeze"/>
    <n v="94"/>
    <s v="Medium Light"/>
    <n v="58"/>
    <n v="76"/>
    <n v="220.46"/>
    <s v="Taiwan"/>
    <s v="Unknown"/>
    <x v="3"/>
  </r>
  <r>
    <s v="Washed Yirgacheffe"/>
    <n v="94"/>
    <s v="Light"/>
    <n v="61"/>
    <n v="81"/>
    <n v="176.37"/>
    <s v="Taiwan"/>
    <s v="Ethiopia"/>
    <x v="1"/>
  </r>
  <r>
    <s v="Ninety Plus Sillvia SK L95"/>
    <n v="94"/>
    <s v="Medium Light"/>
    <n v="55"/>
    <n v="75"/>
    <n v="40"/>
    <s v="China"/>
    <s v="Unknown"/>
    <x v="3"/>
  </r>
  <r>
    <s v="Mexico Santa Teresa BCS 02: Cabernet Franc Barrel"/>
    <n v="95"/>
    <s v="Medium Light"/>
    <n v="58"/>
    <n v="79"/>
    <n v="5.88"/>
    <s v="USA"/>
    <s v="Mexico"/>
    <x v="0"/>
  </r>
  <r>
    <s v="Yirgacheffe Blue Nile"/>
    <n v="94"/>
    <s v="Medium Light"/>
    <n v="54"/>
    <n v="73"/>
    <n v="3.86"/>
    <s v="USA"/>
    <s v="Ethiopia"/>
    <x v="1"/>
  </r>
  <r>
    <s v="Yirgacheffe Belekatu"/>
    <n v="95"/>
    <s v="Medium Light"/>
    <n v="52"/>
    <n v="70"/>
    <n v="4.41"/>
    <s v="USA"/>
    <s v="Ethiopia"/>
    <x v="1"/>
  </r>
  <r>
    <s v="Ethiopia Yirgacheffe Kochere"/>
    <n v="94"/>
    <s v="Medium Light"/>
    <n v="53"/>
    <n v="69"/>
    <n v="4.3899999999999997"/>
    <s v="USA"/>
    <s v="Ethiopia"/>
    <x v="1"/>
  </r>
  <r>
    <s v="Mario San Jose Geisha"/>
    <n v="94"/>
    <s v="Medium Light"/>
    <n v="54"/>
    <n v="71"/>
    <n v="29.72"/>
    <s v="USA"/>
    <s v="Panama"/>
    <x v="0"/>
  </r>
  <r>
    <s v="Perci Red Panama Gesha"/>
    <n v="97"/>
    <s v="Medium"/>
    <n v="52"/>
    <n v="67"/>
    <n v="16.739999999999998"/>
    <s v="USA"/>
    <s v="Panama"/>
    <x v="0"/>
  </r>
  <r>
    <s v="Panama Don Pachi Natural Geisha"/>
    <n v="96"/>
    <s v="Light"/>
    <n v="62"/>
    <n v="86"/>
    <n v="26.45"/>
    <s v="USA"/>
    <s v="Panama"/>
    <x v="0"/>
  </r>
  <r>
    <s v="Kenya Kamviu"/>
    <n v="95"/>
    <s v="Medium"/>
    <n v="52"/>
    <n v="61"/>
    <n v="4.8499999999999996"/>
    <s v="USA"/>
    <s v="Kenya"/>
    <x v="1"/>
  </r>
  <r>
    <s v="Panama La Esmeralda Especial"/>
    <n v="95"/>
    <s v="Medium Light"/>
    <n v="57"/>
    <n v="74"/>
    <n v="14.09"/>
    <s v="USA"/>
    <s v="Panama"/>
    <x v="0"/>
  </r>
  <r>
    <s v="Jingle Bell Natural Yirgacheffe"/>
    <n v="95"/>
    <s v="Light"/>
    <n v="58"/>
    <n v="84"/>
    <n v="4.41"/>
    <s v="Taiwan"/>
    <s v="Ethiopia"/>
    <x v="1"/>
  </r>
  <r>
    <s v="Rwanda Abakundakawa"/>
    <n v="94"/>
    <s v="Medium Light"/>
    <n v="58"/>
    <n v="82"/>
    <n v="4.34"/>
    <s v="USA"/>
    <s v="Rwanda"/>
    <x v="1"/>
  </r>
  <r>
    <s v="Ethiopia Nekisse"/>
    <n v="94"/>
    <s v="Light"/>
    <n v="63"/>
    <n v="79"/>
    <n v="9.98"/>
    <s v="USA"/>
    <s v="Ethiopia"/>
    <x v="1"/>
  </r>
  <r>
    <s v="Finca El Injerto Patagonia, Guatemala"/>
    <n v="94"/>
    <s v="Medium Light"/>
    <n v="59"/>
    <n v="78"/>
    <n v="8.8000000000000007"/>
    <s v="USA"/>
    <s v="Guatemala"/>
    <x v="0"/>
  </r>
  <r>
    <s v="Colombia Geisha"/>
    <n v="94"/>
    <s v="Medium"/>
    <n v="46"/>
    <n v="68"/>
    <n v="8.81"/>
    <s v="USA"/>
    <s v="Colombia"/>
    <x v="0"/>
  </r>
  <r>
    <s v="Colombia La Esperanza Cerro Azul Geisha"/>
    <n v="96"/>
    <s v="Medium Light"/>
    <n v="58"/>
    <n v="81"/>
    <n v="15.43"/>
    <s v="USA"/>
    <s v="Colombia"/>
    <x v="0"/>
  </r>
  <r>
    <s v="Ethiopia Washed Yirgacheffe Aroma Roast"/>
    <n v="94"/>
    <s v="Medium"/>
    <n v="53"/>
    <n v="64"/>
    <n v="209.44"/>
    <s v="Taiwan"/>
    <s v="Ethiopia"/>
    <x v="1"/>
  </r>
  <r>
    <s v="Bourbon Duets"/>
    <n v="94"/>
    <s v="Medium"/>
    <n v="47"/>
    <n v="59"/>
    <n v="0.22"/>
    <s v="Taiwan"/>
    <s v="Unknown"/>
    <x v="3"/>
  </r>
  <r>
    <s v="Lycello Panama Gesha"/>
    <n v="95"/>
    <s v="Medium Light"/>
    <n v="56"/>
    <n v="71"/>
    <n v="10.02"/>
    <s v="USA"/>
    <s v="Panama"/>
    <x v="0"/>
  </r>
  <r>
    <s v="Karatu Kenya AA"/>
    <n v="94"/>
    <s v="Medium"/>
    <n v="53"/>
    <n v="67"/>
    <n v="4.99"/>
    <s v="USA"/>
    <s v="Kenya"/>
    <x v="1"/>
  </r>
  <r>
    <s v="Kenya Mamuto"/>
    <n v="96"/>
    <s v="Medium Light"/>
    <n v="61"/>
    <n v="76"/>
    <n v="7.35"/>
    <s v="USA"/>
    <s v="Kenya"/>
    <x v="1"/>
  </r>
  <r>
    <s v="Kenya Thunguri вЂ“ Top Auction Lot"/>
    <n v="94"/>
    <s v="Medium"/>
    <n v="49"/>
    <n v="62"/>
    <n v="5.57"/>
    <s v="USA"/>
    <s v="Kenya"/>
    <x v="1"/>
  </r>
  <r>
    <s v="Kenya Nyeri AA Tegu"/>
    <n v="95"/>
    <s v="Medium Light"/>
    <n v="56"/>
    <n v="76"/>
    <n v="450"/>
    <s v="Taiwan"/>
    <s v="Kenya"/>
    <x v="1"/>
  </r>
  <r>
    <s v="Panama Gesha Estates: Perci Estate 29 Natural"/>
    <n v="95"/>
    <s v="Medium Light"/>
    <n v="60"/>
    <n v="78"/>
    <n v="19.84"/>
    <s v="USA"/>
    <s v="Panama"/>
    <x v="0"/>
  </r>
  <r>
    <s v="Ethiopia Hachira"/>
    <n v="94"/>
    <s v="Medium Light"/>
    <n v="58"/>
    <n v="74"/>
    <n v="11.02"/>
    <s v="USA"/>
    <s v="Ethiopia"/>
    <x v="1"/>
  </r>
  <r>
    <s v="Goldilocks Espresso"/>
    <n v="94"/>
    <s v="Medium Light"/>
    <n v="56"/>
    <n v="75"/>
    <n v="4.41"/>
    <s v="USA"/>
    <s v="Unknown"/>
    <x v="3"/>
  </r>
  <r>
    <s v="RoastmasterвЂ™s Reserve Esmeralda"/>
    <n v="97"/>
    <s v="Medium"/>
    <n v="52"/>
    <n v="66"/>
    <n v="8.81"/>
    <s v="USA"/>
    <s v="Panama"/>
    <x v="0"/>
  </r>
  <r>
    <s v="Panama Don Pachi Natural Geisha"/>
    <n v="94"/>
    <s v="Medium Light"/>
    <n v="61"/>
    <n v="77"/>
    <n v="26.45"/>
    <s v="USA"/>
    <s v="Panama"/>
    <x v="0"/>
  </r>
  <r>
    <s v="Ethiopia Nanno Challa Cooperative"/>
    <n v="94"/>
    <s v="Medium"/>
    <n v="53"/>
    <n v="66"/>
    <n v="4.9800000000000004"/>
    <s v="USA"/>
    <s v="Ethiopia"/>
    <x v="1"/>
  </r>
  <r>
    <s v="Esmeralda Leon, Panama Geisha Auction Lot"/>
    <n v="96"/>
    <s v="Medium Light"/>
    <n v="52"/>
    <n v="73"/>
    <n v="17.61"/>
    <s v="USA"/>
    <s v="Panama"/>
    <x v="0"/>
  </r>
  <r>
    <s v="Panama Don Pachi Natural Geisha"/>
    <n v="94"/>
    <s v="Medium Light"/>
    <n v="55"/>
    <n v="78"/>
    <n v="26.43"/>
    <s v="USA"/>
    <s v="Panama"/>
    <x v="0"/>
  </r>
  <r>
    <s v="Gelena Abaya Natural Processed Ethiopia"/>
    <n v="94"/>
    <s v="Light"/>
    <n v="66"/>
    <n v="88"/>
    <n v="4.41"/>
    <s v="USA"/>
    <s v="Ethiopia"/>
    <x v="1"/>
  </r>
  <r>
    <s v="Ulos Batak Sumatra"/>
    <n v="94"/>
    <s v="Medium Light"/>
    <n v="57"/>
    <n v="82"/>
    <n v="4.41"/>
    <s v="USA"/>
    <s v="Indonesia"/>
    <x v="2"/>
  </r>
  <r>
    <s v="Maui Mokka Peaberry"/>
    <n v="95"/>
    <s v="Medium Dark"/>
    <n v="42"/>
    <n v="55"/>
    <n v="10.58"/>
    <s v="USA"/>
    <s v="USA"/>
    <x v="0"/>
  </r>
  <r>
    <s v="Kona Maragogipe Honey S.O. Espresso"/>
    <n v="94"/>
    <s v="Medium"/>
    <n v="53"/>
    <n v="63"/>
    <n v="705.47"/>
    <s v="Taiwan"/>
    <s v="USA"/>
    <x v="0"/>
  </r>
  <r>
    <s v="Panama Lerida Estate"/>
    <n v="94"/>
    <s v="Medium"/>
    <n v="51"/>
    <n v="61"/>
    <n v="5.73"/>
    <s v="USA"/>
    <s v="Panama"/>
    <x v="0"/>
  </r>
  <r>
    <s v="Kenya Mamuto"/>
    <n v="95"/>
    <s v="Medium Light"/>
    <n v="58"/>
    <n v="76"/>
    <n v="8.52"/>
    <s v="USA"/>
    <s v="Kenya"/>
    <x v="1"/>
  </r>
  <r>
    <s v="Colombian La Esperanza"/>
    <n v="94"/>
    <s v="Medium Light"/>
    <n v="58"/>
    <n v="73"/>
    <n v="3.96"/>
    <s v="USA"/>
    <s v="Colombia"/>
    <x v="0"/>
  </r>
  <r>
    <s v="Colombia Finca Villa Loyola"/>
    <n v="94"/>
    <s v="Medium Light"/>
    <n v="60"/>
    <n v="72"/>
    <n v="5.39"/>
    <s v="USA"/>
    <s v="Colombia"/>
    <x v="0"/>
  </r>
  <r>
    <s v="El Vergel Guatemala"/>
    <n v="97"/>
    <s v="Medium Light"/>
    <n v="61"/>
    <n v="75"/>
    <n v="4.8499999999999996"/>
    <s v="USA"/>
    <s v="Guatemala"/>
    <x v="0"/>
  </r>
  <r>
    <s v="Kenya Nyeri AA Gaturiri"/>
    <n v="94"/>
    <s v="Medium Dark"/>
    <n v="45"/>
    <n v="52"/>
    <n v="7.05"/>
    <s v="USA"/>
    <s v="Kenya"/>
    <x v="1"/>
  </r>
  <r>
    <s v="Colombia Huila Monserrate Yaneth Gil Microlot"/>
    <n v="94"/>
    <s v="Medium"/>
    <n v="54"/>
    <n v="63"/>
    <n v="4.1900000000000004"/>
    <s v="USA"/>
    <s v="Colombia"/>
    <x v="0"/>
  </r>
  <r>
    <s v="Colombia El Roble Single Origin Espresso"/>
    <n v="94"/>
    <s v="Medium"/>
    <n v="48"/>
    <n v="59"/>
    <n v="5.22"/>
    <s v="USA"/>
    <s v="Colombia"/>
    <x v="0"/>
  </r>
  <r>
    <s v="Kenya AA Top Single Origin Espresso"/>
    <n v="96"/>
    <s v="Medium"/>
    <n v="47"/>
    <n v="59"/>
    <n v="308.64999999999998"/>
    <s v="Taiwan"/>
    <s v="Kenya"/>
    <x v="1"/>
  </r>
  <r>
    <s v="El Salvador Santa Rita"/>
    <n v="94"/>
    <s v="Medium Light"/>
    <n v="56"/>
    <n v="80"/>
    <n v="3.31"/>
    <s v="USA"/>
    <s v="El Salvador"/>
    <x v="0"/>
  </r>
  <r>
    <s v="Kenya Meru Kinjo Peaberry"/>
    <n v="94"/>
    <s v="Medium Light"/>
    <n v="54"/>
    <n v="72"/>
    <n v="5.88"/>
    <s v="USA"/>
    <s v="Kenya"/>
    <x v="1"/>
  </r>
  <r>
    <s v="Ethiopia Yirgacheffe Gedeo Worka Fair Trade Organic Certified"/>
    <n v="94"/>
    <s v="Light"/>
    <n v="59"/>
    <n v="89"/>
    <n v="52.08"/>
    <s v="USA"/>
    <s v="Ethiopia"/>
    <x v="1"/>
  </r>
  <r>
    <s v="RustyвЂ™s Hawaiian Red Caturra Natural"/>
    <n v="94"/>
    <s v="Medium"/>
    <n v="55"/>
    <n v="64"/>
    <n v="9.92"/>
    <s v="USA"/>
    <s v="USA"/>
    <x v="0"/>
  </r>
  <r>
    <s v="Guatemala El Injerto Pacamara"/>
    <n v="95"/>
    <s v="Medium"/>
    <n v="54"/>
    <n v="64"/>
    <n v="7.71"/>
    <s v="USA"/>
    <s v="Guatemala"/>
    <x v="0"/>
  </r>
  <r>
    <s v="Guatemala El Diamante"/>
    <n v="94"/>
    <s v="Medium Light"/>
    <n v="53"/>
    <n v="70"/>
    <n v="4.5599999999999996"/>
    <s v="USA"/>
    <s v="Guatemala"/>
    <x v="0"/>
  </r>
  <r>
    <s v="Honey Pot Espresso"/>
    <n v="94"/>
    <s v="Medium Light"/>
    <n v="55"/>
    <n v="74"/>
    <n v="4.7"/>
    <s v="USA"/>
    <s v="Unknown"/>
    <x v="3"/>
  </r>
  <r>
    <s v="Mocha Java"/>
    <n v="95"/>
    <s v="Medium"/>
    <n v="47"/>
    <n v="62"/>
    <n v="2.79"/>
    <s v="USA"/>
    <s v="Unknown"/>
    <x v="3"/>
  </r>
  <r>
    <s v="Guatemala Pandora Pacamara Medium-Light Roast"/>
    <n v="96"/>
    <s v="Medium"/>
    <n v="52"/>
    <n v="63"/>
    <n v="11.02"/>
    <s v="Taiwan"/>
    <s v="Guatemala"/>
    <x v="0"/>
  </r>
  <r>
    <s v="Panama Geisha Aroma Roast"/>
    <n v="95"/>
    <s v="Medium"/>
    <n v="49"/>
    <n v="71"/>
    <n v="1146.3800000000001"/>
    <s v="Taiwan"/>
    <s v="Panama"/>
    <x v="0"/>
  </r>
  <r>
    <s v="Starlight Blend"/>
    <n v="96"/>
    <s v="Medium"/>
    <n v="54"/>
    <n v="67"/>
    <n v="3.3"/>
    <s v="USA"/>
    <s v="Unknown"/>
    <x v="3"/>
  </r>
  <r>
    <s v="Kenya Nyeri AB Gichatha-ini Signature Series"/>
    <n v="97"/>
    <s v="Medium"/>
    <n v="45"/>
    <n v="60"/>
    <n v="4.8499999999999996"/>
    <s v="USA"/>
    <s v="Kenya"/>
    <x v="1"/>
  </r>
  <r>
    <s v="Colombia Tolimas"/>
    <n v="95"/>
    <s v="Medium"/>
    <n v="50"/>
    <n v="56"/>
    <n v="4.41"/>
    <s v="USA"/>
    <s v="Colombia"/>
    <x v="0"/>
  </r>
  <r>
    <s v="Ethiopia Harrar"/>
    <n v="94"/>
    <s v="Medium"/>
    <n v="48"/>
    <n v="70"/>
    <n v="4.53"/>
    <s v="USA"/>
    <s v="Ethiopia"/>
    <x v="1"/>
  </r>
  <r>
    <s v="El Salvador Nombre de Dios"/>
    <n v="94"/>
    <s v="Medium Light"/>
    <n v="53"/>
    <n v="73"/>
    <n v="4.12"/>
    <s v="USA"/>
    <s v="El Salvador"/>
    <x v="0"/>
  </r>
  <r>
    <s v="Panama Elida Estate"/>
    <n v="95"/>
    <s v="Medium Light"/>
    <n v="54"/>
    <n v="80"/>
    <n v="4.12"/>
    <s v="USA"/>
    <s v="Panama"/>
    <x v="0"/>
  </r>
  <r>
    <s v="Panama Elida Estate Natural Process"/>
    <n v="94"/>
    <s v="Medium Light"/>
    <n v="52"/>
    <n v="76"/>
    <n v="4.12"/>
    <s v="USA"/>
    <s v="Panama"/>
    <x v="0"/>
  </r>
  <r>
    <s v="Ethiopia Sidamo Guji"/>
    <n v="94"/>
    <s v="Medium Light"/>
    <n v="57"/>
    <n v="81"/>
    <n v="3.67"/>
    <s v="USA"/>
    <s v="Ethiopia"/>
    <x v="1"/>
  </r>
  <r>
    <s v="Kenya Karinga"/>
    <n v="95"/>
    <s v="Medium"/>
    <n v="52"/>
    <n v="67"/>
    <n v="5.88"/>
    <s v="USA"/>
    <s v="Kenya"/>
    <x v="1"/>
  </r>
  <r>
    <s v="Kenya Karatu AA"/>
    <n v="95"/>
    <s v="Medium"/>
    <n v="50"/>
    <n v="68"/>
    <n v="8.8000000000000007"/>
    <s v="USA"/>
    <s v="Kenya"/>
    <x v="1"/>
  </r>
  <r>
    <s v="Kenya Giakanja"/>
    <n v="94"/>
    <s v="Medium Light"/>
    <n v="51"/>
    <n v="75"/>
    <n v="6.75"/>
    <s v="USA"/>
    <s v="Kenya"/>
    <x v="1"/>
  </r>
  <r>
    <s v="Kenya AA Kiaora Estate Full City Roast"/>
    <n v="94"/>
    <s v="Medium"/>
    <n v="47"/>
    <n v="56"/>
    <n v="3.75"/>
    <s v="USA"/>
    <s v="Kenya"/>
    <x v="1"/>
  </r>
  <r>
    <s v="Kenya Kiandu"/>
    <n v="95"/>
    <s v="Medium Light"/>
    <n v="54"/>
    <n v="81"/>
    <n v="6.76"/>
    <s v="USA"/>
    <s v="Kenya"/>
    <x v="1"/>
  </r>
  <r>
    <s v="Kenya Kirinyaga Kii Peaberry Espresso"/>
    <n v="94"/>
    <s v="Medium Dark"/>
    <n v="37"/>
    <n v="49"/>
    <n v="4.0999999999999996"/>
    <s v="USA"/>
    <s v="Kenya"/>
    <x v="1"/>
  </r>
  <r>
    <s v="Sumatra Lake Tawar"/>
    <n v="94"/>
    <s v="Medium"/>
    <n v="49"/>
    <n v="56"/>
    <n v="4.63"/>
    <s v="USA"/>
    <s v="Indonesia"/>
    <x v="2"/>
  </r>
  <r>
    <s v="Espresso Nuevo"/>
    <n v="95"/>
    <s v="Medium Dark"/>
    <n v="39"/>
    <n v="54"/>
    <n v="3.81"/>
    <s v="USA"/>
    <s v="Unknown"/>
    <x v="3"/>
  </r>
  <r>
    <s v="Nicaragua SHG"/>
    <n v="94"/>
    <s v="Medium"/>
    <n v="50"/>
    <n v="61"/>
    <n v="3.53"/>
    <s v="USA"/>
    <s v="Nicaragua"/>
    <x v="0"/>
  </r>
  <r>
    <s v="Costa Rica Micro Lot вЂњPepeвЂќ Honey Processed"/>
    <n v="95"/>
    <s v="Medium Light"/>
    <n v="53"/>
    <n v="69"/>
    <n v="4.38"/>
    <s v="USA"/>
    <s v="Costa Rica"/>
    <x v="0"/>
  </r>
  <r>
    <s v="Panama Gesha 2011"/>
    <n v="94"/>
    <s v="Medium"/>
    <n v="53"/>
    <n v="68"/>
    <n v="11.01"/>
    <s v="USA"/>
    <s v="Panama"/>
    <x v="0"/>
  </r>
  <r>
    <s v="Guatemala Xeucalvitz"/>
    <n v="95"/>
    <s v="Medium Light"/>
    <n v="58"/>
    <n v="79"/>
    <n v="136.36000000000001"/>
    <s v="USA"/>
    <s v="Guatemala"/>
    <x v="0"/>
  </r>
  <r>
    <s v="Kenya Gethembwini"/>
    <n v="95"/>
    <s v="Medium Light"/>
    <n v="57"/>
    <n v="73"/>
    <n v="6.17"/>
    <s v="USA"/>
    <s v="Kenya"/>
    <x v="1"/>
  </r>
  <r>
    <s v="Ibonia Kenya Peaberry"/>
    <n v="94"/>
    <s v="Medium"/>
    <n v="51"/>
    <n v="69"/>
    <n v="170.45"/>
    <s v="USA"/>
    <s v="Kenya"/>
    <x v="1"/>
  </r>
  <r>
    <s v="Colombia Finca Cerro Azul"/>
    <n v="95"/>
    <s v="Medium Light"/>
    <n v="57"/>
    <n v="68"/>
    <n v="8.3800000000000008"/>
    <s v="USA"/>
    <s v="Colombia"/>
    <x v="0"/>
  </r>
  <r>
    <s v="El Patron Nicaragua Espresso"/>
    <n v="94"/>
    <s v="Medium Dark"/>
    <n v="46"/>
    <n v="53"/>
    <n v="2.86"/>
    <s v="Canada"/>
    <s v="Nicaragua"/>
    <x v="0"/>
  </r>
  <r>
    <s v="Ethiopia Yirgacheffe Addis Ketema North Italian Espresso Roast"/>
    <n v="94"/>
    <s v="Medium"/>
    <n v="50"/>
    <n v="59"/>
    <n v="4.7"/>
    <s v="USA"/>
    <s v="Ethiopia"/>
    <x v="1"/>
  </r>
  <r>
    <s v="Bolivia Caranavi Cenaproc Co-op"/>
    <n v="94"/>
    <s v="Medium Dark"/>
    <n v="43"/>
    <n v="55"/>
    <n v="4.1900000000000004"/>
    <s v="USA"/>
    <s v="Bolivia"/>
    <x v="0"/>
  </r>
  <r>
    <s v="Kenya Ndiara"/>
    <n v="94"/>
    <s v="Medium"/>
    <n v="52"/>
    <n v="68"/>
    <n v="5.44"/>
    <s v="USA"/>
    <s v="Kenya"/>
    <x v="1"/>
  </r>
  <r>
    <s v="Guatemala La Conception"/>
    <n v="95"/>
    <s v="Medium"/>
    <n v="53"/>
    <n v="59"/>
    <n v="4.9800000000000004"/>
    <s v="USA"/>
    <s v="Guatemala"/>
    <x v="0"/>
  </r>
  <r>
    <s v="Colombia La Escuelita"/>
    <n v="95"/>
    <s v="Medium Light"/>
    <n v="57"/>
    <n v="65"/>
    <n v="147.72999999999999"/>
    <s v="USA"/>
    <s v="Colombia"/>
    <x v="0"/>
  </r>
  <r>
    <s v="Kenya Thiriku Top Auction Lot"/>
    <n v="95"/>
    <s v="Medium"/>
    <n v="54"/>
    <n v="64"/>
    <n v="5.95"/>
    <s v="USA"/>
    <s v="Kenya"/>
    <x v="1"/>
  </r>
  <r>
    <s v="Extra Fancy Kona Coffee Medium Roast"/>
    <n v="94"/>
    <s v="Medium Light"/>
    <n v="55"/>
    <n v="71"/>
    <n v="8.81"/>
    <s v="USA"/>
    <s v="USA"/>
    <x v="0"/>
  </r>
  <r>
    <s v="El Salvador La Montana Pacamara"/>
    <n v="94"/>
    <s v="Medium"/>
    <n v="55"/>
    <n v="61"/>
    <n v="4.63"/>
    <s v="USA"/>
    <s v="El Salvador"/>
    <x v="0"/>
  </r>
  <r>
    <s v="Stars of Formosa Blend"/>
    <n v="94"/>
    <s v="Medium Light"/>
    <n v="54"/>
    <n v="78"/>
    <n v="264.55"/>
    <s v="Taiwan"/>
    <s v="Unknown"/>
    <x v="3"/>
  </r>
  <r>
    <s v="Kenya Kagongo Peaberry"/>
    <n v="95"/>
    <s v="Medium"/>
    <n v="45"/>
    <n v="59"/>
    <n v="5.59"/>
    <s v="USA"/>
    <s v="Kenya"/>
    <x v="1"/>
  </r>
  <r>
    <s v="Kenya Peaberry Muthunzunni Estate"/>
    <n v="95"/>
    <s v="Medium Dark"/>
    <n v="43"/>
    <n v="54"/>
    <n v="4.0999999999999996"/>
    <s v="USA"/>
    <s v="Kenya"/>
    <x v="1"/>
  </r>
  <r>
    <s v="Kenya Kangunu"/>
    <n v="95"/>
    <s v="Medium"/>
    <n v="50"/>
    <n v="66"/>
    <n v="6.17"/>
    <s v="USA"/>
    <s v="Kenya"/>
    <x v="1"/>
  </r>
  <r>
    <s v="Ethiopia Konga Co-op Yirgacheffe"/>
    <n v="95"/>
    <s v="Medium"/>
    <n v="50"/>
    <n v="66"/>
    <n v="4.6900000000000004"/>
    <s v="USA"/>
    <s v="Ethiopia"/>
    <x v="1"/>
  </r>
  <r>
    <s v="Honduras David Mancia"/>
    <n v="94"/>
    <s v="Medium Light"/>
    <n v="57"/>
    <n v="73"/>
    <n v="119.32"/>
    <s v="USA"/>
    <s v="Honduras"/>
    <x v="0"/>
  </r>
  <r>
    <s v="Hawaii Isla Kona Mauka"/>
    <n v="94"/>
    <s v="Medium Light"/>
    <n v="53"/>
    <n v="71"/>
    <n v="13.28"/>
    <s v="USA"/>
    <s v="USA"/>
    <x v="0"/>
  </r>
  <r>
    <s v="Ethiopia Nekisse Espresso"/>
    <n v="94"/>
    <s v="Medium"/>
    <n v="48"/>
    <n v="56"/>
    <n v="11.16"/>
    <s v="USA"/>
    <s v="Ethiopia"/>
    <x v="1"/>
  </r>
  <r>
    <s v="Panama Mama Cata Geisha"/>
    <n v="95"/>
    <s v="Medium"/>
    <n v="47"/>
    <n v="62"/>
    <n v="15.5"/>
    <s v="USA"/>
    <s v="Panama"/>
    <x v="0"/>
  </r>
  <r>
    <s v="El Salvador Pacamara Finca Los Alpes The Bank"/>
    <n v="94"/>
    <s v="Medium Light"/>
    <n v="58"/>
    <n v="78"/>
    <n v="4.3899999999999997"/>
    <s v="USA"/>
    <s v="El Salvador"/>
    <x v="0"/>
  </r>
  <r>
    <s v="Honduras Fernandez Farm"/>
    <n v="94"/>
    <s v="Medium Light"/>
    <n v="54"/>
    <n v="73"/>
    <n v="7.94"/>
    <s v="USA"/>
    <s v="Honduras"/>
    <x v="0"/>
  </r>
  <r>
    <s v="Resiprocate Verita Espresso"/>
    <n v="94"/>
    <s v="Medium Dark"/>
    <n v="40"/>
    <n v="49"/>
    <n v="2"/>
    <s v="Canada"/>
    <s v="Unknown"/>
    <x v="3"/>
  </r>
  <r>
    <s v="KaвЂ™u Coffee Natural Dried"/>
    <n v="95"/>
    <s v="Medium"/>
    <n v="46"/>
    <n v="67"/>
    <n v="11.9"/>
    <s v="USA"/>
    <s v="USA"/>
    <x v="0"/>
  </r>
  <r>
    <s v="Stars of Italy Espresso"/>
    <n v="96"/>
    <s v="Medium"/>
    <n v="46"/>
    <n v="60"/>
    <n v="264.55"/>
    <s v="Taiwan"/>
    <s v="Unknown"/>
    <x v="3"/>
  </r>
  <r>
    <s v="Guatemala Hunapu Antigua Bourbon"/>
    <n v="97"/>
    <s v="Medium"/>
    <n v="48"/>
    <n v="58"/>
    <n v="4.41"/>
    <s v="USA"/>
    <s v="Guatemala"/>
    <x v="0"/>
  </r>
  <r>
    <s v="Kenya Bourbon French Mission"/>
    <n v="94"/>
    <s v="Medium Light"/>
    <n v="55"/>
    <n v="83"/>
    <n v="264.55"/>
    <s v="Taiwan"/>
    <s v="Kenya"/>
    <x v="1"/>
  </r>
  <r>
    <s v="Kenya Peaberry Kirinyaga Kii"/>
    <n v="94"/>
    <s v="Medium Light"/>
    <n v="49"/>
    <n v="73"/>
    <n v="4.3899999999999997"/>
    <s v="USA"/>
    <s v="Kenya"/>
    <x v="1"/>
  </r>
  <r>
    <s v="El Salvador Pacamara Finca Los Alpes Tierra Fertil"/>
    <n v="94"/>
    <s v="Medium Light"/>
    <n v="56"/>
    <n v="69"/>
    <n v="3.51"/>
    <s v="USA"/>
    <s v="El Salvador"/>
    <x v="0"/>
  </r>
  <r>
    <s v="Panama Esmeralda Mario Carnival"/>
    <n v="94"/>
    <s v="Medium"/>
    <n v="52"/>
    <n v="68"/>
    <n v="15.5"/>
    <s v="USA"/>
    <s v="Panama"/>
    <x v="0"/>
  </r>
  <r>
    <s v="Panama La Esmeralda Especial Mario San Jose"/>
    <n v="94"/>
    <s v="Medium"/>
    <n v="49"/>
    <n v="62"/>
    <n v="12.35"/>
    <s v="USA"/>
    <s v="Panama"/>
    <x v="0"/>
  </r>
  <r>
    <s v="Mocha Java Espresso"/>
    <n v="95"/>
    <s v="Medium"/>
    <n v="48"/>
    <n v="57"/>
    <n v="3.31"/>
    <s v="Canada"/>
    <s v="Unknown"/>
    <x v="3"/>
  </r>
  <r>
    <s v="Ethiopia Nekisse"/>
    <n v="96"/>
    <s v="Medium"/>
    <n v="50"/>
    <n v="65"/>
    <n v="11.16"/>
    <s v="USA"/>
    <s v="Ethiopia"/>
    <x v="1"/>
  </r>
  <r>
    <s v="Sumatra Aceh Pondok"/>
    <n v="94"/>
    <s v="Medium Light"/>
    <n v="58"/>
    <n v="83"/>
    <n v="3.51"/>
    <s v="USA"/>
    <s v="Indonesia"/>
    <x v="2"/>
  </r>
  <r>
    <s v="Ethiopian Sidamo Fair Trade/Organic"/>
    <n v="95"/>
    <s v="Medium Light"/>
    <n v="57"/>
    <n v="76"/>
    <n v="3.81"/>
    <s v="USA"/>
    <s v="Ethiopia"/>
    <x v="1"/>
  </r>
  <r>
    <s v="PeopleвЂ™s Daily Espresso"/>
    <n v="94"/>
    <s v="Medium"/>
    <n v="48"/>
    <n v="57"/>
    <n v="3.53"/>
    <s v="Canada"/>
    <s v="El Salvador"/>
    <x v="0"/>
  </r>
  <r>
    <s v="Tanzanian Songea Peaberry"/>
    <n v="94"/>
    <s v="Medium"/>
    <n v="47"/>
    <n v="62"/>
    <n v="3.88"/>
    <s v="Canada"/>
    <s v="Tanzania"/>
    <x v="1"/>
  </r>
  <r>
    <s v="La Esperanza Colombia Huila"/>
    <n v="95"/>
    <s v="Medium Light"/>
    <n v="63"/>
    <n v="72"/>
    <n v="4.9800000000000004"/>
    <s v="USA"/>
    <s v="Colombia"/>
    <x v="0"/>
  </r>
  <r>
    <s v="Ethiopia Yirga Cheffe Koke Espresso"/>
    <n v="94"/>
    <s v="Medium Light"/>
    <n v="53"/>
    <n v="72"/>
    <n v="105.11"/>
    <s v="USA"/>
    <s v="Ethiopia"/>
    <x v="1"/>
  </r>
  <r>
    <s v="Ethiopia Sidama ARDI"/>
    <n v="95"/>
    <s v="Medium Light"/>
    <n v="54"/>
    <n v="76"/>
    <n v="113.64"/>
    <s v="USA"/>
    <s v="Ethiopia"/>
    <x v="1"/>
  </r>
  <r>
    <s v="Sumatra Lake Tawar"/>
    <n v="94"/>
    <s v="Medium"/>
    <n v="46"/>
    <n v="60"/>
    <n v="3.2"/>
    <s v="USA"/>
    <s v="Indonesia"/>
    <x v="2"/>
  </r>
  <r>
    <s v="Ethiopia Yirgacheffe"/>
    <n v="94"/>
    <s v="Medium Light"/>
    <n v="59"/>
    <n v="82"/>
    <n v="3.82"/>
    <s v="USA"/>
    <s v="Ethiopia"/>
    <x v="1"/>
  </r>
  <r>
    <s v="Sulawesi Toraja"/>
    <n v="94"/>
    <s v="Medium"/>
    <n v="49"/>
    <n v="71"/>
    <n v="385.01"/>
    <s v="USA"/>
    <s v="Indonesia"/>
    <x v="2"/>
  </r>
  <r>
    <s v="Indonesia Blue Batak Peaberry"/>
    <n v="94"/>
    <s v="Medium Dark"/>
    <n v="39"/>
    <n v="53"/>
    <n v="1245.71"/>
    <s v="USA"/>
    <s v="Indonesia"/>
    <x v="2"/>
  </r>
  <r>
    <s v="Romance by Paradise"/>
    <n v="94"/>
    <s v="Light"/>
    <n v="62"/>
    <n v="89"/>
    <n v="10.7"/>
    <s v="USA"/>
    <s v="Unknown"/>
    <x v="3"/>
  </r>
  <r>
    <s v="Ethiopia Washed Yirgacheffe, Koke Grade 1"/>
    <n v="97"/>
    <s v="Medium Light"/>
    <n v="49"/>
    <n v="78"/>
    <n v="6.37"/>
    <s v="Taiwan"/>
    <s v="Ethiopia"/>
    <x v="1"/>
  </r>
  <r>
    <s v="Kenya AA Top"/>
    <n v="96"/>
    <s v="Medium"/>
    <n v="49"/>
    <n v="64"/>
    <n v="79.66"/>
    <s v="Taiwan"/>
    <s v="Kenya"/>
    <x v="1"/>
  </r>
  <r>
    <s v="Costa Rica Finca Cerro Palado"/>
    <n v="95"/>
    <s v="Medium Light"/>
    <n v="55"/>
    <n v="77"/>
    <n v="5.33"/>
    <s v="USA"/>
    <s v="Costa Rica"/>
    <x v="0"/>
  </r>
  <r>
    <s v="Ethiopia Yirgacheffe Koke"/>
    <n v="94"/>
    <s v="Medium"/>
    <n v="51"/>
    <n v="70"/>
    <n v="93.62"/>
    <s v="USA"/>
    <s v="Ethiopia"/>
    <x v="1"/>
  </r>
  <r>
    <s v="Kenya Gichathaini"/>
    <n v="94"/>
    <s v="Medium Light"/>
    <n v="52"/>
    <n v="82"/>
    <n v="45.88"/>
    <s v="USA"/>
    <s v="Kenya"/>
    <x v="1"/>
  </r>
  <r>
    <s v="La Esmeralda"/>
    <n v="95"/>
    <s v="Medium Light"/>
    <n v="55"/>
    <n v="82"/>
    <n v="11.29"/>
    <s v="USA"/>
    <s v="Panama"/>
    <x v="0"/>
  </r>
  <r>
    <s v="Sumatra Danau Toba"/>
    <n v="94"/>
    <s v="Medium Light"/>
    <n v="58"/>
    <n v="73"/>
    <n v="5.18"/>
    <s v="USA"/>
    <s v="Indonesia"/>
    <x v="2"/>
  </r>
  <r>
    <s v="Kenya Githiru"/>
    <n v="95"/>
    <s v="Medium Light"/>
    <n v="53"/>
    <n v="75"/>
    <n v="233.63"/>
    <s v="USA"/>
    <s v="Kenya"/>
    <x v="1"/>
  </r>
  <r>
    <s v="Panama Elida Estate Natural"/>
    <n v="95"/>
    <s v="Medium Light"/>
    <n v="55"/>
    <n v="79"/>
    <n v="123.6"/>
    <s v="USA"/>
    <s v="Panama"/>
    <x v="0"/>
  </r>
  <r>
    <s v="Fair Trade Organic Ethiopia Yirgacheffe"/>
    <n v="94"/>
    <s v="Medium"/>
    <n v="45"/>
    <n v="61"/>
    <n v="98.18"/>
    <s v="USA"/>
    <s v="Ethiopia"/>
    <x v="1"/>
  </r>
  <r>
    <s v="Hacienda La Esmeralda Special Mario Carnaval"/>
    <n v="96"/>
    <s v="Light"/>
    <n v="59"/>
    <n v="99"/>
    <n v="123.62"/>
    <s v="USA"/>
    <s v="Panama"/>
    <x v="0"/>
  </r>
  <r>
    <s v="Panama El Burro Estate"/>
    <n v="94"/>
    <s v="Medium"/>
    <n v="44"/>
    <n v="73"/>
    <n v="219.28"/>
    <s v="USA"/>
    <s v="Panama"/>
    <x v="0"/>
  </r>
  <r>
    <s v="KaвЂ™u Bourbon"/>
    <n v="95"/>
    <s v="Medium"/>
    <n v="49"/>
    <n v="69"/>
    <n v="32.869999999999997"/>
    <s v="USA"/>
    <s v="USA"/>
    <x v="0"/>
  </r>
  <r>
    <s v="Kenya Peaberry Thika Gethumbwini"/>
    <n v="96"/>
    <s v="Light"/>
    <n v="57"/>
    <n v="90"/>
    <n v="76.13"/>
    <s v="USA"/>
    <s v="Kenya"/>
    <x v="1"/>
  </r>
  <r>
    <s v="Burundi Kinyovu"/>
    <n v="95"/>
    <s v="Medium Light"/>
    <n v="53"/>
    <n v="77"/>
    <n v="5.53"/>
    <s v="USA"/>
    <s v="Burundi"/>
    <x v="1"/>
  </r>
  <r>
    <s v="Bonsai Blend Espresso"/>
    <n v="94"/>
    <s v="Medium Dark"/>
    <n v="37"/>
    <n v="47"/>
    <n v="68.180000000000007"/>
    <s v="USA"/>
    <s v="Unknown"/>
    <x v="3"/>
  </r>
  <r>
    <s v="Ethiopia Yirgacheffe Beloya Selection 8"/>
    <n v="95"/>
    <s v="Light"/>
    <n v="65"/>
    <n v="91"/>
    <n v="22.96"/>
    <s v="USA"/>
    <s v="Ethiopia"/>
    <x v="1"/>
  </r>
  <r>
    <s v="Romance by Paradise"/>
    <n v="95"/>
    <s v="Medium"/>
    <n v="51"/>
    <n v="66"/>
    <n v="6.42"/>
    <s v="USA"/>
    <s v="Unknown"/>
    <x v="3"/>
  </r>
  <r>
    <s v="Kenya AA Gachatha"/>
    <n v="95"/>
    <s v="Medium"/>
    <n v="47"/>
    <n v="58"/>
    <n v="104.06"/>
    <s v="USA"/>
    <s v="Kenya"/>
    <x v="1"/>
  </r>
  <r>
    <s v="вЂњKona SweetвЂќ 100% Kona"/>
    <n v="97"/>
    <s v="Light"/>
    <n v="62"/>
    <n v="83"/>
    <n v="2008.52"/>
    <s v="USA"/>
    <s v="USA"/>
    <x v="0"/>
  </r>
  <r>
    <s v="Kenya Ndiara Full Flavor Roast"/>
    <n v="96"/>
    <s v="Medium Light"/>
    <n v="56"/>
    <n v="75"/>
    <n v="12.45"/>
    <s v="USA"/>
    <s v="Kenya"/>
    <x v="1"/>
  </r>
  <r>
    <s v="Kenya Ndaroini Microlot"/>
    <n v="95"/>
    <s v="Medium"/>
    <n v="52"/>
    <n v="69"/>
    <n v="5.75"/>
    <s v="USA"/>
    <s v="Kenya"/>
    <x v="1"/>
  </r>
  <r>
    <s v="Kenya Mamuto"/>
    <n v="96"/>
    <s v="Medium"/>
    <n v="49"/>
    <n v="69"/>
    <n v="32.869999999999997"/>
    <s v="USA"/>
    <s v="Kenya"/>
    <x v="1"/>
  </r>
  <r>
    <s v="Sumatra Lintong"/>
    <n v="94"/>
    <s v="Medium Light"/>
    <n v="55"/>
    <n v="75"/>
    <n v="22.05"/>
    <s v="USA"/>
    <s v="Indonesia"/>
    <x v="2"/>
  </r>
  <r>
    <s v="Panama Elida Natural"/>
    <n v="95"/>
    <s v="Medium Light"/>
    <n v="57"/>
    <n v="81"/>
    <n v="10.37"/>
    <s v="USA"/>
    <s v="Panama"/>
    <x v="0"/>
  </r>
  <r>
    <s v="Sumatra Danau Toba"/>
    <n v="94"/>
    <s v="Medium Light"/>
    <n v="50"/>
    <n v="74"/>
    <n v="63.49"/>
    <s v="USA"/>
    <s v="Indonesia"/>
    <x v="2"/>
  </r>
  <r>
    <s v="Ethiopia Sidamo Special Prep"/>
    <n v="95"/>
    <s v="Light"/>
    <n v="71"/>
    <n v="98"/>
    <n v="24.18"/>
    <s v="USA"/>
    <s v="Ethiopia"/>
    <x v="1"/>
  </r>
  <r>
    <s v="El Salvador Finca Kilimanjaro"/>
    <n v="95"/>
    <s v="Light"/>
    <n v="71"/>
    <n v="99"/>
    <n v="11.95"/>
    <s v="USA"/>
    <s v="El Salvador"/>
    <x v="0"/>
  </r>
  <r>
    <s v="El Salvador Finca Siberia Pacamara"/>
    <n v="94"/>
    <s v="Medium"/>
    <n v="50"/>
    <n v="56"/>
    <n v="5.07"/>
    <s v="USA"/>
    <s v="El Salvador"/>
    <x v="0"/>
  </r>
  <r>
    <s v="Panama Esmeralda Especial"/>
    <n v="94"/>
    <s v="Light"/>
    <n v="57"/>
    <n v="86"/>
    <n v="200.59"/>
    <s v="USA"/>
    <s v="Panama"/>
    <x v="0"/>
  </r>
  <r>
    <s v="La Esmeralda Panama"/>
    <n v="95"/>
    <s v="Medium Light"/>
    <n v="54"/>
    <n v="71"/>
    <n v="51.92"/>
    <s v="USA"/>
    <s v="Panama"/>
    <x v="0"/>
  </r>
  <r>
    <s v="Panama Esmeralda Lot 9"/>
    <n v="94"/>
    <s v="Medium Light"/>
    <n v="54"/>
    <n v="79"/>
    <n v="118.06"/>
    <s v="USA"/>
    <s v="Panama"/>
    <x v="0"/>
  </r>
  <r>
    <s v="Ethiopia Awassa Special"/>
    <n v="94"/>
    <s v="Light"/>
    <n v="57"/>
    <n v="85"/>
    <n v="41.72"/>
    <s v="USA"/>
    <s v="Ethiopia"/>
    <x v="1"/>
  </r>
  <r>
    <s v="Kenya Peaberry Nyeri-Tatu"/>
    <n v="94"/>
    <s v="Medium"/>
    <n v="48"/>
    <n v="63"/>
    <n v="122.58"/>
    <s v="USA"/>
    <s v="Kenya"/>
    <x v="1"/>
  </r>
  <r>
    <s v="El Salvador Pacamara Tierra Fertil Los Alpes Reserva"/>
    <n v="94"/>
    <s v="Light"/>
    <n v="75"/>
    <n v="97"/>
    <n v="9.4700000000000006"/>
    <s v="USA"/>
    <s v="El Salvador"/>
    <x v="0"/>
  </r>
  <r>
    <s v="Ruvuma Tanzanian Peaberry"/>
    <n v="95"/>
    <s v="Medium"/>
    <n v="44"/>
    <n v="63"/>
    <n v="168.52"/>
    <s v="USA"/>
    <s v="Tanzania"/>
    <x v="1"/>
  </r>
  <r>
    <s v="Ethiopia Sidamo Natural Korate"/>
    <n v="94"/>
    <s v="Medium Light"/>
    <n v="52"/>
    <n v="73"/>
    <n v="54.07"/>
    <s v="USA"/>
    <s v="Ethiopia"/>
    <x v="1"/>
  </r>
  <r>
    <s v="Kenya AA Nyeri Tatu"/>
    <n v="94"/>
    <s v="Medium Dark"/>
    <n v="42"/>
    <n v="46"/>
    <n v="213.26"/>
    <s v="USA"/>
    <s v="Kenya"/>
    <x v="1"/>
  </r>
  <r>
    <s v="Kenya Peaberry Ruera Estate"/>
    <n v="96"/>
    <s v="Medium Dark"/>
    <n v="46"/>
    <n v="54"/>
    <n v="134.6"/>
    <s v="USA"/>
    <s v="Kenya"/>
    <x v="1"/>
  </r>
  <r>
    <s v="Brazil Fazenda Boa Vista"/>
    <n v="94"/>
    <s v="Medium"/>
    <n v="55"/>
    <n v="65"/>
    <n v="416.54"/>
    <s v="USA"/>
    <s v="Brazil"/>
    <x v="0"/>
  </r>
  <r>
    <s v="Panama Elida Estate"/>
    <n v="95"/>
    <s v="Light"/>
    <n v="64"/>
    <n v="82"/>
    <n v="72.290000000000006"/>
    <s v="USA"/>
    <s v="Panama"/>
    <x v="0"/>
  </r>
  <r>
    <s v="Ethiopia Yirgacheffe Aricha Selection #7"/>
    <n v="94"/>
    <s v="Medium"/>
    <n v="49"/>
    <n v="65"/>
    <n v="106.56"/>
    <s v="USA"/>
    <s v="Ethiopia"/>
    <x v="1"/>
  </r>
  <r>
    <s v="Guatemala El Injerto"/>
    <n v="94"/>
    <s v="Medium Light"/>
    <n v="58"/>
    <n v="72"/>
    <n v="6.51"/>
    <s v="USA"/>
    <s v="Guatemala"/>
    <x v="0"/>
  </r>
  <r>
    <s v="Kenya Mamuto"/>
    <n v="97"/>
    <s v="Medium"/>
    <n v="53"/>
    <n v="65"/>
    <n v="13.31"/>
    <s v="USA"/>
    <s v="Kenya"/>
    <x v="1"/>
  </r>
  <r>
    <s v="Sumatra Danau Toba"/>
    <n v="96"/>
    <s v="Medium Light"/>
    <n v="58"/>
    <n v="78"/>
    <n v="260.88"/>
    <s v="USA"/>
    <s v="Indonesia"/>
    <x v="2"/>
  </r>
  <r>
    <s v="Organic Colombia"/>
    <n v="95"/>
    <s v="Medium"/>
    <n v="51"/>
    <n v="62"/>
    <n v="4.3499999999999996"/>
    <s v="USA"/>
    <s v="Colombia"/>
    <x v="0"/>
  </r>
  <r>
    <s v="Colombia Tolima Jairo Guiterrez Micro-Lot 07"/>
    <n v="95"/>
    <s v="Medium"/>
    <n v="52"/>
    <n v="59"/>
    <n v="4.7"/>
    <s v="USA"/>
    <s v="Colombia"/>
    <x v="0"/>
  </r>
  <r>
    <s v="Tres Santos Micro-Lot La Dorada Cauca"/>
    <n v="94"/>
    <s v="Medium Light"/>
    <n v="56"/>
    <n v="66"/>
    <n v="462.48"/>
    <s v="USA"/>
    <s v="Colombia"/>
    <x v="0"/>
  </r>
  <r>
    <s v="Nectar"/>
    <n v="94"/>
    <s v="Medium Light"/>
    <n v="52"/>
    <n v="75"/>
    <n v="140.51"/>
    <s v="USA"/>
    <s v="Panama"/>
    <x v="0"/>
  </r>
  <r>
    <s v="La Minita Costa Rica"/>
    <n v="94"/>
    <s v="Medium Light"/>
    <n v="59"/>
    <n v="79"/>
    <n v="100.77"/>
    <s v="USA"/>
    <s v="Costa Rica"/>
    <x v="0"/>
  </r>
  <r>
    <s v="Kenya Kigutha"/>
    <n v="95"/>
    <s v="Medium"/>
    <n v="53"/>
    <n v="65"/>
    <n v="4.8899999999999997"/>
    <s v="USA"/>
    <s v="Kenya"/>
    <x v="1"/>
  </r>
  <r>
    <s v="Hacienda La Esmeralda"/>
    <n v="94"/>
    <s v="Medium Light"/>
    <n v="54"/>
    <n v="76"/>
    <n v="113.76"/>
    <s v="USA"/>
    <s v="Panama"/>
    <x v="0"/>
  </r>
  <r>
    <s v="Kenya AA Mathareini"/>
    <n v="94"/>
    <s v="Medium"/>
    <n v="50"/>
    <n v="59"/>
    <n v="4.1399999999999997"/>
    <s v="USA"/>
    <s v="Kenya"/>
    <x v="1"/>
  </r>
  <r>
    <s v="Sumatra Lake Tawar"/>
    <n v="95"/>
    <s v="Medium"/>
    <n v="48"/>
    <n v="63"/>
    <n v="326.82"/>
    <s v="USA"/>
    <s v="Indonesia"/>
    <x v="2"/>
  </r>
  <r>
    <s v="Kenyan Highland Cooperatives"/>
    <n v="96"/>
    <s v="Medium Dark"/>
    <n v="44"/>
    <n v="56"/>
    <n v="619.29999999999995"/>
    <s v="USA"/>
    <s v="Kenya"/>
    <x v="1"/>
  </r>
  <r>
    <s v="Esmeralda Especial Best of Panama"/>
    <n v="97"/>
    <s v="Medium"/>
    <n v="44"/>
    <n v="58"/>
    <n v="405.76"/>
    <s v="USA"/>
    <s v="Panama"/>
    <x v="0"/>
  </r>
  <r>
    <s v="Esmeralda Especial Panama"/>
    <n v="94"/>
    <s v="Medium"/>
    <n v="51"/>
    <n v="66"/>
    <n v="30.44"/>
    <s v="USA"/>
    <s v="Panama"/>
    <x v="0"/>
  </r>
  <r>
    <s v="Rwanda Karaba Fair Trade"/>
    <n v="96"/>
    <s v="Medium Light"/>
    <n v="53"/>
    <n v="69"/>
    <n v="9.1"/>
    <s v="USA"/>
    <s v="Rwanda"/>
    <x v="1"/>
  </r>
  <r>
    <s v="Kenya Karogoto"/>
    <n v="96"/>
    <s v="Medium Light"/>
    <n v="52"/>
    <n v="71"/>
    <n v="30.12"/>
    <s v="USA"/>
    <s v="Kenya"/>
    <x v="1"/>
  </r>
  <r>
    <s v="Panama Hacienda La Esmeralda Gesha"/>
    <n v="96"/>
    <s v="Medium"/>
    <n v="51"/>
    <n v="69"/>
    <n v="18.190000000000001"/>
    <s v="USA"/>
    <s v="Panama"/>
    <x v="0"/>
  </r>
  <r>
    <s v="Panama Esmeralda Especial"/>
    <n v="97"/>
    <s v="Medium"/>
    <n v="51"/>
    <n v="65"/>
    <n v="80.14"/>
    <s v="USA"/>
    <s v="Panama"/>
    <x v="0"/>
  </r>
  <r>
    <s v="Kenya AA Wagamuga Auction Lot"/>
    <n v="97"/>
    <s v="Medium"/>
    <n v="45"/>
    <n v="70"/>
    <n v="323.33999999999997"/>
    <s v="USA"/>
    <s v="Kenya"/>
    <x v="1"/>
  </r>
  <r>
    <s v="Aricha Selection Seven Ethiopia Yirgacheffe"/>
    <n v="95"/>
    <s v="Light"/>
    <n v="63"/>
    <n v="86"/>
    <n v="52.2"/>
    <s v="USA"/>
    <s v="Ethiopia"/>
    <x v="1"/>
  </r>
  <r>
    <s v="Kenya Peaberry Deep River Estate"/>
    <n v="95"/>
    <s v="Medium"/>
    <n v="44"/>
    <n v="58"/>
    <n v="477.67"/>
    <s v="USA"/>
    <s v="Kenya"/>
    <x v="1"/>
  </r>
  <r>
    <s v="Ethiopia Biloya Special"/>
    <n v="97"/>
    <s v="Medium Light"/>
    <n v="57"/>
    <n v="78"/>
    <n v="57.46"/>
    <s v="USA"/>
    <s v="Ethiopia"/>
    <x v="1"/>
  </r>
  <r>
    <s v="Huila El Palacio Colombia"/>
    <n v="94"/>
    <s v="Medium"/>
    <n v="55"/>
    <n v="66"/>
    <n v="414.95"/>
    <s v="USA"/>
    <s v="Colombia"/>
    <x v="0"/>
  </r>
  <r>
    <s v="El Salvador Los Planes Cup of Excellence 2006"/>
    <n v="95"/>
    <s v="Medium"/>
    <n v="50"/>
    <n v="62"/>
    <n v="111.72"/>
    <s v="USA"/>
    <s v="El Salvador"/>
    <x v="0"/>
  </r>
  <r>
    <s v="Natural Decaf Espresso"/>
    <n v="94"/>
    <s v="Dark"/>
    <n v="30"/>
    <n v="44"/>
    <n v="286.60000000000002"/>
    <s v="USA"/>
    <s v="Unknown"/>
    <x v="3"/>
  </r>
  <r>
    <s v="Decaf Organic Caffe Volcan"/>
    <n v="94"/>
    <s v="Medium Dark"/>
    <n v="39"/>
    <n v="57"/>
    <n v="159.26"/>
    <s v="USA"/>
    <s v="Unknown"/>
    <x v="3"/>
  </r>
  <r>
    <s v="Colombia Cauca, Special Micro-Lot Selection Juvenal Penna"/>
    <n v="94"/>
    <s v="Medium"/>
    <n v="46"/>
    <n v="58"/>
    <n v="194.62"/>
    <s v="USA"/>
    <s v="Colombia"/>
    <x v="0"/>
  </r>
  <r>
    <s v="Colombia El Castillo Micro-Lot Nelson Melo"/>
    <n v="94"/>
    <s v="Medium Dark"/>
    <n v="46"/>
    <n v="53"/>
    <n v="98.84"/>
    <s v="USA"/>
    <s v="Colombia"/>
    <x v="0"/>
  </r>
  <r>
    <s v="Colombia Hato Viejo Cup of Excellence"/>
    <n v="94"/>
    <s v="Medium"/>
    <n v="49"/>
    <n v="65"/>
    <n v="106.56"/>
    <s v="USA"/>
    <s v="Colombia"/>
    <x v="0"/>
  </r>
  <r>
    <s v="Colombia Tolima Reynel Perez Micro-Lot"/>
    <n v="96"/>
    <s v="Medium"/>
    <n v="52"/>
    <n v="66"/>
    <n v="13.17"/>
    <s v="USA"/>
    <s v="Colombia"/>
    <x v="0"/>
  </r>
  <r>
    <s v="Colombia Huila Supremo"/>
    <n v="94"/>
    <s v="Medium Light"/>
    <n v="57"/>
    <n v="68"/>
    <n v="5.63"/>
    <s v="USA"/>
    <s v="Colombia"/>
    <x v="0"/>
  </r>
  <r>
    <s v="Kenyan AA"/>
    <n v="96"/>
    <s v="Medium Light"/>
    <n v="55"/>
    <n v="72"/>
    <n v="252.88"/>
    <s v="USA"/>
    <s v="Kenya"/>
    <x v="1"/>
  </r>
  <r>
    <s v="El Salvador Los Planes Pacamara"/>
    <n v="96"/>
    <s v="Medium Light"/>
    <n v="58"/>
    <n v="71"/>
    <n v="10.38"/>
    <s v="USA"/>
    <s v="El Salvador"/>
    <x v="0"/>
  </r>
  <r>
    <s v="El Salvador Pacamara Los Planes"/>
    <n v="95"/>
    <s v="Medium"/>
    <n v="49"/>
    <n v="60"/>
    <n v="3.89"/>
    <s v="USA"/>
    <s v="El Salvador"/>
    <x v="0"/>
  </r>
  <r>
    <s v="Panama Esmeralda Especial"/>
    <n v="95"/>
    <s v="Medium Light"/>
    <n v="56"/>
    <n v="69"/>
    <n v="7.64"/>
    <s v="USA"/>
    <s v="Panama"/>
    <x v="0"/>
  </r>
  <r>
    <s v="Nicaragua El Progresso COE Lot #1"/>
    <n v="95"/>
    <s v="Medium Light"/>
    <n v="55"/>
    <n v="71"/>
    <n v="11.13"/>
    <s v="USA"/>
    <s v="Nicaragua"/>
    <x v="0"/>
  </r>
  <r>
    <s v="Kenya Mamuto Kirinyaga"/>
    <n v="96"/>
    <s v="Medium"/>
    <n v="52"/>
    <n v="65"/>
    <n v="7.39"/>
    <s v="USA"/>
    <s v="Kenya"/>
    <x v="1"/>
  </r>
  <r>
    <s v="Sumatra Lake Tawar"/>
    <n v="94"/>
    <s v="Medium Dark"/>
    <n v="46"/>
    <n v="54"/>
    <n v="134.6"/>
    <s v="USA"/>
    <s v="Indonesia"/>
    <x v="2"/>
  </r>
  <r>
    <s v="Sumatra Lake Tawar"/>
    <n v="94"/>
    <s v="Medium Dark"/>
    <n v="42"/>
    <n v="51"/>
    <n v="76.73"/>
    <s v="USA"/>
    <s v="Indonesia"/>
    <x v="2"/>
  </r>
  <r>
    <s v="Belle Espresso"/>
    <n v="94"/>
    <s v="Medium Dark"/>
    <n v="43"/>
    <n v="49"/>
    <n v="4.88"/>
    <s v="USA"/>
    <s v="Ethiopia"/>
    <x v="1"/>
  </r>
  <r>
    <s v="Colombia Pitalito Estate"/>
    <n v="94"/>
    <s v="Medium"/>
    <n v="56"/>
    <n v="63"/>
    <n v="7.52"/>
    <s v="USA"/>
    <s v="Colombia"/>
    <x v="0"/>
  </r>
  <r>
    <s v="Hamma Cooperative Yirgacheffe, Fair-Trade Organic"/>
    <n v="95"/>
    <s v="Medium Light"/>
    <n v="54"/>
    <n v="73"/>
    <n v="51.33"/>
    <s v="USA"/>
    <s v="Ethiopia"/>
    <x v="1"/>
  </r>
  <r>
    <s v="Sumatra Golden Mandheling"/>
    <n v="94"/>
    <s v="Medium"/>
    <n v="51"/>
    <n v="68"/>
    <n v="122.5"/>
    <s v="USA"/>
    <s v="Indonesia"/>
    <x v="2"/>
  </r>
  <r>
    <s v="Guatemala Antigua вЂ“ Finca La Tacita"/>
    <n v="94"/>
    <s v="Medium"/>
    <n v="51"/>
    <n v="64"/>
    <n v="75.599999999999994"/>
    <s v="USA"/>
    <s v="Guatemala"/>
    <x v="0"/>
  </r>
  <r>
    <s v="Kenya AA Nyeri Fine Cup"/>
    <n v="94"/>
    <s v="Dark"/>
    <n v="35"/>
    <n v="43"/>
    <n v="205.91"/>
    <s v="USA"/>
    <s v="Kenya"/>
    <x v="1"/>
  </r>
  <r>
    <s v="El Salvador Montecarlos Tablon Crater"/>
    <n v="94"/>
    <s v="Medium Light"/>
    <n v="55"/>
    <n v="72"/>
    <n v="47.23"/>
    <s v="USA"/>
    <s v="El Salvador"/>
    <x v="0"/>
  </r>
  <r>
    <s v="El Salvador Montecarlos Peaberry"/>
    <n v="94"/>
    <s v="Medium"/>
    <n v="53"/>
    <n v="64"/>
    <n v="249.35"/>
    <s v="USA"/>
    <s v="El Salvador"/>
    <x v="0"/>
  </r>
  <r>
    <s v="Nicaragua Maragogipe Organic"/>
    <n v="94"/>
    <s v="Medium Dark"/>
    <n v="46"/>
    <n v="54"/>
    <n v="134.6"/>
    <s v="USA"/>
    <s v="Nicaragua"/>
    <x v="0"/>
  </r>
  <r>
    <s v="Kenya AA, 2003 Crop"/>
    <n v="95"/>
    <s v="Medium"/>
    <n v="49"/>
    <n v="66"/>
    <n v="10"/>
    <s v="USA"/>
    <s v="Kenya"/>
    <x v="1"/>
  </r>
  <r>
    <s v="Kenya AA"/>
    <n v="94"/>
    <s v="Medium"/>
    <n v="43"/>
    <n v="76"/>
    <n v="180.28"/>
    <s v="USA"/>
    <s v="Kenya"/>
    <x v="1"/>
  </r>
  <r>
    <s v="Kenya"/>
    <n v="94"/>
    <s v="Medium Dark"/>
    <n v="42"/>
    <n v="47"/>
    <n v="106.72"/>
    <s v="USA"/>
    <s v="Kenya"/>
    <x v="1"/>
  </r>
  <r>
    <s v="Fair Trade Organic Guatemala"/>
    <n v="94"/>
    <s v="Very Dark"/>
    <n v="0"/>
    <n v="66"/>
    <n v="184.51"/>
    <s v="USA"/>
    <s v="Guatemala"/>
    <x v="0"/>
  </r>
  <r>
    <s v="Nicaraguan Maracaturra Light Roast"/>
    <n v="94"/>
    <s v="Medium Light"/>
    <n v="75"/>
    <n v="63"/>
    <n v="224.33"/>
    <s v="USA"/>
    <s v="Nicaragua"/>
    <x v="0"/>
  </r>
  <r>
    <s v="Elm City House Blend"/>
    <n v="94"/>
    <s v="Dark"/>
    <n v="38"/>
    <n v="43"/>
    <n v="198.56"/>
    <s v="USA"/>
    <s v="Unknown"/>
    <x v="3"/>
  </r>
  <r>
    <s v="Vienna Roast"/>
    <n v="94"/>
    <s v="Medium Dark"/>
    <n v="38"/>
    <n v="44"/>
    <n v="198.57"/>
    <s v="USA"/>
    <s v="Unknown"/>
    <x v="3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s v="America"/>
    <x v="0"/>
  </r>
  <r>
    <s v="Colombia Finca La Sirena Mango Co-Ferment"/>
    <n v="94"/>
    <s v="Light"/>
    <n v="63"/>
    <n v="87"/>
    <n v="10.14"/>
    <s v="USA"/>
    <s v="Colombia"/>
    <s v="America"/>
    <x v="0"/>
  </r>
  <r>
    <s v="In Bloom"/>
    <n v="94"/>
    <s v="Light"/>
    <n v="64"/>
    <n v="88"/>
    <n v="10"/>
    <s v="USA"/>
    <s v="Ethiopia"/>
    <s v="Africa"/>
    <x v="0"/>
  </r>
  <r>
    <s v="Ethiopia Washed Kaffa Gimbo Lot Rich Espresso"/>
    <n v="96"/>
    <s v="Medium Light"/>
    <n v="55"/>
    <n v="77"/>
    <n v="110.23"/>
    <s v="Taiwan"/>
    <s v="Ethiopia"/>
    <s v="Africa"/>
    <x v="1"/>
  </r>
  <r>
    <s v="Ethiopia Natural Gute Bona"/>
    <n v="95"/>
    <s v="Medium Light"/>
    <n v="62"/>
    <n v="78"/>
    <n v="176.37"/>
    <s v="Taiwan"/>
    <s v="Ethiopia"/>
    <s v="Africa"/>
    <x v="1"/>
  </r>
  <r>
    <s v="White Geisha Blend Espresso"/>
    <n v="95"/>
    <s v="Medium Light"/>
    <n v="60"/>
    <n v="78"/>
    <n v="17.2"/>
    <s v="Taiwan"/>
    <s v="Ethiopia"/>
    <s v="Africa"/>
    <x v="1"/>
  </r>
  <r>
    <s v="Yunlin Natural Geisha CPAG-1"/>
    <n v="95"/>
    <s v="Medium Light"/>
    <n v="60"/>
    <n v="78"/>
    <n v="705.47"/>
    <s v="Taiwan"/>
    <s v="Taiwan"/>
    <s v="Asia-Pacific"/>
    <x v="1"/>
  </r>
  <r>
    <s v="Colombia Natural Huila Eulises Guzman"/>
    <n v="94"/>
    <s v="Medium Light"/>
    <n v="60"/>
    <n v="80"/>
    <n v="154.32"/>
    <s v="Taiwan"/>
    <s v="Colombia"/>
    <s v="America"/>
    <x v="1"/>
  </r>
  <r>
    <s v="Peru Washed Cusco Buena Vista Soola SL09"/>
    <n v="94"/>
    <s v="Medium Light"/>
    <n v="58"/>
    <n v="77"/>
    <n v="264.55"/>
    <s v="Taiwan"/>
    <s v="Peru"/>
    <s v="America"/>
    <x v="1"/>
  </r>
  <r>
    <s v="Yunlin Natural Geisha"/>
    <n v="94"/>
    <s v="Light"/>
    <n v="60"/>
    <n v="84"/>
    <n v="529.1"/>
    <s v="Taiwan"/>
    <s v="Taiwan"/>
    <s v="Asia-Pacific"/>
    <x v="1"/>
  </r>
  <r>
    <s v="Hechi"/>
    <n v="94"/>
    <s v="Light"/>
    <n v="60"/>
    <n v="86"/>
    <n v="145.5"/>
    <s v="Taiwan"/>
    <s v="Ethiopia"/>
    <s v="Africa"/>
    <x v="1"/>
  </r>
  <r>
    <s v="Las Margaritas Sudan Rume"/>
    <n v="95"/>
    <s v="Light"/>
    <n v="60"/>
    <n v="84"/>
    <n v="11.9"/>
    <s v="USA"/>
    <s v="Colombia"/>
    <s v="America"/>
    <x v="0"/>
  </r>
  <r>
    <s v="Wilton Benitez Geisha"/>
    <n v="95"/>
    <s v="Light"/>
    <n v="62"/>
    <n v="84"/>
    <n v="11.46"/>
    <s v="USA"/>
    <s v="Colombia"/>
    <s v="America"/>
    <x v="0"/>
  </r>
  <r>
    <s v="Itumpi Tanzania"/>
    <n v="94"/>
    <s v="Medium Light"/>
    <n v="59"/>
    <n v="81"/>
    <n v="6.47"/>
    <s v="USA"/>
    <s v="Tanzania"/>
    <s v="Africa"/>
    <x v="0"/>
  </r>
  <r>
    <s v="Ethiopia Yirgacheffe G1 Gotiti Angel Station Geisha Washed"/>
    <n v="94"/>
    <s v="Light"/>
    <n v="62"/>
    <n v="82"/>
    <n v="275"/>
    <s v="Taiwan"/>
    <s v="Ethiopia"/>
    <s v="Africa"/>
    <x v="1"/>
  </r>
  <r>
    <s v="Ethiopia Guji Hambela Buku Abel Bastet Geisha Washed"/>
    <n v="94"/>
    <s v="Light"/>
    <n v="63"/>
    <n v="85"/>
    <n v="275"/>
    <s v="Taiwan"/>
    <s v="Ethiopia"/>
    <s v="Africa"/>
    <x v="1"/>
  </r>
  <r>
    <s v="Finca Cruz Loma Ecuador Geisha"/>
    <n v="96"/>
    <s v="Medium Light"/>
    <n v="60"/>
    <n v="77"/>
    <n v="14.11"/>
    <s v="USA"/>
    <s v="Ecuador"/>
    <s v="America"/>
    <x v="0"/>
  </r>
  <r>
    <s v="Costa Rica Finca El CaГ±al"/>
    <n v="95"/>
    <s v="Light"/>
    <n v="60"/>
    <n v="88"/>
    <n v="8.82"/>
    <s v="USA"/>
    <s v="Costa Rica"/>
    <s v="America"/>
    <x v="0"/>
  </r>
  <r>
    <s v="Hambela Dabaye Ethiopia"/>
    <n v="95"/>
    <s v="Light"/>
    <n v="65"/>
    <n v="87"/>
    <n v="10.58"/>
    <s v="USA"/>
    <s v="Ethiopia"/>
    <s v="Africa"/>
    <x v="0"/>
  </r>
  <r>
    <s v="Brazil Vinhal Grape Starfruit"/>
    <n v="94"/>
    <s v="Medium Light"/>
    <n v="59"/>
    <n v="77"/>
    <n v="6.17"/>
    <s v="USA"/>
    <s v="Brazil"/>
    <s v="America"/>
    <x v="0"/>
  </r>
  <r>
    <s v="Duwancho Natural Ethiopia"/>
    <n v="94"/>
    <s v="Light"/>
    <n v="61"/>
    <n v="82"/>
    <n v="8.23"/>
    <s v="USA"/>
    <s v="Ethiopia"/>
    <s v="Africa"/>
    <x v="0"/>
  </r>
  <r>
    <s v="Colombia Finca Santa Barbara Gesha Anaerobic Honey"/>
    <n v="95"/>
    <s v="Light"/>
    <n v="63"/>
    <n v="87"/>
    <n v="9.41"/>
    <s v="USA"/>
    <s v="Colombia"/>
    <s v="America"/>
    <x v="0"/>
  </r>
  <r>
    <s v="Colombia Faver Emir Ninco Pink Bourbon"/>
    <n v="94"/>
    <s v="Light"/>
    <n v="61"/>
    <n v="81"/>
    <n v="246.47"/>
    <s v="Taiwan"/>
    <s v="Colombia"/>
    <s v="America"/>
    <x v="1"/>
  </r>
  <r>
    <s v="Ethiopia Yirgacheffe Earl Grey Peach"/>
    <n v="94"/>
    <s v="Light"/>
    <n v="65"/>
    <n v="87"/>
    <n v="145.06"/>
    <s v="Taiwan"/>
    <s v="Ethiopia"/>
    <s v="Africa"/>
    <x v="1"/>
  </r>
  <r>
    <s v="Colombia Cauca Lusitania Geisha Washed"/>
    <n v="94"/>
    <s v="Light"/>
    <n v="66"/>
    <n v="88"/>
    <n v="470"/>
    <s v="Taiwan"/>
    <s v="Colombia"/>
    <s v="America"/>
    <x v="1"/>
  </r>
  <r>
    <s v="Kenya Kirinyaga Karamundi Washed AB"/>
    <n v="95"/>
    <s v="Light"/>
    <n v="66"/>
    <n v="86"/>
    <n v="211.64"/>
    <s v="Taiwan"/>
    <s v="Kenya"/>
    <s v="Africa"/>
    <x v="1"/>
  </r>
  <r>
    <s v="KaК»Е« Morning Glory"/>
    <n v="97"/>
    <s v="Light"/>
    <n v="62"/>
    <n v="84"/>
    <n v="16.75"/>
    <s v="USA"/>
    <s v="USA"/>
    <s v="America"/>
    <x v="0"/>
  </r>
  <r>
    <s v="KaК»Е« Yellow Bourbon"/>
    <n v="95"/>
    <s v="Medium Light"/>
    <n v="60"/>
    <n v="80"/>
    <n v="15.52"/>
    <s v="USA"/>
    <s v="USA"/>
    <s v="America"/>
    <x v="0"/>
  </r>
  <r>
    <s v="Colombia San Adolfo Huila"/>
    <n v="95"/>
    <s v="Light"/>
    <n v="65"/>
    <n v="87"/>
    <n v="17.64"/>
    <s v="USA"/>
    <s v="Colombia"/>
    <s v="America"/>
    <x v="0"/>
  </r>
  <r>
    <s v="Rwanda Kungahara Carbonic Maceration"/>
    <n v="95"/>
    <s v="Light"/>
    <n v="64"/>
    <n v="86"/>
    <n v="8.23"/>
    <s v="USA"/>
    <s v="Rwanda"/>
    <s v="Africa"/>
    <x v="0"/>
  </r>
  <r>
    <s v="Ecuador La Papaya Pacamara"/>
    <n v="95"/>
    <s v="Light"/>
    <n v="64"/>
    <n v="86"/>
    <n v="12.79"/>
    <s v="USA"/>
    <s v="Ecuador"/>
    <s v="America"/>
    <x v="0"/>
  </r>
  <r>
    <s v="Peru Churupampa Pacamara"/>
    <n v="94"/>
    <s v="Medium Light"/>
    <n v="59"/>
    <n v="80"/>
    <n v="6.47"/>
    <s v="USA"/>
    <s v="Peru"/>
    <s v="America"/>
    <x v="0"/>
  </r>
  <r>
    <s v="Ethiopia Ayla Sidamo"/>
    <n v="95"/>
    <s v="Light"/>
    <n v="62"/>
    <n v="84"/>
    <n v="5.88"/>
    <s v="USA"/>
    <s v="Ethiopia"/>
    <s v="Africa"/>
    <x v="0"/>
  </r>
  <r>
    <s v="Ethiopia Mullugeta Muntasha"/>
    <n v="94"/>
    <s v="Medium Light"/>
    <n v="61"/>
    <n v="79"/>
    <n v="6.76"/>
    <s v="USA"/>
    <s v="Ethiopia"/>
    <s v="Africa"/>
    <x v="0"/>
  </r>
  <r>
    <s v="KaвЂ™u Giant Maragogipe"/>
    <n v="94"/>
    <s v="Medium Light"/>
    <n v="52"/>
    <n v="73"/>
    <n v="14.81"/>
    <s v="USA"/>
    <s v="USA"/>
    <s v="America"/>
    <x v="0"/>
  </r>
  <r>
    <s v="KaвЂ™u Red Bourbon"/>
    <n v="95"/>
    <s v="Medium Light"/>
    <n v="60"/>
    <n v="78"/>
    <n v="15.52"/>
    <s v="USA"/>
    <s v="USA"/>
    <s v="America"/>
    <x v="0"/>
  </r>
  <r>
    <s v="Kona Bloom"/>
    <n v="94"/>
    <s v="Medium Light"/>
    <n v="57"/>
    <n v="78"/>
    <n v="15.52"/>
    <s v="USA"/>
    <s v="USA"/>
    <s v="America"/>
    <x v="0"/>
  </r>
  <r>
    <s v="Guatemala Retiro del Quisaya Washed Process"/>
    <n v="94"/>
    <s v="Medium Light"/>
    <n v="57"/>
    <n v="79"/>
    <n v="5.86"/>
    <s v="USA"/>
    <s v="Guatemala"/>
    <s v="America"/>
    <x v="0"/>
  </r>
  <r>
    <s v="Ethiopian Single Origin"/>
    <n v="94"/>
    <s v="Medium Light"/>
    <n v="52"/>
    <n v="74"/>
    <n v="4.99"/>
    <s v="USA"/>
    <s v="Ethiopia"/>
    <s v="Africa"/>
    <x v="0"/>
  </r>
  <r>
    <s v="Colombia Finca Al Paraiso YвЂ“05 Lychee"/>
    <n v="95"/>
    <s v="Medium"/>
    <n v="52"/>
    <n v="64"/>
    <n v="8.9700000000000006"/>
    <s v="USA"/>
    <s v="Colombia"/>
    <s v="America"/>
    <x v="0"/>
  </r>
  <r>
    <s v="Colombia Las Perlitas Anaerobic Honey"/>
    <n v="94"/>
    <s v="Medium Light"/>
    <n v="59"/>
    <n v="81"/>
    <n v="11.01"/>
    <s v="USA"/>
    <s v="Colombia"/>
    <s v="America"/>
    <x v="0"/>
  </r>
  <r>
    <s v="Panama Altieri Luci Geisha Natural Cold Dry Ferment"/>
    <n v="94"/>
    <s v="Medium Light"/>
    <n v="58"/>
    <n v="81"/>
    <n v="35.26"/>
    <s v="USA"/>
    <s v="Panama"/>
    <s v="America"/>
    <x v="0"/>
  </r>
  <r>
    <s v="Costa Rica La Minita"/>
    <n v="94"/>
    <s v="Medium Light"/>
    <n v="56"/>
    <n v="82"/>
    <n v="6.47"/>
    <s v="USA"/>
    <s v="Costa Rica"/>
    <s v="America"/>
    <x v="0"/>
  </r>
  <r>
    <s v="Ethiopia Guji Grape GildVine Natural G1"/>
    <n v="94"/>
    <s v="Light"/>
    <n v="67"/>
    <n v="88"/>
    <n v="220.26"/>
    <s v="Taiwan"/>
    <s v="Ethiopia"/>
    <s v="Africa"/>
    <x v="1"/>
  </r>
  <r>
    <s v="Kenya Baragwi Guama AA Washed"/>
    <n v="95"/>
    <s v="Light"/>
    <n v="61"/>
    <n v="83"/>
    <n v="6.17"/>
    <s v="USA"/>
    <s v="Kenya"/>
    <s v="Africa"/>
    <x v="0"/>
  </r>
  <r>
    <s v="Potosi Pink Bourbon Natural Colombia"/>
    <n v="96"/>
    <s v="Light"/>
    <n v="64"/>
    <n v="86"/>
    <n v="12.79"/>
    <s v="USA"/>
    <s v="Colombia"/>
    <s v="America"/>
    <x v="0"/>
  </r>
  <r>
    <s v="Wilton Benitez Sudan Rume Colombia"/>
    <n v="95"/>
    <s v="Light"/>
    <n v="62"/>
    <n v="82"/>
    <n v="11.02"/>
    <s v="USA"/>
    <s v="Colombia"/>
    <s v="America"/>
    <x v="0"/>
  </r>
  <r>
    <s v="Kangocho Kenya"/>
    <n v="95"/>
    <s v="Medium Light"/>
    <n v="59"/>
    <n v="81"/>
    <n v="7.35"/>
    <s v="USA"/>
    <s v="Kenya"/>
    <s v="Africa"/>
    <x v="0"/>
  </r>
  <r>
    <s v="La Esperanza Mandela"/>
    <n v="95"/>
    <s v="Light"/>
    <n v="62"/>
    <n v="80"/>
    <n v="11.9"/>
    <s v="USA"/>
    <s v="Colombia"/>
    <s v="America"/>
    <x v="0"/>
  </r>
  <r>
    <s v="Mexico Alva Flores"/>
    <n v="94"/>
    <s v="Medium Light"/>
    <n v="54"/>
    <n v="72"/>
    <n v="5.29"/>
    <s v="USA"/>
    <s v="Mexico"/>
    <s v="America"/>
    <x v="0"/>
  </r>
  <r>
    <s v="Ethiopia Natural Sidama Blue Donkey Lot 2"/>
    <n v="96"/>
    <s v="Light"/>
    <n v="62"/>
    <n v="84"/>
    <n v="154.32"/>
    <s v="Taiwan"/>
    <s v="Ethiopia"/>
    <s v="Africa"/>
    <x v="1"/>
  </r>
  <r>
    <s v="Trust the Process Costa Rica Finca Carrizal SL28 Black Diamond Natural"/>
    <n v="95"/>
    <s v="Light"/>
    <n v="62"/>
    <n v="84"/>
    <n v="10.58"/>
    <s v="USA"/>
    <s v="Costa Rica"/>
    <s v="America"/>
    <x v="0"/>
  </r>
  <r>
    <s v="Guatemala Washed Finca El General Gesha"/>
    <n v="94"/>
    <s v="Medium Light"/>
    <n v="58"/>
    <n v="77"/>
    <n v="370.37"/>
    <s v="Taiwan"/>
    <s v="Guatemala"/>
    <s v="America"/>
    <x v="1"/>
  </r>
  <r>
    <s v="Guatemala Finca El General Bourbon Honey Espresso"/>
    <n v="94"/>
    <s v="Medium Light"/>
    <n v="56"/>
    <n v="76"/>
    <n v="370.37"/>
    <s v="Taiwan"/>
    <s v="Guatemala"/>
    <s v="America"/>
    <x v="1"/>
  </r>
  <r>
    <s v="True Love Espresso Blend"/>
    <n v="94"/>
    <s v="Medium Light"/>
    <n v="57"/>
    <n v="77"/>
    <n v="114.64"/>
    <s v="Taiwan"/>
    <s v="Guatemala"/>
    <s v="America"/>
    <x v="1"/>
  </r>
  <r>
    <s v="Colombia Sebastian Ramirez Washed Pink Bourbon"/>
    <n v="97"/>
    <s v="Light"/>
    <n v="62"/>
    <n v="84"/>
    <n v="8.82"/>
    <s v="USA"/>
    <s v="Colombia"/>
    <s v="America"/>
    <x v="0"/>
  </r>
  <r>
    <s v="Colombia Manos Juntas Anaerobic Natural"/>
    <n v="94"/>
    <s v="Light"/>
    <n v="63"/>
    <n v="85"/>
    <n v="5.29"/>
    <s v="USA"/>
    <s v="Colombia"/>
    <s v="America"/>
    <x v="0"/>
  </r>
  <r>
    <s v="Ecuador La Papaya Geisha Natural"/>
    <n v="96"/>
    <s v="Medium Light"/>
    <n v="61"/>
    <n v="79"/>
    <n v="16.75"/>
    <s v="USA"/>
    <s v="Ecuador"/>
    <s v="America"/>
    <x v="0"/>
  </r>
  <r>
    <s v="Yemen Al Obrah"/>
    <n v="95"/>
    <s v="Light"/>
    <n v="62"/>
    <n v="86"/>
    <n v="18.52"/>
    <s v="USA"/>
    <s v="Yemen"/>
    <s v="Africa"/>
    <x v="0"/>
  </r>
  <r>
    <s v="Kenya Embu"/>
    <n v="95"/>
    <s v="Light"/>
    <n v="62"/>
    <n v="80"/>
    <n v="528.63"/>
    <s v="Taiwan"/>
    <s v="Kenya"/>
    <s v="Africa"/>
    <x v="1"/>
  </r>
  <r>
    <s v="Yemen Ismaili"/>
    <n v="94"/>
    <s v="Medium Light"/>
    <n v="57"/>
    <n v="81"/>
    <n v="528.63"/>
    <s v="Taiwan"/>
    <s v="Yemen"/>
    <s v="Africa"/>
    <x v="1"/>
  </r>
  <r>
    <s v="Guatemala Acatenango Geisha"/>
    <n v="94"/>
    <s v="Medium Light"/>
    <n v="59"/>
    <n v="79"/>
    <n v="528.63"/>
    <s v="Taiwan"/>
    <s v="Guatemala"/>
    <s v="America"/>
    <x v="1"/>
  </r>
  <r>
    <s v="Ethiopia Bench-Maji Lucy Geisha Anaerobic Natural"/>
    <n v="94"/>
    <s v="Light"/>
    <n v="64"/>
    <n v="88"/>
    <n v="300"/>
    <s v="Taiwan"/>
    <s v="Ethiopia"/>
    <s v="Africa"/>
    <x v="1"/>
  </r>
  <r>
    <s v="Wilton Benitez Colombia Yellow Bourbon"/>
    <n v="96"/>
    <s v="Light"/>
    <n v="63"/>
    <n v="88"/>
    <n v="9.6999999999999993"/>
    <s v="USA"/>
    <s v="Colombia"/>
    <s v="America"/>
    <x v="0"/>
  </r>
  <r>
    <s v="Kona Tropical Punch Washed"/>
    <n v="95"/>
    <s v="Light"/>
    <n v="68"/>
    <n v="84"/>
    <n v="44.09"/>
    <s v="USA"/>
    <s v="USA"/>
    <s v="America"/>
    <x v="0"/>
  </r>
  <r>
    <s v="Granate"/>
    <n v="94"/>
    <s v="Medium Light"/>
    <n v="57"/>
    <n v="79"/>
    <n v="5.4"/>
    <s v="Peru"/>
    <s v="Peru"/>
    <s v="America"/>
    <x v="0"/>
  </r>
  <r>
    <s v="Kenya Kirinyaga"/>
    <n v="95"/>
    <s v="Light"/>
    <n v="60"/>
    <n v="82"/>
    <n v="7.35"/>
    <s v="USA"/>
    <s v="Kenya"/>
    <s v="Africa"/>
    <x v="0"/>
  </r>
  <r>
    <s v="Costa Rica San Diego"/>
    <n v="94"/>
    <s v="Medium Light"/>
    <n v="57"/>
    <n v="77"/>
    <n v="6.47"/>
    <s v="USA"/>
    <s v="Costa Rica"/>
    <s v="America"/>
    <x v="0"/>
  </r>
  <r>
    <s v="Costa Rica La Candelilla Geisha"/>
    <n v="94"/>
    <s v="Light"/>
    <n v="62"/>
    <n v="84"/>
    <n v="10.29"/>
    <s v="USA"/>
    <s v="Costa Rica"/>
    <s v="America"/>
    <x v="0"/>
  </r>
  <r>
    <s v="Ethiopia Agaro Duromina"/>
    <n v="94"/>
    <s v="Medium Light"/>
    <n v="59"/>
    <n v="79"/>
    <n v="6.47"/>
    <s v="USA"/>
    <s v="Ethiopia"/>
    <s v="Africa"/>
    <x v="0"/>
  </r>
  <r>
    <s v="Panama Renaissance Series Flora Geisha Washed"/>
    <n v="94"/>
    <s v="Light"/>
    <n v="68"/>
    <n v="94"/>
    <n v="352.42"/>
    <s v="Taiwan"/>
    <s v="Panama"/>
    <s v="America"/>
    <x v="1"/>
  </r>
  <r>
    <s v="Colombia San Martin Bourbon Aji Star Fruit Peach Honey"/>
    <n v="95"/>
    <s v="Light"/>
    <n v="64"/>
    <n v="88"/>
    <n v="325"/>
    <s v="Taiwan"/>
    <s v="Colombia"/>
    <s v="America"/>
    <x v="1"/>
  </r>
  <r>
    <s v="Taiwan COE #3 Alishan Zhou Zhu Yuan Geisha Natural"/>
    <n v="94"/>
    <s v="Light"/>
    <n v="62"/>
    <n v="80"/>
    <n v="2"/>
    <s v="Taiwan"/>
    <s v="Taiwan"/>
    <s v="Asia-Pacific"/>
    <x v="1"/>
  </r>
  <r>
    <s v="Las Margaritas Colombia Sudan Rume Natural"/>
    <n v="95"/>
    <s v="Light"/>
    <n v="62"/>
    <n v="86"/>
    <n v="11.02"/>
    <s v="USA"/>
    <s v="Colombia"/>
    <s v="America"/>
    <x v="0"/>
  </r>
  <r>
    <s v="Yabitu Koba Ethiopia"/>
    <n v="95"/>
    <s v="Medium Light"/>
    <n v="58"/>
    <n v="78"/>
    <n v="6.76"/>
    <s v="USA"/>
    <s v="Ethiopia"/>
    <s v="Africa"/>
    <x v="0"/>
  </r>
  <r>
    <s v="Pantan Musara Sumatra"/>
    <n v="94"/>
    <s v="Medium Light"/>
    <n v="57"/>
    <n v="80"/>
    <n v="6.76"/>
    <s v="USA"/>
    <s v="Indonesia"/>
    <s v="Asia-Pacific"/>
    <x v="0"/>
  </r>
  <r>
    <s v="Ethiopia Yirgacheffe Misty Valley Aricha Washed G1"/>
    <n v="94"/>
    <s v="Light"/>
    <n v="65"/>
    <n v="93"/>
    <n v="149.47"/>
    <s v="Taiwan"/>
    <s v="Ethiopia"/>
    <s v="Africa"/>
    <x v="1"/>
  </r>
  <r>
    <s v="Guatemala El Soccoro Maracaturra Washed"/>
    <n v="94"/>
    <s v="Medium Light"/>
    <n v="60"/>
    <n v="78"/>
    <n v="5.88"/>
    <s v="USA"/>
    <s v="Guatemala"/>
    <s v="America"/>
    <x v="0"/>
  </r>
  <r>
    <s v="Ethiopia Sidama Bensa Alo Single Variety 74158 Natural"/>
    <n v="94"/>
    <s v="Light"/>
    <n v="66"/>
    <n v="88"/>
    <n v="743.36"/>
    <s v="Taiwan"/>
    <s v="Ethiopia"/>
    <s v="Africa"/>
    <x v="1"/>
  </r>
  <r>
    <s v="El Salvador Loma La Gloria Unicorn Natural"/>
    <n v="95"/>
    <s v="Light"/>
    <n v="64"/>
    <n v="88"/>
    <n v="10.23"/>
    <s v="USA"/>
    <s v="El Salvador"/>
    <s v="America"/>
    <x v="0"/>
  </r>
  <r>
    <s v="Costa Rica Las Lajas SL-28 Natural"/>
    <n v="94"/>
    <s v="Light"/>
    <n v="58"/>
    <n v="84"/>
    <n v="8.82"/>
    <s v="USA"/>
    <s v="Costa Rica"/>
    <s v="America"/>
    <x v="0"/>
  </r>
  <r>
    <s v="Ethiopia Faysel Abdosh"/>
    <n v="94"/>
    <s v="Light"/>
    <n v="64"/>
    <n v="88"/>
    <n v="5.88"/>
    <s v="USA"/>
    <s v="Ethiopia"/>
    <s v="Africa"/>
    <x v="0"/>
  </r>
  <r>
    <s v="Kenya Kii"/>
    <n v="94"/>
    <s v="Medium Light"/>
    <n v="58"/>
    <n v="82"/>
    <n v="10.4"/>
    <s v="USA"/>
    <s v="Kenya"/>
    <s v="Africa"/>
    <x v="0"/>
  </r>
  <r>
    <s v="Ethiopia Guji Bishala G1 Red Honey"/>
    <n v="94"/>
    <s v="Medium Light"/>
    <n v="58"/>
    <n v="80"/>
    <n v="202.82"/>
    <s v="Taiwan"/>
    <s v="Ethiopia"/>
    <s v="Africa"/>
    <x v="1"/>
  </r>
  <r>
    <s v="Ethiopia Sidama Bensa Shantawene Gatta Kenean Dukamo Anaerobic Natural G1"/>
    <n v="94"/>
    <s v="Light"/>
    <n v="66"/>
    <n v="89"/>
    <n v="317.45999999999998"/>
    <s v="Taiwan"/>
    <s v="Ethiopia"/>
    <s v="Africa"/>
    <x v="1"/>
  </r>
  <r>
    <s v="Kenya Nyeri Hill AB"/>
    <n v="96"/>
    <s v="Medium Light"/>
    <n v="58"/>
    <n v="82"/>
    <n v="6.91"/>
    <s v="USA"/>
    <s v="Kenya"/>
    <s v="Africa"/>
    <x v="0"/>
  </r>
  <r>
    <s v="Ethiopia Sidama  Bombe Natural"/>
    <n v="94"/>
    <s v="Light"/>
    <n v="61"/>
    <n v="85"/>
    <n v="175"/>
    <s v="Taiwan"/>
    <s v="Ethiopia"/>
    <s v="Africa"/>
    <x v="1"/>
  </r>
  <r>
    <s v="Ethiopia Kayon Mountain"/>
    <n v="95"/>
    <s v="Light"/>
    <n v="64"/>
    <n v="88"/>
    <n v="7.05"/>
    <s v="USA"/>
    <s v="Ethiopia"/>
    <s v="Africa"/>
    <x v="0"/>
  </r>
  <r>
    <s v="Colombia Red Sunset"/>
    <n v="94"/>
    <s v="Light"/>
    <n v="60"/>
    <n v="84"/>
    <n v="7.94"/>
    <s v="USA"/>
    <s v="Colombia"/>
    <s v="America"/>
    <x v="0"/>
  </r>
  <r>
    <s v="Ethiopia Gesha Village Lot 108"/>
    <n v="94"/>
    <s v="Light"/>
    <n v="66"/>
    <n v="89"/>
    <n v="60"/>
    <s v="USA"/>
    <s v="Ethiopia"/>
    <s v="Africa"/>
    <x v="0"/>
  </r>
  <r>
    <s v="Panama Geisha Vuelta DRD Natural Lot GN-01"/>
    <n v="97"/>
    <s v="Light"/>
    <n v="64"/>
    <n v="88"/>
    <n v="2000"/>
    <s v="USA"/>
    <s v="Panama"/>
    <s v="America"/>
    <x v="0"/>
  </r>
  <r>
    <s v="Panama Kaizen Lot GW-01"/>
    <n v="96"/>
    <s v="Light"/>
    <n v="65"/>
    <n v="90"/>
    <n v="2000"/>
    <s v="USA"/>
    <s v="Panama"/>
    <s v="America"/>
    <x v="0"/>
  </r>
  <r>
    <s v="Kona Geisha Champagne Natural"/>
    <n v="95"/>
    <s v="Light"/>
    <n v="64"/>
    <n v="88"/>
    <n v="176.37"/>
    <s v="USA"/>
    <s v="USA"/>
    <s v="America"/>
    <x v="0"/>
  </r>
  <r>
    <s v="Ethiopia Nano Genji Lot #8"/>
    <n v="94"/>
    <s v="Light"/>
    <n v="64"/>
    <n v="84"/>
    <n v="6.47"/>
    <s v="USA"/>
    <s v="Ethiopia"/>
    <s v="Africa"/>
    <x v="0"/>
  </r>
  <r>
    <s v="Colombia Hacienda La Pradera Mokka"/>
    <n v="94"/>
    <s v="Light"/>
    <n v="64"/>
    <n v="88"/>
    <n v="12.35"/>
    <s v="USA"/>
    <s v="Colombia"/>
    <s v="America"/>
    <x v="0"/>
  </r>
  <r>
    <s v="La Piragua Pink Bourbon Colombia"/>
    <n v="94"/>
    <s v="Light"/>
    <n v="62"/>
    <n v="84"/>
    <n v="6.47"/>
    <s v="USA"/>
    <s v="Colombia"/>
    <s v="America"/>
    <x v="0"/>
  </r>
  <r>
    <s v="Kenya Baragwi Guama"/>
    <n v="94"/>
    <s v="Medium Light"/>
    <n v="60"/>
    <n v="78"/>
    <n v="6.47"/>
    <s v="USA"/>
    <s v="Kenya"/>
    <s v="Africa"/>
    <x v="0"/>
  </r>
  <r>
    <s v="Ethiopia Washed Uraga More Floral Kurume Espresso"/>
    <n v="95"/>
    <s v="Medium Light"/>
    <n v="58"/>
    <n v="79"/>
    <n v="119.05"/>
    <s v="Taiwan"/>
    <s v="Ethiopia"/>
    <s v="Africa"/>
    <x v="1"/>
  </r>
  <r>
    <s v="Ethiopia Natural Sidama ALO Village FL"/>
    <n v="95"/>
    <s v="Light"/>
    <n v="62"/>
    <n v="84"/>
    <n v="423.28"/>
    <s v="Taiwan"/>
    <s v="Ethiopia"/>
    <s v="Africa"/>
    <x v="1"/>
  </r>
  <r>
    <s v="Ethiopia Washed Sidama Bura Karamo 74158"/>
    <n v="95"/>
    <s v="Light"/>
    <n v="64"/>
    <n v="84"/>
    <n v="141.09"/>
    <s v="Taiwan"/>
    <s v="Ethiopia"/>
    <s v="Africa"/>
    <x v="1"/>
  </r>
  <r>
    <s v="Ethiopia Natural Guji Hambella Wamena Buku G1"/>
    <n v="94"/>
    <s v="Light"/>
    <n v="64"/>
    <n v="88"/>
    <n v="141.09"/>
    <s v="Taiwan"/>
    <s v="Ethiopia"/>
    <s v="Africa"/>
    <x v="1"/>
  </r>
  <r>
    <s v="Guatemala Naranjas Nadando"/>
    <n v="95"/>
    <s v="Light"/>
    <n v="62"/>
    <n v="84"/>
    <n v="7.76"/>
    <s v="USA"/>
    <s v="Guatemala"/>
    <s v="America"/>
    <x v="0"/>
  </r>
  <r>
    <s v="Songstress Geisha"/>
    <n v="95"/>
    <s v="Light"/>
    <n v="64"/>
    <n v="86"/>
    <n v="163.13999999999999"/>
    <s v="Taiwan"/>
    <s v="Ethiopia"/>
    <s v="Africa"/>
    <x v="1"/>
  </r>
  <r>
    <s v="Ethiopia Gesha Village Surma 1931 Mossto Anaerobic Honey"/>
    <n v="95"/>
    <s v="Light"/>
    <n v="62"/>
    <n v="84"/>
    <n v="23.52"/>
    <s v="USA"/>
    <s v="Ethiopia"/>
    <s v="Africa"/>
    <x v="0"/>
  </r>
  <r>
    <s v="Panama Bambito Estate Geisha"/>
    <n v="95"/>
    <s v="Light"/>
    <n v="64"/>
    <n v="88"/>
    <n v="34.17"/>
    <s v="USA"/>
    <s v="Panama"/>
    <s v="America"/>
    <x v="0"/>
  </r>
  <r>
    <s v="Colombia Efren Echeverry"/>
    <n v="94"/>
    <s v="Light"/>
    <n v="62"/>
    <n v="84"/>
    <n v="7.35"/>
    <s v="USA"/>
    <s v="Colombia"/>
    <s v="America"/>
    <x v="0"/>
  </r>
  <r>
    <s v="Pueo Blend"/>
    <n v="94"/>
    <s v="Medium Light"/>
    <n v="50"/>
    <n v="77"/>
    <n v="7.05"/>
    <s v="USA"/>
    <s v="Unknown"/>
    <s v="NULL"/>
    <x v="0"/>
  </r>
  <r>
    <s v="Wai Meli Morning"/>
    <n v="94"/>
    <s v="Medium Light"/>
    <n v="54"/>
    <n v="72"/>
    <n v="10.58"/>
    <s v="USA"/>
    <s v="Unknown"/>
    <s v="NULL"/>
    <x v="0"/>
  </r>
  <r>
    <s v="Ayla Bombe Natural"/>
    <n v="94"/>
    <s v="Light"/>
    <n v="63"/>
    <n v="87"/>
    <n v="6.47"/>
    <s v="USA"/>
    <s v="Ethiopia"/>
    <s v="Africa"/>
    <x v="0"/>
  </r>
  <r>
    <s v="Wilton Benitez Striped Bourbon Colombia"/>
    <n v="94"/>
    <s v="Light"/>
    <n v="62"/>
    <n v="84"/>
    <n v="11.02"/>
    <s v="USA"/>
    <s v="Colombia"/>
    <s v="America"/>
    <x v="0"/>
  </r>
  <r>
    <s v="Buena Vista Pink Bourbon Colombia"/>
    <n v="94"/>
    <s v="Medium Light"/>
    <n v="59"/>
    <n v="77"/>
    <n v="9.6999999999999993"/>
    <s v="USA"/>
    <s v="Colombia"/>
    <s v="America"/>
    <x v="0"/>
  </r>
  <r>
    <s v="Yunlin Washed Geisha"/>
    <n v="96"/>
    <s v="Light"/>
    <n v="64"/>
    <n v="90"/>
    <n v="666.67"/>
    <s v="Taiwan"/>
    <s v="Taiwan"/>
    <s v="Asia-Pacific"/>
    <x v="1"/>
  </r>
  <r>
    <s v="Ethiopia Banko Washed"/>
    <n v="96"/>
    <s v="Light"/>
    <n v="62"/>
    <n v="84"/>
    <n v="7.05"/>
    <s v="USA"/>
    <s v="Ethiopia"/>
    <s v="Africa"/>
    <x v="0"/>
  </r>
  <r>
    <s v="Colombia Villa Betulia CM Sidra"/>
    <n v="96"/>
    <s v="Light"/>
    <n v="60"/>
    <n v="84"/>
    <n v="20.28"/>
    <s v="USA"/>
    <s v="Colombia"/>
    <s v="America"/>
    <x v="0"/>
  </r>
  <r>
    <s v="Ethiopia Anaerobic Worka Sakaro"/>
    <n v="95"/>
    <s v="Light"/>
    <n v="66"/>
    <n v="92"/>
    <n v="7.05"/>
    <s v="USA"/>
    <s v="Ethiopia"/>
    <s v="Africa"/>
    <x v="0"/>
  </r>
  <r>
    <s v="Costa Rica Hacienda Sonora Natural Milenio"/>
    <n v="94"/>
    <s v="Light"/>
    <n v="62"/>
    <n v="84"/>
    <n v="8.3800000000000008"/>
    <s v="USA"/>
    <s v="Costa Rica"/>
    <s v="America"/>
    <x v="0"/>
  </r>
  <r>
    <s v="Costa Rica Alma Negra Natural"/>
    <n v="94"/>
    <s v="Light"/>
    <n v="58"/>
    <n v="88"/>
    <n v="7.35"/>
    <s v="USA"/>
    <s v="Costa Rica"/>
    <s v="America"/>
    <x v="0"/>
  </r>
  <r>
    <s v="El Salvador Finca Santa Sofia Natural Kenya"/>
    <n v="94"/>
    <s v="Light"/>
    <n v="68"/>
    <n v="94"/>
    <n v="9.6999999999999993"/>
    <s v="USA"/>
    <s v="El Salvador"/>
    <s v="America"/>
    <x v="0"/>
  </r>
  <r>
    <s v="Colombia Aponte Honey"/>
    <n v="94"/>
    <s v="Light"/>
    <n v="64"/>
    <n v="88"/>
    <n v="6.76"/>
    <s v="USA"/>
    <s v="Colombia"/>
    <s v="America"/>
    <x v="0"/>
  </r>
  <r>
    <s v="Finca Huixoc Geisha"/>
    <n v="94"/>
    <s v="Light"/>
    <n v="60"/>
    <n v="82"/>
    <n v="7.05"/>
    <s v="Guatemala"/>
    <s v="Guatemala"/>
    <s v="America"/>
    <x v="0"/>
  </r>
  <r>
    <s v="Costa Rica Rivense Finca El Mango Honey Process"/>
    <n v="94"/>
    <s v="Light"/>
    <n v="62"/>
    <n v="84"/>
    <n v="4.7"/>
    <s v="USA"/>
    <s v="Costa Rica"/>
    <s v="America"/>
    <x v="0"/>
  </r>
  <r>
    <s v="El Salvador Unicorn"/>
    <n v="94"/>
    <s v="Medium Light"/>
    <n v="58"/>
    <n v="80"/>
    <n v="10.58"/>
    <s v="USA"/>
    <s v="El Salvador"/>
    <s v="America"/>
    <x v="0"/>
  </r>
  <r>
    <s v="Kenya Kiamwangi Factory AA TOP"/>
    <n v="94"/>
    <s v="Medium Light"/>
    <n v="60"/>
    <n v="80"/>
    <n v="171.52"/>
    <s v="Taiwan"/>
    <s v="Kenya"/>
    <s v="Africa"/>
    <x v="1"/>
  </r>
  <r>
    <s v="Ethiopia Sidama Bensa Hamasho Washed TOH#2"/>
    <n v="94"/>
    <s v="Light"/>
    <n v="64"/>
    <n v="86"/>
    <n v="153.88"/>
    <s v="Taiwan"/>
    <s v="Ethiopia"/>
    <s v="Africa"/>
    <x v="1"/>
  </r>
  <r>
    <s v="Costa Rica Red Java Honey Finca Los Pinitos"/>
    <n v="95"/>
    <s v="Light"/>
    <n v="60"/>
    <n v="88"/>
    <n v="8.52"/>
    <s v="USA"/>
    <s v="Costa Rica"/>
    <s v="America"/>
    <x v="0"/>
  </r>
  <r>
    <s v="Costa Rica Finca El CaГ±al Double Diamond"/>
    <n v="94"/>
    <s v="Light"/>
    <n v="62"/>
    <n v="86"/>
    <n v="8.23"/>
    <s v="USA"/>
    <s v="Costa Rica"/>
    <s v="America"/>
    <x v="0"/>
  </r>
  <r>
    <s v="Honduras Roger Dominguez"/>
    <n v="94"/>
    <s v="Light"/>
    <n v="66"/>
    <n v="88"/>
    <n v="8.82"/>
    <s v="USA"/>
    <s v="Honduras"/>
    <s v="America"/>
    <x v="0"/>
  </r>
  <r>
    <s v="Ngurueri Kenya"/>
    <n v="94"/>
    <s v="Light"/>
    <n v="62"/>
    <n v="80"/>
    <n v="6.47"/>
    <s v="USA"/>
    <s v="Kenya"/>
    <s v="Africa"/>
    <x v="0"/>
  </r>
  <r>
    <s v="Cruz Loma Ecuador"/>
    <n v="94"/>
    <s v="Light"/>
    <n v="60"/>
    <n v="82"/>
    <n v="9.6999999999999993"/>
    <s v="USA"/>
    <s v="Ecuador"/>
    <s v="America"/>
    <x v="0"/>
  </r>
  <r>
    <s v="Colombia Monteblanco Nectar Citrullus Secret Stash"/>
    <n v="94"/>
    <s v="Medium Light"/>
    <n v="58"/>
    <n v="82"/>
    <n v="8.82"/>
    <s v="USA"/>
    <s v="Colombia"/>
    <s v="America"/>
    <x v="0"/>
  </r>
  <r>
    <s v="Costa Rica La Laguna Lot Secret Stash"/>
    <n v="94"/>
    <s v="Light"/>
    <n v="64"/>
    <n v="86"/>
    <n v="8.82"/>
    <s v="USA"/>
    <s v="Costa Rica"/>
    <s v="America"/>
    <x v="0"/>
  </r>
  <r>
    <s v="Ballista Espresso"/>
    <n v="94"/>
    <s v="Medium Light"/>
    <n v="56"/>
    <n v="74"/>
    <n v="5.42"/>
    <s v="USA"/>
    <s v="Brazil"/>
    <s v="America"/>
    <x v="0"/>
  </r>
  <r>
    <s v="Ethiopia Natural Lion 88"/>
    <n v="94"/>
    <s v="Light"/>
    <n v="66"/>
    <n v="90"/>
    <n v="220.46"/>
    <s v="Taiwan"/>
    <s v="Ethiopia"/>
    <s v="Africa"/>
    <x v="1"/>
  </r>
  <r>
    <s v="Panama Lamastus Family Elida Estate Loma Geisha Washed"/>
    <n v="97"/>
    <s v="Light"/>
    <n v="64"/>
    <n v="88"/>
    <n v="0.88"/>
    <s v="Taiwan"/>
    <s v="Panama"/>
    <s v="America"/>
    <x v="1"/>
  </r>
  <r>
    <s v="Colombia El Paraiso Geisha Anti-Maceration"/>
    <n v="95"/>
    <s v="Light"/>
    <n v="70"/>
    <n v="94"/>
    <n v="58"/>
    <s v="Japan"/>
    <s v="Colombia"/>
    <s v="America"/>
    <x v="1"/>
  </r>
  <r>
    <s v="Ethiopia Alo Chilaka Natural"/>
    <n v="94"/>
    <s v="Light"/>
    <n v="66"/>
    <n v="88"/>
    <n v="6.47"/>
    <s v="USA"/>
    <s v="Ethiopia"/>
    <s v="Africa"/>
    <x v="0"/>
  </r>
  <r>
    <s v="Panama Bambito Gesha"/>
    <n v="94"/>
    <s v="Light"/>
    <n v="62"/>
    <n v="84"/>
    <n v="24.25"/>
    <s v="USA"/>
    <s v="Panama"/>
    <s v="America"/>
    <x v="0"/>
  </r>
  <r>
    <s v="Panama Geisha Vuelta DRD Natural"/>
    <n v="97"/>
    <s v="Light"/>
    <n v="66"/>
    <n v="88"/>
    <n v="77.599999999999994"/>
    <s v="USA"/>
    <s v="Panama"/>
    <s v="America"/>
    <x v="0"/>
  </r>
  <r>
    <s v="Kona S12 Kaffa Washed"/>
    <n v="96"/>
    <s v="Light"/>
    <n v="67"/>
    <n v="94"/>
    <n v="88.18"/>
    <s v="USA"/>
    <s v="USA"/>
    <s v="America"/>
    <x v="0"/>
  </r>
  <r>
    <s v="Kona Geisha RosГ© Washed"/>
    <n v="96"/>
    <s v="Light"/>
    <n v="64"/>
    <n v="88"/>
    <n v="88.18"/>
    <s v="USA"/>
    <s v="USA"/>
    <s v="America"/>
    <x v="0"/>
  </r>
  <r>
    <s v="Colombia Cafe La Granja Pink Bourbon"/>
    <n v="96"/>
    <s v="Light"/>
    <n v="62"/>
    <n v="88"/>
    <n v="28"/>
    <s v="USA"/>
    <s v="Colombia"/>
    <s v="America"/>
    <x v="0"/>
  </r>
  <r>
    <s v="Colombia Cafe La Granja Sudan Rume Natural"/>
    <n v="95"/>
    <s v="Light"/>
    <n v="66"/>
    <n v="92"/>
    <n v="28"/>
    <s v="USA"/>
    <s v="Colombia"/>
    <s v="America"/>
    <x v="0"/>
  </r>
  <r>
    <s v="Panama Tierra Blanca C-5 Geisha Washed BOP-GW-05"/>
    <n v="97"/>
    <s v="Light"/>
    <n v="64"/>
    <n v="88"/>
    <n v="617.28"/>
    <s v="Taiwan"/>
    <s v="Panama"/>
    <s v="America"/>
    <x v="1"/>
  </r>
  <r>
    <s v="Kenya AA Kangiri New Irati"/>
    <n v="95"/>
    <s v="Light"/>
    <n v="66"/>
    <n v="84"/>
    <n v="5.59"/>
    <s v="USA"/>
    <s v="Kenya"/>
    <s v="Africa"/>
    <x v="0"/>
  </r>
  <r>
    <s v="Costa Rica Central Valley Honey Geisha"/>
    <n v="94"/>
    <s v="Light"/>
    <n v="62"/>
    <n v="80"/>
    <n v="9.41"/>
    <s v="USA"/>
    <s v="Costa Rica"/>
    <s v="America"/>
    <x v="0"/>
  </r>
  <r>
    <s v="Ethiopia Sidama Bombe G1 Washed"/>
    <n v="94"/>
    <s v="Light"/>
    <n v="64"/>
    <n v="84"/>
    <n v="5.59"/>
    <s v="USA"/>
    <s v="Ethiopia"/>
    <s v="Africa"/>
    <x v="0"/>
  </r>
  <r>
    <s v="Kenya AA Aries Return Espresso"/>
    <n v="96"/>
    <s v="Medium"/>
    <n v="44"/>
    <n v="60"/>
    <n v="418.87"/>
    <s v="Taiwan"/>
    <s v="Kenya"/>
    <s v="Africa"/>
    <x v="1"/>
  </r>
  <r>
    <s v="Kenya AllвЂ™s Well Peaberry Espresso"/>
    <n v="96"/>
    <s v="Medium"/>
    <n v="46"/>
    <n v="72"/>
    <n v="396.83"/>
    <s v="Taiwan"/>
    <s v="Kenya"/>
    <s v="Africa"/>
    <x v="1"/>
  </r>
  <r>
    <s v="Espresso No. 6 Finca San JosГ© OcaГ±a"/>
    <n v="96"/>
    <s v="Medium"/>
    <n v="50"/>
    <n v="64"/>
    <n v="7.35"/>
    <s v="Guatemala"/>
    <s v="Guatemala"/>
    <s v="America"/>
    <x v="0"/>
  </r>
  <r>
    <s v="Kahiko Orange"/>
    <n v="98"/>
    <s v="Medium Light"/>
    <n v="54"/>
    <n v="84"/>
    <n v="44.07"/>
    <s v="USA"/>
    <s v="Unknown"/>
    <s v="NULL"/>
    <x v="0"/>
  </r>
  <r>
    <s v="Kenya Washed Kiambu Yara Estate PB TOP"/>
    <n v="97"/>
    <s v="Medium Light"/>
    <n v="58"/>
    <n v="80"/>
    <n v="264.55"/>
    <s v="Taiwan"/>
    <s v="Kenya"/>
    <s v="Africa"/>
    <x v="1"/>
  </r>
  <r>
    <s v="Kona Orange"/>
    <n v="96"/>
    <s v="Light"/>
    <n v="58"/>
    <n v="84"/>
    <n v="35.25"/>
    <s v="USA"/>
    <s v="USA"/>
    <s v="America"/>
    <x v="0"/>
  </r>
  <r>
    <s v="Colombia Wilton Benitez Sudan Rume"/>
    <n v="96"/>
    <s v="Light"/>
    <n v="64"/>
    <n v="84"/>
    <n v="12.79"/>
    <s v="USA"/>
    <s v="Colombia"/>
    <s v="America"/>
    <x v="0"/>
  </r>
  <r>
    <s v="Ethiopia Washed Gute 74110 Lot JH"/>
    <n v="95"/>
    <s v="Light"/>
    <n v="60"/>
    <n v="82"/>
    <n v="211.64"/>
    <s v="Taiwan"/>
    <s v="Ethiopia"/>
    <s v="Africa"/>
    <x v="1"/>
  </r>
  <r>
    <s v="Ethiopia Natural Sidama Bura Karamo 74158"/>
    <n v="95"/>
    <s v="Light"/>
    <n v="57"/>
    <n v="88"/>
    <n v="211.64"/>
    <s v="Taiwan"/>
    <s v="Ethiopia"/>
    <s v="Africa"/>
    <x v="1"/>
  </r>
  <r>
    <s v="Taiwan Honey Alishan Ming Yang Yuan Gesha"/>
    <n v="95"/>
    <s v="Light"/>
    <n v="62"/>
    <n v="84"/>
    <n v="0.88"/>
    <s v="Taiwan"/>
    <s v="Taiwan"/>
    <s v="Asia-Pacific"/>
    <x v="1"/>
  </r>
  <r>
    <s v="Kenya Washed Kiambu AB TOP Lot Yerihar"/>
    <n v="94"/>
    <s v="Medium Light"/>
    <n v="58"/>
    <n v="78"/>
    <n v="154.32"/>
    <s v="Taiwan"/>
    <s v="Kenya"/>
    <s v="Africa"/>
    <x v="1"/>
  </r>
  <r>
    <s v="Kenya Ibonia Estate"/>
    <n v="95"/>
    <s v="Medium Light"/>
    <n v="58"/>
    <n v="80"/>
    <n v="7.05"/>
    <s v="USA"/>
    <s v="Kenya"/>
    <s v="Africa"/>
    <x v="0"/>
  </r>
  <r>
    <s v="Ethiopia Worka Sakaro"/>
    <n v="94"/>
    <s v="Light"/>
    <n v="62"/>
    <n v="86"/>
    <n v="7.94"/>
    <s v="USA"/>
    <s v="Ethiopia"/>
    <s v="Africa"/>
    <x v="0"/>
  </r>
  <r>
    <s v="Guatemala Washed Huehuetenango Joya Verde"/>
    <n v="94"/>
    <s v="Medium Light"/>
    <n v="56"/>
    <n v="74"/>
    <n v="114.64"/>
    <s v="Taiwan"/>
    <s v="Guatemala"/>
    <s v="America"/>
    <x v="1"/>
  </r>
  <r>
    <s v="Ethiopia Washed Guji Uraga Tebe Burka"/>
    <n v="94"/>
    <s v="Medium Light"/>
    <n v="58"/>
    <n v="80"/>
    <n v="145.5"/>
    <s v="Taiwan"/>
    <s v="Ethiopia"/>
    <s v="Africa"/>
    <x v="1"/>
  </r>
  <r>
    <s v="Ethiopia Natural Sidama ALO Village SKY Project FL"/>
    <n v="94"/>
    <s v="Medium Light"/>
    <n v="60"/>
    <n v="77"/>
    <n v="432.1"/>
    <s v="Taiwan"/>
    <s v="Ethiopia"/>
    <s v="Africa"/>
    <x v="1"/>
  </r>
  <r>
    <s v="Taiwan Natural Alishan Chi Tsai Liu Li Ecological Farm"/>
    <n v="94"/>
    <s v="Medium Light"/>
    <n v="60"/>
    <n v="77"/>
    <n v="0.88"/>
    <s v="Taiwan"/>
    <s v="Taiwan"/>
    <s v="Asia-Pacific"/>
    <x v="1"/>
  </r>
  <r>
    <s v="Wilton Benitez SL28"/>
    <n v="96"/>
    <s v="Medium Light"/>
    <n v="58"/>
    <n v="82"/>
    <n v="14.55"/>
    <s v="USA"/>
    <s v="Colombia"/>
    <s v="America"/>
    <x v="0"/>
  </r>
  <r>
    <s v="Kolla Bolcha #6 Ethiopia"/>
    <n v="94"/>
    <s v="Medium Light"/>
    <n v="60"/>
    <n v="79"/>
    <n v="5.88"/>
    <s v="USA"/>
    <s v="Ethiopia"/>
    <s v="Africa"/>
    <x v="0"/>
  </r>
  <r>
    <s v="Bener Meriah Sumatra"/>
    <n v="94"/>
    <s v="Medium Light"/>
    <n v="59"/>
    <n v="77"/>
    <n v="5.88"/>
    <s v="USA"/>
    <s v="Indonesia"/>
    <s v="Asia-Pacific"/>
    <x v="0"/>
  </r>
  <r>
    <s v="Yemen Haraaz"/>
    <n v="96"/>
    <s v="Light"/>
    <n v="60"/>
    <n v="82"/>
    <n v="16"/>
    <s v="USA"/>
    <s v="Yemen"/>
    <s v="Africa"/>
    <x v="0"/>
  </r>
  <r>
    <s v="Ethiopia Yirgacheffe Hama Honey"/>
    <n v="95"/>
    <s v="Medium Light"/>
    <n v="59"/>
    <n v="81"/>
    <n v="264.32"/>
    <s v="Taiwan"/>
    <s v="Ethiopia"/>
    <s v="Africa"/>
    <x v="1"/>
  </r>
  <r>
    <s v="Colombia Finca Santuario Red Bourbon Natural"/>
    <n v="95"/>
    <s v="Light"/>
    <n v="62"/>
    <n v="94"/>
    <n v="264.32"/>
    <s v="Taiwan"/>
    <s v="Colombia"/>
    <s v="America"/>
    <x v="1"/>
  </r>
  <r>
    <s v="Ethiopia Yirgacheffe Gutiti Gargari Natural"/>
    <n v="94"/>
    <s v="Medium Light"/>
    <n v="60"/>
    <n v="77"/>
    <n v="198.24"/>
    <s v="Taiwan"/>
    <s v="Ethiopia"/>
    <s v="Africa"/>
    <x v="1"/>
  </r>
  <r>
    <s v="130 Blend"/>
    <n v="94"/>
    <s v="Medium Light"/>
    <n v="55"/>
    <n v="79"/>
    <n v="5.59"/>
    <s v="USA"/>
    <s v="Ethiopia"/>
    <s v="Africa"/>
    <x v="0"/>
  </r>
  <r>
    <s v="Ethiopia Bench Maji Gori Gesha ORO Yeast Natural G1"/>
    <n v="94"/>
    <s v="Medium Light"/>
    <n v="55"/>
    <n v="79"/>
    <n v="343.61"/>
    <s v="Taiwan"/>
    <s v="Ethiopia"/>
    <s v="Africa"/>
    <x v="1"/>
  </r>
  <r>
    <s v="Fruits Melody"/>
    <n v="94"/>
    <s v="Light"/>
    <n v="65"/>
    <n v="81"/>
    <n v="171.81"/>
    <s v="Taiwan"/>
    <s v="Ethiopia"/>
    <s v="Africa"/>
    <x v="1"/>
  </r>
  <r>
    <s v="Kenya Melwa AA Washed"/>
    <n v="94"/>
    <s v="Light"/>
    <n v="64"/>
    <n v="88"/>
    <n v="211.45"/>
    <s v="Taiwan"/>
    <s v="Kenya"/>
    <s v="Africa"/>
    <x v="1"/>
  </r>
  <r>
    <s v="Colombia Wilton Benitez Thermal Shock Red Bourbon"/>
    <n v="94"/>
    <s v="Light"/>
    <n v="60"/>
    <n v="83"/>
    <n v="16.75"/>
    <s v="USA"/>
    <s v="Colombia"/>
    <s v="America"/>
    <x v="0"/>
  </r>
  <r>
    <s v="Panama Elida Estate Geisha Natural ASD T3D Auction Lot EG6"/>
    <n v="97"/>
    <s v="Light"/>
    <n v="66"/>
    <n v="84"/>
    <n v="70.55"/>
    <s v="Taiwan"/>
    <s v="Panama"/>
    <s v="America"/>
    <x v="1"/>
  </r>
  <r>
    <s v="El Salvador La Providencia Maria Pacas Bernadina Honey"/>
    <n v="95"/>
    <s v="Light"/>
    <n v="62"/>
    <n v="84"/>
    <n v="11.54"/>
    <s v="USA"/>
    <s v="El Salvador"/>
    <s v="America"/>
    <x v="0"/>
  </r>
  <r>
    <s v="Colombia El Vergel Martha Montenegro Rubi Marti Anaerobic"/>
    <n v="95"/>
    <s v="Light"/>
    <n v="66"/>
    <n v="90"/>
    <n v="13.89"/>
    <s v="USA"/>
    <s v="Colombia"/>
    <s v="America"/>
    <x v="0"/>
  </r>
  <r>
    <s v="Ethiopia West Arsi Washed G1"/>
    <n v="95"/>
    <s v="Light"/>
    <n v="64"/>
    <n v="88"/>
    <n v="244.44"/>
    <s v="Taiwan"/>
    <s v="Ethiopia"/>
    <s v="Africa"/>
    <x v="1"/>
  </r>
  <r>
    <s v="Ethiopia Washed Yirgacheffe Chelbesa SNNPR Gedeo G1"/>
    <n v="94"/>
    <s v="Light"/>
    <n v="64"/>
    <n v="84"/>
    <n v="211.64"/>
    <s v="Taiwan"/>
    <s v="Ethiopia"/>
    <s v="Africa"/>
    <x v="1"/>
  </r>
  <r>
    <s v="Colombia Lulo Wonka Wonka &amp; Sebastian Gomez"/>
    <n v="96"/>
    <s v="Light"/>
    <n v="64"/>
    <n v="86"/>
    <n v="8.81"/>
    <s v="USA"/>
    <s v="Colombia"/>
    <s v="America"/>
    <x v="0"/>
  </r>
  <r>
    <s v="Colombia Finca La Reserva"/>
    <n v="94"/>
    <s v="Light"/>
    <n v="64"/>
    <n v="84"/>
    <n v="8.81"/>
    <s v="USA"/>
    <s v="Colombia"/>
    <s v="America"/>
    <x v="0"/>
  </r>
  <r>
    <s v="Ethiopia Washed Ayla Bombe"/>
    <n v="94"/>
    <s v="Medium Light"/>
    <n v="59"/>
    <n v="79"/>
    <n v="5.59"/>
    <s v="USA"/>
    <s v="Ethiopia"/>
    <s v="Africa"/>
    <x v="0"/>
  </r>
  <r>
    <s v="Ethiopia Mr. Ocholo Bedecho"/>
    <n v="95"/>
    <s v="Light"/>
    <n v="58"/>
    <n v="84"/>
    <n v="6.47"/>
    <s v="USA"/>
    <s v="Ethiopia"/>
    <s v="Africa"/>
    <x v="0"/>
  </r>
  <r>
    <s v="Colombia Pink Champagne El Mirador Blend"/>
    <n v="94"/>
    <s v="Light"/>
    <n v="66"/>
    <n v="93"/>
    <n v="10.23"/>
    <s v="USA"/>
    <s v="Colombia"/>
    <s v="America"/>
    <x v="0"/>
  </r>
  <r>
    <s v="Guatemala El Injerto Malawi Geisha Washed"/>
    <n v="95"/>
    <s v="Light"/>
    <n v="69"/>
    <n v="88"/>
    <n v="950"/>
    <s v="Taiwan"/>
    <s v="Guatemala"/>
    <s v="America"/>
    <x v="1"/>
  </r>
  <r>
    <s v="Guatemala El Injerto Legendary Geisha Natural Lot E1-06"/>
    <n v="94"/>
    <s v="Light"/>
    <n v="60"/>
    <n v="88"/>
    <n v="20.87"/>
    <s v="Taiwan"/>
    <s v="Guatemala"/>
    <s v="America"/>
    <x v="1"/>
  </r>
  <r>
    <s v="Guatemala Washed Finca La Hermosa Gesha Peaberry"/>
    <n v="94"/>
    <s v="Medium Light"/>
    <n v="56"/>
    <n v="84"/>
    <n v="19.36"/>
    <s v="Taiwan"/>
    <s v="Guatemala"/>
    <s v="America"/>
    <x v="1"/>
  </r>
  <r>
    <s v="Qunqana Ethiopia"/>
    <n v="95"/>
    <s v="Light"/>
    <n v="63"/>
    <n v="81"/>
    <n v="6.76"/>
    <s v="USA"/>
    <s v="Ethiopia"/>
    <s v="Africa"/>
    <x v="0"/>
  </r>
  <r>
    <s v="Finca La Reserva Colombia Gesha Honey"/>
    <n v="95"/>
    <s v="Medium Light"/>
    <n v="59"/>
    <n v="77"/>
    <n v="9.6999999999999993"/>
    <s v="USA"/>
    <s v="Colombia"/>
    <s v="America"/>
    <x v="0"/>
  </r>
  <r>
    <s v="Ethiopia Ayla Bombe"/>
    <n v="96"/>
    <s v="Medium Light"/>
    <n v="61"/>
    <n v="78"/>
    <n v="5.88"/>
    <s v="USA"/>
    <s v="Ethiopia"/>
    <s v="Africa"/>
    <x v="0"/>
  </r>
  <r>
    <s v="Ethiopia Arbegona Yaye Washed"/>
    <n v="95"/>
    <s v="Light"/>
    <n v="62"/>
    <n v="80"/>
    <n v="7.05"/>
    <s v="USA"/>
    <s v="Ethiopia"/>
    <s v="Africa"/>
    <x v="0"/>
  </r>
  <r>
    <s v="Sumatra Putra Gayo Natural"/>
    <n v="94"/>
    <s v="Medium Light"/>
    <n v="60"/>
    <n v="79"/>
    <n v="6.76"/>
    <s v="USA"/>
    <s v="Indonesia"/>
    <s v="Asia-Pacific"/>
    <x v="0"/>
  </r>
  <r>
    <s v="El Salvador Finca Plan del Hoyo Microlot"/>
    <n v="94"/>
    <s v="Medium Light"/>
    <n v="60"/>
    <n v="77"/>
    <n v="4.7"/>
    <s v="USA"/>
    <s v="El Salvador"/>
    <s v="America"/>
    <x v="0"/>
  </r>
  <r>
    <s v="Kenya Kichwa Tembo"/>
    <n v="94"/>
    <s v="Medium Light"/>
    <n v="59"/>
    <n v="81"/>
    <n v="8.23"/>
    <s v="USA"/>
    <s v="Kenya"/>
    <s v="Africa"/>
    <x v="0"/>
  </r>
  <r>
    <s v="Ethiopia Sidama Alice Orchard Natural G1"/>
    <n v="95"/>
    <s v="Light"/>
    <n v="64"/>
    <n v="86"/>
    <n v="242.29"/>
    <s v="Taiwan"/>
    <s v="Ethiopia"/>
    <s v="Africa"/>
    <x v="1"/>
  </r>
  <r>
    <s v="Colombia Fruit Loops Gesha Washed"/>
    <n v="94"/>
    <s v="Light"/>
    <n v="65"/>
    <n v="89"/>
    <n v="22.33"/>
    <s v="USA"/>
    <s v="Colombia"/>
    <s v="America"/>
    <x v="0"/>
  </r>
  <r>
    <s v="Kenya Gachatha AA Top"/>
    <n v="94"/>
    <s v="Light"/>
    <n v="62"/>
    <n v="80"/>
    <n v="136.24"/>
    <s v="Taiwan"/>
    <s v="Kenya"/>
    <s v="Africa"/>
    <x v="1"/>
  </r>
  <r>
    <s v="Ethiopia Bench-Maji Lucy Station Geisha Washed"/>
    <n v="94"/>
    <s v="Light"/>
    <n v="64"/>
    <n v="84"/>
    <n v="149.47"/>
    <s v="Taiwan"/>
    <s v="Ethiopia"/>
    <s v="Africa"/>
    <x v="1"/>
  </r>
  <r>
    <s v="Ethiopia Yirgacheffe Lalisa Black Honey TOH#2"/>
    <n v="94"/>
    <s v="Light"/>
    <n v="66"/>
    <n v="90"/>
    <n v="197.97"/>
    <s v="Taiwan"/>
    <s v="Ethiopia"/>
    <s v="Africa"/>
    <x v="1"/>
  </r>
  <r>
    <s v="Panama Hacienda La Esmeralda Nano GIGANTE 4FC-N Geisha Washed"/>
    <n v="97"/>
    <s v="Light"/>
    <n v="62"/>
    <n v="84"/>
    <n v="6000"/>
    <s v="Taiwan"/>
    <s v="Panama"/>
    <s v="America"/>
    <x v="1"/>
  </r>
  <r>
    <s v="Kenya Washed Kiambu AA"/>
    <n v="96"/>
    <s v="Medium"/>
    <n v="47"/>
    <n v="69"/>
    <n v="127.87"/>
    <s v="Taiwan"/>
    <s v="Kenya"/>
    <s v="Africa"/>
    <x v="1"/>
  </r>
  <r>
    <s v="Kenya Washed Kiambu Maganjo AA TOP"/>
    <n v="95"/>
    <s v="Medium Light"/>
    <n v="58"/>
    <n v="82"/>
    <n v="154.32"/>
    <s v="Taiwan"/>
    <s v="Kenya"/>
    <s v="Africa"/>
    <x v="1"/>
  </r>
  <r>
    <s v="Ethiopia Washed Yirgacheffe Botabaa Lot"/>
    <n v="95"/>
    <s v="Light"/>
    <n v="62"/>
    <n v="84"/>
    <n v="145.5"/>
    <s v="Taiwan"/>
    <s v="Ethiopia"/>
    <s v="Africa"/>
    <x v="1"/>
  </r>
  <r>
    <s v="Ecuador Galo Morales"/>
    <n v="94"/>
    <s v="Light"/>
    <n v="64"/>
    <n v="86"/>
    <n v="8.82"/>
    <s v="USA"/>
    <s v="Ecuador"/>
    <s v="America"/>
    <x v="0"/>
  </r>
  <r>
    <s v="Orange Bourbon Natural"/>
    <n v="95"/>
    <s v="Light"/>
    <n v="64"/>
    <n v="88"/>
    <n v="15.43"/>
    <s v="USA"/>
    <s v="Unknown"/>
    <s v="NULL"/>
    <x v="0"/>
  </r>
  <r>
    <s v="Ethiopia Yirgacheffe Huke Premium Washed G1"/>
    <n v="95"/>
    <s v="Light"/>
    <n v="64"/>
    <n v="82"/>
    <n v="6.17"/>
    <s v="USA"/>
    <s v="Ethiopia"/>
    <s v="Africa"/>
    <x v="0"/>
  </r>
  <r>
    <s v="Ethiopia Yirgacheffe Huke Premium Natural G1"/>
    <n v="94"/>
    <s v="Light"/>
    <n v="62"/>
    <n v="80"/>
    <n v="6.17"/>
    <s v="USA"/>
    <s v="Ethiopia"/>
    <s v="Africa"/>
    <x v="0"/>
  </r>
  <r>
    <s v="Colombia El Vergel #1"/>
    <n v="94"/>
    <s v="Light"/>
    <n v="64"/>
    <n v="86"/>
    <n v="4.41"/>
    <s v="USA"/>
    <s v="Colombia"/>
    <s v="America"/>
    <x v="0"/>
  </r>
  <r>
    <s v="Ethiopia Sidama Bensa"/>
    <n v="94"/>
    <s v="Light"/>
    <n v="65"/>
    <n v="87"/>
    <n v="175"/>
    <s v="Taiwan"/>
    <s v="Ethiopia"/>
    <s v="Africa"/>
    <x v="1"/>
  </r>
  <r>
    <s v="Ethiopia Guji Rosechee Washed G1"/>
    <n v="94"/>
    <s v="Light"/>
    <n v="66"/>
    <n v="88"/>
    <n v="264.32"/>
    <s v="Taiwan"/>
    <s v="Ethiopia"/>
    <s v="Africa"/>
    <x v="1"/>
  </r>
  <r>
    <s v="Ethiopia Bench-Maji Lucy Geisha"/>
    <n v="94"/>
    <s v="Light"/>
    <n v="66"/>
    <n v="84"/>
    <n v="190"/>
    <s v="Taiwan"/>
    <s v="Ethiopia"/>
    <s v="Africa"/>
    <x v="1"/>
  </r>
  <r>
    <s v="Ethiopia Oromi Guji Hamela Wamena Tirtira Goyo Natural G1"/>
    <n v="95"/>
    <s v="Light"/>
    <n v="66"/>
    <n v="88"/>
    <n v="211.64"/>
    <s v="Taiwan"/>
    <s v="Ethiopia"/>
    <s v="Africa"/>
    <x v="1"/>
  </r>
  <r>
    <s v="Acacia Hills Geisha"/>
    <n v="96"/>
    <s v="Medium Light"/>
    <n v="58"/>
    <n v="80"/>
    <n v="10.58"/>
    <s v="USA"/>
    <s v="Tanzania"/>
    <s v="Africa"/>
    <x v="0"/>
  </r>
  <r>
    <s v="Nsoga Iweyza Tanzania"/>
    <n v="95"/>
    <s v="Medium Light"/>
    <n v="57"/>
    <n v="77"/>
    <n v="10.58"/>
    <s v="USA"/>
    <s v="Tanzania"/>
    <s v="Africa"/>
    <x v="0"/>
  </r>
  <r>
    <s v="Wilton Benitez Java"/>
    <n v="96"/>
    <s v="Light"/>
    <n v="59"/>
    <n v="93"/>
    <n v="8.82"/>
    <s v="USA"/>
    <s v="Colombia"/>
    <s v="America"/>
    <x v="0"/>
  </r>
  <r>
    <s v="Ethiopia Guji Narcissus Washed G1"/>
    <n v="94"/>
    <s v="Light"/>
    <n v="63"/>
    <n v="82"/>
    <n v="255.51"/>
    <s v="Taiwan"/>
    <s v="Ethiopia"/>
    <s v="Africa"/>
    <x v="1"/>
  </r>
  <r>
    <s v="Asobombo Colombia"/>
    <n v="94"/>
    <s v="Light"/>
    <n v="63"/>
    <n v="85"/>
    <n v="5.88"/>
    <s v="USA"/>
    <s v="Colombia"/>
    <s v="America"/>
    <x v="0"/>
  </r>
  <r>
    <s v="Panama Hacienda La Esmeralda Special Nano Geisha Gigante Washed Euphora Lot"/>
    <n v="96"/>
    <s v="Light"/>
    <n v="66"/>
    <n v="88"/>
    <n v="79.37"/>
    <s v="Taiwan"/>
    <s v="Panama"/>
    <s v="America"/>
    <x v="1"/>
  </r>
  <r>
    <s v="Costa Rica Las Lajas Black Diamond Bourbon"/>
    <n v="95"/>
    <s v="Light"/>
    <n v="72"/>
    <n v="102"/>
    <n v="8.23"/>
    <s v="USA"/>
    <s v="Costa Rica"/>
    <s v="America"/>
    <x v="0"/>
  </r>
  <r>
    <s v="Colombia Wilton Benitez Red Bourbon"/>
    <n v="94"/>
    <s v="Light"/>
    <n v="66"/>
    <n v="88"/>
    <n v="12.4"/>
    <s v="USA"/>
    <s v="Colombia"/>
    <s v="America"/>
    <x v="0"/>
  </r>
  <r>
    <s v="Colombia Wilton Benitez Yellow Bourbon"/>
    <n v="94"/>
    <s v="Light"/>
    <n v="65"/>
    <n v="90"/>
    <n v="12.4"/>
    <s v="USA"/>
    <s v="Colombia"/>
    <s v="America"/>
    <x v="0"/>
  </r>
  <r>
    <s v="Colombia Wilton Benitez Gesha Thermal Shock Wine Yeast"/>
    <n v="96"/>
    <s v="Light"/>
    <n v="68"/>
    <n v="92"/>
    <n v="24.8"/>
    <s v="USA"/>
    <s v="Colombia"/>
    <s v="America"/>
    <x v="0"/>
  </r>
  <r>
    <s v="Colombia Wilton Benitez Striped Bourbon Thermal Shock"/>
    <n v="95"/>
    <s v="Light"/>
    <n v="65"/>
    <n v="92"/>
    <n v="24.8"/>
    <s v="USA"/>
    <s v="Colombia"/>
    <s v="America"/>
    <x v="0"/>
  </r>
  <r>
    <s v="Ethiopia Mulish"/>
    <n v="94"/>
    <s v="Medium Light"/>
    <n v="58"/>
    <n v="78"/>
    <n v="7.5"/>
    <s v="USA"/>
    <s v="Ethiopia"/>
    <s v="Africa"/>
    <x v="0"/>
  </r>
  <r>
    <s v="Ethiopia Gesha Village Oma Gesha 1931 Natural"/>
    <n v="96"/>
    <s v="Light"/>
    <n v="59"/>
    <n v="83"/>
    <n v="799"/>
    <s v="Taiwan"/>
    <s v="Ethiopia"/>
    <s v="Africa"/>
    <x v="1"/>
  </r>
  <r>
    <s v="Ethiopia Djimma Limu Gummay Baby Geisha Washed"/>
    <n v="95"/>
    <s v="Light"/>
    <n v="64"/>
    <n v="88"/>
    <n v="158.29"/>
    <s v="Taiwan"/>
    <s v="Ethiopia"/>
    <s v="Africa"/>
    <x v="1"/>
  </r>
  <r>
    <s v="Ethiopia Yirgacheffe Kochere Halo Hartume Washed G1"/>
    <n v="94"/>
    <s v="Light"/>
    <n v="64"/>
    <n v="86"/>
    <n v="254.55"/>
    <s v="Taiwan"/>
    <s v="Ethiopia"/>
    <s v="Africa"/>
    <x v="1"/>
  </r>
  <r>
    <s v="Ethiopia Guji Bule Hambela TOH#1"/>
    <n v="94"/>
    <s v="Medium Light"/>
    <n v="57"/>
    <n v="76"/>
    <n v="264.11"/>
    <s v="Taiwan"/>
    <s v="Ethiopia"/>
    <s v="Africa"/>
    <x v="1"/>
  </r>
  <r>
    <s v="Ethiopia Natural Sidama Bensa Blue Donkey 24/1"/>
    <n v="96"/>
    <s v="Medium Light"/>
    <n v="60"/>
    <n v="77"/>
    <n v="154.32"/>
    <s v="Taiwan"/>
    <s v="Ethiopia"/>
    <s v="Africa"/>
    <x v="1"/>
  </r>
  <r>
    <s v="Peru Washed Los Santos Farm Gesha"/>
    <n v="95"/>
    <s v="Light"/>
    <n v="64"/>
    <n v="84"/>
    <n v="198.41"/>
    <s v="Taiwan"/>
    <s v="Peru"/>
    <s v="America"/>
    <x v="1"/>
  </r>
  <r>
    <s v="Peru Black Honey Los Santos Farm Gesha"/>
    <n v="94"/>
    <s v="Light"/>
    <n v="64"/>
    <n v="88"/>
    <n v="180.78"/>
    <s v="Taiwan"/>
    <s v="Peru"/>
    <s v="America"/>
    <x v="1"/>
  </r>
  <r>
    <s v="Nyeri Hill Kenya"/>
    <n v="94"/>
    <s v="Medium Light"/>
    <n v="58"/>
    <n v="76"/>
    <n v="6.76"/>
    <s v="USA"/>
    <s v="Kenya"/>
    <s v="Africa"/>
    <x v="0"/>
  </r>
  <r>
    <s v="Colombia Tabi La Roca"/>
    <n v="94"/>
    <s v="Light"/>
    <n v="57"/>
    <n v="87"/>
    <n v="14.99"/>
    <s v="USA"/>
    <s v="Colombia"/>
    <s v="America"/>
    <x v="0"/>
  </r>
  <r>
    <s v="Ethiopia Sidama West Arsi Nansebo Natural G1"/>
    <n v="95"/>
    <s v="Light"/>
    <n v="58"/>
    <n v="86"/>
    <n v="211.45"/>
    <s v="Taiwan"/>
    <s v="Ethiopia"/>
    <s v="Africa"/>
    <x v="1"/>
  </r>
  <r>
    <s v="Ethiopia Moonlight Delight Wine Process Natural"/>
    <n v="94"/>
    <s v="Light"/>
    <n v="66"/>
    <n v="88"/>
    <n v="330.4"/>
    <s v="Taiwan"/>
    <s v="Ethiopia"/>
    <s v="Africa"/>
    <x v="1"/>
  </r>
  <r>
    <s v="Colombia Caldas Twilight Geisha Natural"/>
    <n v="94"/>
    <s v="Light"/>
    <n v="58"/>
    <n v="86"/>
    <n v="330.4"/>
    <s v="Taiwan"/>
    <s v="Colombia"/>
    <s v="America"/>
    <x v="1"/>
  </r>
  <r>
    <s v="Wilton Benitez Orange Bourbon"/>
    <n v="95"/>
    <s v="Light"/>
    <n v="63"/>
    <n v="81"/>
    <n v="11.02"/>
    <s v="USA"/>
    <s v="Colombia"/>
    <s v="America"/>
    <x v="0"/>
  </r>
  <r>
    <s v="Costa Rica TarrazГє Tirra"/>
    <n v="94"/>
    <s v="Medium Light"/>
    <n v="58"/>
    <n v="82"/>
    <n v="7.05"/>
    <s v="USA"/>
    <s v="Costa Rica"/>
    <s v="America"/>
    <x v="0"/>
  </r>
  <r>
    <s v="Kona Maragogype"/>
    <n v="94"/>
    <s v="Medium Light"/>
    <n v="56"/>
    <n v="76"/>
    <n v="18.64"/>
    <s v="USA"/>
    <s v="USA"/>
    <s v="America"/>
    <x v="0"/>
  </r>
  <r>
    <s v="Ethiopia Natural Sidama Bensa Bombe"/>
    <n v="95"/>
    <s v="Medium Light"/>
    <n v="58"/>
    <n v="77"/>
    <n v="123.46"/>
    <s v="Taiwan"/>
    <s v="Ethiopia"/>
    <s v="Africa"/>
    <x v="1"/>
  </r>
  <r>
    <s v="Ethiopia Washed Bench Maji Baby Lucy Gesha"/>
    <n v="94"/>
    <s v="Light"/>
    <n v="64"/>
    <n v="86"/>
    <n v="132.28"/>
    <s v="Taiwan"/>
    <s v="Ethiopia"/>
    <s v="Africa"/>
    <x v="1"/>
  </r>
  <r>
    <s v="Taiwan Natural Meishan Ching-Ye Farm Lot 0116"/>
    <n v="94"/>
    <s v="Light"/>
    <n v="62"/>
    <n v="80"/>
    <n v="352.73"/>
    <s v="Taiwan"/>
    <s v="Taiwan"/>
    <s v="Asia-Pacific"/>
    <x v="1"/>
  </r>
  <r>
    <s v="Gesha Spirits"/>
    <n v="96"/>
    <s v="Light"/>
    <n v="64"/>
    <n v="88"/>
    <n v="16.309999999999999"/>
    <s v="USA"/>
    <s v="Colombia"/>
    <s v="America"/>
    <x v="0"/>
  </r>
  <r>
    <s v="Colombia El Jardin Anaerobic Natural"/>
    <n v="94"/>
    <s v="Medium Light"/>
    <n v="59"/>
    <n v="81"/>
    <n v="6.16"/>
    <s v="USA"/>
    <s v="Colombia"/>
    <s v="America"/>
    <x v="0"/>
  </r>
  <r>
    <s v="Colombia Los Nogales Yellow Bourbon"/>
    <n v="94"/>
    <s v="Light"/>
    <n v="63"/>
    <n v="86"/>
    <n v="18.670000000000002"/>
    <s v="Japan"/>
    <s v="Colombia"/>
    <s v="America"/>
    <x v="1"/>
  </r>
  <r>
    <s v="Ethiopia Chelba Natural"/>
    <n v="94"/>
    <s v="Medium Light"/>
    <n v="51"/>
    <n v="80"/>
    <n v="175"/>
    <s v="Taiwan"/>
    <s v="Ethiopia"/>
    <s v="Africa"/>
    <x v="1"/>
  </r>
  <r>
    <s v="Tanzania Karatu Acacia Hills Geisha Washed AB Espresso"/>
    <n v="94"/>
    <s v="Medium Light"/>
    <n v="58"/>
    <n v="80"/>
    <n v="399"/>
    <s v="Taiwan"/>
    <s v="Tanzania"/>
    <s v="Africa"/>
    <x v="1"/>
  </r>
  <r>
    <s v="Las Margaritas Geisha Honey"/>
    <n v="95"/>
    <s v="Light"/>
    <n v="62"/>
    <n v="84"/>
    <n v="11.02"/>
    <s v="USA"/>
    <s v="Colombia"/>
    <s v="America"/>
    <x v="0"/>
  </r>
  <r>
    <s v="Colombia Papayo"/>
    <n v="94"/>
    <s v="Light"/>
    <n v="62"/>
    <n v="86"/>
    <n v="8.82"/>
    <s v="USA"/>
    <s v="Colombia"/>
    <s v="America"/>
    <x v="0"/>
  </r>
  <r>
    <s v="Las Margaritas Sudan Rume Natural"/>
    <n v="94"/>
    <s v="Medium Light"/>
    <n v="59"/>
    <n v="82"/>
    <n v="17.64"/>
    <s v="USA"/>
    <s v="Colombia"/>
    <s v="America"/>
    <x v="0"/>
  </r>
  <r>
    <s v="Colombia Green Apple Castillo"/>
    <n v="94"/>
    <s v="Light"/>
    <n v="63"/>
    <n v="86"/>
    <n v="18.52"/>
    <s v="USA"/>
    <s v="Colombia"/>
    <s v="America"/>
    <x v="0"/>
  </r>
  <r>
    <s v="Colombia La Palma Y TucГЎn Heroes Series Geisha"/>
    <n v="94"/>
    <s v="Light"/>
    <n v="64"/>
    <n v="97"/>
    <n v="12.78"/>
    <s v="USA"/>
    <s v="Colombia"/>
    <s v="America"/>
    <x v="0"/>
  </r>
  <r>
    <s v="Ethiopia Sidamo Bensa Anaerobic Washed"/>
    <n v="94"/>
    <s v="Light"/>
    <n v="59"/>
    <n v="94"/>
    <n v="93.77"/>
    <s v="Taiwan"/>
    <s v="Ethiopia"/>
    <s v="Africa"/>
    <x v="1"/>
  </r>
  <r>
    <s v="Ethiopia Sidama Orange Blossom Washed G1"/>
    <n v="94"/>
    <s v="Light"/>
    <n v="64"/>
    <n v="82"/>
    <n v="220.26"/>
    <s v="Taiwan"/>
    <s v="Ethiopia"/>
    <s v="Africa"/>
    <x v="1"/>
  </r>
  <r>
    <s v="Ethiopia Washed Sidama Bensa Single Variety 74158"/>
    <n v="94"/>
    <s v="Light"/>
    <n v="62"/>
    <n v="82"/>
    <n v="264.32"/>
    <s v="Taiwan"/>
    <s v="Ethiopia"/>
    <s v="Africa"/>
    <x v="1"/>
  </r>
  <r>
    <s v="Guatemala Bella Carmona"/>
    <n v="94"/>
    <s v="Medium Light"/>
    <n v="57"/>
    <n v="79"/>
    <n v="5.88"/>
    <s v="USA"/>
    <s v="Guatemala"/>
    <s v="America"/>
    <x v="0"/>
  </r>
  <r>
    <s v="Wilton Benitez Sidra"/>
    <n v="95"/>
    <s v="Light"/>
    <n v="57"/>
    <n v="89"/>
    <n v="11.46"/>
    <s v="USA"/>
    <s v="Colombia"/>
    <s v="America"/>
    <x v="0"/>
  </r>
  <r>
    <s v="Putra Gayo Sumatra"/>
    <n v="94"/>
    <s v="Light"/>
    <n v="60"/>
    <n v="88"/>
    <n v="6.76"/>
    <s v="USA"/>
    <s v="Indonesia"/>
    <s v="Asia-Pacific"/>
    <x v="0"/>
  </r>
  <r>
    <s v="Colombia JosГ© JuliГЎn Giraldo Pink Bourbon Panela Sticky"/>
    <n v="95"/>
    <s v="Light"/>
    <n v="65"/>
    <n v="89"/>
    <n v="17"/>
    <s v="USA"/>
    <s v="Colombia"/>
    <s v="America"/>
    <x v="0"/>
  </r>
  <r>
    <s v="Kenya Gatirima AA"/>
    <n v="94"/>
    <s v="Light"/>
    <n v="66"/>
    <n v="88"/>
    <n v="6.76"/>
    <s v="USA"/>
    <s v="Kenya"/>
    <s v="Africa"/>
    <x v="0"/>
  </r>
  <r>
    <s v="Kenya Washed Kirinyaga Getuya AA Top"/>
    <n v="96"/>
    <s v="Light"/>
    <n v="62"/>
    <n v="80"/>
    <n v="158.72999999999999"/>
    <s v="Taiwan"/>
    <s v="Kenya"/>
    <s v="Africa"/>
    <x v="1"/>
  </r>
  <r>
    <s v="Ethiopia Natural Sidama Espresso"/>
    <n v="95"/>
    <s v="Light"/>
    <n v="66"/>
    <n v="86"/>
    <n v="97"/>
    <s v="Taiwan"/>
    <s v="Ethiopia"/>
    <s v="Africa"/>
    <x v="1"/>
  </r>
  <r>
    <s v="True Love Espresso Blend"/>
    <n v="94"/>
    <s v="Medium Light"/>
    <n v="57"/>
    <n v="77"/>
    <n v="114.64"/>
    <s v="Taiwan"/>
    <s v="Guatemala"/>
    <s v="America"/>
    <x v="1"/>
  </r>
  <r>
    <s v="Guatemala Honey Finca El General Gesha"/>
    <n v="94"/>
    <s v="Light"/>
    <n v="62"/>
    <n v="80"/>
    <n v="264.55"/>
    <s v="Taiwan"/>
    <s v="Guatemala"/>
    <s v="America"/>
    <x v="1"/>
  </r>
  <r>
    <s v="Ethiopia Natural Sidama Bacha 74110"/>
    <n v="95"/>
    <s v="Light"/>
    <n v="66"/>
    <n v="88"/>
    <n v="143.30000000000001"/>
    <s v="Taiwan"/>
    <s v="Ethiopia"/>
    <s v="Africa"/>
    <x v="1"/>
  </r>
  <r>
    <s v="Ethiopia Yirgacheffe Adame G1 Washed 95"/>
    <n v="95"/>
    <s v="Light"/>
    <n v="67"/>
    <n v="92"/>
    <n v="140.65"/>
    <s v="Taiwan"/>
    <s v="Ethiopia"/>
    <s v="Africa"/>
    <x v="1"/>
  </r>
  <r>
    <s v="Colombia Linarco Rodriguez Ospina Pink Bourbon Washed 94"/>
    <n v="94"/>
    <s v="Light"/>
    <n v="62"/>
    <n v="81"/>
    <n v="268.52"/>
    <s v="Taiwan"/>
    <s v="Colombia"/>
    <s v="America"/>
    <x v="1"/>
  </r>
  <r>
    <s v="Ethiopia Guji Uraga Haro Adama Washed G1"/>
    <n v="94"/>
    <s v="Light"/>
    <n v="67"/>
    <n v="90"/>
    <n v="123.02"/>
    <s v="Taiwan"/>
    <s v="Ethiopia"/>
    <s v="Africa"/>
    <x v="1"/>
  </r>
  <r>
    <s v="Colombia Edwin Enrique NoreГ±a / Black Honey Watermelon &amp; Lulo Co-Ferment"/>
    <n v="94"/>
    <s v="Light"/>
    <n v="64"/>
    <n v="88"/>
    <n v="1.18"/>
    <s v="USA"/>
    <s v="Colombia"/>
    <s v="America"/>
    <x v="0"/>
  </r>
  <r>
    <s v="Colombia Edwin Enrique NoreГ±a / Black Honey Pink Bourbon Mosto &amp; Passionfruit Co-Ferment"/>
    <n v="94"/>
    <s v="Light"/>
    <n v="65"/>
    <n v="86"/>
    <n v="1.18"/>
    <s v="USA"/>
    <s v="Colombia"/>
    <s v="America"/>
    <x v="0"/>
  </r>
  <r>
    <s v="Colombia Edwin Enrique NoreГ±a Pink Bourbon"/>
    <n v="95"/>
    <s v="Light"/>
    <n v="62"/>
    <n v="80"/>
    <n v="14.81"/>
    <s v="USA"/>
    <s v="Colombia"/>
    <s v="America"/>
    <x v="0"/>
  </r>
  <r>
    <s v="Rwanda Humure Abishyizehamwe Low-Oxygen Natural"/>
    <n v="94"/>
    <s v="Light"/>
    <n v="62"/>
    <n v="84"/>
    <n v="8.16"/>
    <s v="USA"/>
    <s v="Rwanda"/>
    <s v="Africa"/>
    <x v="0"/>
  </r>
  <r>
    <s v="Candy Crush"/>
    <n v="94"/>
    <s v="Light"/>
    <n v="64"/>
    <n v="86"/>
    <n v="153.85"/>
    <s v="Taiwan"/>
    <s v="Ethiopia"/>
    <s v="Africa"/>
    <x v="1"/>
  </r>
  <r>
    <s v="Panama Clara Finca Auromar"/>
    <n v="94"/>
    <s v="Medium Light"/>
    <n v="60"/>
    <n v="79"/>
    <n v="136.68"/>
    <s v="Taiwan"/>
    <s v="Panama"/>
    <s v="America"/>
    <x v="1"/>
  </r>
  <r>
    <s v="Kona Geisha Peaberry Yeast Fermentation Washed"/>
    <n v="95"/>
    <s v="Light"/>
    <n v="59"/>
    <n v="84"/>
    <n v="70.55"/>
    <s v="USA"/>
    <s v="USA"/>
    <s v="America"/>
    <x v="0"/>
  </r>
  <r>
    <s v="Colombia Finca La Secreta Lychee Caturra Anaerobic"/>
    <n v="94"/>
    <s v="Light"/>
    <n v="62"/>
    <n v="84"/>
    <n v="8.82"/>
    <s v="USA"/>
    <s v="Colombia"/>
    <s v="America"/>
    <x v="0"/>
  </r>
  <r>
    <s v="Colombia Lychee Co-Ferment"/>
    <n v="94"/>
    <s v="Medium Light"/>
    <n v="59"/>
    <n v="81"/>
    <n v="9.92"/>
    <s v="USA"/>
    <s v="Colombia"/>
    <s v="America"/>
    <x v="0"/>
  </r>
  <r>
    <s v="Reserve Costa Rica Don Noel SL28"/>
    <n v="94"/>
    <s v="Light"/>
    <n v="60"/>
    <n v="82"/>
    <n v="8.23"/>
    <s v="USA"/>
    <s v="Costa Rica"/>
    <s v="America"/>
    <x v="0"/>
  </r>
  <r>
    <s v="Ethiopia Rumadamo Anaerobic Washed"/>
    <n v="96"/>
    <s v="Light"/>
    <n v="66"/>
    <n v="91"/>
    <n v="16.170000000000002"/>
    <s v="USA"/>
    <s v="Ethiopia"/>
    <s v="Africa"/>
    <x v="0"/>
  </r>
  <r>
    <s v="Ethiopia Djimma Limu Gummay Baby Geisha G1 Washed"/>
    <n v="96"/>
    <s v="Light"/>
    <n v="67"/>
    <n v="90"/>
    <n v="300"/>
    <s v="Taiwan"/>
    <s v="Ethiopia"/>
    <s v="Africa"/>
    <x v="1"/>
  </r>
  <r>
    <s v="La Papaya Pacamara Natural Ecuador"/>
    <n v="94"/>
    <s v="Light"/>
    <n v="60"/>
    <n v="84"/>
    <n v="9.6999999999999993"/>
    <s v="USA"/>
    <s v="Ecuador"/>
    <s v="America"/>
    <x v="0"/>
  </r>
  <r>
    <s v="Palo de Rosa Pink Bourbon Colombia"/>
    <n v="94"/>
    <s v="Medium Light"/>
    <n v="61"/>
    <n v="79"/>
    <n v="9.6999999999999993"/>
    <s v="USA"/>
    <s v="Colombia"/>
    <s v="America"/>
    <x v="0"/>
  </r>
  <r>
    <s v="Java Argopuro Mountain Natural SOE"/>
    <n v="94"/>
    <s v="Medium Light"/>
    <n v="56"/>
    <n v="79"/>
    <n v="7.94"/>
    <s v="USA"/>
    <s v="Indonesia"/>
    <s v="Asia-Pacific"/>
    <x v="0"/>
  </r>
  <r>
    <s v="Rwanda Rambagirakawa"/>
    <n v="94"/>
    <s v="Medium Light"/>
    <n v="59"/>
    <n v="77"/>
    <n v="7.64"/>
    <s v="USA"/>
    <s v="Rwanda"/>
    <s v="Africa"/>
    <x v="0"/>
  </r>
  <r>
    <s v="Colombia Rigoberto Herrera Granja La Esperanza Hybrid Washed Gesha"/>
    <n v="95"/>
    <s v="Light"/>
    <n v="66"/>
    <n v="90"/>
    <n v="24"/>
    <s v="USA"/>
    <s v="Colombia"/>
    <s v="America"/>
    <x v="0"/>
  </r>
  <r>
    <s v="Colombia El Diviso"/>
    <n v="94"/>
    <s v="Light"/>
    <n v="75"/>
    <n v="90"/>
    <n v="396.83"/>
    <s v="Taiwan"/>
    <s v="Colombia"/>
    <s v="America"/>
    <x v="1"/>
  </r>
  <r>
    <s v="Colombia Limited Release 2024"/>
    <n v="94"/>
    <s v="Light"/>
    <n v="66"/>
    <n v="83"/>
    <n v="10.58"/>
    <s v="USA"/>
    <s v="Colombia"/>
    <s v="America"/>
    <x v="0"/>
  </r>
  <r>
    <s v="Colombia Wilton Benitez Orange Bourbon"/>
    <n v="94"/>
    <s v="Light"/>
    <n v="62"/>
    <n v="84"/>
    <n v="22.49"/>
    <s v="USA"/>
    <s v="Colombia"/>
    <s v="America"/>
    <x v="0"/>
  </r>
  <r>
    <s v="Colombia El Vergel #1"/>
    <n v="95"/>
    <s v="Light"/>
    <n v="62"/>
    <n v="80"/>
    <n v="4.41"/>
    <s v="USA"/>
    <s v="Colombia"/>
    <s v="America"/>
    <x v="0"/>
  </r>
  <r>
    <s v="Colombia Luna Azul"/>
    <n v="94"/>
    <s v="Light"/>
    <n v="66"/>
    <n v="88"/>
    <n v="7.35"/>
    <s v="USA"/>
    <s v="Colombia"/>
    <s v="America"/>
    <x v="0"/>
  </r>
  <r>
    <s v="Colombia Cauca Castillo K-01"/>
    <n v="94"/>
    <s v="Medium Light"/>
    <n v="59"/>
    <n v="82"/>
    <n v="15.87"/>
    <s v="USA"/>
    <s v="Colombia"/>
    <s v="America"/>
    <x v="0"/>
  </r>
  <r>
    <s v="Ethiopia Sidama G4 Wamena Natural Espresso"/>
    <n v="94"/>
    <s v="Medium Light"/>
    <n v="59"/>
    <n v="81"/>
    <n v="127.75"/>
    <s v="Taiwan"/>
    <s v="Ethiopia"/>
    <s v="Africa"/>
    <x v="1"/>
  </r>
  <r>
    <s v="Colombia El Paraiso Lychee Rose"/>
    <n v="94"/>
    <s v="Light"/>
    <n v="65"/>
    <n v="87"/>
    <n v="500"/>
    <s v="Taiwan"/>
    <s v="Colombia"/>
    <s v="America"/>
    <x v="1"/>
  </r>
  <r>
    <s v="Colombia Cauca Finca EI Paraiso 92 Pink Bourbon"/>
    <n v="95"/>
    <s v="Light"/>
    <n v="66"/>
    <n v="92"/>
    <n v="300"/>
    <s v="Taiwan"/>
    <s v="Colombia"/>
    <s v="America"/>
    <x v="1"/>
  </r>
  <r>
    <s v="Kona Geisha Washed"/>
    <n v="96"/>
    <s v="Light"/>
    <n v="64"/>
    <n v="86"/>
    <n v="88.18"/>
    <s v="USA"/>
    <s v="USA"/>
    <s v="America"/>
    <x v="0"/>
  </r>
  <r>
    <s v="Karen J Kona Red Bourbon Anaerobic"/>
    <n v="95"/>
    <s v="Medium Light"/>
    <n v="58"/>
    <n v="82"/>
    <n v="24.23"/>
    <s v="USA"/>
    <s v="USA"/>
    <s v="America"/>
    <x v="0"/>
  </r>
  <r>
    <s v="Ethiopia Kayon Mountain"/>
    <n v="95"/>
    <s v="Light"/>
    <n v="65"/>
    <n v="86"/>
    <n v="7.05"/>
    <s v="USA"/>
    <s v="Ethiopia"/>
    <s v="Africa"/>
    <x v="0"/>
  </r>
  <r>
    <s v="Ethiopia Yirgacheffe Chelchele Washed G1"/>
    <n v="94"/>
    <s v="Light"/>
    <n v="62"/>
    <n v="86"/>
    <n v="145.06"/>
    <s v="Taiwan"/>
    <s v="Ethiopia"/>
    <s v="Africa"/>
    <x v="1"/>
  </r>
  <r>
    <s v="Kenya Nyeri Hill"/>
    <n v="94"/>
    <s v="Light"/>
    <n v="62"/>
    <n v="80"/>
    <n v="6.47"/>
    <s v="USA"/>
    <s v="Kenya"/>
    <s v="Africa"/>
    <x v="0"/>
  </r>
  <r>
    <s v="Colombia Wilder Lasso Geisha Lot 2 Anaerobic Washed"/>
    <n v="95"/>
    <s v="Light"/>
    <n v="66"/>
    <n v="103"/>
    <n v="26.67"/>
    <s v="USA"/>
    <s v="Colombia"/>
    <s v="America"/>
    <x v="0"/>
  </r>
  <r>
    <s v="Dragon Strong Espresso"/>
    <n v="94"/>
    <s v="Medium"/>
    <n v="45"/>
    <n v="62"/>
    <n v="286.33999999999997"/>
    <s v="Taiwan"/>
    <s v="Costa Rica"/>
    <s v="America"/>
    <x v="1"/>
  </r>
  <r>
    <s v="Ethiopia Sidama Bombe Tadisa"/>
    <n v="94"/>
    <s v="Light"/>
    <n v="68"/>
    <n v="90"/>
    <n v="195"/>
    <s v="Taiwan"/>
    <s v="Ethiopia"/>
    <s v="Africa"/>
    <x v="1"/>
  </r>
  <r>
    <s v="Riripa Ethiopia"/>
    <n v="95"/>
    <s v="Light"/>
    <n v="60"/>
    <n v="84"/>
    <n v="5.88"/>
    <s v="USA"/>
    <s v="Ethiopia"/>
    <s v="Africa"/>
    <x v="0"/>
  </r>
  <r>
    <s v="Ethiopia Washed Guji Uraga Haro Adama"/>
    <n v="95"/>
    <s v="Light"/>
    <n v="64"/>
    <n v="86"/>
    <n v="123.46"/>
    <s v="Taiwan"/>
    <s v="Ethiopia"/>
    <s v="Africa"/>
    <x v="1"/>
  </r>
  <r>
    <s v="Ethiopia Washed Kaffa Lot Rich Espresso"/>
    <n v="94"/>
    <s v="Medium Light"/>
    <n v="58"/>
    <n v="78"/>
    <n v="88.18"/>
    <s v="Taiwan"/>
    <s v="Ethiopia"/>
    <s v="Africa"/>
    <x v="1"/>
  </r>
  <r>
    <s v="Ethiopia Washed Kaffa Lot Taco"/>
    <n v="94"/>
    <s v="Light"/>
    <n v="64"/>
    <n v="82"/>
    <n v="110.23"/>
    <s v="Taiwan"/>
    <s v="Ethiopia"/>
    <s v="Africa"/>
    <x v="1"/>
  </r>
  <r>
    <s v="Ethiopia Natural Sidama Karamo Niguse Gemeda 74158"/>
    <n v="94"/>
    <s v="Light"/>
    <n v="62"/>
    <n v="84"/>
    <n v="136.68"/>
    <s v="Taiwan"/>
    <s v="Ethiopia"/>
    <s v="Africa"/>
    <x v="1"/>
  </r>
  <r>
    <s v="Rainy Season in Fort Zeelandia Espresso Blend"/>
    <n v="94"/>
    <s v="Medium Light"/>
    <n v="56"/>
    <n v="74"/>
    <n v="141.09"/>
    <s v="Taiwan"/>
    <s v="Guatemala"/>
    <s v="America"/>
    <x v="1"/>
  </r>
  <r>
    <s v="Kenya Nyeri Kianjogu AA TOP Washed"/>
    <n v="94"/>
    <s v="Light"/>
    <n v="62"/>
    <n v="82"/>
    <n v="176.37"/>
    <s v="Taiwan"/>
    <s v="Kenya"/>
    <s v="Africa"/>
    <x v="1"/>
  </r>
  <r>
    <s v="Colombia La Esperanza Red Bourbon"/>
    <n v="94"/>
    <s v="Light"/>
    <n v="64"/>
    <n v="82"/>
    <n v="5.59"/>
    <s v="USA"/>
    <s v="Colombia"/>
    <s v="America"/>
    <x v="0"/>
  </r>
  <r>
    <s v="Guatemala Finca Al Bosque"/>
    <n v="94"/>
    <s v="Medium Light"/>
    <n v="60"/>
    <n v="78"/>
    <n v="5.59"/>
    <s v="USA"/>
    <s v="Guatemala"/>
    <s v="America"/>
    <x v="0"/>
  </r>
  <r>
    <s v="Marcela Gesha Espresso"/>
    <n v="95"/>
    <s v="Light"/>
    <n v="67"/>
    <n v="88"/>
    <n v="21.6"/>
    <s v="USA"/>
    <s v="Colombia"/>
    <s v="America"/>
    <x v="0"/>
  </r>
  <r>
    <s v="Colombia Paraiso 92 Double Anaerobic"/>
    <n v="95"/>
    <s v="Medium Light"/>
    <n v="52"/>
    <n v="74"/>
    <n v="215"/>
    <s v="Taiwan"/>
    <s v="Colombia"/>
    <s v="America"/>
    <x v="1"/>
  </r>
  <r>
    <s v="Colombia Sierra Morena Pink Bourbon"/>
    <n v="95"/>
    <s v="Light"/>
    <n v="60"/>
    <n v="84"/>
    <n v="7.35"/>
    <s v="USA"/>
    <s v="Colombia"/>
    <s v="America"/>
    <x v="0"/>
  </r>
  <r>
    <s v="Ethiopia Growers Reserve Gesha Village Gaylee Special Fermentation"/>
    <n v="94"/>
    <s v="Light"/>
    <n v="65"/>
    <n v="85"/>
    <n v="396.48"/>
    <s v="Taiwan"/>
    <s v="Ethiopia"/>
    <s v="Africa"/>
    <x v="1"/>
  </r>
  <r>
    <s v="Ethiopia Anaerobic Washed G1 Wild Rose S.O. Sidamo"/>
    <n v="94"/>
    <s v="Light"/>
    <n v="62"/>
    <n v="83"/>
    <n v="282.61"/>
    <s v="Taiwan"/>
    <s v="Ethiopia"/>
    <s v="Africa"/>
    <x v="1"/>
  </r>
  <r>
    <s v="Colombia Buenavista Ataraxia Geisha"/>
    <n v="94"/>
    <s v="Medium"/>
    <n v="50"/>
    <n v="65"/>
    <n v="8.82"/>
    <s v="Taiwan"/>
    <s v="Colombia"/>
    <s v="America"/>
    <x v="1"/>
  </r>
  <r>
    <s v="Kona Espresso Special Selection"/>
    <n v="94"/>
    <s v="Medium Light"/>
    <n v="58"/>
    <n v="74"/>
    <n v="30.84"/>
    <s v="USA"/>
    <s v="USA"/>
    <s v="America"/>
    <x v="0"/>
  </r>
  <r>
    <s v="El Salvador Finca Loma La Gloria Natural Process вЂњUnicorn LotвЂќ"/>
    <n v="94"/>
    <s v="Light"/>
    <n v="66"/>
    <n v="97"/>
    <n v="5.88"/>
    <s v="USA"/>
    <s v="El Salvador"/>
    <s v="America"/>
    <x v="0"/>
  </r>
  <r>
    <s v="Colombia El Diviso Nestor Lasso Sidra Anaerobic Washed"/>
    <n v="94"/>
    <s v="Medium Light"/>
    <n v="57"/>
    <n v="74"/>
    <n v="352.42"/>
    <s v="Taiwan"/>
    <s v="Colombia"/>
    <s v="America"/>
    <x v="1"/>
  </r>
  <r>
    <s v="Colombia Red Fruits Campo Hermosa Edwin NoreГ±a"/>
    <n v="94"/>
    <s v="Light"/>
    <n v="62"/>
    <n v="81"/>
    <n v="11.76"/>
    <s v="USA"/>
    <s v="Colombia"/>
    <s v="America"/>
    <x v="0"/>
  </r>
  <r>
    <s v="Juru Rwanda Rulindo Red Bourbon Honey"/>
    <n v="94"/>
    <s v="Medium"/>
    <n v="40"/>
    <n v="67"/>
    <n v="244.44"/>
    <s v="Taiwan"/>
    <s v="Rwanda"/>
    <s v="Africa"/>
    <x v="1"/>
  </r>
  <r>
    <s v="Colombia Granja Paraiso-92 Castillo"/>
    <n v="94"/>
    <s v="Light"/>
    <n v="62"/>
    <n v="84"/>
    <n v="8.82"/>
    <s v="USA"/>
    <s v="Colombia"/>
    <s v="America"/>
    <x v="0"/>
  </r>
  <r>
    <s v="Ethiopia Dame Dabaye"/>
    <n v="94"/>
    <s v="Medium"/>
    <n v="41"/>
    <n v="76"/>
    <n v="6.47"/>
    <s v="USA"/>
    <s v="Ethiopia"/>
    <s v="Africa"/>
    <x v="0"/>
  </r>
  <r>
    <s v="Colombia Red Honey Geisha Campo Hermoso"/>
    <n v="95"/>
    <s v="Light"/>
    <n v="59"/>
    <n v="86"/>
    <n v="9.41"/>
    <s v="USA"/>
    <s v="Colombia"/>
    <s v="America"/>
    <x v="0"/>
  </r>
  <r>
    <s v="Ethiopia Sidama Karamo Anaerobic Natural"/>
    <n v="94"/>
    <s v="Medium Light"/>
    <n v="54"/>
    <n v="78"/>
    <n v="8.52"/>
    <s v="USA"/>
    <s v="Ethiopia"/>
    <s v="Africa"/>
    <x v="0"/>
  </r>
  <r>
    <s v="Colombia Chiroso Caturra Washed"/>
    <n v="95"/>
    <s v="Light"/>
    <n v="65"/>
    <n v="81"/>
    <n v="12"/>
    <s v="USA"/>
    <s v="Colombia"/>
    <s v="America"/>
    <x v="0"/>
  </r>
  <r>
    <s v="Kona SL 34 Anaerobic Washed Kona Rainforest"/>
    <n v="95"/>
    <s v="Light"/>
    <n v="65"/>
    <n v="81"/>
    <n v="52.91"/>
    <s v="USA"/>
    <s v="USA"/>
    <s v="America"/>
    <x v="0"/>
  </r>
  <r>
    <s v="Colombia Yellow Geisha Granja Paraiso 92"/>
    <n v="94"/>
    <s v="Light"/>
    <n v="64"/>
    <n v="84"/>
    <n v="35.270000000000003"/>
    <s v="USA"/>
    <s v="Colombia"/>
    <s v="America"/>
    <x v="0"/>
  </r>
  <r>
    <s v="Yaye Chericho Ethiopia Espresso"/>
    <n v="95"/>
    <s v="Medium Light"/>
    <n v="60"/>
    <n v="78"/>
    <n v="9.6999999999999993"/>
    <s v="USA"/>
    <s v="Ethiopia"/>
    <s v="Africa"/>
    <x v="0"/>
  </r>
  <r>
    <s v="Colombia ChachagГјГ­ Mild Roast"/>
    <n v="94"/>
    <s v="Light"/>
    <n v="64"/>
    <n v="86"/>
    <n v="6.17"/>
    <s v="USA"/>
    <s v="Colombia"/>
    <s v="America"/>
    <x v="0"/>
  </r>
  <r>
    <s v="Colombia Thermal Shock Double Anaerobic Granja Paraiso Orange Gesha"/>
    <n v="95"/>
    <s v="Light"/>
    <n v="64"/>
    <n v="80"/>
    <n v="396.83"/>
    <s v="Taiwan"/>
    <s v="Colombia"/>
    <s v="America"/>
    <x v="1"/>
  </r>
  <r>
    <s v="Kenya Nyeri Hill Estate AA Top Espresso"/>
    <n v="94"/>
    <s v="Medium Light"/>
    <n v="60"/>
    <n v="80"/>
    <n v="127.87"/>
    <s v="Taiwan"/>
    <s v="Kenya"/>
    <s v="Africa"/>
    <x v="1"/>
  </r>
  <r>
    <s v="Colombia Granja Paraiso 92 Anaerobic Gesha"/>
    <n v="94"/>
    <s v="Light"/>
    <n v="62"/>
    <n v="84"/>
    <n v="396.83"/>
    <s v="Taiwan"/>
    <s v="Colombia"/>
    <s v="America"/>
    <x v="1"/>
  </r>
  <r>
    <s v="Putra Gayo Sumatra Espresso"/>
    <n v="95"/>
    <s v="Medium Light"/>
    <n v="59"/>
    <n v="77"/>
    <n v="6.76"/>
    <s v="USA"/>
    <s v="Indonesia"/>
    <s v="Asia-Pacific"/>
    <x v="0"/>
  </r>
  <r>
    <s v="Colombia Paraiso 92 Geisha Double Anaerobic"/>
    <n v="95"/>
    <s v="Light"/>
    <n v="62"/>
    <n v="82"/>
    <n v="375"/>
    <s v="Taiwan"/>
    <s v="Colombia"/>
    <s v="America"/>
    <x v="1"/>
  </r>
  <r>
    <s v="Kenya Blackberry Honey"/>
    <n v="94"/>
    <s v="Light"/>
    <n v="62"/>
    <n v="80"/>
    <n v="175"/>
    <s v="Taiwan"/>
    <s v="Kenya"/>
    <s v="Africa"/>
    <x v="1"/>
  </r>
  <r>
    <s v="Putra Gayo Sumatra"/>
    <n v="94"/>
    <s v="Medium Light"/>
    <n v="59"/>
    <n v="77"/>
    <n v="6.76"/>
    <s v="USA"/>
    <s v="Indonesia"/>
    <s v="Asia-Pacific"/>
    <x v="0"/>
  </r>
  <r>
    <s v="Ethiopia Sidamo HeidenrГ¶slein Anaerobic Washed G1"/>
    <n v="94"/>
    <s v="Light"/>
    <n v="67"/>
    <n v="86"/>
    <n v="154.19"/>
    <s v="Taiwan"/>
    <s v="Ethiopia"/>
    <s v="Africa"/>
    <x v="1"/>
  </r>
  <r>
    <s v="Kenya Gachika"/>
    <n v="94"/>
    <s v="Light"/>
    <n v="62"/>
    <n v="80"/>
    <n v="6.17"/>
    <s v="USA"/>
    <s v="Kenya"/>
    <s v="Africa"/>
    <x v="0"/>
  </r>
  <r>
    <s v="Ethiopia Agaro Duromina"/>
    <n v="94"/>
    <s v="Medium Light"/>
    <n v="58"/>
    <n v="77"/>
    <n v="7.64"/>
    <s v="USA"/>
    <s v="Ethiopia"/>
    <s v="Africa"/>
    <x v="0"/>
  </r>
  <r>
    <s v="Hey Much Espresso Blend"/>
    <n v="94"/>
    <s v="Medium Light"/>
    <n v="56"/>
    <n v="80"/>
    <n v="99.21"/>
    <s v="Taiwan"/>
    <s v="Colombia"/>
    <s v="America"/>
    <x v="1"/>
  </r>
  <r>
    <s v="Ethiopia Black Honey Guji Wate Lot Tabby"/>
    <n v="94"/>
    <s v="Light"/>
    <n v="63"/>
    <n v="81"/>
    <n v="149.91"/>
    <s v="Taiwan"/>
    <s v="Ethiopia"/>
    <s v="Africa"/>
    <x v="1"/>
  </r>
  <r>
    <s v="Finca Vista Hermosa EdwinвЂ™s Reserve Guatemala"/>
    <n v="94"/>
    <s v="Light"/>
    <n v="63"/>
    <n v="81"/>
    <n v="6.27"/>
    <s v="USA"/>
    <s v="Guatemala"/>
    <s v="America"/>
    <x v="0"/>
  </r>
  <r>
    <s v="Costa Rica Las Lajas Perla Negra"/>
    <n v="95"/>
    <s v="Medium Light"/>
    <n v="58"/>
    <n v="80"/>
    <n v="5.57"/>
    <s v="USA"/>
    <s v="Costa Rica"/>
    <s v="America"/>
    <x v="0"/>
  </r>
  <r>
    <s v="Kenya AA Top Gicherori Espresso"/>
    <n v="95"/>
    <s v="Medium"/>
    <n v="44"/>
    <n v="62"/>
    <n v="275"/>
    <s v="Taiwan"/>
    <s v="Kenya"/>
    <s v="Africa"/>
    <x v="1"/>
  </r>
  <r>
    <s v="Kagunyu Kenya"/>
    <n v="94"/>
    <s v="Medium Light"/>
    <n v="60"/>
    <n v="78"/>
    <n v="6.47"/>
    <s v="USA"/>
    <s v="Kenya"/>
    <s v="Africa"/>
    <x v="0"/>
  </r>
  <r>
    <s v="Colombia Finca Milan Washed Nitro Caturra"/>
    <n v="95"/>
    <s v="Light"/>
    <n v="64"/>
    <n v="84"/>
    <n v="9.41"/>
    <s v="USA"/>
    <s v="Colombia"/>
    <s v="America"/>
    <x v="0"/>
  </r>
  <r>
    <s v="Ethiopia JemJem"/>
    <n v="94"/>
    <s v="Light"/>
    <n v="62"/>
    <n v="80"/>
    <n v="7.05"/>
    <s v="USA"/>
    <s v="Ethiopia"/>
    <s v="Africa"/>
    <x v="0"/>
  </r>
  <r>
    <s v="Guatemala La Esperanza Anaerobic"/>
    <n v="94"/>
    <s v="Light"/>
    <n v="64"/>
    <n v="86"/>
    <n v="7.05"/>
    <s v="USA"/>
    <s v="Guatemala"/>
    <s v="America"/>
    <x v="0"/>
  </r>
  <r>
    <s v="Sumatra Pantan Musara"/>
    <n v="94"/>
    <s v="Medium Light"/>
    <n v="60"/>
    <n v="78"/>
    <n v="6.47"/>
    <s v="USA"/>
    <s v="Indonesia"/>
    <s v="Asia-Pacific"/>
    <x v="0"/>
  </r>
  <r>
    <s v="Costa Rica Candelilla Gesha"/>
    <n v="94"/>
    <s v="Light"/>
    <n v="64"/>
    <n v="84"/>
    <n v="10.29"/>
    <s v="USA"/>
    <s v="Costa Rica"/>
    <s v="America"/>
    <x v="0"/>
  </r>
  <r>
    <s v="Kona Red Bourbon Anaerobic Washed Kona Rainforest"/>
    <n v="95"/>
    <s v="Light"/>
    <n v="60"/>
    <n v="82"/>
    <n v="52.91"/>
    <s v="USA"/>
    <s v="USA"/>
    <s v="America"/>
    <x v="0"/>
  </r>
  <r>
    <s v="Colombia Geisha Claudia Samboni"/>
    <n v="95"/>
    <s v="Medium Light"/>
    <n v="61"/>
    <n v="80"/>
    <n v="8.82"/>
    <s v="USA"/>
    <s v="Colombia"/>
    <s v="America"/>
    <x v="0"/>
  </r>
  <r>
    <s v="Ethiopia Ethiopia Limu Baby Geisha Natural"/>
    <n v="94"/>
    <s v="Medium Light"/>
    <n v="56"/>
    <n v="84"/>
    <n v="190"/>
    <s v="Taiwan"/>
    <s v="Ethiopia"/>
    <s v="Africa"/>
    <x v="1"/>
  </r>
  <r>
    <s v="Panama Hacienda La Esmeralda Ethiopian Accessions"/>
    <n v="94"/>
    <s v="Light"/>
    <n v="65"/>
    <n v="84"/>
    <n v="35.270000000000003"/>
    <s v="USA"/>
    <s v="Panama"/>
    <s v="America"/>
    <x v="0"/>
  </r>
  <r>
    <s v="Yellow"/>
    <n v="94"/>
    <s v="Light"/>
    <n v="74"/>
    <n v="100"/>
    <n v="6.32"/>
    <s v="USA"/>
    <s v="Ethiopia"/>
    <s v="Africa"/>
    <x v="0"/>
  </r>
  <r>
    <s v="Kona Noir"/>
    <n v="95"/>
    <s v="Light"/>
    <n v="62"/>
    <n v="84"/>
    <n v="20.81"/>
    <s v="USA"/>
    <s v="USA"/>
    <s v="America"/>
    <x v="0"/>
  </r>
  <r>
    <s v="LauraвЂ™s Reserve SL34"/>
    <n v="97"/>
    <s v="Light"/>
    <n v="62"/>
    <n v="80"/>
    <n v="30.84"/>
    <s v="USA"/>
    <s v="Unknown"/>
    <s v="NULL"/>
    <x v="0"/>
  </r>
  <r>
    <s v="Panama Mokkita Natural Mama Cata Estate"/>
    <n v="96"/>
    <s v="Light"/>
    <n v="64"/>
    <n v="82"/>
    <n v="220.46"/>
    <s v="USA"/>
    <s v="Panama"/>
    <s v="America"/>
    <x v="0"/>
  </r>
  <r>
    <s v="KaвЂЕ« Cloud Maragogipe"/>
    <n v="95"/>
    <s v="Medium Light"/>
    <n v="58"/>
    <n v="76"/>
    <n v="25.57"/>
    <s v="USA"/>
    <s v="USA"/>
    <s v="America"/>
    <x v="0"/>
  </r>
  <r>
    <s v="Geisha Champagne"/>
    <n v="94"/>
    <s v="Medium Light"/>
    <n v="58"/>
    <n v="77"/>
    <n v="72.31"/>
    <s v="USA"/>
    <s v="Unknown"/>
    <s v="NULL"/>
    <x v="0"/>
  </r>
  <r>
    <s v="JN Farms Double Anaerobic Red Bourbon"/>
    <n v="94"/>
    <s v="Light"/>
    <n v="64"/>
    <n v="82"/>
    <n v="14.11"/>
    <s v="USA"/>
    <s v="Unknown"/>
    <s v="NULL"/>
    <x v="0"/>
  </r>
  <r>
    <s v="KaвЂЕ« Classic Peaberry"/>
    <n v="94"/>
    <s v="Medium Light"/>
    <n v="58"/>
    <n v="74"/>
    <n v="15.12"/>
    <s v="USA"/>
    <s v="USA"/>
    <s v="America"/>
    <x v="0"/>
  </r>
  <r>
    <s v="100% Kona Typica"/>
    <n v="94"/>
    <s v="Medium Light"/>
    <n v="58"/>
    <n v="80"/>
    <n v="14.08"/>
    <s v="USA"/>
    <s v="USA"/>
    <s v="America"/>
    <x v="0"/>
  </r>
  <r>
    <s v="Colombia 510 Elegante Natural Geisha"/>
    <n v="95"/>
    <s v="Light"/>
    <n v="62"/>
    <n v="82"/>
    <n v="8.82"/>
    <s v="USA"/>
    <s v="Colombia"/>
    <s v="America"/>
    <x v="0"/>
  </r>
  <r>
    <s v="Colombia Turron"/>
    <n v="94"/>
    <s v="Medium Light"/>
    <n v="58"/>
    <n v="78"/>
    <n v="8.82"/>
    <s v="USA"/>
    <s v="Colombia"/>
    <s v="America"/>
    <x v="0"/>
  </r>
  <r>
    <s v="Black Geisha Blend Lab 18 Espresso"/>
    <n v="94"/>
    <s v="Medium"/>
    <n v="43"/>
    <n v="61"/>
    <n v="17.64"/>
    <s v="Taiwan"/>
    <s v="Ethiopia"/>
    <s v="Africa"/>
    <x v="1"/>
  </r>
  <r>
    <s v="Ethiopia Layo Teraga"/>
    <n v="95"/>
    <s v="Light"/>
    <n v="62"/>
    <n v="80"/>
    <n v="6.76"/>
    <s v="USA"/>
    <s v="Ethiopia"/>
    <s v="Africa"/>
    <x v="0"/>
  </r>
  <r>
    <s v="Ethiopia Reko Yirgacheffe"/>
    <n v="94"/>
    <s v="Medium Light"/>
    <n v="58"/>
    <n v="76"/>
    <n v="7.2"/>
    <s v="USA"/>
    <s v="Ethiopia"/>
    <s v="Africa"/>
    <x v="0"/>
  </r>
  <r>
    <s v="Colombia Huila El Diviso Nestor Lasso Geisha Washed"/>
    <n v="95"/>
    <s v="Light"/>
    <n v="66"/>
    <n v="84"/>
    <n v="343.61"/>
    <s v="Taiwan"/>
    <s v="Colombia"/>
    <s v="America"/>
    <x v="1"/>
  </r>
  <r>
    <s v="Ethiopia Bensa Bombe"/>
    <n v="94"/>
    <s v="Light"/>
    <n v="64"/>
    <n v="86"/>
    <n v="88.18"/>
    <s v="Taiwan"/>
    <s v="Ethiopia"/>
    <s v="Africa"/>
    <x v="1"/>
  </r>
  <r>
    <s v="Colombia  NariГ±o Villa Maria La Chorrera Geisha Washed"/>
    <n v="94"/>
    <s v="Medium Light"/>
    <n v="60"/>
    <n v="76"/>
    <n v="312.77999999999997"/>
    <s v="Taiwan"/>
    <s v="Colombia"/>
    <s v="America"/>
    <x v="1"/>
  </r>
  <r>
    <s v="Kenya Kirinyaga County Gikirima Factory TOP PB"/>
    <n v="94"/>
    <s v="Medium Light"/>
    <n v="60"/>
    <n v="78"/>
    <n v="105.73"/>
    <s v="Taiwan"/>
    <s v="Kenya"/>
    <s v="Africa"/>
    <x v="1"/>
  </r>
  <r>
    <s v="Colombia Huila Finca Buena Vista Geisha Washed"/>
    <n v="94"/>
    <s v="Medium Light"/>
    <n v="60"/>
    <n v="80"/>
    <n v="286.33999999999997"/>
    <s v="Taiwan"/>
    <s v="Colombia"/>
    <s v="America"/>
    <x v="1"/>
  </r>
  <r>
    <s v="Wilton Benitez Geisha"/>
    <n v="96"/>
    <s v="Light"/>
    <n v="62"/>
    <n v="80"/>
    <n v="11.9"/>
    <s v="USA"/>
    <s v="Colombia"/>
    <s v="America"/>
    <x v="0"/>
  </r>
  <r>
    <s v="Ethiopia Natural Guji Blue Donkey 23/02"/>
    <n v="95"/>
    <s v="Medium Light"/>
    <n v="62"/>
    <n v="78"/>
    <n v="143.30000000000001"/>
    <s v="Taiwan"/>
    <s v="Ethiopia"/>
    <s v="Africa"/>
    <x v="1"/>
  </r>
  <r>
    <s v="Ethiopia Natural Sidama Arbegona Bochessa"/>
    <n v="95"/>
    <s v="Light"/>
    <n v="64"/>
    <n v="86"/>
    <n v="143.30000000000001"/>
    <s v="Taiwan"/>
    <s v="Ethiopia"/>
    <s v="Africa"/>
    <x v="1"/>
  </r>
  <r>
    <s v="Peru Natural Villa Rica Espresso"/>
    <n v="94"/>
    <s v="Medium Light"/>
    <n v="58"/>
    <n v="78"/>
    <n v="110.23"/>
    <s v="Taiwan"/>
    <s v="Peru"/>
    <s v="America"/>
    <x v="1"/>
  </r>
  <r>
    <s v="Costa Rica TIM Washed Don Eli Catuai"/>
    <n v="94"/>
    <s v="Medium Light"/>
    <n v="58"/>
    <n v="74"/>
    <n v="238.1"/>
    <s v="Taiwan"/>
    <s v="Costa Rica"/>
    <s v="America"/>
    <x v="1"/>
  </r>
  <r>
    <s v="Ethiopia Natural Sidama Twakok Pearl Selection"/>
    <n v="94"/>
    <s v="Light"/>
    <n v="62"/>
    <n v="80"/>
    <n v="132.28"/>
    <s v="Taiwan"/>
    <s v="Ethiopia"/>
    <s v="Africa"/>
    <x v="1"/>
  </r>
  <r>
    <s v="Kenya Washed Uklili AA"/>
    <n v="94"/>
    <s v="Light"/>
    <n v="64"/>
    <n v="86"/>
    <n v="143.30000000000001"/>
    <s v="Taiwan"/>
    <s v="Kenya"/>
    <s v="Africa"/>
    <x v="1"/>
  </r>
  <r>
    <s v="Peach-C Blend"/>
    <n v="94"/>
    <s v="Light"/>
    <n v="62"/>
    <n v="84"/>
    <n v="161.38"/>
    <s v="Taiwan"/>
    <s v="Colombia"/>
    <s v="America"/>
    <x v="1"/>
  </r>
  <r>
    <s v="Colombia Jaime Lopez"/>
    <n v="94"/>
    <s v="Light"/>
    <n v="62"/>
    <n v="82"/>
    <n v="11.76"/>
    <s v="USA"/>
    <s v="Colombia"/>
    <s v="America"/>
    <x v="0"/>
  </r>
  <r>
    <s v="Cordillera de Fuego Costa Rica"/>
    <n v="94"/>
    <s v="Medium Light"/>
    <n v="59"/>
    <n v="77"/>
    <n v="7.94"/>
    <s v="USA"/>
    <s v="Costa Rica"/>
    <s v="America"/>
    <x v="0"/>
  </r>
  <r>
    <s v="Nyeri Hill Kenya"/>
    <n v="94"/>
    <s v="Medium Light"/>
    <n v="56"/>
    <n v="74"/>
    <n v="6.47"/>
    <s v="USA"/>
    <s v="Kenya"/>
    <s v="Africa"/>
    <x v="0"/>
  </r>
  <r>
    <s v="Ethiopia Guji 74110 Natural"/>
    <n v="94"/>
    <s v="Light"/>
    <n v="64"/>
    <n v="86"/>
    <n v="242.29"/>
    <s v="Taiwan"/>
    <s v="Ethiopia"/>
    <s v="Africa"/>
    <x v="1"/>
  </r>
  <r>
    <s v="Good Tidings Sweet Holiday Blend"/>
    <n v="94"/>
    <s v="Medium Light"/>
    <n v="60"/>
    <n v="78"/>
    <n v="6.47"/>
    <s v="USA"/>
    <s v="Ethiopia"/>
    <s v="Africa"/>
    <x v="0"/>
  </r>
  <r>
    <s v="Kona Mokka Champagne Natural"/>
    <n v="95"/>
    <s v="Light"/>
    <n v="64"/>
    <n v="86"/>
    <n v="88.18"/>
    <s v="USA"/>
    <s v="USA"/>
    <s v="America"/>
    <x v="0"/>
  </r>
  <r>
    <s v="Ethiopia Banko Gotiti"/>
    <n v="94"/>
    <s v="Light"/>
    <n v="64"/>
    <n v="82"/>
    <n v="200"/>
    <s v="Taiwan"/>
    <s v="Ethiopia"/>
    <s v="Africa"/>
    <x v="1"/>
  </r>
  <r>
    <s v="O-Li-A Geisha Blend"/>
    <n v="94"/>
    <s v="Light"/>
    <n v="64"/>
    <n v="86"/>
    <n v="427.31"/>
    <s v="Taiwan"/>
    <s v="Ethiopia"/>
    <s v="Africa"/>
    <x v="1"/>
  </r>
  <r>
    <s v="Colombia Huila El Triunfo Pink Bourbon Anaerobic Washed"/>
    <n v="94"/>
    <s v="Medium Light"/>
    <n v="52"/>
    <n v="78"/>
    <n v="237.65"/>
    <s v="Taiwan"/>
    <s v="Colombia"/>
    <s v="America"/>
    <x v="1"/>
  </r>
  <r>
    <s v="Costa Rica VolcГЎn Azul Gesha Anaerobic Natural"/>
    <n v="94"/>
    <s v="Light"/>
    <n v="64"/>
    <n v="80"/>
    <n v="26.01"/>
    <s v="USA"/>
    <s v="Costa Rica"/>
    <s v="America"/>
    <x v="0"/>
  </r>
  <r>
    <s v="Chang-E The Moon Goddess Espresso"/>
    <n v="94"/>
    <s v="Medium"/>
    <n v="46"/>
    <n v="70"/>
    <n v="286.60000000000002"/>
    <s v="Taiwan"/>
    <s v="Ethiopia"/>
    <s v="Africa"/>
    <x v="1"/>
  </r>
  <r>
    <s v="GW03 Princesa Carmen Geisha"/>
    <n v="98"/>
    <s v="Medium Light"/>
    <n v="58"/>
    <n v="74"/>
    <n v="10"/>
    <s v="Taiwan"/>
    <s v="Panama"/>
    <s v="America"/>
    <x v="1"/>
  </r>
  <r>
    <s v="El Salvador Finca Loma La Gloria Yellow Honey"/>
    <n v="94"/>
    <s v="Medium Light"/>
    <n v="58"/>
    <n v="78"/>
    <n v="5.88"/>
    <s v="USA"/>
    <s v="El Salvador"/>
    <s v="America"/>
    <x v="0"/>
  </r>
  <r>
    <s v="Costa Rica La Laguna Lot вЂ” Reserve Series"/>
    <n v="94"/>
    <s v="Medium Light"/>
    <n v="60"/>
    <n v="78"/>
    <n v="6.76"/>
    <s v="USA"/>
    <s v="Costa Rica"/>
    <s v="America"/>
    <x v="0"/>
  </r>
  <r>
    <s v="Rwanda Silverback Plus Espresso"/>
    <n v="95"/>
    <s v="Light"/>
    <n v="48"/>
    <n v="689"/>
    <n v="352.73"/>
    <s v="Taiwan"/>
    <s v="Rwanda"/>
    <s v="Africa"/>
    <x v="1"/>
  </r>
  <r>
    <s v="Colombia El Paraiso Geisha Luna Washed"/>
    <n v="95"/>
    <s v="Light"/>
    <n v="70"/>
    <n v="85"/>
    <n v="27"/>
    <s v="Japan"/>
    <s v="Colombia"/>
    <s v="America"/>
    <x v="1"/>
  </r>
  <r>
    <s v="Costa Rica VolcГЎn Azul Gesha Anaerobic Natural"/>
    <n v="95"/>
    <s v="Light"/>
    <n v="66"/>
    <n v="82"/>
    <n v="11.46"/>
    <s v="USA"/>
    <s v="Costa Rica"/>
    <s v="America"/>
    <x v="0"/>
  </r>
  <r>
    <s v="Kona PointuВ®"/>
    <n v="97"/>
    <s v="Medium Light"/>
    <n v="52"/>
    <n v="72"/>
    <n v="30.84"/>
    <s v="USA"/>
    <s v="USA"/>
    <s v="America"/>
    <x v="0"/>
  </r>
  <r>
    <s v="Colombia Calderon Honey"/>
    <n v="96"/>
    <s v="Medium Light"/>
    <n v="60"/>
    <n v="78"/>
    <n v="9.48"/>
    <s v="USA"/>
    <s v="Colombia"/>
    <s v="America"/>
    <x v="0"/>
  </r>
  <r>
    <s v="Karen J Kona Red Bourbon"/>
    <n v="95"/>
    <s v="Medium Light"/>
    <n v="58"/>
    <n v="78"/>
    <n v="24.23"/>
    <s v="USA"/>
    <s v="USA"/>
    <s v="America"/>
    <x v="0"/>
  </r>
  <r>
    <s v="Wilton Benitez Colombia Sidra"/>
    <n v="96"/>
    <s v="Light"/>
    <n v="65"/>
    <n v="83"/>
    <n v="24"/>
    <s v="USA"/>
    <s v="Colombia"/>
    <s v="America"/>
    <x v="0"/>
  </r>
  <r>
    <s v="Peru Gilmer Cordova #13"/>
    <n v="95"/>
    <s v="Light"/>
    <n v="64"/>
    <n v="88"/>
    <n v="8.52"/>
    <s v="USA"/>
    <s v="Peru"/>
    <s v="America"/>
    <x v="0"/>
  </r>
  <r>
    <s v="Ethiopia Kayon Mountain"/>
    <n v="95"/>
    <s v="Light"/>
    <n v="64"/>
    <n v="84"/>
    <n v="7.05"/>
    <s v="USA"/>
    <s v="Ethiopia"/>
    <s v="Africa"/>
    <x v="0"/>
  </r>
  <r>
    <s v="Kenya Gichathaini"/>
    <n v="95"/>
    <s v="Light"/>
    <n v="62"/>
    <n v="80"/>
    <n v="7.64"/>
    <s v="USA"/>
    <s v="Kenya"/>
    <s v="Africa"/>
    <x v="0"/>
  </r>
  <r>
    <s v="Colombia Honey Sweet Rose"/>
    <n v="95"/>
    <s v="Light"/>
    <n v="62"/>
    <n v="80"/>
    <n v="229.28"/>
    <s v="Taiwan"/>
    <s v="Colombia"/>
    <s v="America"/>
    <x v="1"/>
  </r>
  <r>
    <s v="Colombia Santa Monica Castillo Honey Lulo"/>
    <n v="94"/>
    <s v="Light"/>
    <n v="74"/>
    <n v="90"/>
    <n v="14.55"/>
    <s v="USA"/>
    <s v="Colombia"/>
    <s v="America"/>
    <x v="0"/>
  </r>
  <r>
    <s v="Colombia Las Flores Red Bourbon Natural"/>
    <n v="94"/>
    <s v="Medium Light"/>
    <n v="60"/>
    <n v="78"/>
    <n v="8.8000000000000007"/>
    <s v="USA"/>
    <s v="Colombia"/>
    <s v="America"/>
    <x v="0"/>
  </r>
  <r>
    <s v="African Dance Espresso Blend"/>
    <n v="94"/>
    <s v="Medium Light"/>
    <n v="60"/>
    <n v="78"/>
    <n v="9.99"/>
    <s v="Taiwan"/>
    <s v="Guatemala"/>
    <s v="America"/>
    <x v="1"/>
  </r>
  <r>
    <s v="Sweetheart Blend Espresso"/>
    <n v="94"/>
    <s v="Medium Light"/>
    <n v="58"/>
    <n v="78"/>
    <n v="6.61"/>
    <s v="Taiwan"/>
    <s v="Guatemala"/>
    <s v="America"/>
    <x v="1"/>
  </r>
  <r>
    <s v="Kenya AA Kiri"/>
    <n v="95"/>
    <s v="Light"/>
    <n v="64"/>
    <n v="80"/>
    <n v="7.64"/>
    <s v="USA"/>
    <s v="Kenya"/>
    <s v="Africa"/>
    <x v="0"/>
  </r>
  <r>
    <s v="Guatemala Gesha"/>
    <n v="95"/>
    <s v="Medium Light"/>
    <n v="60"/>
    <n v="77"/>
    <n v="661.38"/>
    <s v="Taiwan"/>
    <s v="Guatemala"/>
    <s v="America"/>
    <x v="1"/>
  </r>
  <r>
    <s v="Gesha Village Ethiopia Gori Gesha"/>
    <n v="94"/>
    <s v="Light"/>
    <n v="62"/>
    <n v="80"/>
    <n v="198.41"/>
    <s v="Taiwan"/>
    <s v="Ethiopia"/>
    <s v="Africa"/>
    <x v="1"/>
  </r>
  <r>
    <s v="Kenya Machakos AA Top Washed"/>
    <n v="96"/>
    <s v="Light"/>
    <n v="62"/>
    <n v="82"/>
    <n v="180.34"/>
    <s v="Taiwan"/>
    <s v="Kenya"/>
    <s v="Africa"/>
    <x v="1"/>
  </r>
  <r>
    <s v="Indonesia Sumatra Raja Harimau Lintong Mandheling Espresso"/>
    <n v="95"/>
    <s v="Medium Light"/>
    <n v="58"/>
    <n v="77"/>
    <n v="114.64"/>
    <s v="Taiwan"/>
    <s v="Indonesia"/>
    <s v="Asia-Pacific"/>
    <x v="1"/>
  </r>
  <r>
    <s v="Ethiopia Washed Guji Bishala 23/02"/>
    <n v="95"/>
    <s v="Medium Light"/>
    <n v="60"/>
    <n v="80"/>
    <n v="154.32"/>
    <s v="Taiwan"/>
    <s v="Ethiopia"/>
    <s v="Africa"/>
    <x v="1"/>
  </r>
  <r>
    <s v="Guatemala Washed Huehuetenango Joya Verde Espresso"/>
    <n v="94"/>
    <s v="Medium Light"/>
    <n v="58"/>
    <n v="79"/>
    <n v="97"/>
    <s v="Taiwan"/>
    <s v="Guatemala"/>
    <s v="America"/>
    <x v="1"/>
  </r>
  <r>
    <s v="Ethiopia Red Honey Guji Uraga Tabe Haro Wachu"/>
    <n v="94"/>
    <s v="Medium Light"/>
    <n v="58"/>
    <n v="78"/>
    <n v="149.91"/>
    <s v="Taiwan"/>
    <s v="Ethiopia"/>
    <s v="Africa"/>
    <x v="1"/>
  </r>
  <r>
    <s v="Ethiopia Natural Sidama Bare Tamiru"/>
    <n v="94"/>
    <s v="Light"/>
    <n v="64"/>
    <n v="78"/>
    <n v="171.96"/>
    <s v="Taiwan"/>
    <s v="Ethiopia"/>
    <s v="Africa"/>
    <x v="1"/>
  </r>
  <r>
    <s v="Colombia Wilton Benitez Thermal Shock Geisha"/>
    <n v="96"/>
    <s v="Medium Light"/>
    <n v="60"/>
    <n v="78"/>
    <n v="25.57"/>
    <s v="USA"/>
    <s v="Colombia"/>
    <s v="America"/>
    <x v="0"/>
  </r>
  <r>
    <s v="Colombia Wilton Benitez Thermal Shock Red Bourbon"/>
    <n v="95"/>
    <s v="Medium Light"/>
    <n v="60"/>
    <n v="78"/>
    <n v="16.75"/>
    <s v="USA"/>
    <s v="Colombia"/>
    <s v="America"/>
    <x v="0"/>
  </r>
  <r>
    <s v="Colombia Tolima Genius"/>
    <n v="94"/>
    <s v="Light"/>
    <n v="61"/>
    <n v="83"/>
    <n v="15.43"/>
    <s v="USA"/>
    <s v="Colombia"/>
    <s v="America"/>
    <x v="0"/>
  </r>
  <r>
    <s v="Colombia Wilton Benitez Thermal Shock Caturra"/>
    <n v="94"/>
    <s v="Medium Light"/>
    <n v="60"/>
    <n v="77"/>
    <n v="15.43"/>
    <s v="USA"/>
    <s v="Colombia"/>
    <s v="America"/>
    <x v="0"/>
  </r>
  <r>
    <s v="Ethiopia Natural Yirgacheffe Koke Shalaye Abraham Mengiste"/>
    <n v="94"/>
    <s v="Medium Light"/>
    <n v="60"/>
    <n v="76"/>
    <n v="176.37"/>
    <s v="Taiwan"/>
    <s v="Ethiopia"/>
    <s v="Africa"/>
    <x v="1"/>
  </r>
  <r>
    <s v="Kenya AA TOP Gicherori"/>
    <n v="97"/>
    <s v="Medium Light"/>
    <n v="60"/>
    <n v="78"/>
    <n v="275"/>
    <s v="Taiwan"/>
    <s v="Kenya"/>
    <s v="Africa"/>
    <x v="1"/>
  </r>
  <r>
    <s v="Panama Carmen Geisha Washed Light Roast"/>
    <n v="95"/>
    <s v="Light"/>
    <n v="62"/>
    <n v="82"/>
    <n v="12"/>
    <s v="Taiwan"/>
    <s v="Panama"/>
    <s v="America"/>
    <x v="1"/>
  </r>
  <r>
    <s v="Colombia Luna Azul"/>
    <n v="94"/>
    <s v="Medium Light"/>
    <n v="60"/>
    <n v="76"/>
    <n v="8.23"/>
    <s v="USA"/>
    <s v="Colombia"/>
    <s v="America"/>
    <x v="0"/>
  </r>
  <r>
    <s v="Mexico Los Aguacates"/>
    <n v="95"/>
    <s v="Light"/>
    <n v="65"/>
    <n v="82"/>
    <n v="12.35"/>
    <s v="USA"/>
    <s v="Mexico"/>
    <s v="America"/>
    <x v="0"/>
  </r>
  <r>
    <s v="Ethiopia Arbegona Natural 74158"/>
    <n v="95"/>
    <s v="Light"/>
    <n v="64"/>
    <n v="80"/>
    <n v="220.46"/>
    <s v="Taiwan"/>
    <s v="Ethiopia"/>
    <s v="Africa"/>
    <x v="1"/>
  </r>
  <r>
    <s v="Guatemala Nueva Granda Washed Laurina"/>
    <n v="94"/>
    <s v="Light"/>
    <n v="64"/>
    <n v="80"/>
    <n v="0.44"/>
    <s v="Taiwan"/>
    <s v="Guatemala"/>
    <s v="America"/>
    <x v="1"/>
  </r>
  <r>
    <s v="Ethiopia Shantawene Washed"/>
    <n v="96"/>
    <s v="Light"/>
    <n v="64"/>
    <n v="82"/>
    <n v="6.47"/>
    <s v="USA"/>
    <s v="Ethiopia"/>
    <s v="Africa"/>
    <x v="0"/>
  </r>
  <r>
    <s v="Kona MoccaВ®"/>
    <n v="95"/>
    <s v="Medium Light"/>
    <n v="58"/>
    <n v="74"/>
    <n v="49.8"/>
    <s v="USA"/>
    <s v="USA"/>
    <s v="America"/>
    <x v="0"/>
  </r>
  <r>
    <s v="Ethiopia Worka Sakaro Anaerobic Natural"/>
    <n v="96"/>
    <s v="Medium Light"/>
    <n v="60"/>
    <n v="78"/>
    <n v="6.76"/>
    <s v="USA"/>
    <s v="Ethiopia"/>
    <s v="Africa"/>
    <x v="0"/>
  </r>
  <r>
    <s v="Colombia Finca Chambaku"/>
    <n v="94"/>
    <s v="Light"/>
    <n v="62"/>
    <n v="80"/>
    <n v="7.05"/>
    <s v="USA"/>
    <s v="Colombia"/>
    <s v="America"/>
    <x v="0"/>
  </r>
  <r>
    <s v="Colombia La Siria Gesha"/>
    <n v="95"/>
    <s v="Medium Light"/>
    <n v="60"/>
    <n v="80"/>
    <n v="23.37"/>
    <s v="USA"/>
    <s v="Colombia"/>
    <s v="America"/>
    <x v="0"/>
  </r>
  <r>
    <s v="KaвЂЕ« Yellow Caturra Peaberry"/>
    <n v="94"/>
    <s v="Medium Light"/>
    <n v="60"/>
    <n v="77"/>
    <n v="22.05"/>
    <s v="USA"/>
    <s v="USA"/>
    <s v="America"/>
    <x v="0"/>
  </r>
  <r>
    <s v="Ethiopia Guji Hambela Tirtira Goyo Natural"/>
    <n v="94"/>
    <s v="Light"/>
    <n v="68"/>
    <n v="84"/>
    <n v="110.23"/>
    <s v="Taiwan"/>
    <s v="Ethiopia"/>
    <s v="Africa"/>
    <x v="1"/>
  </r>
  <r>
    <s v="El Salvador Unicorn"/>
    <n v="94"/>
    <s v="Medium Light"/>
    <n v="56"/>
    <n v="78"/>
    <n v="7.05"/>
    <s v="USA"/>
    <s v="El Salvador"/>
    <s v="America"/>
    <x v="0"/>
  </r>
  <r>
    <s v="Ethiopia Guji Euphora Special Honey Lot"/>
    <n v="94"/>
    <s v="Medium Light"/>
    <n v="58"/>
    <n v="72"/>
    <n v="5.29"/>
    <s v="Taiwan"/>
    <s v="Ethiopia"/>
    <s v="Africa"/>
    <x v="1"/>
  </r>
  <r>
    <s v="Ichamama Kenya"/>
    <n v="95"/>
    <s v="Medium Light"/>
    <n v="59"/>
    <n v="75"/>
    <n v="6.47"/>
    <s v="USA"/>
    <s v="Kenya"/>
    <s v="Africa"/>
    <x v="0"/>
  </r>
  <r>
    <s v="La Candelilla Geisha Natural Costa Rica"/>
    <n v="95"/>
    <s v="Medium Light"/>
    <n v="59"/>
    <n v="77"/>
    <n v="8.3800000000000008"/>
    <s v="USA"/>
    <s v="Costa Rica"/>
    <s v="America"/>
    <x v="0"/>
  </r>
  <r>
    <s v="El Lechero Peru"/>
    <n v="94"/>
    <s v="Medium Light"/>
    <n v="59"/>
    <n v="77"/>
    <n v="5.59"/>
    <s v="USA"/>
    <s v="Peru"/>
    <s v="America"/>
    <x v="0"/>
  </r>
  <r>
    <s v="Colombia El Roble Natural Carbonic Java"/>
    <n v="95"/>
    <s v="Light"/>
    <n v="63"/>
    <n v="81"/>
    <n v="13.67"/>
    <s v="USA"/>
    <s v="Colombia"/>
    <s v="America"/>
    <x v="0"/>
  </r>
  <r>
    <s v="Colombia Nestor Lasso Sidra"/>
    <n v="95"/>
    <s v="Light"/>
    <n v="62"/>
    <n v="83"/>
    <n v="14.55"/>
    <s v="USA"/>
    <s v="Colombia"/>
    <s v="America"/>
    <x v="0"/>
  </r>
  <r>
    <s v="Colombia Yeast Anaerobic Washed Las Flores Bourbon Sidra"/>
    <n v="95"/>
    <s v="Light"/>
    <n v="62"/>
    <n v="81"/>
    <n v="242.5"/>
    <s v="Taiwan"/>
    <s v="Colombia"/>
    <s v="America"/>
    <x v="1"/>
  </r>
  <r>
    <s v="Ecuador Cruz Loma Sidra Anaerobic Euphora Special Lot"/>
    <n v="95"/>
    <s v="Light"/>
    <n v="64"/>
    <n v="80"/>
    <n v="14.11"/>
    <s v="Taiwan"/>
    <s v="Ecuador"/>
    <s v="America"/>
    <x v="1"/>
  </r>
  <r>
    <s v="Colombia El Roble Chiroso Washed"/>
    <n v="94"/>
    <s v="Medium Light"/>
    <n v="58"/>
    <n v="78"/>
    <n v="325"/>
    <s v="Taiwan"/>
    <s v="Colombia"/>
    <s v="America"/>
    <x v="1"/>
  </r>
  <r>
    <s v="Guatemala El Injerto SL28"/>
    <n v="94"/>
    <s v="Medium Light"/>
    <n v="62"/>
    <n v="79"/>
    <n v="10.58"/>
    <s v="USA"/>
    <s v="Guatemala"/>
    <s v="America"/>
    <x v="0"/>
  </r>
  <r>
    <s v="Wilton Benitez Java"/>
    <n v="96"/>
    <s v="Medium Light"/>
    <n v="60"/>
    <n v="74"/>
    <n v="11.02"/>
    <s v="USA"/>
    <s v="Colombia"/>
    <s v="America"/>
    <x v="0"/>
  </r>
  <r>
    <s v="HWC Holy Melody Espresso Blend"/>
    <n v="94"/>
    <s v="Medium Light"/>
    <n v="57"/>
    <n v="77"/>
    <n v="17.64"/>
    <s v="Taiwan"/>
    <s v="Ethiopia"/>
    <s v="Africa"/>
    <x v="1"/>
  </r>
  <r>
    <s v="Panama Bambito Estate Geisha Anaerobic Natural"/>
    <n v="96"/>
    <s v="Light"/>
    <n v="65"/>
    <n v="90"/>
    <n v="39.68"/>
    <s v="USA"/>
    <s v="Panama"/>
    <s v="America"/>
    <x v="0"/>
  </r>
  <r>
    <s v="Ethiopia Natural Sidama 74158"/>
    <n v="96"/>
    <s v="Light"/>
    <n v="62"/>
    <n v="80"/>
    <n v="396.83"/>
    <s v="Taiwan"/>
    <s v="Ethiopia"/>
    <s v="Africa"/>
    <x v="1"/>
  </r>
  <r>
    <s v="Mr. DoddвЂ™s TeaTime Blend"/>
    <n v="95"/>
    <s v="Medium Light"/>
    <n v="56"/>
    <n v="72"/>
    <n v="143.30000000000001"/>
    <s v="Taiwan"/>
    <s v="Guatemala"/>
    <s v="America"/>
    <x v="1"/>
  </r>
  <r>
    <s v="Colombia Double Anaerobic Washed Los Nogales Yellow Bourbon"/>
    <n v="95"/>
    <s v="Light"/>
    <n v="64"/>
    <n v="80"/>
    <n v="255.73"/>
    <s v="Taiwan"/>
    <s v="Colombia"/>
    <s v="America"/>
    <x v="1"/>
  </r>
  <r>
    <s v="Colombia El Chaferote Pink Bourbon"/>
    <n v="95"/>
    <s v="Medium Light"/>
    <n v="63"/>
    <n v="77"/>
    <n v="9.8800000000000008"/>
    <s v="USA"/>
    <s v="Colombia"/>
    <s v="America"/>
    <x v="0"/>
  </r>
  <r>
    <s v="Guatemala El Injerto Ethiopia Landrace Natural"/>
    <n v="94"/>
    <s v="Medium Light"/>
    <n v="57"/>
    <n v="74"/>
    <n v="11.76"/>
    <s v="USA"/>
    <s v="Guatemala"/>
    <s v="America"/>
    <x v="0"/>
  </r>
  <r>
    <s v="Holiday Coffee"/>
    <n v="95"/>
    <s v="Medium Light"/>
    <n v="58"/>
    <n v="66"/>
    <n v="30.84"/>
    <s v="USA"/>
    <s v="Unknown"/>
    <s v="NULL"/>
    <x v="0"/>
  </r>
  <r>
    <s v="Kenya Muthua-Ini AB"/>
    <n v="95"/>
    <s v="Medium Light"/>
    <n v="58"/>
    <n v="77"/>
    <n v="6.47"/>
    <s v="USA"/>
    <s v="Kenya"/>
    <s v="Africa"/>
    <x v="0"/>
  </r>
  <r>
    <s v="Kenya Gichuka AA"/>
    <n v="95"/>
    <s v="Medium Light"/>
    <n v="60"/>
    <n v="78"/>
    <n v="6.16"/>
    <s v="USA"/>
    <s v="Kenya"/>
    <s v="Africa"/>
    <x v="0"/>
  </r>
  <r>
    <s v="Colombia Chili Bourbon"/>
    <n v="94"/>
    <s v="Light"/>
    <n v="62"/>
    <n v="80"/>
    <n v="9.83"/>
    <s v="USA"/>
    <s v="Colombia"/>
    <s v="America"/>
    <x v="0"/>
  </r>
  <r>
    <s v="Chelbessa Ethiopia"/>
    <n v="95"/>
    <s v="Medium Light"/>
    <n v="60"/>
    <n v="76"/>
    <n v="6.17"/>
    <s v="USA"/>
    <s v="Ethiopia"/>
    <s v="Africa"/>
    <x v="0"/>
  </r>
  <r>
    <s v="Ethiopia Yirgacheffe Gedeb Chelbesa Natural"/>
    <n v="95"/>
    <s v="Medium Light"/>
    <n v="59"/>
    <n v="76"/>
    <n v="211.64"/>
    <s v="Taiwan"/>
    <s v="Ethiopia"/>
    <s v="Africa"/>
    <x v="1"/>
  </r>
  <r>
    <s v="Tirra Natural Costa Rica"/>
    <n v="94"/>
    <s v="Medium Light"/>
    <n v="59"/>
    <n v="77"/>
    <n v="6.47"/>
    <s v="USA"/>
    <s v="Costa Rica"/>
    <s v="America"/>
    <x v="0"/>
  </r>
  <r>
    <s v="Colombia Huila Espiritu Blanc Geisha Semi-Washed Anaerobic"/>
    <n v="94"/>
    <s v="Medium Light"/>
    <n v="63"/>
    <n v="71"/>
    <n v="480"/>
    <s v="Taiwan"/>
    <s v="Colombia"/>
    <s v="America"/>
    <x v="1"/>
  </r>
  <r>
    <s v="Costa Rica San Ramon Yeast Washed"/>
    <n v="94"/>
    <s v="Light"/>
    <n v="63"/>
    <n v="79"/>
    <n v="145.5"/>
    <s v="Taiwan"/>
    <s v="Costa Rica"/>
    <s v="America"/>
    <x v="1"/>
  </r>
  <r>
    <s v="HawaiвЂ™i Island Blend Espresso"/>
    <n v="94"/>
    <s v="Medium Light"/>
    <n v="52"/>
    <n v="70"/>
    <n v="17.64"/>
    <s v="USA"/>
    <s v="USA"/>
    <s v="America"/>
    <x v="0"/>
  </r>
  <r>
    <s v="Kenya Washed Kiambu Windrush AA"/>
    <n v="96"/>
    <s v="Medium Light"/>
    <n v="57"/>
    <n v="77"/>
    <n v="149.91"/>
    <s v="Taiwan"/>
    <s v="Kenya"/>
    <s v="Africa"/>
    <x v="1"/>
  </r>
  <r>
    <s v="Guatemala El Amate Maragogype"/>
    <n v="94"/>
    <s v="Medium Light"/>
    <n v="60"/>
    <n v="76"/>
    <n v="7.94"/>
    <s v="USA"/>
    <s v="Guatemala"/>
    <s v="America"/>
    <x v="0"/>
  </r>
  <r>
    <s v="Ethiopia Natural Guji Blue Donkey 23"/>
    <n v="94"/>
    <s v="Medium Light"/>
    <n v="58"/>
    <n v="76"/>
    <n v="143.30000000000001"/>
    <s v="Taiwan"/>
    <s v="Ethiopia"/>
    <s v="Africa"/>
    <x v="1"/>
  </r>
  <r>
    <s v="Ethiopia Natural Yirgacheffe Worka Nenke Abraham Mengiste"/>
    <n v="94"/>
    <s v="Medium Light"/>
    <n v="60"/>
    <n v="78"/>
    <n v="127.87"/>
    <s v="Taiwan"/>
    <s v="Ethiopia"/>
    <s v="Africa"/>
    <x v="1"/>
  </r>
  <r>
    <s v="Ethiopia Koke"/>
    <n v="95"/>
    <s v="Light"/>
    <n v="62"/>
    <n v="80"/>
    <n v="6.76"/>
    <s v="USA"/>
    <s v="Ethiopia"/>
    <s v="Africa"/>
    <x v="0"/>
  </r>
  <r>
    <s v="Panama Florsa 100 Geisha FW 1600+"/>
    <n v="95"/>
    <s v="Light"/>
    <n v="65"/>
    <n v="81"/>
    <n v="198.24"/>
    <s v="Taiwan"/>
    <s v="Panama"/>
    <s v="America"/>
    <x v="1"/>
  </r>
  <r>
    <s v="Ethiopia Bench Maji Gesha Winey Natural G1"/>
    <n v="94"/>
    <s v="Medium Light"/>
    <n v="60"/>
    <n v="77"/>
    <n v="136.56"/>
    <s v="Taiwan"/>
    <s v="Ethiopia"/>
    <s v="Africa"/>
    <x v="1"/>
  </r>
  <r>
    <s v="Wilton Benitez Sidra"/>
    <n v="94"/>
    <s v="Medium Light"/>
    <n v="58"/>
    <n v="74"/>
    <n v="9.6999999999999993"/>
    <s v="USA"/>
    <s v="Colombia"/>
    <s v="America"/>
    <x v="0"/>
  </r>
  <r>
    <s v="Panama Hacienda La Esmeralda Geisha Natural"/>
    <n v="95"/>
    <s v="Medium Light"/>
    <n v="60"/>
    <n v="77"/>
    <n v="19.399999999999999"/>
    <s v="Taiwan"/>
    <s v="Panama"/>
    <s v="America"/>
    <x v="1"/>
  </r>
  <r>
    <s v="Panama Hacienda La Esmeralda Geisha Washed"/>
    <n v="95"/>
    <s v="Light"/>
    <n v="64"/>
    <n v="78"/>
    <n v="17.64"/>
    <s v="Taiwan"/>
    <s v="Panama"/>
    <s v="America"/>
    <x v="1"/>
  </r>
  <r>
    <s v="Grand Champion Red Bourbon Natural"/>
    <n v="96"/>
    <s v="Medium Light"/>
    <n v="52"/>
    <n v="72"/>
    <n v="30.86"/>
    <s v="USA"/>
    <s v="Unknown"/>
    <s v="NULL"/>
    <x v="0"/>
  </r>
  <r>
    <s v="Sumatra Lintong Kardon"/>
    <n v="95"/>
    <s v="Medium Light"/>
    <n v="56"/>
    <n v="74"/>
    <n v="6.17"/>
    <s v="USA"/>
    <s v="Indonesia"/>
    <s v="Asia-Pacific"/>
    <x v="0"/>
  </r>
  <r>
    <s v="Panama Finca Don Julian Geisha Washed"/>
    <n v="94"/>
    <s v="Light"/>
    <n v="65"/>
    <n v="81"/>
    <n v="1"/>
    <s v="Taiwan"/>
    <s v="Panama"/>
    <s v="America"/>
    <x v="1"/>
  </r>
  <r>
    <s v="Colombia Finca La Roca"/>
    <n v="94"/>
    <s v="Medium Light"/>
    <n v="60"/>
    <n v="77"/>
    <n v="7.64"/>
    <s v="USA"/>
    <s v="Colombia"/>
    <s v="America"/>
    <x v="0"/>
  </r>
  <r>
    <s v="Ethiopia YirgZ"/>
    <n v="95"/>
    <s v="Medium Light"/>
    <n v="62"/>
    <n v="78"/>
    <n v="7.94"/>
    <s v="USA"/>
    <s v="Ethiopia"/>
    <s v="Africa"/>
    <x v="0"/>
  </r>
  <r>
    <s v="Colombia Patio Bonita"/>
    <n v="94"/>
    <s v="Light"/>
    <n v="64"/>
    <n v="80"/>
    <n v="7.94"/>
    <s v="USA"/>
    <s v="Colombia"/>
    <s v="America"/>
    <x v="0"/>
  </r>
  <r>
    <s v="Ethiopia Yirgacheffe Farmgate"/>
    <n v="94"/>
    <s v="Medium Light"/>
    <n v="59"/>
    <n v="75"/>
    <n v="7.94"/>
    <s v="USA"/>
    <s v="Ethiopia"/>
    <s v="Africa"/>
    <x v="0"/>
  </r>
  <r>
    <s v="Promise of Spring"/>
    <n v="94"/>
    <s v="Medium Light"/>
    <n v="59"/>
    <n v="76"/>
    <n v="225"/>
    <s v="Taiwan"/>
    <s v="Ethiopia"/>
    <s v="Africa"/>
    <x v="1"/>
  </r>
  <r>
    <s v="Ethiopia Gesha Rebecca Natural"/>
    <n v="94"/>
    <s v="Medium Light"/>
    <n v="61"/>
    <n v="74"/>
    <n v="250"/>
    <s v="Taiwan"/>
    <s v="Ethiopia"/>
    <s v="Africa"/>
    <x v="1"/>
  </r>
  <r>
    <s v="Colombia Finca El ParaГ­so Geisha Sake"/>
    <n v="96"/>
    <s v="Light"/>
    <n v="65"/>
    <n v="82"/>
    <n v="52.91"/>
    <s v="USA"/>
    <s v="Colombia"/>
    <s v="America"/>
    <x v="0"/>
  </r>
  <r>
    <s v="Tanzania Nyasi Furaha"/>
    <n v="94"/>
    <s v="Medium Light"/>
    <n v="62"/>
    <n v="74"/>
    <n v="5.59"/>
    <s v="USA"/>
    <s v="Tanzania"/>
    <s v="Africa"/>
    <x v="0"/>
  </r>
  <r>
    <s v="Kenya Gachatha AA Top"/>
    <n v="95"/>
    <s v="Medium Light"/>
    <n v="58"/>
    <n v="74"/>
    <n v="145.5"/>
    <s v="Taiwan"/>
    <s v="Kenya"/>
    <s v="Africa"/>
    <x v="1"/>
  </r>
  <r>
    <s v="Kenya Nyeri Gatuya Factory AA Top"/>
    <n v="94"/>
    <s v="Medium Light"/>
    <n v="57"/>
    <n v="76"/>
    <n v="143.30000000000001"/>
    <s v="Taiwan"/>
    <s v="Kenya"/>
    <s v="Africa"/>
    <x v="1"/>
  </r>
  <r>
    <s v="Costa Rica Tarrazu Double Anaerobic Washed"/>
    <n v="94"/>
    <s v="Medium Light"/>
    <n v="60"/>
    <n v="77"/>
    <n v="198.41"/>
    <s v="Taiwan"/>
    <s v="Costa Rica"/>
    <s v="America"/>
    <x v="1"/>
  </r>
  <r>
    <s v="Wilton Benitez Pink Bourbon Colombia"/>
    <n v="98"/>
    <s v="Medium Light"/>
    <n v="62"/>
    <n v="78"/>
    <n v="8.82"/>
    <s v="USA"/>
    <s v="Colombia"/>
    <s v="America"/>
    <x v="0"/>
  </r>
  <r>
    <s v="Costa Rica Las Lajas SL28 Natural"/>
    <n v="95"/>
    <s v="Light"/>
    <n v="62"/>
    <n v="80"/>
    <n v="8.82"/>
    <s v="USA"/>
    <s v="Costa Rica"/>
    <s v="America"/>
    <x v="0"/>
  </r>
  <r>
    <s v="Nano Genji #12 Ethiopia"/>
    <n v="95"/>
    <s v="Medium Light"/>
    <n v="58"/>
    <n v="74"/>
    <n v="6.76"/>
    <s v="USA"/>
    <s v="Ethiopia"/>
    <s v="Africa"/>
    <x v="0"/>
  </r>
  <r>
    <s v="Gesha Spirits"/>
    <n v="95"/>
    <s v="Light"/>
    <n v="62"/>
    <n v="80"/>
    <n v="16.93"/>
    <s v="USA"/>
    <s v="Colombia"/>
    <s v="America"/>
    <x v="0"/>
  </r>
  <r>
    <s v="Panama HWC Coffee Estate Washed"/>
    <n v="94"/>
    <s v="Medium Light"/>
    <n v="59"/>
    <n v="73"/>
    <n v="35.270000000000003"/>
    <s v="Taiwan"/>
    <s v="Panama"/>
    <s v="America"/>
    <x v="1"/>
  </r>
  <r>
    <s v="Colombia Fruit Maceration Series Lulo Bear"/>
    <n v="94"/>
    <s v="Light"/>
    <n v="64"/>
    <n v="80"/>
    <n v="12"/>
    <s v="USA"/>
    <s v="Colombia"/>
    <s v="America"/>
    <x v="0"/>
  </r>
  <r>
    <s v="Colombia Huila Charlotte Geisha Washed"/>
    <n v="94"/>
    <s v="Light"/>
    <n v="65"/>
    <n v="79"/>
    <n v="198.41"/>
    <s v="Taiwan"/>
    <s v="Colombia"/>
    <s v="America"/>
    <x v="1"/>
  </r>
  <r>
    <s v="Colombia Wilton Benitez Double Anaerobic Thermal Shock Yellow Gesha"/>
    <n v="94"/>
    <s v="Light"/>
    <n v="62"/>
    <n v="80"/>
    <n v="24"/>
    <s v="USA"/>
    <s v="Colombia"/>
    <s v="America"/>
    <x v="0"/>
  </r>
  <r>
    <s v="More Floral"/>
    <n v="94"/>
    <s v="Light"/>
    <n v="66"/>
    <n v="80"/>
    <n v="132.28"/>
    <s v="Taiwan"/>
    <s v="Ethiopia"/>
    <s v="Africa"/>
    <x v="1"/>
  </r>
  <r>
    <s v="Yemen Al Kawlah Special Reserve Natural"/>
    <n v="95"/>
    <s v="Medium Light"/>
    <n v="60"/>
    <n v="77"/>
    <n v="11.74"/>
    <s v="USA"/>
    <s v="Yemen"/>
    <s v="Africa"/>
    <x v="0"/>
  </r>
  <r>
    <s v="Kona K7"/>
    <n v="95"/>
    <s v="Light"/>
    <n v="63"/>
    <n v="79"/>
    <n v="30.86"/>
    <s v="USA"/>
    <s v="USA"/>
    <s v="America"/>
    <x v="0"/>
  </r>
  <r>
    <s v="Ecuador La Josefina Estate"/>
    <n v="94"/>
    <s v="Light"/>
    <n v="62"/>
    <n v="84"/>
    <n v="7.35"/>
    <s v="USA"/>
    <s v="Ecuador"/>
    <s v="America"/>
    <x v="0"/>
  </r>
  <r>
    <s v="Ethiopia Kafa Natural"/>
    <n v="94"/>
    <s v="Light"/>
    <n v="65"/>
    <n v="79"/>
    <n v="6.76"/>
    <s v="USA"/>
    <s v="Ethiopia"/>
    <s v="Africa"/>
    <x v="0"/>
  </r>
  <r>
    <s v="El Salvador Bourbon Semi-Washed"/>
    <n v="94"/>
    <s v="Medium Light"/>
    <n v="58"/>
    <n v="72"/>
    <n v="5.14"/>
    <s v="USA"/>
    <s v="El Salvador"/>
    <s v="America"/>
    <x v="0"/>
  </r>
  <r>
    <s v="Ethiopia Worka Sakaro Anaerobic Natural"/>
    <n v="94"/>
    <s v="Medium Light"/>
    <n v="62"/>
    <n v="78"/>
    <n v="6.47"/>
    <s v="USA"/>
    <s v="Ethiopia"/>
    <s v="Africa"/>
    <x v="0"/>
  </r>
  <r>
    <s v="Bale Mountain Natural Ethiopia"/>
    <n v="94"/>
    <s v="Light"/>
    <n v="64"/>
    <n v="80"/>
    <n v="6.76"/>
    <s v="USA"/>
    <s v="Ethiopia"/>
    <s v="Africa"/>
    <x v="0"/>
  </r>
  <r>
    <s v="Ethiopia Sidama Arbegona 74158 Washed"/>
    <n v="94"/>
    <s v="Light"/>
    <n v="66"/>
    <n v="80"/>
    <n v="105.73"/>
    <s v="Taiwan"/>
    <s v="Ethiopia"/>
    <s v="Africa"/>
    <x v="1"/>
  </r>
  <r>
    <s v="La Papaya Ecuador Geisha Natural"/>
    <n v="96"/>
    <s v="Medium Light"/>
    <n v="59"/>
    <n v="75"/>
    <n v="8.52"/>
    <s v="USA"/>
    <s v="Ecuador"/>
    <s v="America"/>
    <x v="0"/>
  </r>
  <r>
    <s v="Colombia Tolima Finca El Vergel Rebel Geisha"/>
    <n v="95"/>
    <s v="Light"/>
    <n v="63"/>
    <n v="81"/>
    <n v="275"/>
    <s v="Taiwan"/>
    <s v="Colombia"/>
    <s v="America"/>
    <x v="1"/>
  </r>
  <r>
    <s v="Colombia Buenos Aires Honey Process-Yellow Velvet Peach"/>
    <n v="95"/>
    <s v="Medium Light"/>
    <n v="60"/>
    <n v="77"/>
    <n v="260"/>
    <s v="Taiwan"/>
    <s v="Colombia"/>
    <s v="America"/>
    <x v="1"/>
  </r>
  <r>
    <s v="Encounter of Summer"/>
    <n v="94"/>
    <s v="Light"/>
    <n v="62"/>
    <n v="80"/>
    <n v="225"/>
    <s v="Taiwan"/>
    <s v="Ethiopia"/>
    <s v="Africa"/>
    <x v="1"/>
  </r>
  <r>
    <s v="Kenya"/>
    <n v="95"/>
    <s v="Medium Dark"/>
    <n v="35"/>
    <n v="51"/>
    <n v="302.22000000000003"/>
    <s v="Taiwan"/>
    <s v="Kenya"/>
    <s v="Africa"/>
    <x v="1"/>
  </r>
  <r>
    <s v="SL34 Dark Roast"/>
    <n v="94"/>
    <s v="Medium Dark"/>
    <n v="48"/>
    <n v="52"/>
    <n v="30.84"/>
    <s v="USA"/>
    <s v="Unknown"/>
    <s v="NULL"/>
    <x v="0"/>
  </r>
  <r>
    <s v="Ethiopia Bench Maji Geisha Lucy Station Dark Roast"/>
    <n v="94"/>
    <s v="Medium Dark"/>
    <n v="45"/>
    <n v="52"/>
    <n v="300"/>
    <s v="Taiwan"/>
    <s v="Ethiopia"/>
    <s v="Africa"/>
    <x v="1"/>
  </r>
  <r>
    <s v="Kenya AB Athena Plus"/>
    <n v="94"/>
    <s v="Dark"/>
    <n v="33"/>
    <n v="44"/>
    <n v="352.73"/>
    <s v="Taiwan"/>
    <s v="Kenya"/>
    <s v="Africa"/>
    <x v="1"/>
  </r>
  <r>
    <s v="Kenya Muranga"/>
    <n v="94"/>
    <s v="Medium Dark"/>
    <n v="41"/>
    <n v="44"/>
    <n v="0.42"/>
    <s v="Taiwan"/>
    <s v="Kenya"/>
    <s v="Africa"/>
    <x v="1"/>
  </r>
  <r>
    <s v="Costa Rica Turrialba Volcano Honey Process"/>
    <n v="94"/>
    <s v="Medium Light"/>
    <n v="59"/>
    <n v="77"/>
    <n v="143.30000000000001"/>
    <s v="Taiwan"/>
    <s v="Costa Rica"/>
    <s v="America"/>
    <x v="1"/>
  </r>
  <r>
    <s v="Colombia Huila Finca El Triunfo Martha ZuГ±iga Pink Bourbon"/>
    <n v="94"/>
    <s v="Medium Light"/>
    <n v="58"/>
    <n v="74"/>
    <n v="9.41"/>
    <s v="USA"/>
    <s v="Colombia"/>
    <s v="America"/>
    <x v="0"/>
  </r>
  <r>
    <s v="Kenya Kanwangi AA"/>
    <n v="94"/>
    <s v="Medium Light"/>
    <n v="59"/>
    <n v="80"/>
    <n v="7.05"/>
    <s v="USA"/>
    <s v="Kenya"/>
    <s v="Africa"/>
    <x v="0"/>
  </r>
  <r>
    <s v="Ethiopia Bench Maji Geisha Lucy Station"/>
    <n v="94"/>
    <s v="Light"/>
    <n v="64"/>
    <n v="83"/>
    <n v="300"/>
    <s v="Taiwan"/>
    <s v="Ethiopia"/>
    <s v="Africa"/>
    <x v="1"/>
  </r>
  <r>
    <s v="Ecuador PeГ±aherrera AAA"/>
    <n v="95"/>
    <s v="Medium Light"/>
    <n v="60"/>
    <n v="77"/>
    <n v="7.35"/>
    <s v="USA"/>
    <s v="Ecuador"/>
    <s v="America"/>
    <x v="0"/>
  </r>
  <r>
    <s v="HWC Geisha Plus Geisha Black Espresso"/>
    <n v="95"/>
    <s v="Medium Light"/>
    <n v="54"/>
    <n v="72"/>
    <n v="19.84"/>
    <s v="Taiwan"/>
    <s v="Ethiopia"/>
    <s v="Africa"/>
    <x v="1"/>
  </r>
  <r>
    <s v="Ethiopia Yirgacheffe Jade Lotus"/>
    <n v="94"/>
    <s v="Medium Light"/>
    <n v="59"/>
    <n v="75"/>
    <n v="8.82"/>
    <s v="Taiwan"/>
    <s v="Ethiopia"/>
    <s v="Africa"/>
    <x v="1"/>
  </r>
  <r>
    <s v="Blue Sunda Estate Java"/>
    <n v="94"/>
    <s v="Medium Light"/>
    <n v="60"/>
    <n v="75"/>
    <n v="5.59"/>
    <s v="USA"/>
    <s v="Indonesia"/>
    <s v="Asia-Pacific"/>
    <x v="0"/>
  </r>
  <r>
    <s v="La Papaya Natural Ecuador"/>
    <n v="95"/>
    <s v="Medium Light"/>
    <n v="58"/>
    <n v="80"/>
    <n v="8.3800000000000008"/>
    <s v="USA"/>
    <s v="Ecuador"/>
    <s v="America"/>
    <x v="0"/>
  </r>
  <r>
    <s v="Wilton Benitez Tabi VIP Colombia"/>
    <n v="95"/>
    <s v="Light"/>
    <n v="64"/>
    <n v="86"/>
    <n v="6.47"/>
    <s v="USA"/>
    <s v="Colombia"/>
    <s v="America"/>
    <x v="0"/>
  </r>
  <r>
    <s v="El Mango Peru"/>
    <n v="94"/>
    <s v="Medium Light"/>
    <n v="56"/>
    <n v="77"/>
    <n v="5.59"/>
    <s v="USA"/>
    <s v="Peru"/>
    <s v="America"/>
    <x v="0"/>
  </r>
  <r>
    <s v="Banko Gotiti Ethiopia"/>
    <n v="95"/>
    <s v="Medium Light"/>
    <n v="60"/>
    <n v="78"/>
    <n v="5.88"/>
    <s v="USA"/>
    <s v="Ethiopia"/>
    <s v="Africa"/>
    <x v="0"/>
  </r>
  <r>
    <s v="El Morito Guatemala"/>
    <n v="94"/>
    <s v="Medium Light"/>
    <n v="59"/>
    <n v="76"/>
    <n v="8.3800000000000008"/>
    <s v="USA"/>
    <s v="Guatemala"/>
    <s v="America"/>
    <x v="0"/>
  </r>
  <r>
    <s v="Pantan Musara Sumatra"/>
    <n v="95"/>
    <s v="Medium Light"/>
    <n v="56"/>
    <n v="78"/>
    <n v="6.76"/>
    <s v="USA"/>
    <s v="Indonesia"/>
    <s v="Asia-Pacific"/>
    <x v="0"/>
  </r>
  <r>
    <s v="Giakanja Kenya"/>
    <n v="94"/>
    <s v="Medium Light"/>
    <n v="59"/>
    <n v="79"/>
    <n v="7.35"/>
    <s v="USA"/>
    <s v="Kenya"/>
    <s v="Africa"/>
    <x v="0"/>
  </r>
  <r>
    <s v="Ethiopia Basha Bekele"/>
    <n v="95"/>
    <s v="Light"/>
    <n v="62"/>
    <n v="86"/>
    <n v="6.76"/>
    <s v="USA"/>
    <s v="Ethiopia"/>
    <s v="Africa"/>
    <x v="0"/>
  </r>
  <r>
    <s v="Colombia Luz Helena Salazar Wine Yeast Grape Honey"/>
    <n v="94"/>
    <s v="Medium Light"/>
    <n v="58"/>
    <n v="80"/>
    <n v="350"/>
    <s v="Taiwan"/>
    <s v="Colombia"/>
    <s v="America"/>
    <x v="1"/>
  </r>
  <r>
    <s v="KaвЂЕ« Malolactic Natural"/>
    <n v="94"/>
    <s v="Medium Light"/>
    <n v="62"/>
    <n v="76"/>
    <n v="35.270000000000003"/>
    <s v="USA"/>
    <s v="USA"/>
    <s v="America"/>
    <x v="0"/>
  </r>
  <r>
    <s v="Jade Rabbit Espresso Blend"/>
    <n v="95"/>
    <s v="Medium"/>
    <n v="46"/>
    <n v="70"/>
    <n v="286.60000000000002"/>
    <s v="Taiwan"/>
    <s v="Kenya"/>
    <s v="Africa"/>
    <x v="1"/>
  </r>
  <r>
    <s v="Colombia Finca Paraiso Gesha Wilton Benitez"/>
    <n v="94"/>
    <s v="Light"/>
    <n v="64"/>
    <n v="84"/>
    <n v="24"/>
    <s v="USA"/>
    <s v="Colombia"/>
    <s v="America"/>
    <x v="0"/>
  </r>
  <r>
    <s v="Colombia Finca La EspaГ±a Gesha"/>
    <n v="94"/>
    <s v="Light"/>
    <n v="64"/>
    <n v="84"/>
    <n v="24"/>
    <s v="USA"/>
    <s v="Colombia"/>
    <s v="America"/>
    <x v="0"/>
  </r>
  <r>
    <s v="Colombia Huila La Esperanza Pink Bourbon Honey"/>
    <n v="94"/>
    <s v="Medium Light"/>
    <n v="62"/>
    <n v="76"/>
    <n v="167.55"/>
    <s v="Taiwan"/>
    <s v="Colombia"/>
    <s v="America"/>
    <x v="1"/>
  </r>
  <r>
    <s v="Ethiopia Halo Beriti Single-Origin Espresso"/>
    <n v="95"/>
    <s v="Medium Light"/>
    <n v="56"/>
    <n v="74"/>
    <n v="7.05"/>
    <s v="USA"/>
    <s v="Ethiopia"/>
    <s v="Africa"/>
    <x v="0"/>
  </r>
  <r>
    <s v="Ethiopia Gora Kone"/>
    <n v="94"/>
    <s v="Light"/>
    <n v="62"/>
    <n v="84"/>
    <n v="6.91"/>
    <s v="USA"/>
    <s v="Ethiopia"/>
    <s v="Africa"/>
    <x v="0"/>
  </r>
  <r>
    <s v="Ecuador Finca Lugmapata"/>
    <n v="94"/>
    <s v="Medium Light"/>
    <n v="62"/>
    <n v="79"/>
    <n v="12.93"/>
    <s v="USA"/>
    <s v="Ecuador"/>
    <s v="America"/>
    <x v="0"/>
  </r>
  <r>
    <s v="Costa Rica Raisin Honey"/>
    <n v="94"/>
    <s v="Medium Light"/>
    <n v="60"/>
    <n v="76"/>
    <n v="7.64"/>
    <s v="USA"/>
    <s v="Costa Rica"/>
    <s v="America"/>
    <x v="0"/>
  </r>
  <r>
    <s v="Quindio Gold Honey Colombia"/>
    <n v="94"/>
    <s v="Light"/>
    <n v="62"/>
    <n v="80"/>
    <n v="7.94"/>
    <s v="USA"/>
    <s v="Colombia"/>
    <s v="America"/>
    <x v="0"/>
  </r>
  <r>
    <s v="Organic Peru San Fernando Tres Fincas Gesha"/>
    <n v="95"/>
    <s v="Medium Light"/>
    <n v="58"/>
    <n v="80"/>
    <n v="8.52"/>
    <s v="USA"/>
    <s v="Peru"/>
    <s v="America"/>
    <x v="0"/>
  </r>
  <r>
    <s v="Kenya Washed Kiambu Gititu AB Top"/>
    <n v="95"/>
    <s v="Light"/>
    <n v="60"/>
    <n v="82"/>
    <n v="132.28"/>
    <s v="Taiwan"/>
    <s v="Kenya"/>
    <s v="Africa"/>
    <x v="1"/>
  </r>
  <r>
    <s v="Ethiopia Natural Guji Dasaya"/>
    <n v="95"/>
    <s v="Light"/>
    <n v="62"/>
    <n v="86"/>
    <n v="127.87"/>
    <s v="Taiwan"/>
    <s v="Ethiopia"/>
    <s v="Africa"/>
    <x v="1"/>
  </r>
  <r>
    <s v="Kona Classic"/>
    <n v="94"/>
    <s v="Medium Light"/>
    <n v="60"/>
    <n v="78"/>
    <n v="22.05"/>
    <s v="USA"/>
    <s v="USA"/>
    <s v="America"/>
    <x v="0"/>
  </r>
  <r>
    <s v="HawaiвЂ™i KaвЂЕ« Champagne Natural"/>
    <n v="94"/>
    <s v="Medium Light"/>
    <n v="60"/>
    <n v="78"/>
    <n v="22.05"/>
    <s v="USA"/>
    <s v="USA"/>
    <s v="America"/>
    <x v="0"/>
  </r>
  <r>
    <s v="Ethiopia Sidamo Rumudamo Premium"/>
    <n v="95"/>
    <s v="Light"/>
    <n v="64"/>
    <n v="84"/>
    <n v="176.37"/>
    <s v="Taiwan"/>
    <s v="Ethiopia"/>
    <s v="Africa"/>
    <x v="1"/>
  </r>
  <r>
    <s v="Yemen Natural Hamoud Abdullah AL-Khisheni"/>
    <n v="94"/>
    <s v="Light"/>
    <n v="62"/>
    <n v="80"/>
    <n v="529.1"/>
    <s v="Taiwan"/>
    <s v="Yemen"/>
    <s v="Africa"/>
    <x v="1"/>
  </r>
  <r>
    <s v="Guatemala Acatenango Gesha"/>
    <n v="94"/>
    <s v="Light"/>
    <n v="67"/>
    <n v="86"/>
    <n v="0.44"/>
    <s v="Taiwan"/>
    <s v="Guatemala"/>
    <s v="America"/>
    <x v="1"/>
  </r>
  <r>
    <s v="Kenya Gatomboya"/>
    <n v="94"/>
    <s v="Medium Light"/>
    <n v="59"/>
    <n v="77"/>
    <n v="8.82"/>
    <s v="USA"/>
    <s v="Kenya"/>
    <s v="Africa"/>
    <x v="0"/>
  </r>
  <r>
    <s v="Ethiopia Guji"/>
    <n v="94"/>
    <s v="Light"/>
    <n v="65"/>
    <n v="86"/>
    <n v="79.37"/>
    <s v="Taiwan"/>
    <s v="Ethiopia"/>
    <s v="Africa"/>
    <x v="1"/>
  </r>
  <r>
    <s v="Burundi Nemba Washed Process"/>
    <n v="94"/>
    <s v="Medium Light"/>
    <n v="60"/>
    <n v="77"/>
    <n v="6.76"/>
    <s v="USA"/>
    <s v="Burundi"/>
    <s v="Africa"/>
    <x v="0"/>
  </r>
  <r>
    <s v="Worka Sakaro Ethiopia"/>
    <n v="95"/>
    <s v="Light"/>
    <n v="62"/>
    <n v="84"/>
    <n v="5.88"/>
    <s v="USA"/>
    <s v="Ethiopia"/>
    <s v="Africa"/>
    <x v="0"/>
  </r>
  <r>
    <s v="Teremuka Peaberry Kenya"/>
    <n v="94"/>
    <s v="Medium Light"/>
    <n v="60"/>
    <n v="77"/>
    <n v="7.05"/>
    <s v="USA"/>
    <s v="Kenya"/>
    <s v="Africa"/>
    <x v="0"/>
  </r>
  <r>
    <s v="Teremuka Kenya"/>
    <n v="94"/>
    <s v="Medium Light"/>
    <n v="60"/>
    <n v="77"/>
    <n v="7.05"/>
    <s v="USA"/>
    <s v="Kenya"/>
    <s v="Africa"/>
    <x v="0"/>
  </r>
  <r>
    <s v="El Salvador La Muela Pacamara"/>
    <n v="94"/>
    <s v="Medium Light"/>
    <n v="58"/>
    <n v="77"/>
    <n v="6.76"/>
    <s v="USA"/>
    <s v="El Salvador"/>
    <s v="America"/>
    <x v="0"/>
  </r>
  <r>
    <s v="Colombia Finca Juan Martin Aced Sidra"/>
    <n v="95"/>
    <s v="Light"/>
    <n v="62"/>
    <n v="80"/>
    <n v="9.26"/>
    <s v="USA"/>
    <s v="Colombia"/>
    <s v="America"/>
    <x v="0"/>
  </r>
  <r>
    <s v="Guatemala Natural Santa Felisa Gesha SF-04 95"/>
    <n v="95"/>
    <s v="Medium Light"/>
    <n v="59"/>
    <n v="75"/>
    <n v="573.19000000000005"/>
    <s v="Taiwan"/>
    <s v="Guatemala"/>
    <s v="America"/>
    <x v="1"/>
  </r>
  <r>
    <s v="Colombia Red Bomb"/>
    <n v="94"/>
    <s v="Medium Light"/>
    <n v="59"/>
    <n v="77"/>
    <n v="7.35"/>
    <s v="USA"/>
    <s v="Colombia"/>
    <s v="America"/>
    <x v="0"/>
  </r>
  <r>
    <s v="Ethiopia 2022 COE #3 Washed Temam 74110"/>
    <n v="95"/>
    <s v="Light"/>
    <n v="62"/>
    <n v="86"/>
    <n v="0.88"/>
    <s v="Taiwan"/>
    <s v="Ethiopia"/>
    <s v="Africa"/>
    <x v="1"/>
  </r>
  <r>
    <s v="Espresso Giusto"/>
    <n v="94"/>
    <s v="Medium Light"/>
    <n v="54"/>
    <n v="72"/>
    <n v="4.9800000000000004"/>
    <s v="USA"/>
    <s v="Mexico"/>
    <s v="America"/>
    <x v="0"/>
  </r>
  <r>
    <s v="Golden Parrot Blend Espresso"/>
    <n v="94"/>
    <s v="Medium Light"/>
    <n v="58"/>
    <n v="78"/>
    <n v="92.59"/>
    <s v="Taiwan"/>
    <s v="Colombia"/>
    <s v="America"/>
    <x v="1"/>
  </r>
  <r>
    <s v="Galaxy Gesha Quindio Colombia Edwin NoreГ±a"/>
    <n v="95"/>
    <s v="Light"/>
    <n v="65"/>
    <n v="86"/>
    <n v="11.3"/>
    <s v="USA"/>
    <s v="Colombia"/>
    <s v="America"/>
    <x v="0"/>
  </r>
  <r>
    <s v="KaвЂЕ« JN Farms Malolactic Honey"/>
    <n v="95"/>
    <s v="Light"/>
    <n v="62"/>
    <n v="84"/>
    <n v="35.270000000000003"/>
    <s v="USA"/>
    <s v="USA"/>
    <s v="America"/>
    <x v="0"/>
  </r>
  <r>
    <s v="Colombia Finca El Paraiso Rose Tea"/>
    <n v="94"/>
    <s v="Light"/>
    <n v="64"/>
    <n v="88"/>
    <n v="500"/>
    <s v="Taiwan"/>
    <s v="Colombia"/>
    <s v="America"/>
    <x v="1"/>
  </r>
  <r>
    <s v="Colombia Monteblanco Rodrigo Sanchez Carbonic Maceration"/>
    <n v="94"/>
    <s v="Light"/>
    <n v="56"/>
    <n v="86"/>
    <n v="7.73"/>
    <s v="USA"/>
    <s v="Colombia"/>
    <s v="America"/>
    <x v="0"/>
  </r>
  <r>
    <s v="Colombia Cauca Granja Paraiso 92 вЂ“ Pink Bourbon"/>
    <n v="94"/>
    <s v="Light"/>
    <n v="67"/>
    <n v="99"/>
    <n v="10.29"/>
    <s v="USA"/>
    <s v="Colombia"/>
    <s v="America"/>
    <x v="0"/>
  </r>
  <r>
    <s v="Ethiopia Gatta Anaerobic"/>
    <n v="94"/>
    <s v="Light"/>
    <n v="65"/>
    <n v="92"/>
    <n v="10.14"/>
    <s v="USA"/>
    <s v="Ethiopia"/>
    <s v="Africa"/>
    <x v="0"/>
  </r>
  <r>
    <s v="Colombia Osmanthus Bouquet Granja Paraiso 92"/>
    <n v="94"/>
    <s v="Light"/>
    <n v="64"/>
    <n v="82"/>
    <n v="28"/>
    <s v="South Korea"/>
    <s v="Colombia"/>
    <s v="America"/>
    <x v="1"/>
  </r>
  <r>
    <s v="Colombia Granja ParaГ­so-92- Papayo KЕЌji"/>
    <n v="95"/>
    <s v="Light"/>
    <n v="64"/>
    <n v="84"/>
    <n v="35.270000000000003"/>
    <s v="USA"/>
    <s v="Colombia"/>
    <s v="America"/>
    <x v="0"/>
  </r>
  <r>
    <s v="Ethiopia Dinkalem Ademe Wush Wush"/>
    <n v="95"/>
    <s v="Light"/>
    <n v="62"/>
    <n v="84"/>
    <n v="8.23"/>
    <s v="USA"/>
    <s v="Ethiopia"/>
    <s v="Africa"/>
    <x v="0"/>
  </r>
  <r>
    <s v="Colombia Pink Bourbon"/>
    <n v="95"/>
    <s v="Light"/>
    <n v="64"/>
    <n v="82"/>
    <n v="12"/>
    <s v="USA"/>
    <s v="Colombia"/>
    <s v="America"/>
    <x v="0"/>
  </r>
  <r>
    <s v="Kenya Kiambu Mandela Estate AA Washed Process"/>
    <n v="94"/>
    <s v="Medium Light"/>
    <n v="60"/>
    <n v="77"/>
    <n v="153.88"/>
    <s v="Taiwan"/>
    <s v="Kenya"/>
    <s v="Africa"/>
    <x v="1"/>
  </r>
  <r>
    <s v="Costa Rica VolcГЎn Azul Geisha Yeast-Washed"/>
    <n v="94"/>
    <s v="Light"/>
    <n v="62"/>
    <n v="80"/>
    <n v="349"/>
    <s v="Taiwan"/>
    <s v="Costa Rica"/>
    <s v="America"/>
    <x v="1"/>
  </r>
  <r>
    <s v="Ethiopia Yirgacheffe Adame G1 Natural"/>
    <n v="94"/>
    <s v="Light"/>
    <n v="63"/>
    <n v="79"/>
    <n v="242.5"/>
    <s v="Taiwan"/>
    <s v="Ethiopia"/>
    <s v="Africa"/>
    <x v="1"/>
  </r>
  <r>
    <s v="Kenya Gichathaini"/>
    <n v="94"/>
    <s v="Light"/>
    <n v="64"/>
    <n v="82"/>
    <n v="7.35"/>
    <s v="USA"/>
    <s v="Kenya"/>
    <s v="Africa"/>
    <x v="0"/>
  </r>
  <r>
    <s v="Guatemala Retiro del Quisaya Natural Process"/>
    <n v="94"/>
    <s v="Medium Light"/>
    <n v="59"/>
    <n v="78"/>
    <n v="5.57"/>
    <s v="USA"/>
    <s v="Guatemala"/>
    <s v="America"/>
    <x v="0"/>
  </r>
  <r>
    <s v="Ethiopia Sidama Karamo Anaerobic Natural"/>
    <n v="94"/>
    <s v="Medium Light"/>
    <n v="62"/>
    <n v="79"/>
    <n v="10.29"/>
    <s v="USA"/>
    <s v="Ethiopia"/>
    <s v="Africa"/>
    <x v="0"/>
  </r>
  <r>
    <s v="Colombia Geiner Montano"/>
    <n v="94"/>
    <s v="Medium Light"/>
    <n v="62"/>
    <n v="78"/>
    <n v="7.2"/>
    <s v="USA"/>
    <s v="Colombia"/>
    <s v="America"/>
    <x v="0"/>
  </r>
  <r>
    <s v="Kabiufa Papua New Guinea"/>
    <n v="94"/>
    <s v="Medium Light"/>
    <n v="58"/>
    <n v="77"/>
    <n v="5.88"/>
    <s v="USA"/>
    <s v="Papua New Guinea"/>
    <s v="Asia-Pacific"/>
    <x v="0"/>
  </r>
  <r>
    <s v="KaвЂu Red Catuai Peaberry"/>
    <n v="94"/>
    <s v="Medium Light"/>
    <n v="59"/>
    <n v="74"/>
    <n v="26.46"/>
    <s v="USA"/>
    <s v="USA"/>
    <s v="America"/>
    <x v="0"/>
  </r>
  <r>
    <s v="Ethiopia Kayon Mountain"/>
    <n v="94"/>
    <s v="Light"/>
    <n v="64"/>
    <n v="82"/>
    <n v="6.16"/>
    <s v="USA"/>
    <s v="Ethiopia"/>
    <s v="Africa"/>
    <x v="0"/>
  </r>
  <r>
    <s v="Panama Finca Las Nubes Geisha Microlot"/>
    <n v="94"/>
    <s v="Medium Light"/>
    <n v="60"/>
    <n v="77"/>
    <n v="6.61"/>
    <s v="USA"/>
    <s v="Panama"/>
    <s v="America"/>
    <x v="0"/>
  </r>
  <r>
    <s v="Guatemala El Milagro Bourbon Especial"/>
    <n v="95"/>
    <s v="Medium Light"/>
    <n v="60"/>
    <n v="78"/>
    <n v="8.23"/>
    <s v="USA"/>
    <s v="Guatemala"/>
    <s v="America"/>
    <x v="0"/>
  </r>
  <r>
    <s v="Costa Rica William Mora"/>
    <n v="94"/>
    <s v="Light"/>
    <n v="65"/>
    <n v="84"/>
    <n v="8.23"/>
    <s v="USA"/>
    <s v="Costa Rica"/>
    <s v="America"/>
    <x v="0"/>
  </r>
  <r>
    <s v="Ethiopia Duromina Agaro Gera"/>
    <n v="94"/>
    <s v="Light"/>
    <n v="62"/>
    <n v="81"/>
    <n v="5"/>
    <s v="USA"/>
    <s v="Ethiopia"/>
    <s v="Africa"/>
    <x v="0"/>
  </r>
  <r>
    <s v="Winter 2022 Allocation Colombia"/>
    <n v="94"/>
    <s v="Light"/>
    <n v="62"/>
    <n v="80"/>
    <n v="29.39"/>
    <s v="USA"/>
    <s v="Colombia"/>
    <s v="America"/>
    <x v="0"/>
  </r>
  <r>
    <s v="LauraвЂ™s Reserve SL34"/>
    <n v="96"/>
    <s v="Medium Light"/>
    <n v="60"/>
    <n v="80"/>
    <n v="30.84"/>
    <s v="USA"/>
    <s v="Unknown"/>
    <s v="NULL"/>
    <x v="0"/>
  </r>
  <r>
    <s v="El Salvador 2022 COE#17 El Mirador Washed Gesha"/>
    <n v="96"/>
    <s v="Medium Light"/>
    <n v="58"/>
    <n v="78"/>
    <n v="440.92"/>
    <s v="Taiwan"/>
    <s v="El Salvador"/>
    <s v="America"/>
    <x v="1"/>
  </r>
  <r>
    <s v="Panama ABU Washed Gesha Lot GW57"/>
    <n v="95"/>
    <s v="Light"/>
    <n v="64"/>
    <n v="84"/>
    <n v="0.88"/>
    <s v="Taiwan"/>
    <s v="Panama"/>
    <s v="America"/>
    <x v="1"/>
  </r>
  <r>
    <s v="Guatemala Natural El General Bistro Lot Espresso"/>
    <n v="94"/>
    <s v="Medium Light"/>
    <n v="58"/>
    <n v="76"/>
    <n v="127.87"/>
    <s v="Taiwan"/>
    <s v="Guatemala"/>
    <s v="America"/>
    <x v="1"/>
  </r>
  <r>
    <s v="Ethiopia 2022 COE#25 Natural Tadesse 74112"/>
    <n v="94"/>
    <s v="Light"/>
    <n v="65"/>
    <n v="84"/>
    <n v="396.83"/>
    <s v="Taiwan"/>
    <s v="Ethiopia"/>
    <s v="Africa"/>
    <x v="1"/>
  </r>
  <r>
    <s v="Ethiopia Washed Sidama Rumudamo"/>
    <n v="94"/>
    <s v="Light"/>
    <n v="64"/>
    <n v="86"/>
    <n v="171.96"/>
    <s v="Taiwan"/>
    <s v="Ethiopia"/>
    <s v="Africa"/>
    <x v="1"/>
  </r>
  <r>
    <s v="Lemon Sugar Wash"/>
    <n v="95"/>
    <s v="Medium Light"/>
    <n v="59"/>
    <n v="77"/>
    <n v="244.44"/>
    <s v="Taiwan"/>
    <s v="Ethiopia"/>
    <s v="Africa"/>
    <x v="1"/>
  </r>
  <r>
    <s v="Kenya Kiambu AA"/>
    <n v="95"/>
    <s v="Medium Light"/>
    <n v="60"/>
    <n v="76"/>
    <n v="288.89"/>
    <s v="Taiwan"/>
    <s v="Kenya"/>
    <s v="Africa"/>
    <x v="1"/>
  </r>
  <r>
    <s v="Colombia Geisha Allium"/>
    <n v="94"/>
    <s v="Light"/>
    <n v="62"/>
    <n v="84"/>
    <n v="28.66"/>
    <s v="USA"/>
    <s v="Colombia"/>
    <s v="America"/>
    <x v="0"/>
  </r>
  <r>
    <s v="Wilton Benitez Orange Bourbon"/>
    <n v="96"/>
    <s v="Light"/>
    <n v="60"/>
    <n v="82"/>
    <n v="8.3800000000000008"/>
    <s v="USA"/>
    <s v="Colombia"/>
    <s v="America"/>
    <x v="0"/>
  </r>
  <r>
    <s v="Kayon Mountain Ethiopia"/>
    <n v="94"/>
    <s v="Medium Light"/>
    <n v="58"/>
    <n v="78"/>
    <n v="5.29"/>
    <s v="USA"/>
    <s v="Ethiopia"/>
    <s v="Africa"/>
    <x v="0"/>
  </r>
  <r>
    <s v="Ethiopia Kochere Arefasa Washed G1"/>
    <n v="94"/>
    <s v="Light"/>
    <n v="62"/>
    <n v="80"/>
    <n v="220.26"/>
    <s v="Taiwan"/>
    <s v="Ethiopia"/>
    <s v="Africa"/>
    <x v="1"/>
  </r>
  <r>
    <s v="Colombia Granja ParaГ­so Java P14"/>
    <n v="95"/>
    <s v="Light"/>
    <n v="64"/>
    <n v="82"/>
    <n v="44.09"/>
    <s v="USA"/>
    <s v="Colombia"/>
    <s v="America"/>
    <x v="0"/>
  </r>
  <r>
    <s v="El Salvador Finca El Retiro Sudan Rume Natural"/>
    <n v="94"/>
    <s v="Medium Light"/>
    <n v="62"/>
    <n v="78"/>
    <n v="6.96"/>
    <s v="Taiwan"/>
    <s v="El Salvador"/>
    <s v="America"/>
    <x v="1"/>
  </r>
  <r>
    <s v="Ethiopia Hayissa Olocho Lot 6"/>
    <n v="94"/>
    <s v="Light"/>
    <n v="61"/>
    <n v="82"/>
    <n v="9.52"/>
    <s v="USA"/>
    <s v="Ethiopia"/>
    <s v="Africa"/>
    <x v="0"/>
  </r>
  <r>
    <s v="Nyeri Hill Kenya"/>
    <n v="94"/>
    <s v="Medium Light"/>
    <n v="58"/>
    <n v="80"/>
    <n v="6.47"/>
    <s v="USA"/>
    <s v="Kenya"/>
    <s v="Africa"/>
    <x v="0"/>
  </r>
  <r>
    <s v="Ethiopia COE #8 Sidama Arbegona Muluneh Tute Galcho 74158 Natural"/>
    <n v="95"/>
    <s v="Light"/>
    <n v="63"/>
    <n v="82"/>
    <n v="850"/>
    <s v="Taiwan"/>
    <s v="Ethiopia"/>
    <s v="Africa"/>
    <x v="1"/>
  </r>
  <r>
    <s v="Chelbessa Ethiopia"/>
    <n v="94"/>
    <s v="Medium Light"/>
    <n v="60"/>
    <n v="78"/>
    <n v="5.88"/>
    <s v="USA"/>
    <s v="Ethiopia"/>
    <s v="Africa"/>
    <x v="0"/>
  </r>
  <r>
    <s v="KaвЂ™u Tropical Punch"/>
    <n v="94"/>
    <s v="Medium Light"/>
    <n v="60"/>
    <n v="78"/>
    <n v="22.05"/>
    <s v="USA"/>
    <s v="USA"/>
    <s v="America"/>
    <x v="0"/>
  </r>
  <r>
    <s v="Ethiopia Gesha Village Illubabor Forest Lot 22/043 (Single-Terroir) Natural Process"/>
    <n v="94"/>
    <s v="Light"/>
    <n v="64"/>
    <n v="84"/>
    <n v="299"/>
    <s v="Taiwan"/>
    <s v="Ethiopia"/>
    <s v="Africa"/>
    <x v="1"/>
  </r>
  <r>
    <s v="Ethiopia Gera Genji Challa"/>
    <n v="94"/>
    <s v="Medium Light"/>
    <n v="59"/>
    <n v="77"/>
    <n v="8.23"/>
    <s v="USA"/>
    <s v="Ethiopia"/>
    <s v="Africa"/>
    <x v="0"/>
  </r>
  <r>
    <s v="Kenya Gotomboya Peaberry"/>
    <n v="94"/>
    <s v="Medium Light"/>
    <n v="59"/>
    <n v="77"/>
    <n v="7.94"/>
    <s v="USA"/>
    <s v="Kenya"/>
    <s v="Africa"/>
    <x v="0"/>
  </r>
  <r>
    <s v="Panama Hartmann Estate Chicho Gallo Amaro Gayo Natural BOP#1"/>
    <n v="94"/>
    <s v="Medium Light"/>
    <n v="60"/>
    <n v="78"/>
    <n v="549"/>
    <s v="Taiwan"/>
    <s v="Panama"/>
    <s v="America"/>
    <x v="1"/>
  </r>
  <r>
    <s v="Kenya Ichamama"/>
    <n v="94"/>
    <s v="Medium Light"/>
    <n v="59"/>
    <n v="77"/>
    <n v="8.23"/>
    <s v="USA"/>
    <s v="Kenya"/>
    <s v="Africa"/>
    <x v="0"/>
  </r>
  <r>
    <s v="Ethiopia Uchoro Nansebo Washed"/>
    <n v="95"/>
    <s v="Light"/>
    <n v="60"/>
    <n v="82"/>
    <n v="7.94"/>
    <s v="USA"/>
    <s v="Ethiopia"/>
    <s v="Africa"/>
    <x v="0"/>
  </r>
  <r>
    <s v="Nekisse Phantom Roasting"/>
    <n v="95"/>
    <s v="Light"/>
    <n v="64"/>
    <n v="83"/>
    <n v="433.33"/>
    <s v="China"/>
    <s v="Ethiopia"/>
    <s v="Africa"/>
    <x v="1"/>
  </r>
  <r>
    <s v="Colombia Finca Samboni Gesha Anaerobic Natural"/>
    <n v="94"/>
    <s v="Medium Light"/>
    <n v="62"/>
    <n v="78"/>
    <n v="8.82"/>
    <s v="USA"/>
    <s v="Colombia"/>
    <s v="America"/>
    <x v="0"/>
  </r>
  <r>
    <s v="Kambera Inari Roasting"/>
    <n v="94"/>
    <s v="Light"/>
    <n v="62"/>
    <n v="80"/>
    <n v="353.33"/>
    <s v="China"/>
    <s v="Panama"/>
    <s v="America"/>
    <x v="1"/>
  </r>
  <r>
    <s v="Colombia Don Correa Gesha"/>
    <n v="94"/>
    <s v="Light"/>
    <n v="62"/>
    <n v="80"/>
    <n v="9.69"/>
    <s v="USA"/>
    <s v="Colombia"/>
    <s v="America"/>
    <x v="0"/>
  </r>
  <r>
    <s v="Ethiopia BergWu Maker Series Yirgacheffe Wuri G1 Lot MW21/02"/>
    <n v="94"/>
    <s v="Medium Light"/>
    <n v="62"/>
    <n v="78"/>
    <n v="64"/>
    <s v="China"/>
    <s v="Ethiopia"/>
    <s v="Africa"/>
    <x v="1"/>
  </r>
  <r>
    <s v="Mexico Finca Santa Cruz COE#1b"/>
    <n v="94"/>
    <s v="Light"/>
    <n v="64"/>
    <n v="84"/>
    <n v="498"/>
    <s v="China"/>
    <s v="Mexico"/>
    <s v="America"/>
    <x v="1"/>
  </r>
  <r>
    <s v="Wilton Benitez Geisha"/>
    <n v="95"/>
    <s v="Medium Light"/>
    <n v="59"/>
    <n v="81"/>
    <n v="11.02"/>
    <s v="USA"/>
    <s v="Colombia"/>
    <s v="America"/>
    <x v="0"/>
  </r>
  <r>
    <s v="Colombia Cerro Azul Geisha"/>
    <n v="95"/>
    <s v="Light"/>
    <n v="62"/>
    <n v="80"/>
    <n v="26.01"/>
    <s v="USA"/>
    <s v="Colombia"/>
    <s v="America"/>
    <x v="0"/>
  </r>
  <r>
    <s v="Yirgacheffe Mengesha Natural"/>
    <n v="94"/>
    <s v="Medium Light"/>
    <n v="60"/>
    <n v="77"/>
    <n v="6.03"/>
    <s v="USA"/>
    <s v="Ethiopia"/>
    <s v="Africa"/>
    <x v="0"/>
  </r>
  <r>
    <s v="Panama Geisha Finca Debra Symbiosis"/>
    <n v="94"/>
    <s v="Light"/>
    <n v="62"/>
    <n v="80"/>
    <n v="39.68"/>
    <s v="USA"/>
    <s v="Panama"/>
    <s v="America"/>
    <x v="0"/>
  </r>
  <r>
    <s v="Panama Geisha Finca Debra Echo"/>
    <n v="94"/>
    <s v="Light"/>
    <n v="64"/>
    <n v="80"/>
    <n v="20"/>
    <s v="USA"/>
    <s v="Panama"/>
    <s v="America"/>
    <x v="0"/>
  </r>
  <r>
    <s v="Ethiopia Hamasho Washed"/>
    <n v="95"/>
    <s v="Light"/>
    <n v="62"/>
    <n v="81"/>
    <n v="7.35"/>
    <s v="USA"/>
    <s v="Ethiopia"/>
    <s v="Africa"/>
    <x v="0"/>
  </r>
  <r>
    <s v="Ethiopia Idido Anaerobic Natural"/>
    <n v="95"/>
    <s v="Medium Light"/>
    <n v="61"/>
    <n v="80"/>
    <n v="11.76"/>
    <s v="USA"/>
    <s v="Ethiopia"/>
    <s v="Africa"/>
    <x v="0"/>
  </r>
  <r>
    <s v="Mexico Cup of Excellence #7"/>
    <n v="94"/>
    <s v="Light"/>
    <n v="62"/>
    <n v="80"/>
    <n v="11.76"/>
    <s v="USA"/>
    <s v="Mexico"/>
    <s v="America"/>
    <x v="0"/>
  </r>
  <r>
    <s v="Ethiopia Reko Yirgacheffe"/>
    <n v="94"/>
    <s v="Medium Light"/>
    <n v="60"/>
    <n v="76"/>
    <n v="6.91"/>
    <s v="USA"/>
    <s v="Ethiopia"/>
    <s v="Africa"/>
    <x v="0"/>
  </r>
  <r>
    <s v="Double-Anaerobic Fermentation Tamiru Tadesse"/>
    <n v="94"/>
    <s v="Light"/>
    <n v="62"/>
    <n v="80"/>
    <n v="14.11"/>
    <s v="USA"/>
    <s v="Ethiopia"/>
    <s v="Africa"/>
    <x v="0"/>
  </r>
  <r>
    <s v="Ethiopia Chelbesa Danche Yirgacheffe"/>
    <n v="94"/>
    <s v="Medium Light"/>
    <n v="60"/>
    <n v="77"/>
    <n v="7.05"/>
    <s v="USA"/>
    <s v="Ethiopia"/>
    <s v="Africa"/>
    <x v="0"/>
  </r>
  <r>
    <s v="Ethiopia Honey Process Tamiru Tadesse"/>
    <n v="94"/>
    <s v="Light"/>
    <n v="64"/>
    <n v="83"/>
    <n v="12.35"/>
    <s v="USA"/>
    <s v="Ethiopia"/>
    <s v="Africa"/>
    <x v="0"/>
  </r>
  <r>
    <s v="Ethiopia Halo Beriti"/>
    <n v="96"/>
    <s v="Medium Light"/>
    <n v="60"/>
    <n v="77"/>
    <n v="6.16"/>
    <s v="USA"/>
    <s v="Ethiopia"/>
    <s v="Africa"/>
    <x v="0"/>
  </r>
  <r>
    <s v="Narsha Gesha"/>
    <n v="96"/>
    <s v="Light"/>
    <n v="63"/>
    <n v="81"/>
    <n v="17.5"/>
    <s v="USA"/>
    <s v="Ethiopia"/>
    <s v="Africa"/>
    <x v="0"/>
  </r>
  <r>
    <s v="Ethiopia Washed Guji Uraga Welichu"/>
    <n v="96"/>
    <s v="Medium Light"/>
    <n v="58"/>
    <n v="78"/>
    <n v="165.34"/>
    <s v="Taiwan"/>
    <s v="Ethiopia"/>
    <s v="Africa"/>
    <x v="1"/>
  </r>
  <r>
    <s v="Don Roger &amp; IsabelвЂ™s Natural Fruit Symphony"/>
    <n v="94"/>
    <s v="Medium Light"/>
    <n v="60"/>
    <n v="77"/>
    <n v="10.86"/>
    <s v="USA"/>
    <s v="Nicaragua"/>
    <s v="America"/>
    <x v="0"/>
  </r>
  <r>
    <s v="Kenya Gitare AA TOP"/>
    <n v="95"/>
    <s v="Light"/>
    <n v="62"/>
    <n v="80"/>
    <n v="149.91"/>
    <s v="Taiwan"/>
    <s v="Kenya"/>
    <s v="Africa"/>
    <x v="1"/>
  </r>
  <r>
    <s v="Yemen Natural SanaвЂ™a Manakhah JaвЂ™adi"/>
    <n v="95"/>
    <s v="Medium Light"/>
    <n v="58"/>
    <n v="77"/>
    <n v="793.65"/>
    <s v="Taiwan"/>
    <s v="Yemen"/>
    <s v="Africa"/>
    <x v="1"/>
  </r>
  <r>
    <s v="Ethiopia Bench Maji Gesha Special Natural Lot 03"/>
    <n v="95"/>
    <s v="Light"/>
    <n v="64"/>
    <n v="81"/>
    <n v="176.37"/>
    <s v="Taiwan"/>
    <s v="Ethiopia"/>
    <s v="Africa"/>
    <x v="1"/>
  </r>
  <r>
    <s v="Ethiopia Yirgacheffe Kochere Debo Premium Lot Washed Process"/>
    <n v="94"/>
    <s v="Light"/>
    <n v="62"/>
    <n v="80"/>
    <n v="202.38"/>
    <s v="Taiwan"/>
    <s v="Ethiopia"/>
    <s v="Africa"/>
    <x v="1"/>
  </r>
  <r>
    <s v="Ethiopia Natural Yirgacheffe Burtukaana Danche"/>
    <n v="94"/>
    <s v="Medium Light"/>
    <n v="60"/>
    <n v="78"/>
    <n v="154.32"/>
    <s v="Taiwan"/>
    <s v="Ethiopia"/>
    <s v="Africa"/>
    <x v="1"/>
  </r>
  <r>
    <s v="Ethiopia Hateso Guji Washed"/>
    <n v="94"/>
    <s v="Medium Light"/>
    <n v="59"/>
    <n v="78"/>
    <n v="5.88"/>
    <s v="USA"/>
    <s v="Ethiopia"/>
    <s v="Africa"/>
    <x v="0"/>
  </r>
  <r>
    <s v="Guatemala El Injerto Pacamara"/>
    <n v="94"/>
    <s v="Medium Light"/>
    <n v="58"/>
    <n v="74"/>
    <n v="12.93"/>
    <s v="USA"/>
    <s v="Guatemala"/>
    <s v="America"/>
    <x v="0"/>
  </r>
  <r>
    <s v="Colombia Finca Samboni Gesha Anaerobic Natural"/>
    <n v="95"/>
    <s v="Light"/>
    <n v="62"/>
    <n v="80"/>
    <n v="13.23"/>
    <s v="USA"/>
    <s v="Colombia"/>
    <s v="America"/>
    <x v="0"/>
  </r>
  <r>
    <s v="Colombia Tres Dragones"/>
    <n v="94"/>
    <s v="Light"/>
    <n v="64"/>
    <n v="84"/>
    <n v="8.11"/>
    <s v="USA"/>
    <s v="Colombia"/>
    <s v="America"/>
    <x v="0"/>
  </r>
  <r>
    <s v="Rwanda Cyesha Natural"/>
    <n v="94"/>
    <s v="Medium Light"/>
    <n v="58"/>
    <n v="74"/>
    <n v="7.64"/>
    <s v="USA"/>
    <s v="Rwanda"/>
    <s v="Africa"/>
    <x v="0"/>
  </r>
  <r>
    <s v="Espresso No. 3"/>
    <n v="94"/>
    <s v="Medium Light"/>
    <n v="54"/>
    <n v="78"/>
    <n v="5.88"/>
    <s v="Guatemala"/>
    <s v="Guatemala"/>
    <s v="America"/>
    <x v="0"/>
  </r>
  <r>
    <s v="Finca Santa Isabel"/>
    <n v="94"/>
    <s v="Medium Light"/>
    <n v="58"/>
    <n v="76"/>
    <n v="3.82"/>
    <s v="Guatemala"/>
    <s v="Guatemala"/>
    <s v="America"/>
    <x v="0"/>
  </r>
  <r>
    <s v="Colombia Castillo Fruit Maceration Series (Passionfruit)"/>
    <n v="95"/>
    <s v="Medium Light"/>
    <n v="58"/>
    <n v="78"/>
    <n v="11.02"/>
    <s v="USA"/>
    <s v="Colombia"/>
    <s v="America"/>
    <x v="0"/>
  </r>
  <r>
    <s v="Colombia Castillo Fruit Maceration Series (Strawberry)"/>
    <n v="94"/>
    <s v="Medium Light"/>
    <n v="61"/>
    <n v="78"/>
    <n v="11.02"/>
    <s v="USA"/>
    <s v="Colombia"/>
    <s v="America"/>
    <x v="0"/>
  </r>
  <r>
    <s v="Colombia Castillo Fruit Maceration Series (Peach)"/>
    <n v="94"/>
    <s v="Medium Light"/>
    <n v="60"/>
    <n v="77"/>
    <n v="11.02"/>
    <s v="USA"/>
    <s v="Colombia"/>
    <s v="America"/>
    <x v="0"/>
  </r>
  <r>
    <s v="Full Moon Espresso"/>
    <n v="95"/>
    <s v="Medium"/>
    <n v="48"/>
    <n v="64"/>
    <n v="275"/>
    <s v="Taiwan"/>
    <s v="Costa Rica"/>
    <s v="America"/>
    <x v="1"/>
  </r>
  <r>
    <s v="Ethiopia Sidama Tamiru Tadesse Anaerobic Natural Special Auction Lot"/>
    <n v="95"/>
    <s v="Light"/>
    <n v="62"/>
    <n v="80"/>
    <n v="8.82"/>
    <s v="Taiwan"/>
    <s v="Ethiopia"/>
    <s v="Africa"/>
    <x v="1"/>
  </r>
  <r>
    <s v="Colombia La Esperanza 100% Geisha Hanashaku"/>
    <n v="94"/>
    <s v="Light"/>
    <n v="65"/>
    <n v="81"/>
    <n v="440.92"/>
    <s v="Taiwan"/>
    <s v="Colombia"/>
    <s v="America"/>
    <x v="1"/>
  </r>
  <r>
    <s v="Kona Extra Fancy"/>
    <n v="95"/>
    <s v="Medium Light"/>
    <n v="58"/>
    <n v="74"/>
    <n v="13.52"/>
    <s v="USA"/>
    <s v="USA"/>
    <s v="America"/>
    <x v="0"/>
  </r>
  <r>
    <s v="Costa Rica Las Lajas Perla Negra"/>
    <n v="94"/>
    <s v="Medium Light"/>
    <n v="57"/>
    <n v="76"/>
    <n v="5.57"/>
    <s v="USA"/>
    <s v="Costa Rica"/>
    <s v="America"/>
    <x v="0"/>
  </r>
  <r>
    <s v="Ecuador COE 1st place Arashi Typica Mejorado Washed"/>
    <n v="96"/>
    <s v="Light"/>
    <n v="62"/>
    <n v="80"/>
    <n v="4000"/>
    <s v="Taiwan"/>
    <s v="Ecuador"/>
    <s v="America"/>
    <x v="1"/>
  </r>
  <r>
    <s v="Ethiopia Getu Kurume Natural"/>
    <n v="95"/>
    <s v="Light"/>
    <n v="64"/>
    <n v="86"/>
    <n v="202.82"/>
    <s v="Taiwan"/>
    <s v="Ethiopia"/>
    <s v="Africa"/>
    <x v="1"/>
  </r>
  <r>
    <s v="Fruit of the Goddess Espresso Blend"/>
    <n v="94"/>
    <s v="Medium Light"/>
    <n v="52"/>
    <n v="70"/>
    <n v="121.15"/>
    <s v="Taiwan"/>
    <s v="Ethiopia"/>
    <s v="Africa"/>
    <x v="1"/>
  </r>
  <r>
    <s v="Papua New Guinea Wahgi Valley Sigri Estate Peaberry"/>
    <n v="94"/>
    <s v="Medium Light"/>
    <n v="57"/>
    <n v="77"/>
    <n v="242.29"/>
    <s v="Taiwan"/>
    <s v="Papua New Guinea"/>
    <s v="Asia-Pacific"/>
    <x v="1"/>
  </r>
  <r>
    <s v="Kenya Nyeri Asali Peaberry"/>
    <n v="95"/>
    <s v="Medium Light"/>
    <n v="60"/>
    <n v="77"/>
    <n v="220.26"/>
    <s v="Taiwan"/>
    <s v="Kenya"/>
    <s v="Africa"/>
    <x v="1"/>
  </r>
  <r>
    <s v="Memories of Autumn"/>
    <n v="94"/>
    <s v="Light"/>
    <n v="64"/>
    <n v="82"/>
    <n v="175.93"/>
    <s v="Taiwan"/>
    <s v="Colombia"/>
    <s v="America"/>
    <x v="1"/>
  </r>
  <r>
    <s v="Ethiopia Gera Estate Anaerobic Natural"/>
    <n v="95"/>
    <s v="Medium Light"/>
    <n v="60"/>
    <n v="78"/>
    <n v="6.47"/>
    <s v="USA"/>
    <s v="Ethiopia"/>
    <s v="Africa"/>
    <x v="0"/>
  </r>
  <r>
    <s v="Colombia Cauca Finca El Paraiso Double-Anaerobic Flor Lychee"/>
    <n v="95"/>
    <s v="Medium Light"/>
    <n v="60"/>
    <n v="78"/>
    <n v="424.6"/>
    <s v="Taiwan"/>
    <s v="Colombia"/>
    <s v="America"/>
    <x v="1"/>
  </r>
  <r>
    <s v="Costa Rica Cerro Dragon Geisha Honey"/>
    <n v="94"/>
    <s v="Medium Light"/>
    <n v="59"/>
    <n v="78"/>
    <n v="8.82"/>
    <s v="USA"/>
    <s v="Costa Rica"/>
    <s v="America"/>
    <x v="0"/>
  </r>
  <r>
    <s v="Guatemala Washed El Injerto EI05 Mocca"/>
    <n v="96"/>
    <s v="Light"/>
    <n v="61"/>
    <n v="81"/>
    <n v="1058.2"/>
    <s v="Taiwan"/>
    <s v="Guatemala"/>
    <s v="America"/>
    <x v="1"/>
  </r>
  <r>
    <s v="Taiwan Natural Alishan Zhuo-Wu Geisha"/>
    <n v="95"/>
    <s v="Medium Light"/>
    <n v="60"/>
    <n v="78"/>
    <n v="1200"/>
    <s v="Taiwan"/>
    <s v="Taiwan"/>
    <s v="Asia-Pacific"/>
    <x v="1"/>
  </r>
  <r>
    <s v="Ethiopia Natural Guji Uraga Tome 74110 Lot K06"/>
    <n v="95"/>
    <s v="Light"/>
    <n v="63"/>
    <n v="85"/>
    <n v="143.30000000000001"/>
    <s v="Taiwan"/>
    <s v="Ethiopia"/>
    <s v="Africa"/>
    <x v="1"/>
  </r>
  <r>
    <s v="Kenya Gathaithi AA"/>
    <n v="94"/>
    <s v="Medium Light"/>
    <n v="58"/>
    <n v="76"/>
    <n v="5.6"/>
    <s v="USA"/>
    <s v="Kenya"/>
    <s v="Africa"/>
    <x v="0"/>
  </r>
  <r>
    <s v="Ethiopia Guji Uraga Tobutu Tuta G1 Experimental LOT 181NA2021"/>
    <n v="95"/>
    <s v="Light"/>
    <n v="72"/>
    <n v="90"/>
    <n v="12.5"/>
    <s v="Japan"/>
    <s v="Ethiopia"/>
    <s v="Africa"/>
    <x v="1"/>
  </r>
  <r>
    <s v="Colombia Jardines del Eden Pink Bourbon Wine Yeast Honey"/>
    <n v="94"/>
    <s v="Light"/>
    <n v="64"/>
    <n v="86"/>
    <n v="12"/>
    <s v="Canada"/>
    <s v="Colombia"/>
    <s v="America"/>
    <x v="0"/>
  </r>
  <r>
    <s v="Colombia Cerro Azul Enano"/>
    <n v="94"/>
    <s v="Medium Light"/>
    <n v="60"/>
    <n v="77"/>
    <n v="7.64"/>
    <s v="USA"/>
    <s v="Colombia"/>
    <s v="America"/>
    <x v="0"/>
  </r>
  <r>
    <s v="Peru Incahuasi"/>
    <n v="94"/>
    <s v="Medium Light"/>
    <n v="58"/>
    <n v="78"/>
    <n v="7.64"/>
    <s v="USA"/>
    <s v="Peru"/>
    <s v="America"/>
    <x v="0"/>
  </r>
  <r>
    <s v="Reina de la Asuncion Ecuador"/>
    <n v="94"/>
    <s v="Medium Light"/>
    <n v="58"/>
    <n v="74"/>
    <n v="5.88"/>
    <s v="USA"/>
    <s v="Ecuador"/>
    <s v="America"/>
    <x v="0"/>
  </r>
  <r>
    <s v="Ethiopia Guji Uraga More Floral Kudume Washed"/>
    <n v="95"/>
    <s v="Light"/>
    <n v="65"/>
    <n v="82"/>
    <n v="275"/>
    <s v="Taiwan"/>
    <s v="Ethiopia"/>
    <s v="Africa"/>
    <x v="1"/>
  </r>
  <r>
    <s v="Ethiopia Guji Uraga More Floral Kudume Natural"/>
    <n v="94"/>
    <s v="Medium Light"/>
    <n v="62"/>
    <n v="77"/>
    <n v="275"/>
    <s v="Taiwan"/>
    <s v="Ethiopia"/>
    <s v="Africa"/>
    <x v="1"/>
  </r>
  <r>
    <s v="Kenya Nyeri Hill"/>
    <n v="94"/>
    <s v="Medium Light"/>
    <n v="60"/>
    <n v="78"/>
    <n v="6.45"/>
    <s v="USA"/>
    <s v="Kenya"/>
    <s v="Africa"/>
    <x v="0"/>
  </r>
  <r>
    <s v="Kenya AA TOP Nairobi Rose"/>
    <n v="94"/>
    <s v="Medium Light"/>
    <n v="60"/>
    <n v="77"/>
    <n v="176.37"/>
    <s v="Taiwan"/>
    <s v="Kenya"/>
    <s v="Africa"/>
    <x v="1"/>
  </r>
  <r>
    <s v="Kahiko"/>
    <n v="96"/>
    <s v="Medium Light"/>
    <n v="56"/>
    <n v="74"/>
    <n v="21.14"/>
    <s v="USA"/>
    <s v="Unknown"/>
    <s v="NULL"/>
    <x v="0"/>
  </r>
  <r>
    <s v="Kenya Ndumberi Peaberry"/>
    <n v="94"/>
    <s v="Medium Light"/>
    <n v="58"/>
    <n v="77"/>
    <n v="6.8"/>
    <s v="USA"/>
    <s v="Kenya"/>
    <s v="Africa"/>
    <x v="0"/>
  </r>
  <r>
    <s v="Taiwan Alishan Espresso Pacamara Natural"/>
    <n v="94"/>
    <s v="Medium"/>
    <n v="48"/>
    <n v="67"/>
    <n v="1000"/>
    <s v="Taiwan"/>
    <s v="Taiwan"/>
    <s v="Asia-Pacific"/>
    <x v="1"/>
  </r>
  <r>
    <s v="Ethiopia Gera Reserve Anaerobic Natural"/>
    <n v="94"/>
    <s v="Light"/>
    <n v="62"/>
    <n v="84"/>
    <n v="6.88"/>
    <s v="USA"/>
    <s v="Ethiopia"/>
    <s v="Africa"/>
    <x v="0"/>
  </r>
  <r>
    <s v="Kenya Ngaita Peaberry"/>
    <n v="94"/>
    <s v="Medium Light"/>
    <n v="60"/>
    <n v="77"/>
    <n v="6.8"/>
    <s v="USA"/>
    <s v="Kenya"/>
    <s v="Africa"/>
    <x v="0"/>
  </r>
  <r>
    <s v="Kenya AB"/>
    <n v="94"/>
    <s v="Light"/>
    <n v="64"/>
    <n v="84"/>
    <n v="326.08999999999997"/>
    <s v="Taiwan"/>
    <s v="Kenya"/>
    <s v="Africa"/>
    <x v="1"/>
  </r>
  <r>
    <s v="Kona Noir"/>
    <n v="94"/>
    <s v="Light"/>
    <n v="62"/>
    <n v="80"/>
    <n v="25.57"/>
    <s v="USA"/>
    <s v="USA"/>
    <s v="America"/>
    <x v="0"/>
  </r>
  <r>
    <s v="Kona Red Bourbon"/>
    <n v="94"/>
    <s v="Medium Light"/>
    <n v="60"/>
    <n v="78"/>
    <n v="17.28"/>
    <s v="USA"/>
    <s v="USA"/>
    <s v="America"/>
    <x v="0"/>
  </r>
  <r>
    <s v="Kenya Washed Nyeri Hill Farm AA Top"/>
    <n v="96"/>
    <s v="Medium Light"/>
    <n v="60"/>
    <n v="77"/>
    <n v="171.96"/>
    <s v="Taiwan"/>
    <s v="Kenya"/>
    <s v="Africa"/>
    <x v="1"/>
  </r>
  <r>
    <s v="Ethiopia Nano Genji"/>
    <n v="95"/>
    <s v="Light"/>
    <n v="62"/>
    <n v="80"/>
    <n v="7.5"/>
    <s v="USA"/>
    <s v="Ethiopia"/>
    <s v="Africa"/>
    <x v="0"/>
  </r>
  <r>
    <s v="Ethiopia Natural Sidama Abebe 74110"/>
    <n v="95"/>
    <s v="Light"/>
    <n v="62"/>
    <n v="80"/>
    <n v="264.55"/>
    <s v="Taiwan"/>
    <s v="Ethiopia"/>
    <s v="Africa"/>
    <x v="1"/>
  </r>
  <r>
    <s v="Ethiopia Natural Guji TAMIRU 74158 Kakalove Lot"/>
    <n v="95"/>
    <s v="Light"/>
    <n v="64"/>
    <n v="84"/>
    <n v="308.64"/>
    <s v="Taiwan"/>
    <s v="Ethiopia"/>
    <s v="Africa"/>
    <x v="1"/>
  </r>
  <r>
    <s v="Rwanda Sholi Natural Single-Origin Espresso"/>
    <n v="94"/>
    <s v="Medium Light"/>
    <n v="56"/>
    <n v="72"/>
    <n v="6.47"/>
    <s v="USA"/>
    <s v="Rwanda"/>
    <s v="Africa"/>
    <x v="0"/>
  </r>
  <r>
    <s v="Guatemala Washed Finca El General Lot SummerEnd Espresso"/>
    <n v="94"/>
    <s v="Medium Light"/>
    <n v="56"/>
    <n v="74"/>
    <n v="105.82"/>
    <s v="Taiwan"/>
    <s v="Guatemala"/>
    <s v="America"/>
    <x v="1"/>
  </r>
  <r>
    <s v="Guatemala Washed Acatenango Finca El General Pacamara Espresso"/>
    <n v="94"/>
    <s v="Medium Light"/>
    <n v="58"/>
    <n v="78"/>
    <n v="154.32"/>
    <s v="Taiwan"/>
    <s v="Guatemala"/>
    <s v="America"/>
    <x v="1"/>
  </r>
  <r>
    <s v="Finca Cerro Azul Aces Lot"/>
    <n v="94"/>
    <s v="Medium Light"/>
    <n v="61"/>
    <n v="79"/>
    <n v="14.22"/>
    <s v="USA"/>
    <s v="Mexico"/>
    <s v="America"/>
    <x v="0"/>
  </r>
  <r>
    <s v="Gachatha Kenya"/>
    <n v="96"/>
    <s v="Medium Light"/>
    <n v="59"/>
    <n v="77"/>
    <n v="7.05"/>
    <s v="USA"/>
    <s v="Kenya"/>
    <s v="Africa"/>
    <x v="0"/>
  </r>
  <r>
    <s v="Geisha Spirit"/>
    <n v="94"/>
    <s v="Medium Light"/>
    <n v="58"/>
    <n v="78"/>
    <n v="11.61"/>
    <s v="USA"/>
    <s v="Colombia"/>
    <s v="America"/>
    <x v="0"/>
  </r>
  <r>
    <s v="Colombia Sudan Rume"/>
    <n v="95"/>
    <s v="Light"/>
    <n v="64"/>
    <n v="82"/>
    <n v="35.270000000000003"/>
    <s v="USA"/>
    <s v="Colombia"/>
    <s v="America"/>
    <x v="0"/>
  </r>
  <r>
    <s v="El Duende Peru"/>
    <n v="94"/>
    <s v="Medium Light"/>
    <n v="58"/>
    <n v="76"/>
    <n v="5"/>
    <s v="USA"/>
    <s v="Peru"/>
    <s v="America"/>
    <x v="0"/>
  </r>
  <r>
    <s v="Ethiopia Yirgacheffe G1 Idido Natural"/>
    <n v="95"/>
    <s v="Light"/>
    <n v="65"/>
    <n v="85"/>
    <n v="275"/>
    <s v="Taiwan"/>
    <s v="Ethiopia"/>
    <s v="Africa"/>
    <x v="1"/>
  </r>
  <r>
    <s v="Colombia Pink Bourbon Filadelfia"/>
    <n v="95"/>
    <s v="Light"/>
    <n v="64"/>
    <n v="82"/>
    <n v="9.17"/>
    <s v="USA"/>
    <s v="Colombia"/>
    <s v="America"/>
    <x v="0"/>
  </r>
  <r>
    <s v="Ethiopia Kayon Mountain"/>
    <n v="94"/>
    <s v="Medium Light"/>
    <n v="60"/>
    <n v="78"/>
    <n v="5.88"/>
    <s v="USA"/>
    <s v="Ethiopia"/>
    <s v="Africa"/>
    <x v="0"/>
  </r>
  <r>
    <s v="Kenya"/>
    <n v="95"/>
    <s v="Medium Light"/>
    <n v="62"/>
    <n v="77"/>
    <n v="264.32"/>
    <s v="Taiwan"/>
    <s v="Kenya"/>
    <s v="Africa"/>
    <x v="1"/>
  </r>
  <r>
    <s v="Karen J Kona Red Bourbon"/>
    <n v="96"/>
    <s v="Medium Light"/>
    <n v="58"/>
    <n v="78"/>
    <n v="24.23"/>
    <s v="USA"/>
    <s v="USA"/>
    <s v="America"/>
    <x v="0"/>
  </r>
  <r>
    <s v="Ethiopia Worka Sakaro"/>
    <n v="95"/>
    <s v="Medium Light"/>
    <n v="60"/>
    <n v="78"/>
    <n v="6.47"/>
    <s v="USA"/>
    <s v="Ethiopia"/>
    <s v="Africa"/>
    <x v="0"/>
  </r>
  <r>
    <s v="Colombia Geisha"/>
    <n v="94"/>
    <s v="Medium Light"/>
    <n v="58"/>
    <n v="76"/>
    <n v="10.58"/>
    <s v="USA"/>
    <s v="Colombia"/>
    <s v="America"/>
    <x v="0"/>
  </r>
  <r>
    <s v="Colombia Don Ruiz Anaerobic"/>
    <n v="95"/>
    <s v="Medium Light"/>
    <n v="60"/>
    <n v="78"/>
    <n v="8.3800000000000008"/>
    <s v="USA"/>
    <s v="Colombia"/>
    <s v="America"/>
    <x v="0"/>
  </r>
  <r>
    <s v="Colombia FUDAM NariГ±o"/>
    <n v="94"/>
    <s v="Light"/>
    <n v="62"/>
    <n v="80"/>
    <n v="5.44"/>
    <s v="USA"/>
    <s v="Colombia"/>
    <s v="America"/>
    <x v="0"/>
  </r>
  <r>
    <s v="Ethiopia Durato Bombe"/>
    <n v="95"/>
    <s v="Light"/>
    <n v="68"/>
    <n v="92"/>
    <n v="7.05"/>
    <s v="USA"/>
    <s v="Ethiopia"/>
    <s v="Africa"/>
    <x v="0"/>
  </r>
  <r>
    <s v="Pantan Musara Sumatra"/>
    <n v="94"/>
    <s v="Medium Light"/>
    <n v="58"/>
    <n v="76"/>
    <n v="6.17"/>
    <s v="USA"/>
    <s v="Indonesia"/>
    <s v="Asia-Pacific"/>
    <x v="0"/>
  </r>
  <r>
    <s v="Sumatra Takengon Gayo Natural"/>
    <n v="94"/>
    <s v="Light"/>
    <n v="62"/>
    <n v="80"/>
    <n v="4.74"/>
    <s v="USA"/>
    <s v="Indonesia"/>
    <s v="Asia-Pacific"/>
    <x v="0"/>
  </r>
  <r>
    <s v="Nano Genji #7"/>
    <n v="95"/>
    <s v="Medium Light"/>
    <n v="58"/>
    <n v="78"/>
    <n v="5.59"/>
    <s v="USA"/>
    <s v="Ethiopia"/>
    <s v="Africa"/>
    <x v="0"/>
  </r>
  <r>
    <s v="Panama Auromar Camilina Geisha Natural"/>
    <n v="95"/>
    <s v="Medium Light"/>
    <n v="60"/>
    <n v="78"/>
    <n v="44.09"/>
    <s v="USA"/>
    <s v="Panama"/>
    <s v="America"/>
    <x v="0"/>
  </r>
  <r>
    <s v="Tio Conejo Colombia"/>
    <n v="94"/>
    <s v="Medium Light"/>
    <n v="58"/>
    <n v="76"/>
    <n v="7.94"/>
    <s v="USA"/>
    <s v="Colombia"/>
    <s v="America"/>
    <x v="0"/>
  </r>
  <r>
    <s v="Panama Auromar Ironman Geisha Washed Process"/>
    <n v="94"/>
    <s v="Medium Light"/>
    <n v="60"/>
    <n v="78"/>
    <n v="44.09"/>
    <s v="USA"/>
    <s v="Panama"/>
    <s v="America"/>
    <x v="0"/>
  </r>
  <r>
    <s v="Cruz Loma"/>
    <n v="94"/>
    <s v="Medium Light"/>
    <n v="57"/>
    <n v="75"/>
    <n v="11.02"/>
    <s v="USA"/>
    <s v="Ecuador"/>
    <s v="America"/>
    <x v="0"/>
  </r>
  <r>
    <s v="Panama Elida Washed Gesha"/>
    <n v="95"/>
    <s v="Light"/>
    <n v="64"/>
    <n v="84"/>
    <n v="40"/>
    <s v="USA"/>
    <s v="Panama"/>
    <s v="America"/>
    <x v="0"/>
  </r>
  <r>
    <s v="El Salvador Finca La Esperanza"/>
    <n v="94"/>
    <s v="Medium Light"/>
    <n v="62"/>
    <n v="78"/>
    <n v="6.09"/>
    <s v="Taiwan"/>
    <s v="El Salvador"/>
    <s v="America"/>
    <x v="1"/>
  </r>
  <r>
    <s v="Panama Hacienda La Esmeralda Super Mario Geisha Yeast Washed"/>
    <n v="95"/>
    <s v="Medium Light"/>
    <n v="60"/>
    <n v="77"/>
    <n v="2083.33"/>
    <s v="Taiwan"/>
    <s v="Panama"/>
    <s v="America"/>
    <x v="1"/>
  </r>
  <r>
    <s v="Quartet Kaffe Blend No.10"/>
    <n v="94"/>
    <s v="Medium Light"/>
    <n v="56"/>
    <n v="72"/>
    <n v="250"/>
    <s v="Taiwan"/>
    <s v="Panama"/>
    <s v="America"/>
    <x v="1"/>
  </r>
  <r>
    <s v="Ethiopia Anasora Extended Natural Special Lot"/>
    <n v="94"/>
    <s v="Medium Light"/>
    <n v="60"/>
    <n v="76"/>
    <n v="440"/>
    <s v="Taiwan"/>
    <s v="Ethiopia"/>
    <s v="Africa"/>
    <x v="1"/>
  </r>
  <r>
    <s v="Ethiopia Honey Yirgacheffe Idido G1"/>
    <n v="95"/>
    <s v="Medium Light"/>
    <n v="60"/>
    <n v="80"/>
    <n v="154.32"/>
    <s v="Taiwan"/>
    <s v="Ethiopia"/>
    <s v="Africa"/>
    <x v="1"/>
  </r>
  <r>
    <s v="Taiwan Natural Alishan Ching-Ye Farm"/>
    <n v="94"/>
    <s v="Medium Light"/>
    <n v="58"/>
    <n v="76"/>
    <n v="485.01"/>
    <s v="Taiwan"/>
    <s v="Taiwan"/>
    <s v="Asia-Pacific"/>
    <x v="1"/>
  </r>
  <r>
    <s v="Hawaii KaвЂЕ« Bourbon Anaerobic Natural"/>
    <n v="95"/>
    <s v="Medium Light"/>
    <n v="57"/>
    <n v="74"/>
    <n v="26.46"/>
    <s v="USA"/>
    <s v="USA"/>
    <s v="America"/>
    <x v="0"/>
  </r>
  <r>
    <s v="Chelchele Ethiopia"/>
    <n v="94"/>
    <s v="Medium Light"/>
    <n v="58"/>
    <n v="78"/>
    <n v="5.59"/>
    <s v="USA"/>
    <s v="Ethiopia"/>
    <s v="Africa"/>
    <x v="0"/>
  </r>
  <r>
    <s v="Colombia Antioquia Magico"/>
    <n v="94"/>
    <s v="Light"/>
    <n v="62"/>
    <n v="80"/>
    <n v="11.17"/>
    <s v="USA"/>
    <s v="Colombia"/>
    <s v="America"/>
    <x v="0"/>
  </r>
  <r>
    <s v="Costa Rica Hacienda La Minita"/>
    <n v="94"/>
    <s v="Medium Light"/>
    <n v="57"/>
    <n v="73"/>
    <n v="5.14"/>
    <s v="USA"/>
    <s v="Costa Rica"/>
    <s v="America"/>
    <x v="0"/>
  </r>
  <r>
    <s v="El Salvador Aida Batlle La Florida Natural"/>
    <n v="95"/>
    <s v="Medium Light"/>
    <n v="56"/>
    <n v="74"/>
    <n v="5.48"/>
    <s v="USA"/>
    <s v="El Salvador"/>
    <s v="America"/>
    <x v="0"/>
  </r>
  <r>
    <s v="Colombia Geisha Cordillera"/>
    <n v="95"/>
    <s v="Medium Light"/>
    <n v="58"/>
    <n v="78"/>
    <n v="28.66"/>
    <s v="USA"/>
    <s v="Colombia"/>
    <s v="America"/>
    <x v="0"/>
  </r>
  <r>
    <s v="Ethiopia Raro Boda"/>
    <n v="94"/>
    <s v="Medium Light"/>
    <n v="56"/>
    <n v="74"/>
    <n v="6.47"/>
    <s v="USA"/>
    <s v="Ethiopia"/>
    <s v="Africa"/>
    <x v="0"/>
  </r>
  <r>
    <s v="Costa Rica Bounty Gesha"/>
    <n v="94"/>
    <s v="Medium Light"/>
    <n v="60"/>
    <n v="78"/>
    <n v="11.6"/>
    <s v="USA"/>
    <s v="Costa Rica"/>
    <s v="America"/>
    <x v="0"/>
  </r>
  <r>
    <s v="Panama Static Gesha Natural"/>
    <n v="95"/>
    <s v="Medium Light"/>
    <n v="58"/>
    <n v="77"/>
    <n v="13.23"/>
    <s v="USA"/>
    <s v="Panama"/>
    <s v="America"/>
    <x v="0"/>
  </r>
  <r>
    <s v="Panama La Mula Geisha Washed"/>
    <n v="95"/>
    <s v="Light"/>
    <n v="60"/>
    <n v="82"/>
    <n v="3000"/>
    <s v="Taiwan"/>
    <s v="Panama"/>
    <s v="America"/>
    <x v="1"/>
  </r>
  <r>
    <s v="Costa Rica San Gabriel SL28 Anaerobic Natural"/>
    <n v="94"/>
    <s v="Medium Light"/>
    <n v="58"/>
    <n v="76"/>
    <n v="300"/>
    <s v="Taiwan"/>
    <s v="Costa Rica"/>
    <s v="America"/>
    <x v="1"/>
  </r>
  <r>
    <s v="Burundi Kibingo Intenso"/>
    <n v="94"/>
    <s v="Medium Light"/>
    <n v="57"/>
    <n v="74"/>
    <n v="6.17"/>
    <s v="USA"/>
    <s v="Burundi"/>
    <s v="Africa"/>
    <x v="0"/>
  </r>
  <r>
    <s v="Ecuador PeГ±aherrera AAA"/>
    <n v="95"/>
    <s v="Medium Light"/>
    <n v="58"/>
    <n v="76"/>
    <n v="7.35"/>
    <s v="USA"/>
    <s v="Ecuador"/>
    <s v="America"/>
    <x v="0"/>
  </r>
  <r>
    <s v="Panama Hacienda La Esmeralda Porton 5N49 Gesha Natural"/>
    <n v="95"/>
    <s v="Medium Light"/>
    <n v="60"/>
    <n v="77"/>
    <n v="28.66"/>
    <s v="USA"/>
    <s v="Panama"/>
    <s v="America"/>
    <x v="0"/>
  </r>
  <r>
    <s v="Kona SL34 Champagne Natural Uluwehi Farm"/>
    <n v="95"/>
    <s v="Medium Light"/>
    <n v="58"/>
    <n v="76"/>
    <n v="26.46"/>
    <s v="USA"/>
    <s v="USA"/>
    <s v="America"/>
    <x v="0"/>
  </r>
  <r>
    <s v="Ethiopia Yirgacheffe Adado"/>
    <n v="94"/>
    <s v="Medium Light"/>
    <n v="60"/>
    <n v="78"/>
    <n v="5.58"/>
    <s v="USA"/>
    <s v="Ethiopia"/>
    <s v="Africa"/>
    <x v="0"/>
  </r>
  <r>
    <s v="Tanzania Mbeya Mimba"/>
    <n v="95"/>
    <s v="Medium Light"/>
    <n v="58"/>
    <n v="76"/>
    <n v="5.51"/>
    <s v="USA"/>
    <s v="Tanzania"/>
    <s v="Africa"/>
    <x v="0"/>
  </r>
  <r>
    <s v="Costa Rica La Chumeca"/>
    <n v="94"/>
    <s v="Medium Light"/>
    <n v="60"/>
    <n v="78"/>
    <n v="6.76"/>
    <s v="USA"/>
    <s v="Costa Rica"/>
    <s v="America"/>
    <x v="0"/>
  </r>
  <r>
    <s v="Gesha Spirits"/>
    <n v="95"/>
    <s v="Medium Light"/>
    <n v="60"/>
    <n v="77"/>
    <n v="15.71"/>
    <s v="USA"/>
    <s v="Colombia"/>
    <s v="America"/>
    <x v="0"/>
  </r>
  <r>
    <s v="Kenya Nyeri Hill Farm AA TOP"/>
    <n v="94"/>
    <s v="Medium Light"/>
    <n v="59"/>
    <n v="79"/>
    <n v="153.88"/>
    <s v="Taiwan"/>
    <s v="Kenya"/>
    <s v="Africa"/>
    <x v="1"/>
  </r>
  <r>
    <s v="Costa Rica Las MontaГ±as Honey"/>
    <n v="94"/>
    <s v="Medium Light"/>
    <n v="60"/>
    <n v="78"/>
    <n v="4.12"/>
    <s v="USA"/>
    <s v="Costa Rica"/>
    <s v="America"/>
    <x v="0"/>
  </r>
  <r>
    <s v="Colombia Finca La Guaca AjГ­"/>
    <n v="94"/>
    <s v="Light"/>
    <n v="62"/>
    <n v="80"/>
    <n v="11.46"/>
    <s v="USA"/>
    <s v="Colombia"/>
    <s v="America"/>
    <x v="0"/>
  </r>
  <r>
    <s v="Kenya Washed Kiambu Uklili AB Espresso"/>
    <n v="96"/>
    <s v="Medium Light"/>
    <n v="54"/>
    <n v="72"/>
    <n v="176.37"/>
    <s v="Taiwan"/>
    <s v="Kenya"/>
    <s v="Africa"/>
    <x v="1"/>
  </r>
  <r>
    <s v="Karatina Kenya"/>
    <n v="95"/>
    <s v="Medium Light"/>
    <n v="58"/>
    <n v="76"/>
    <n v="6.76"/>
    <s v="USA"/>
    <s v="Kenya"/>
    <s v="Africa"/>
    <x v="0"/>
  </r>
  <r>
    <s v="Karamo Ethiopia"/>
    <n v="94"/>
    <s v="Medium Light"/>
    <n v="60"/>
    <n v="78"/>
    <n v="5.59"/>
    <s v="USA"/>
    <s v="Ethiopia"/>
    <s v="Africa"/>
    <x v="0"/>
  </r>
  <r>
    <s v="Ethiopia Natural Shakisso Mormora 74112"/>
    <n v="95"/>
    <s v="Medium Light"/>
    <n v="54"/>
    <n v="76"/>
    <n v="143.30000000000001"/>
    <s v="Taiwan"/>
    <s v="Ethiopia"/>
    <s v="Africa"/>
    <x v="1"/>
  </r>
  <r>
    <s v="Ethiopia Washed Shakisso Mormora 74112"/>
    <n v="95"/>
    <s v="Medium Light"/>
    <n v="58"/>
    <n v="78"/>
    <n v="143.30000000000001"/>
    <s v="Taiwan"/>
    <s v="Ethiopia"/>
    <s v="Africa"/>
    <x v="1"/>
  </r>
  <r>
    <s v="Tang Bohu Espresso Blend"/>
    <n v="95"/>
    <s v="Medium"/>
    <n v="45"/>
    <n v="70"/>
    <n v="286.60000000000002"/>
    <s v="Taiwan"/>
    <s v="Costa Rica"/>
    <s v="America"/>
    <x v="1"/>
  </r>
  <r>
    <s v="Colombia Quindio Anaerobic Natural"/>
    <n v="94"/>
    <s v="Medium Light"/>
    <n v="60"/>
    <n v="78"/>
    <n v="8.82"/>
    <s v="USA"/>
    <s v="Colombia"/>
    <s v="America"/>
    <x v="0"/>
  </r>
  <r>
    <s v="Colombia Tres Dragones Natural"/>
    <n v="94"/>
    <s v="Medium Light"/>
    <n v="58"/>
    <n v="76"/>
    <n v="7.35"/>
    <s v="USA"/>
    <s v="Colombia"/>
    <s v="America"/>
    <x v="0"/>
  </r>
  <r>
    <s v="Colombia Finca Jardines del Eden Ice Fermentation Natural"/>
    <n v="94"/>
    <s v="Medium Light"/>
    <n v="58"/>
    <n v="74"/>
    <n v="500"/>
    <s v="Taiwan"/>
    <s v="Colombia"/>
    <s v="America"/>
    <x v="1"/>
  </r>
  <r>
    <s v="Honduras Natural San Vicente Belarmino Contreras Pacas"/>
    <n v="94"/>
    <s v="Medium Light"/>
    <n v="58"/>
    <n v="78"/>
    <n v="121.25"/>
    <s v="Taiwan"/>
    <s v="Honduras"/>
    <s v="America"/>
    <x v="1"/>
  </r>
  <r>
    <s v="Chasing Horizon Natural Espresso"/>
    <n v="95"/>
    <s v="Medium"/>
    <n v="48"/>
    <n v="64"/>
    <n v="352.73"/>
    <s v="Taiwan"/>
    <s v="Ethiopia"/>
    <s v="Africa"/>
    <x v="1"/>
  </r>
  <r>
    <s v="Supernatural"/>
    <n v="95"/>
    <s v="Medium Light"/>
    <n v="56"/>
    <n v="74"/>
    <n v="5.42"/>
    <s v="USA"/>
    <s v="Ethiopia"/>
    <s v="Africa"/>
    <x v="0"/>
  </r>
  <r>
    <s v="Ethiopia Alemaza Natural SOE"/>
    <n v="95"/>
    <s v="Medium Light"/>
    <n v="58"/>
    <n v="77"/>
    <n v="158.72999999999999"/>
    <s v="Taiwan"/>
    <s v="Ethiopia"/>
    <s v="Africa"/>
    <x v="1"/>
  </r>
  <r>
    <s v="Kona Natural Espresso"/>
    <n v="95"/>
    <s v="Medium Light"/>
    <n v="57"/>
    <n v="77"/>
    <n v="27.76"/>
    <s v="USA"/>
    <s v="USA"/>
    <s v="America"/>
    <x v="0"/>
  </r>
  <r>
    <s v="Colombia Tres Dragones"/>
    <n v="95"/>
    <s v="Medium Light"/>
    <n v="60"/>
    <n v="76"/>
    <n v="7.94"/>
    <s v="USA"/>
    <s v="Colombia"/>
    <s v="America"/>
    <x v="0"/>
  </r>
  <r>
    <s v="Colombia Quindio Anaerobic Natural"/>
    <n v="94"/>
    <s v="Medium Light"/>
    <n v="61"/>
    <n v="79"/>
    <n v="8.82"/>
    <s v="USA"/>
    <s v="Colombia"/>
    <s v="America"/>
    <x v="0"/>
  </r>
  <r>
    <s v="Colombia Pink Bourbon"/>
    <n v="94"/>
    <s v="Medium Light"/>
    <n v="60"/>
    <n v="77"/>
    <n v="11.17"/>
    <s v="USA"/>
    <s v="Colombia"/>
    <s v="America"/>
    <x v="0"/>
  </r>
  <r>
    <s v="Peru Gesha"/>
    <n v="94"/>
    <s v="Medium Light"/>
    <n v="60"/>
    <n v="77"/>
    <n v="8.82"/>
    <s v="USA"/>
    <s v="Peru"/>
    <s v="America"/>
    <x v="0"/>
  </r>
  <r>
    <s v="Ecuador Loja Hacienda La Papaya Bourbon Sidra 168hr Anaerobic Natural"/>
    <n v="95"/>
    <s v="Light"/>
    <n v="64"/>
    <n v="84"/>
    <n v="292.04000000000002"/>
    <s v="Taiwan"/>
    <s v="Ecuador"/>
    <s v="America"/>
    <x v="1"/>
  </r>
  <r>
    <s v="Panama Finca Deborah Afterglow Geisha Natural"/>
    <n v="95"/>
    <s v="Light"/>
    <n v="62"/>
    <n v="80"/>
    <n v="474.29"/>
    <s v="China"/>
    <s v="Panama"/>
    <s v="America"/>
    <x v="1"/>
  </r>
  <r>
    <s v="Colombia ExГіtico De Altura"/>
    <n v="94"/>
    <s v="Medium Light"/>
    <n v="54"/>
    <n v="74"/>
    <n v="5.29"/>
    <s v="USA"/>
    <s v="Colombia"/>
    <s v="America"/>
    <x v="0"/>
  </r>
  <r>
    <s v="Ethiopia Dawencho 74110 Natural Espresso"/>
    <n v="94"/>
    <s v="Medium Light"/>
    <n v="58"/>
    <n v="77"/>
    <n v="620"/>
    <s v="Taiwan"/>
    <s v="Ethiopia"/>
    <s v="Africa"/>
    <x v="1"/>
  </r>
  <r>
    <s v="Kenya Nyeri Yerihar AA Top Lot 21/01"/>
    <n v="94"/>
    <s v="Medium Light"/>
    <n v="57"/>
    <n v="78"/>
    <n v="204.55"/>
    <s v="Taiwan"/>
    <s v="Kenya"/>
    <s v="Africa"/>
    <x v="1"/>
  </r>
  <r>
    <s v="Colombia Wush Wush Dynamic Natural"/>
    <n v="95"/>
    <s v="Light"/>
    <n v="75"/>
    <n v="93"/>
    <n v="16.5"/>
    <s v="Japan"/>
    <s v="Colombia"/>
    <s v="America"/>
    <x v="1"/>
  </r>
  <r>
    <s v="Rwanda Gatare"/>
    <n v="94"/>
    <s v="Medium Light"/>
    <n v="58"/>
    <n v="80"/>
    <n v="6.47"/>
    <s v="USA"/>
    <s v="Rwanda"/>
    <s v="Africa"/>
    <x v="0"/>
  </r>
  <r>
    <s v="Costa Rica Naranjo Danilo Salazar Arias"/>
    <n v="94"/>
    <s v="Medium Light"/>
    <n v="60"/>
    <n v="77"/>
    <n v="6.76"/>
    <s v="USA"/>
    <s v="Costa Rica"/>
    <s v="America"/>
    <x v="0"/>
  </r>
  <r>
    <s v="Ethiopia Guji Shakiso G1 Honey"/>
    <n v="94"/>
    <s v="Medium Light"/>
    <n v="59"/>
    <n v="77"/>
    <n v="176.37"/>
    <s v="Taiwan"/>
    <s v="Ethiopia"/>
    <s v="Africa"/>
    <x v="1"/>
  </r>
  <r>
    <s v="Yemen Haraaz Red Mahal Aqeeq ul Station Natural"/>
    <n v="97"/>
    <s v="Medium Light"/>
    <n v="58"/>
    <n v="76"/>
    <n v="15.43"/>
    <s v="USA"/>
    <s v="Yemen"/>
    <s v="Africa"/>
    <x v="0"/>
  </r>
  <r>
    <s v="Brazil Fazenda Samambaia Natural Fermentation Arara"/>
    <n v="95"/>
    <s v="Medium Light"/>
    <n v="58"/>
    <n v="76"/>
    <n v="264.55"/>
    <s v="Taiwan"/>
    <s v="Brazil"/>
    <s v="America"/>
    <x v="1"/>
  </r>
  <r>
    <s v="Costa Rica Canet Musician Series Bach Raisin Honey"/>
    <n v="94"/>
    <s v="Medium Light"/>
    <n v="60"/>
    <n v="77"/>
    <n v="242.29"/>
    <s v="Taiwan"/>
    <s v="Costa Rica"/>
    <s v="America"/>
    <x v="1"/>
  </r>
  <r>
    <s v="Peru Amazonas Los Santos Geisha Natural"/>
    <n v="95"/>
    <s v="Light"/>
    <n v="64"/>
    <n v="80"/>
    <n v="418.5"/>
    <s v="Taiwan"/>
    <s v="Peru"/>
    <s v="America"/>
    <x v="1"/>
  </r>
  <r>
    <s v="Ethiopia Odola Washed"/>
    <n v="95"/>
    <s v="Light"/>
    <n v="60"/>
    <n v="82"/>
    <n v="5.57"/>
    <s v="USA"/>
    <s v="Ethiopia"/>
    <s v="Africa"/>
    <x v="0"/>
  </r>
  <r>
    <s v="Minanga Village Sulawesi"/>
    <n v="94"/>
    <s v="Medium Light"/>
    <n v="54"/>
    <n v="72"/>
    <n v="7.05"/>
    <s v="USA"/>
    <s v="Indonesia"/>
    <s v="Asia-Pacific"/>
    <x v="0"/>
  </r>
  <r>
    <s v="KaвЂЕ« Tropical Punch Washed"/>
    <n v="94"/>
    <s v="Medium Light"/>
    <n v="58"/>
    <n v="74"/>
    <n v="22.05"/>
    <s v="USA"/>
    <s v="USA"/>
    <s v="America"/>
    <x v="0"/>
  </r>
  <r>
    <s v="Kenya Peaberry Top Hill Farm Espresso"/>
    <n v="95"/>
    <s v="Medium"/>
    <n v="45"/>
    <n v="58"/>
    <n v="275"/>
    <s v="Taiwan"/>
    <s v="Kenya"/>
    <s v="Africa"/>
    <x v="1"/>
  </r>
  <r>
    <s v="Ethiopia Belayneh Bariso Natural"/>
    <n v="95"/>
    <s v="Medium Light"/>
    <n v="58"/>
    <n v="76"/>
    <n v="5.73"/>
    <s v="USA"/>
    <s v="Ethiopia"/>
    <s v="Africa"/>
    <x v="0"/>
  </r>
  <r>
    <s v="Kona SL34 Champagne Natural Uluwehi Farm"/>
    <n v="94"/>
    <s v="Medium Light"/>
    <n v="57"/>
    <n v="74"/>
    <n v="26.46"/>
    <s v="USA"/>
    <s v="USA"/>
    <s v="America"/>
    <x v="0"/>
  </r>
  <r>
    <s v="Yemen Al Mashtal Al Burhani"/>
    <n v="95"/>
    <s v="Medium Light"/>
    <n v="58"/>
    <n v="74"/>
    <n v="26.46"/>
    <s v="USA"/>
    <s v="Yemen"/>
    <s v="Africa"/>
    <x v="0"/>
  </r>
  <r>
    <s v="KaвЂЕ« Lactic Natural"/>
    <n v="95"/>
    <s v="Medium Light"/>
    <n v="60"/>
    <n v="77"/>
    <n v="26.46"/>
    <s v="USA"/>
    <s v="USA"/>
    <s v="America"/>
    <x v="0"/>
  </r>
  <r>
    <s v="Colombia Finca El Paraiso Castillo Red Plum"/>
    <n v="94"/>
    <s v="Light"/>
    <n v="62"/>
    <n v="80"/>
    <n v="14.11"/>
    <s v="USA"/>
    <s v="Colombia"/>
    <s v="America"/>
    <x v="0"/>
  </r>
  <r>
    <s v="Ethiopia Guji Uraga Tebe Burku Natural"/>
    <n v="94"/>
    <s v="Medium Light"/>
    <n v="58"/>
    <n v="74"/>
    <n v="154.19"/>
    <s v="Taiwan"/>
    <s v="Ethiopia"/>
    <s v="Africa"/>
    <x v="1"/>
  </r>
  <r>
    <s v="British Style Espresso Blend"/>
    <n v="95"/>
    <s v="Medium"/>
    <n v="50"/>
    <n v="64"/>
    <n v="220.26"/>
    <s v="Taiwan"/>
    <s v="Ethiopia"/>
    <s v="Africa"/>
    <x v="1"/>
  </r>
  <r>
    <s v="Costa Rica Brunca Rivense Las Moras Black Honey"/>
    <n v="94"/>
    <s v="Medium Light"/>
    <n v="62"/>
    <n v="76"/>
    <n v="176.21"/>
    <s v="Taiwan"/>
    <s v="Costa Rica"/>
    <s v="America"/>
    <x v="1"/>
  </r>
  <r>
    <s v="Ethiopia Yirgacheffe Hama Washed"/>
    <n v="94"/>
    <s v="Medium Light"/>
    <n v="62"/>
    <n v="76"/>
    <n v="154.19"/>
    <s v="Taiwan"/>
    <s v="Ethiopia"/>
    <s v="Africa"/>
    <x v="1"/>
  </r>
  <r>
    <s v="Peru Washed Santa Monica Gesha"/>
    <n v="96"/>
    <s v="Medium Light"/>
    <n v="58"/>
    <n v="77"/>
    <n v="617.28"/>
    <s v="Taiwan"/>
    <s v="Peru"/>
    <s v="America"/>
    <x v="1"/>
  </r>
  <r>
    <s v="Taiwan Washed Alishan Ching-Ye Farm SL34"/>
    <n v="94"/>
    <s v="Medium Light"/>
    <n v="56"/>
    <n v="74"/>
    <n v="352.73"/>
    <s v="Taiwan"/>
    <s v="Taiwan"/>
    <s v="Asia-Pacific"/>
    <x v="1"/>
  </r>
  <r>
    <s v="Ethiopia Guji Odo Shakiso"/>
    <n v="94"/>
    <s v="Medium Light"/>
    <n v="60"/>
    <n v="76"/>
    <n v="5.29"/>
    <s v="USA"/>
    <s v="Ethiopia"/>
    <s v="Africa"/>
    <x v="0"/>
  </r>
  <r>
    <s v="Ethiopia Sidamo Karamo"/>
    <n v="95"/>
    <s v="Light"/>
    <n v="62"/>
    <n v="80"/>
    <n v="7.64"/>
    <s v="USA"/>
    <s v="Ethiopia"/>
    <s v="Africa"/>
    <x v="0"/>
  </r>
  <r>
    <s v="Gigesa Ethiopia"/>
    <n v="94"/>
    <s v="Medium Light"/>
    <n v="56"/>
    <n v="74"/>
    <n v="5.59"/>
    <s v="USA"/>
    <s v="Ethiopia"/>
    <s v="Africa"/>
    <x v="0"/>
  </r>
  <r>
    <s v="Oahu Triple-Bourbon вЂњSparklingвЂќ Yeast Ferment"/>
    <n v="94"/>
    <s v="Medium Light"/>
    <n v="54"/>
    <n v="74"/>
    <n v="14.99"/>
    <s v="USA"/>
    <s v="USA"/>
    <s v="America"/>
    <x v="0"/>
  </r>
  <r>
    <s v="Colombia Ibague Tolima"/>
    <n v="94"/>
    <s v="Light"/>
    <n v="64"/>
    <n v="80"/>
    <n v="7.64"/>
    <s v="USA"/>
    <s v="Colombia"/>
    <s v="America"/>
    <x v="0"/>
  </r>
  <r>
    <s v="Kenya Karatu"/>
    <n v="94"/>
    <s v="Medium Light"/>
    <n v="60"/>
    <n v="76"/>
    <n v="6.91"/>
    <s v="Kenya"/>
    <s v="Kenya"/>
    <s v="Africa"/>
    <x v="2"/>
  </r>
  <r>
    <s v="Ecuador Taza Dorada Finca Cruz Loma"/>
    <n v="96"/>
    <s v="Medium Light"/>
    <n v="60"/>
    <n v="77"/>
    <n v="123.46"/>
    <s v="USA"/>
    <s v="Ecuador"/>
    <s v="America"/>
    <x v="0"/>
  </r>
  <r>
    <s v="Kona Bourbon Champagne Natural Uluwehi Farm"/>
    <n v="95"/>
    <s v="Medium Light"/>
    <n v="57"/>
    <n v="74"/>
    <n v="26.46"/>
    <s v="USA"/>
    <s v="USA"/>
    <s v="America"/>
    <x v="0"/>
  </r>
  <r>
    <s v="Panama Hacienda La Esmeralda Geisha Washed"/>
    <n v="95"/>
    <s v="Medium"/>
    <n v="46"/>
    <n v="60"/>
    <n v="800"/>
    <s v="Taiwan"/>
    <s v="Panama"/>
    <s v="America"/>
    <x v="1"/>
  </r>
  <r>
    <s v="Peru Garden of Eden Farcent Geisha Anaerobic Washed"/>
    <n v="94"/>
    <s v="Medium Light"/>
    <n v="62"/>
    <n v="78"/>
    <n v="700"/>
    <s v="Taiwan"/>
    <s v="Peru"/>
    <s v="America"/>
    <x v="1"/>
  </r>
  <r>
    <s v="Pointu Laurina"/>
    <n v="95"/>
    <s v="Medium"/>
    <n v="46"/>
    <n v="60"/>
    <n v="29.08"/>
    <s v="USA"/>
    <s v="Unknown"/>
    <s v="NULL"/>
    <x v="0"/>
  </r>
  <r>
    <s v="Ecuador Finca Cruz Loma"/>
    <n v="95"/>
    <s v="Medium Dark"/>
    <n v="40"/>
    <n v="54"/>
    <n v="3600"/>
    <s v="Taiwan"/>
    <s v="Ecuador"/>
    <s v="America"/>
    <x v="1"/>
  </r>
  <r>
    <s v="Aged Sumatra Semiga"/>
    <n v="94"/>
    <s v="Medium Dark"/>
    <n v="40"/>
    <n v="50"/>
    <n v="8.82"/>
    <s v="USA"/>
    <s v="Indonesia"/>
    <s v="Asia-Pacific"/>
    <x v="0"/>
  </r>
  <r>
    <s v="Indonesia Sumatra Kerinci Valley"/>
    <n v="94"/>
    <s v="Medium"/>
    <n v="47"/>
    <n v="60"/>
    <n v="7.2"/>
    <s v="USA"/>
    <s v="Indonesia"/>
    <s v="Asia-Pacific"/>
    <x v="0"/>
  </r>
  <r>
    <s v="KaвЂ™u Classic Dark"/>
    <n v="94"/>
    <s v="Medium"/>
    <n v="47"/>
    <n v="61"/>
    <n v="10.050000000000001"/>
    <s v="USA"/>
    <s v="USA"/>
    <s v="America"/>
    <x v="0"/>
  </r>
  <r>
    <s v="Sumatra Boru Batak"/>
    <n v="95"/>
    <s v="Medium Light"/>
    <n v="57"/>
    <n v="79"/>
    <n v="6.17"/>
    <s v="USA"/>
    <s v="Indonesia"/>
    <s v="Asia-Pacific"/>
    <x v="0"/>
  </r>
  <r>
    <s v="Barokah Honey Sumatra"/>
    <n v="95"/>
    <s v="Medium Light"/>
    <n v="58"/>
    <n v="80"/>
    <n v="5.59"/>
    <s v="USA"/>
    <s v="Indonesia"/>
    <s v="Asia-Pacific"/>
    <x v="0"/>
  </r>
  <r>
    <s v="Colombia Finca La Primavera Sidra"/>
    <n v="96"/>
    <s v="Light"/>
    <n v="64"/>
    <n v="82"/>
    <n v="14.11"/>
    <s v="USA"/>
    <s v="Colombia"/>
    <s v="America"/>
    <x v="0"/>
  </r>
  <r>
    <s v="Ethiopia Natural Guji Dasaya SP"/>
    <n v="95"/>
    <s v="Medium Light"/>
    <n v="58"/>
    <n v="78"/>
    <n v="154.32"/>
    <s v="Taiwan"/>
    <s v="Ethiopia"/>
    <s v="Africa"/>
    <x v="1"/>
  </r>
  <r>
    <s v="Ethiopia Anaerobic Shantawene"/>
    <n v="94"/>
    <s v="Medium Light"/>
    <n v="58"/>
    <n v="80"/>
    <n v="5.88"/>
    <s v="USA"/>
    <s v="Ethiopia"/>
    <s v="Africa"/>
    <x v="0"/>
  </r>
  <r>
    <s v="Ethiopia Bensa Asefa Qonqana"/>
    <n v="94"/>
    <s v="Light"/>
    <n v="64"/>
    <n v="86"/>
    <n v="7.64"/>
    <s v="USA"/>
    <s v="Ethiopia"/>
    <s v="Africa"/>
    <x v="0"/>
  </r>
  <r>
    <s v="Ethiopia Durato Bombe"/>
    <n v="94"/>
    <s v="Medium Light"/>
    <n v="58"/>
    <n v="78"/>
    <n v="5.59"/>
    <s v="USA"/>
    <s v="Ethiopia"/>
    <s v="Africa"/>
    <x v="0"/>
  </r>
  <r>
    <s v="Ethiopia Washed Shantawene"/>
    <n v="94"/>
    <s v="Medium Light"/>
    <n v="60"/>
    <n v="78"/>
    <n v="5.88"/>
    <s v="USA"/>
    <s v="Ethiopia"/>
    <s v="Africa"/>
    <x v="0"/>
  </r>
  <r>
    <s v="Indonesia Sumatra Natural Aceh Musara SC19"/>
    <n v="94"/>
    <s v="Light"/>
    <n v="62"/>
    <n v="80"/>
    <n v="154.32"/>
    <s v="Taiwan"/>
    <s v="Indonesia"/>
    <s v="Asia-Pacific"/>
    <x v="1"/>
  </r>
  <r>
    <s v="Kenya Washed Kabingara AA"/>
    <n v="94"/>
    <s v="Medium Light"/>
    <n v="57"/>
    <n v="77"/>
    <n v="158.72999999999999"/>
    <s v="Taiwan"/>
    <s v="Kenya"/>
    <s v="Africa"/>
    <x v="1"/>
  </r>
  <r>
    <s v="Kenya Nyeri Jungle Estate Red Cherry SLD Anaerobic Natural"/>
    <n v="95"/>
    <s v="Medium Light"/>
    <n v="57"/>
    <n v="77"/>
    <n v="330.4"/>
    <s v="Taiwan"/>
    <s v="Kenya"/>
    <s v="Africa"/>
    <x v="1"/>
  </r>
  <r>
    <s v="Lugmapata Ecuador"/>
    <n v="95"/>
    <s v="Medium Light"/>
    <n v="60"/>
    <n v="80"/>
    <n v="7.94"/>
    <s v="USA"/>
    <s v="Ecuador"/>
    <s v="America"/>
    <x v="0"/>
  </r>
  <r>
    <s v="Red Sunset by Andres Cardona"/>
    <n v="94"/>
    <s v="Medium Light"/>
    <n v="55"/>
    <n v="73"/>
    <n v="7.05"/>
    <s v="USA"/>
    <s v="Colombia"/>
    <s v="America"/>
    <x v="0"/>
  </r>
  <r>
    <s v="Macarena Colombia"/>
    <n v="94"/>
    <s v="Medium Light"/>
    <n v="60"/>
    <n v="78"/>
    <n v="7.94"/>
    <s v="USA"/>
    <s v="Colombia"/>
    <s v="America"/>
    <x v="0"/>
  </r>
  <r>
    <s v="Haraaz Red Yemen"/>
    <n v="94"/>
    <s v="Medium Light"/>
    <n v="58"/>
    <n v="78"/>
    <n v="11.02"/>
    <s v="USA"/>
    <s v="Yemen"/>
    <s v="Africa"/>
    <x v="0"/>
  </r>
  <r>
    <s v="El Salvador Anarquia Pacamara"/>
    <n v="94"/>
    <s v="Light"/>
    <n v="60"/>
    <n v="82"/>
    <n v="6.47"/>
    <s v="USA"/>
    <s v="El Salvador"/>
    <s v="America"/>
    <x v="0"/>
  </r>
  <r>
    <s v="Colombia Sidra Natural Signature Selection"/>
    <n v="96"/>
    <s v="Light"/>
    <n v="62"/>
    <n v="80"/>
    <n v="40.56"/>
    <s v="USA"/>
    <s v="Colombia"/>
    <s v="America"/>
    <x v="0"/>
  </r>
  <r>
    <s v="Colombia Finca El Paraiso Geisha Letty"/>
    <n v="97"/>
    <s v="Light"/>
    <n v="64"/>
    <n v="84"/>
    <n v="35.270000000000003"/>
    <s v="USA"/>
    <s v="Colombia"/>
    <s v="America"/>
    <x v="0"/>
  </r>
  <r>
    <s v="Monarch Estate Pacamara"/>
    <n v="94"/>
    <s v="Medium Light"/>
    <n v="60"/>
    <n v="80"/>
    <n v="36.11"/>
    <s v="USA"/>
    <s v="Unknown"/>
    <s v="NULL"/>
    <x v="0"/>
  </r>
  <r>
    <s v="Uluwehi Farm Kona SL34 Yeast-Fermentation Washed Peaberry"/>
    <n v="94"/>
    <s v="Medium Light"/>
    <n v="56"/>
    <n v="72"/>
    <n v="35.270000000000003"/>
    <s v="USA"/>
    <s v="USA"/>
    <s v="America"/>
    <x v="0"/>
  </r>
  <r>
    <s v="KaвЂ™u IPA Natural"/>
    <n v="95"/>
    <s v="Medium Light"/>
    <n v="58"/>
    <n v="78"/>
    <n v="22.05"/>
    <s v="USA"/>
    <s v="USA"/>
    <s v="America"/>
    <x v="0"/>
  </r>
  <r>
    <s v="Ecuador Finca Lugmapata Mejorado"/>
    <n v="95"/>
    <s v="Light"/>
    <n v="64"/>
    <n v="80"/>
    <n v="10.58"/>
    <s v="USA"/>
    <s v="Ecuador"/>
    <s v="America"/>
    <x v="0"/>
  </r>
  <r>
    <s v="Shakiso Natural"/>
    <n v="94"/>
    <s v="Medium Light"/>
    <n v="58"/>
    <n v="76"/>
    <n v="5.59"/>
    <s v="USA"/>
    <s v="Ethiopia"/>
    <s v="Africa"/>
    <x v="0"/>
  </r>
  <r>
    <s v="Cerro Azul Geisha Honey Process"/>
    <n v="94"/>
    <s v="Medium Light"/>
    <n v="58"/>
    <n v="76"/>
    <n v="15.87"/>
    <s v="USA"/>
    <s v="Colombia"/>
    <s v="America"/>
    <x v="0"/>
  </r>
  <r>
    <s v="La Esmeralda Diamond Mountain Washed Coffee"/>
    <n v="94"/>
    <s v="Medium Light"/>
    <n v="60"/>
    <n v="78"/>
    <n v="208.89"/>
    <s v="Taiwan"/>
    <s v="Panama"/>
    <s v="America"/>
    <x v="1"/>
  </r>
  <r>
    <s v="Karen J Kona Red Bourbon Natural Anaerobic"/>
    <n v="95"/>
    <s v="Medium Light"/>
    <n v="56"/>
    <n v="76"/>
    <n v="22.02"/>
    <s v="USA"/>
    <s v="USA"/>
    <s v="America"/>
    <x v="0"/>
  </r>
  <r>
    <s v="El Salvador Finca Mileydi Pacamara"/>
    <n v="95"/>
    <s v="Medium Light"/>
    <n v="60"/>
    <n v="78"/>
    <n v="7.35"/>
    <s v="USA"/>
    <s v="El Salvador"/>
    <s v="America"/>
    <x v="0"/>
  </r>
  <r>
    <s v="El Salvador Las Veraneras Red Bourbon"/>
    <n v="94"/>
    <s v="Medium Light"/>
    <n v="58"/>
    <n v="78"/>
    <n v="5.58"/>
    <s v="USA"/>
    <s v="El Salvador"/>
    <s v="America"/>
    <x v="0"/>
  </r>
  <r>
    <s v="Costa Rica Brunca Rivense La Guaca Passion Honey"/>
    <n v="94"/>
    <s v="Medium Light"/>
    <n v="58"/>
    <n v="78"/>
    <n v="176.21"/>
    <s v="Taiwan"/>
    <s v="Costa Rica"/>
    <s v="America"/>
    <x v="1"/>
  </r>
  <r>
    <s v="Hunkute by Nordic Approach"/>
    <n v="94"/>
    <s v="Light"/>
    <n v="64"/>
    <n v="88"/>
    <n v="53.4"/>
    <s v="Taiwan"/>
    <s v="Ethiopia"/>
    <s v="Africa"/>
    <x v="1"/>
  </r>
  <r>
    <s v="SchweikвЂ™s Blend"/>
    <n v="94"/>
    <s v="Light"/>
    <n v="62"/>
    <n v="80"/>
    <n v="3.95"/>
    <s v="USA"/>
    <s v="Unknown"/>
    <s v="NULL"/>
    <x v="0"/>
  </r>
  <r>
    <s v="Whiskey Dreams Moka Java"/>
    <n v="94"/>
    <s v="Medium Light"/>
    <n v="58"/>
    <n v="76"/>
    <n v="5.29"/>
    <s v="USA"/>
    <s v="Ethiopia"/>
    <s v="Africa"/>
    <x v="0"/>
  </r>
  <r>
    <s v="Black Level Blend"/>
    <n v="94"/>
    <s v="Medium Light"/>
    <n v="57"/>
    <n v="74"/>
    <n v="326.67"/>
    <s v="Taiwan"/>
    <s v="Colombia"/>
    <s v="America"/>
    <x v="1"/>
  </r>
  <r>
    <s v="Karindundu Kenya"/>
    <n v="94"/>
    <s v="Medium Light"/>
    <n v="58"/>
    <n v="78"/>
    <n v="6.47"/>
    <s v="USA"/>
    <s v="Kenya"/>
    <s v="Africa"/>
    <x v="0"/>
  </r>
  <r>
    <s v="Colombia Geisha Natural"/>
    <n v="94"/>
    <s v="Medium Light"/>
    <n v="60"/>
    <n v="76"/>
    <n v="15.41"/>
    <s v="USA"/>
    <s v="Colombia"/>
    <s v="America"/>
    <x v="0"/>
  </r>
  <r>
    <s v="Pacas Estate El Salvador Natural"/>
    <n v="94"/>
    <s v="Medium Light"/>
    <n v="54"/>
    <n v="72"/>
    <n v="4.7"/>
    <s v="USA"/>
    <s v="El Salvador"/>
    <s v="America"/>
    <x v="0"/>
  </r>
  <r>
    <s v="Hunapu Natural Guatemala"/>
    <n v="94"/>
    <s v="Medium Light"/>
    <n v="56"/>
    <n v="76"/>
    <n v="5.59"/>
    <s v="USA"/>
    <s v="Guatemala"/>
    <s v="America"/>
    <x v="0"/>
  </r>
  <r>
    <s v="Kabiufa Papua New Guinea"/>
    <n v="95"/>
    <s v="Light"/>
    <n v="60"/>
    <n v="82"/>
    <n v="5.29"/>
    <s v="USA"/>
    <s v="Papua New Guinea"/>
    <s v="Asia-Pacific"/>
    <x v="0"/>
  </r>
  <r>
    <s v="Ethiopia Natural Sidama TAMIRU 74158"/>
    <n v="96"/>
    <s v="Medium Light"/>
    <n v="60"/>
    <n v="78"/>
    <n v="352.73"/>
    <s v="Taiwan"/>
    <s v="Ethiopia"/>
    <s v="Africa"/>
    <x v="1"/>
  </r>
  <r>
    <s v="Bedhatu Jibicho Natural"/>
    <n v="95"/>
    <s v="Medium Light"/>
    <n v="60"/>
    <n v="76"/>
    <n v="5.88"/>
    <s v="USA"/>
    <s v="Unknown"/>
    <s v="NULL"/>
    <x v="0"/>
  </r>
  <r>
    <s v="Ethiopia Natural Guji DoReMi"/>
    <n v="95"/>
    <s v="Medium Light"/>
    <n v="57"/>
    <n v="77"/>
    <n v="92.59"/>
    <s v="Taiwan"/>
    <s v="Ethiopia"/>
    <s v="Africa"/>
    <x v="1"/>
  </r>
  <r>
    <s v="Sabana Redonda SL28 Costa Rica"/>
    <n v="94"/>
    <s v="Medium Light"/>
    <n v="58"/>
    <n v="80"/>
    <n v="7.94"/>
    <s v="USA"/>
    <s v="Costa Rica"/>
    <s v="America"/>
    <x v="0"/>
  </r>
  <r>
    <s v="Ethiopia Bench Maji Gesha Village Dimma Illubabor Forest A6 Natural"/>
    <n v="95"/>
    <s v="Light"/>
    <n v="64"/>
    <n v="82"/>
    <n v="420.35"/>
    <s v="Taiwan"/>
    <s v="Ethiopia"/>
    <s v="Africa"/>
    <x v="1"/>
  </r>
  <r>
    <s v="Sumatra Siamang Forest"/>
    <n v="94"/>
    <s v="Medium Light"/>
    <n v="54"/>
    <n v="72"/>
    <n v="7.35"/>
    <s v="USA"/>
    <s v="Indonesia"/>
    <s v="Asia-Pacific"/>
    <x v="0"/>
  </r>
  <r>
    <s v="Yemen Jabal Nabi Special Reserve"/>
    <n v="94"/>
    <s v="Medium Light"/>
    <n v="57"/>
    <n v="73"/>
    <n v="12.3"/>
    <s v="USA"/>
    <s v="Yemen"/>
    <s v="Africa"/>
    <x v="0"/>
  </r>
  <r>
    <s v="Kenya Gakuyuini AA"/>
    <n v="94"/>
    <s v="Medium Light"/>
    <n v="58"/>
    <n v="76"/>
    <n v="4.9800000000000004"/>
    <s v="USA"/>
    <s v="Kenya"/>
    <s v="Africa"/>
    <x v="0"/>
  </r>
  <r>
    <s v="Hacienda Esmeralda Ethiopian Accessions"/>
    <n v="95"/>
    <s v="Light"/>
    <n v="62"/>
    <n v="80"/>
    <n v="11.02"/>
    <s v="USA"/>
    <s v="Panama"/>
    <s v="America"/>
    <x v="0"/>
  </r>
  <r>
    <s v="Gelena Geisha"/>
    <n v="94"/>
    <s v="Medium Light"/>
    <n v="60"/>
    <n v="78"/>
    <n v="5.59"/>
    <s v="USA"/>
    <s v="Ethiopia"/>
    <s v="Africa"/>
    <x v="0"/>
  </r>
  <r>
    <s v="Ethiopia Anaerobic Natural"/>
    <n v="94"/>
    <s v="Medium Light"/>
    <n v="59"/>
    <n v="77"/>
    <n v="11.02"/>
    <s v="USA"/>
    <s v="Ethiopia"/>
    <s v="Africa"/>
    <x v="0"/>
  </r>
  <r>
    <s v="Rainy Day Espresso Blend"/>
    <n v="94"/>
    <s v="Medium Light"/>
    <n v="54"/>
    <n v="72"/>
    <n v="152.16999999999999"/>
    <s v="Taiwan"/>
    <s v="Costa Rica"/>
    <s v="America"/>
    <x v="1"/>
  </r>
  <r>
    <s v="Ethiopia Tamiru Tadesse Tesema Anaerobic Natural"/>
    <n v="95"/>
    <s v="Medium Light"/>
    <n v="62"/>
    <n v="78"/>
    <n v="130.07"/>
    <s v="Taiwan"/>
    <s v="Ethiopia"/>
    <s v="Africa"/>
    <x v="1"/>
  </r>
  <r>
    <s v="Ethiopia Aphrodite Washed Espresso"/>
    <n v="96"/>
    <s v="Medium"/>
    <n v="44"/>
    <n v="60"/>
    <n v="374.78"/>
    <s v="Taiwan"/>
    <s v="Ethiopia"/>
    <s v="Africa"/>
    <x v="1"/>
  </r>
  <r>
    <s v="Kona Tropical Punch Washed"/>
    <n v="94"/>
    <s v="Medium Light"/>
    <n v="60"/>
    <n v="76"/>
    <n v="22.05"/>
    <s v="USA"/>
    <s v="USA"/>
    <s v="America"/>
    <x v="0"/>
  </r>
  <r>
    <s v="KaвЂ™u Bourbon Champagne Natural"/>
    <n v="94"/>
    <s v="Medium Light"/>
    <n v="58"/>
    <n v="76"/>
    <n v="26.46"/>
    <s v="USA"/>
    <s v="USA"/>
    <s v="America"/>
    <x v="0"/>
  </r>
  <r>
    <s v="Cerro Azul Geisha"/>
    <n v="95"/>
    <s v="Medium Light"/>
    <n v="58"/>
    <n v="80"/>
    <n v="13.23"/>
    <s v="USA"/>
    <s v="Colombia"/>
    <s v="America"/>
    <x v="0"/>
  </r>
  <r>
    <s v="Panama Mama Cata Geisha Champagne Natural"/>
    <n v="95"/>
    <s v="Light"/>
    <n v="64"/>
    <n v="88"/>
    <n v="44.09"/>
    <s v="USA"/>
    <s v="Panama"/>
    <s v="America"/>
    <x v="0"/>
  </r>
  <r>
    <s v="Ethiopia Yirgacheffe Worka Sakaro"/>
    <n v="95"/>
    <s v="Medium Light"/>
    <n v="57"/>
    <n v="79"/>
    <n v="7.35"/>
    <s v="USA"/>
    <s v="Ethiopia"/>
    <s v="Africa"/>
    <x v="0"/>
  </r>
  <r>
    <s v="El Socorro Maracaturra"/>
    <n v="95"/>
    <s v="Medium Light"/>
    <n v="60"/>
    <n v="74"/>
    <n v="7.64"/>
    <s v="USA"/>
    <s v="Guatemala"/>
    <s v="America"/>
    <x v="0"/>
  </r>
  <r>
    <s v="Guatemala Acatenango Gesha"/>
    <n v="94"/>
    <s v="Light"/>
    <n v="62"/>
    <n v="80"/>
    <n v="10.58"/>
    <s v="USA"/>
    <s v="Guatemala"/>
    <s v="America"/>
    <x v="0"/>
  </r>
  <r>
    <s v="Kenya Kirinyaga"/>
    <n v="94"/>
    <s v="Medium Light"/>
    <n v="60"/>
    <n v="80"/>
    <n v="176.37"/>
    <s v="Taiwan"/>
    <s v="Kenya"/>
    <s v="Africa"/>
    <x v="1"/>
  </r>
  <r>
    <s v="Hacienda La Esmeralda MontaГ±as 71AS"/>
    <n v="96"/>
    <s v="Medium Light"/>
    <n v="59"/>
    <n v="77"/>
    <n v="66.67"/>
    <s v="United Kingdom"/>
    <s v="Panama"/>
    <s v="America"/>
    <x v="3"/>
  </r>
  <r>
    <s v="Kenya Nyeri Gatomboya"/>
    <n v="94"/>
    <s v="Medium Light"/>
    <n v="57"/>
    <n v="77"/>
    <n v="5.29"/>
    <s v="USA"/>
    <s v="Kenya"/>
    <s v="Africa"/>
    <x v="0"/>
  </r>
  <r>
    <s v="Ethiopia Bench Maji Natural Gesha"/>
    <n v="94"/>
    <s v="Light"/>
    <n v="62"/>
    <n v="80"/>
    <n v="242.5"/>
    <s v="Taiwan"/>
    <s v="Ethiopia"/>
    <s v="Africa"/>
    <x v="1"/>
  </r>
  <r>
    <s v="Panama Hacienda La Esmeralda Gesha"/>
    <n v="94"/>
    <s v="Light"/>
    <n v="64"/>
    <n v="84"/>
    <n v="29.39"/>
    <s v="USA"/>
    <s v="Panama"/>
    <s v="America"/>
    <x v="0"/>
  </r>
  <r>
    <s v="Natural KaвЂ™u Maragogipe"/>
    <n v="94"/>
    <s v="Medium Light"/>
    <n v="62"/>
    <n v="78"/>
    <n v="16.75"/>
    <s v="USA"/>
    <s v="USA"/>
    <s v="America"/>
    <x v="0"/>
  </r>
  <r>
    <s v="Costa Rica Volcan Azul San Isidro Red Honey"/>
    <n v="95"/>
    <s v="Medium Light"/>
    <n v="58"/>
    <n v="76"/>
    <n v="6.47"/>
    <s v="USA"/>
    <s v="Costa Rica"/>
    <s v="America"/>
    <x v="0"/>
  </r>
  <r>
    <s v="Ethiopia Demeka Becha"/>
    <n v="96"/>
    <s v="Medium Light"/>
    <n v="60"/>
    <n v="78"/>
    <n v="6.46"/>
    <s v="USA"/>
    <s v="Ethiopia"/>
    <s v="Africa"/>
    <x v="0"/>
  </r>
  <r>
    <s v="Sweet Holiday Blend"/>
    <n v="94"/>
    <s v="Medium Light"/>
    <n v="58"/>
    <n v="76"/>
    <n v="6.17"/>
    <s v="USA"/>
    <s v="Ethiopia"/>
    <s v="Africa"/>
    <x v="0"/>
  </r>
  <r>
    <s v="Ethiopia Washed Sidama Bensa Bombe"/>
    <n v="94"/>
    <s v="Light"/>
    <n v="60"/>
    <n v="82"/>
    <n v="165.34"/>
    <s v="Taiwan"/>
    <s v="Ethiopia"/>
    <s v="Africa"/>
    <x v="1"/>
  </r>
  <r>
    <s v="Panama Abu Geisha Lot 6"/>
    <n v="95"/>
    <s v="Medium Light"/>
    <n v="58"/>
    <n v="80"/>
    <n v="22.05"/>
    <s v="USA"/>
    <s v="Panama"/>
    <s v="America"/>
    <x v="0"/>
  </r>
  <r>
    <s v="Panama Finca Mi Finquita Geisha Afrodita Natural"/>
    <n v="96"/>
    <s v="Medium Light"/>
    <n v="59"/>
    <n v="81"/>
    <n v="1102.29"/>
    <s v="Taiwan"/>
    <s v="Panama"/>
    <s v="America"/>
    <x v="1"/>
  </r>
  <r>
    <s v="Panama El Burro Estate Natural Gesha"/>
    <n v="95"/>
    <s v="Medium Light"/>
    <n v="58"/>
    <n v="77"/>
    <n v="0.88"/>
    <s v="Taiwan"/>
    <s v="Panama"/>
    <s v="America"/>
    <x v="1"/>
  </r>
  <r>
    <s v="Panama La Viuda Natural Geisha 4 Hermanos"/>
    <n v="94"/>
    <s v="Light"/>
    <n v="60"/>
    <n v="84"/>
    <n v="0.88"/>
    <s v="Taiwan"/>
    <s v="Panama"/>
    <s v="America"/>
    <x v="1"/>
  </r>
  <r>
    <s v="Colombia Huila Finca Monteblanco Rodrigo Sanchez"/>
    <n v="94"/>
    <s v="Medium Light"/>
    <n v="58"/>
    <n v="78"/>
    <n v="87.94"/>
    <s v="China"/>
    <s v="Colombia"/>
    <s v="America"/>
    <x v="1"/>
  </r>
  <r>
    <s v="Ninety Plus Panama Gesha Estate MS Joseph Brodsky 2307"/>
    <n v="95"/>
    <s v="Medium Light"/>
    <n v="58"/>
    <n v="82"/>
    <n v="560"/>
    <s v="China"/>
    <s v="Panama"/>
    <s v="America"/>
    <x v="1"/>
  </r>
  <r>
    <s v="Espresso"/>
    <n v="94"/>
    <s v="Medium Light"/>
    <n v="56"/>
    <n v="80"/>
    <n v="27.76"/>
    <s v="USA"/>
    <s v="Unknown"/>
    <s v="NULL"/>
    <x v="0"/>
  </r>
  <r>
    <s v="Kenya Kainamui AB"/>
    <n v="94"/>
    <s v="Medium Light"/>
    <n v="58"/>
    <n v="76"/>
    <n v="6.6"/>
    <s v="USA"/>
    <s v="Kenya"/>
    <s v="Africa"/>
    <x v="0"/>
  </r>
  <r>
    <s v="Kona MoccaВ®"/>
    <n v="95"/>
    <s v="Medium Light"/>
    <n v="57"/>
    <n v="78"/>
    <n v="39.659999999999997"/>
    <s v="USA"/>
    <s v="USA"/>
    <s v="America"/>
    <x v="0"/>
  </r>
  <r>
    <s v="Karen J Kona Red Bourbon"/>
    <n v="95"/>
    <s v="Medium Light"/>
    <n v="56"/>
    <n v="78"/>
    <n v="22.02"/>
    <s v="USA"/>
    <s v="USA"/>
    <s v="America"/>
    <x v="0"/>
  </r>
  <r>
    <s v="Ethiopia Olonso Qeka"/>
    <n v="94"/>
    <s v="Medium Light"/>
    <n v="58"/>
    <n v="80"/>
    <n v="11.67"/>
    <s v="USA"/>
    <s v="Ethiopia"/>
    <s v="Africa"/>
    <x v="0"/>
  </r>
  <r>
    <s v="Ethiopia Wate Mini Natural Espresso"/>
    <n v="94"/>
    <s v="Medium Light"/>
    <n v="58"/>
    <n v="80"/>
    <n v="154.19"/>
    <s v="Taiwan"/>
    <s v="Ethiopia"/>
    <s v="Africa"/>
    <x v="1"/>
  </r>
  <r>
    <s v="Ethiopia Sidama Bensa Farmer Tamiru 74158 Natural"/>
    <n v="96"/>
    <s v="Light"/>
    <n v="64"/>
    <n v="82"/>
    <n v="507.05"/>
    <s v="Taiwan"/>
    <s v="Ethiopia"/>
    <s v="Africa"/>
    <x v="1"/>
  </r>
  <r>
    <s v="BNT Espresso Blend"/>
    <n v="94"/>
    <s v="Medium Light"/>
    <n v="56"/>
    <n v="72"/>
    <n v="154.19"/>
    <s v="Taiwan"/>
    <s v="Honduras"/>
    <s v="America"/>
    <x v="1"/>
  </r>
  <r>
    <s v="Holiday Coffee"/>
    <n v="96"/>
    <s v="Medium Light"/>
    <n v="58"/>
    <n v="80"/>
    <n v="22.02"/>
    <s v="USA"/>
    <s v="Unknown"/>
    <s v="NULL"/>
    <x v="0"/>
  </r>
  <r>
    <s v="Mama Cata Mokkita"/>
    <n v="97"/>
    <s v="Medium Light"/>
    <n v="57"/>
    <n v="79"/>
    <n v="132.28"/>
    <s v="USA"/>
    <s v="Panama"/>
    <s v="America"/>
    <x v="0"/>
  </r>
  <r>
    <s v="Ethiopia Tamiru Tadesse Anaerobic"/>
    <n v="96"/>
    <s v="Light"/>
    <n v="62"/>
    <n v="80"/>
    <n v="127.87"/>
    <s v="USA"/>
    <s v="Ethiopia"/>
    <s v="Africa"/>
    <x v="0"/>
  </r>
  <r>
    <s v="LauraвЂ™s Reserve SL34"/>
    <n v="96"/>
    <s v="Medium Light"/>
    <n v="60"/>
    <n v="78"/>
    <n v="27.76"/>
    <s v="USA"/>
    <s v="Unknown"/>
    <s v="NULL"/>
    <x v="0"/>
  </r>
  <r>
    <s v="Ethiopia Tamiru Tadesse Natural"/>
    <n v="95"/>
    <s v="Light"/>
    <n v="64"/>
    <n v="80"/>
    <n v="23.37"/>
    <s v="USA"/>
    <s v="Ethiopia"/>
    <s v="Africa"/>
    <x v="0"/>
  </r>
  <r>
    <s v="Puna Arakawa Estate Lactic Natural"/>
    <n v="95"/>
    <s v="Medium Light"/>
    <n v="60"/>
    <n v="78"/>
    <n v="26.46"/>
    <s v="USA"/>
    <s v="Unknown"/>
    <s v="NULL"/>
    <x v="0"/>
  </r>
  <r>
    <s v="100% Kona Bourbon Pointu Laurina"/>
    <n v="95"/>
    <s v="Medium Light"/>
    <n v="56"/>
    <n v="78"/>
    <n v="27.76"/>
    <s v="USA"/>
    <s v="USA"/>
    <s v="America"/>
    <x v="0"/>
  </r>
  <r>
    <s v="Colombia Java El Eden"/>
    <n v="94"/>
    <s v="Medium Light"/>
    <n v="58"/>
    <n v="78"/>
    <n v="5.86"/>
    <s v="USA"/>
    <s v="Colombia"/>
    <s v="America"/>
    <x v="0"/>
  </r>
  <r>
    <s v="Ethiopia Shantawene Natural"/>
    <n v="95"/>
    <s v="Medium Light"/>
    <n v="60"/>
    <n v="76"/>
    <n v="6.47"/>
    <s v="USA"/>
    <s v="Ethiopia"/>
    <s v="Africa"/>
    <x v="0"/>
  </r>
  <r>
    <s v="Ethiopia Buno Dambi Uddo"/>
    <n v="94"/>
    <s v="Light"/>
    <n v="65"/>
    <n v="83"/>
    <n v="7.35"/>
    <s v="USA"/>
    <s v="Ethiopia"/>
    <s v="Africa"/>
    <x v="0"/>
  </r>
  <r>
    <s v="Ethiopia Worka Sakaro Anaerobic Natural"/>
    <n v="94"/>
    <s v="Medium"/>
    <n v="56"/>
    <n v="64"/>
    <n v="4.7"/>
    <s v="USA"/>
    <s v="Ethiopia"/>
    <s v="Africa"/>
    <x v="0"/>
  </r>
  <r>
    <s v="Ethiopia Durato Bombe Natural"/>
    <n v="94"/>
    <s v="Light"/>
    <n v="64"/>
    <n v="80"/>
    <n v="6.47"/>
    <s v="USA"/>
    <s v="Ethiopia"/>
    <s v="Africa"/>
    <x v="0"/>
  </r>
  <r>
    <s v="SГ–T Coffee Roaster Colombia Wush Wush Dynamic Natural"/>
    <n v="96"/>
    <s v="Light"/>
    <n v="76"/>
    <n v="92"/>
    <n v="1680"/>
    <s v="Japan"/>
    <s v="Colombia"/>
    <s v="America"/>
    <x v="1"/>
  </r>
  <r>
    <s v="Colombia Trujillo Experimental Process"/>
    <n v="94"/>
    <s v="Medium Light"/>
    <n v="57"/>
    <n v="77"/>
    <n v="7.35"/>
    <s v="USA"/>
    <s v="Colombia"/>
    <s v="America"/>
    <x v="0"/>
  </r>
  <r>
    <s v="Colombia La Siria Geisha"/>
    <n v="96"/>
    <s v="Medium Light"/>
    <n v="60"/>
    <n v="78"/>
    <n v="83.77"/>
    <s v="USA"/>
    <s v="Colombia"/>
    <s v="America"/>
    <x v="0"/>
  </r>
  <r>
    <s v="Guatemala Santa Felisa Wild Yeast Natural Gesha"/>
    <n v="96"/>
    <s v="Light"/>
    <n v="62"/>
    <n v="88"/>
    <n v="330.69"/>
    <s v="Taiwan"/>
    <s v="Guatemala"/>
    <s v="America"/>
    <x v="1"/>
  </r>
  <r>
    <s v="Colombia Granja La Esperanza Las Margaritas Gesha Honey"/>
    <n v="95"/>
    <s v="Light"/>
    <n v="62"/>
    <n v="80"/>
    <n v="26.46"/>
    <s v="USA"/>
    <s v="Colombia"/>
    <s v="America"/>
    <x v="0"/>
  </r>
  <r>
    <s v="Tanzania Acacia Hills Gesha Peaberry"/>
    <n v="95"/>
    <s v="Medium Light"/>
    <n v="62"/>
    <n v="78"/>
    <n v="70.55"/>
    <s v="USA"/>
    <s v="Tanzania"/>
    <s v="Africa"/>
    <x v="0"/>
  </r>
  <r>
    <s v="Colombia La Palma Y El TucГЎn Gesha Natural"/>
    <n v="94"/>
    <s v="Medium Light"/>
    <n v="56"/>
    <n v="72"/>
    <n v="35.270000000000003"/>
    <s v="USA"/>
    <s v="Colombia"/>
    <s v="America"/>
    <x v="0"/>
  </r>
  <r>
    <s v="Peru Yanesha Geisha Washed Anaerobic"/>
    <n v="94"/>
    <s v="Medium Light"/>
    <n v="59"/>
    <n v="77"/>
    <n v="800"/>
    <s v="Taiwan"/>
    <s v="Peru"/>
    <s v="America"/>
    <x v="1"/>
  </r>
  <r>
    <s v="Guatemala Geisha"/>
    <n v="94"/>
    <s v="Light"/>
    <n v="62"/>
    <n v="80"/>
    <n v="500"/>
    <s v="Taiwan"/>
    <s v="Guatemala"/>
    <s v="America"/>
    <x v="1"/>
  </r>
  <r>
    <s v="Costa Rica La Rejolla Washed Geisha"/>
    <n v="94"/>
    <s v="Medium Light"/>
    <n v="58"/>
    <n v="80"/>
    <n v="11.02"/>
    <s v="USA"/>
    <s v="Costa Rica"/>
    <s v="America"/>
    <x v="0"/>
  </r>
  <r>
    <s v="Bekele Heto Natural Ethiopia"/>
    <n v="95"/>
    <s v="Medium Light"/>
    <n v="58"/>
    <n v="80"/>
    <n v="5.59"/>
    <s v="USA"/>
    <s v="Ethiopia"/>
    <s v="Africa"/>
    <x v="0"/>
  </r>
  <r>
    <s v="El Salvador El Matazano Pacamara"/>
    <n v="95"/>
    <s v="Medium Light"/>
    <n v="60"/>
    <n v="77"/>
    <n v="6.17"/>
    <s v="USA"/>
    <s v="El Salvador"/>
    <s v="America"/>
    <x v="0"/>
  </r>
  <r>
    <s v="Ethiopia Guji Mormora Organic Natural"/>
    <n v="94"/>
    <s v="Light"/>
    <n v="62"/>
    <n v="80"/>
    <n v="5.57"/>
    <s v="USA"/>
    <s v="Ethiopia"/>
    <s v="Africa"/>
    <x v="0"/>
  </r>
  <r>
    <s v="Chelbesa Ethiopia"/>
    <n v="95"/>
    <s v="Medium Light"/>
    <n v="58"/>
    <n v="78"/>
    <n v="7.94"/>
    <s v="USA"/>
    <s v="Ethiopia"/>
    <s v="Africa"/>
    <x v="0"/>
  </r>
  <r>
    <s v="Colombia La Riviera Sudan Rume"/>
    <n v="94"/>
    <s v="Medium Light"/>
    <n v="58"/>
    <n v="76"/>
    <n v="10.57"/>
    <s v="USA"/>
    <s v="Colombia"/>
    <s v="America"/>
    <x v="0"/>
  </r>
  <r>
    <s v="Alaka Ethiopia"/>
    <n v="94"/>
    <s v="Medium Light"/>
    <n v="62"/>
    <n v="78"/>
    <n v="5.29"/>
    <s v="USA"/>
    <s v="Ethiopia"/>
    <s v="Africa"/>
    <x v="0"/>
  </r>
  <r>
    <s v="Ethiopia Guji Uraga Tebe Burka Natural G1"/>
    <n v="94"/>
    <s v="Light"/>
    <n v="64"/>
    <n v="82"/>
    <n v="220"/>
    <s v="Taiwan"/>
    <s v="Ethiopia"/>
    <s v="Africa"/>
    <x v="1"/>
  </r>
  <r>
    <s v="Sweet Kenya J36 Espresso"/>
    <n v="95"/>
    <s v="Medium Light"/>
    <n v="52"/>
    <n v="76"/>
    <n v="333.33"/>
    <s v="Taiwan"/>
    <s v="Kenya"/>
    <s v="Africa"/>
    <x v="1"/>
  </r>
  <r>
    <s v="Acatenango Santa Felisa Wild Yeast Natural Sudan Rume Full Moon Lot 4"/>
    <n v="94"/>
    <s v="Medium Light"/>
    <n v="60"/>
    <n v="76"/>
    <n v="264.55"/>
    <s v="Taiwan"/>
    <s v="Guatemala"/>
    <s v="America"/>
    <x v="1"/>
  </r>
  <r>
    <s v="Guatemala Finca El General Slow Dry 6"/>
    <n v="94"/>
    <s v="Medium Light"/>
    <n v="58"/>
    <n v="78"/>
    <n v="165.34"/>
    <s v="Taiwan"/>
    <s v="Guatemala"/>
    <s v="America"/>
    <x v="1"/>
  </r>
  <r>
    <s v="Ethiopia Yirgacheffe Washed Banko Gotiti 3"/>
    <n v="94"/>
    <s v="Medium Light"/>
    <n v="58"/>
    <n v="80"/>
    <n v="121.25"/>
    <s v="Taiwan"/>
    <s v="Ethiopia"/>
    <s v="Africa"/>
    <x v="1"/>
  </r>
  <r>
    <s v="Ethiopia Natural Yirgacheffe Adado Feysa Dira"/>
    <n v="94"/>
    <s v="Medium Light"/>
    <n v="58"/>
    <n v="76"/>
    <n v="123.46"/>
    <s v="Taiwan"/>
    <s v="Ethiopia"/>
    <s v="Africa"/>
    <x v="1"/>
  </r>
  <r>
    <s v="Guatemala Finca El General SummerEnd Espresso"/>
    <n v="94"/>
    <s v="Medium Light"/>
    <n v="52"/>
    <n v="72"/>
    <n v="99.21"/>
    <s v="Taiwan"/>
    <s v="Guatemala"/>
    <s v="America"/>
    <x v="1"/>
  </r>
  <r>
    <s v="Guatemala El Injerto Natural Legendary Gesha 7"/>
    <n v="95"/>
    <s v="Light"/>
    <n v="62"/>
    <n v="80"/>
    <n v="529.1"/>
    <s v="Taiwan"/>
    <s v="Guatemala"/>
    <s v="America"/>
    <x v="1"/>
  </r>
  <r>
    <s v="Kenya Gachatha Nyeri AA"/>
    <n v="96"/>
    <s v="Medium Light"/>
    <n v="60"/>
    <n v="76"/>
    <n v="6.61"/>
    <s v="USA"/>
    <s v="Kenya"/>
    <s v="Africa"/>
    <x v="0"/>
  </r>
  <r>
    <s v="Ethiopia Super Wush"/>
    <n v="95"/>
    <s v="Light"/>
    <n v="62"/>
    <n v="80"/>
    <n v="7.64"/>
    <s v="USA"/>
    <s v="Ethiopia"/>
    <s v="Africa"/>
    <x v="0"/>
  </r>
  <r>
    <s v="Ethiopia Worka Sakaro Anaerobic Natural"/>
    <n v="94"/>
    <s v="Medium Light"/>
    <n v="59"/>
    <n v="77"/>
    <n v="5.73"/>
    <s v="USA"/>
    <s v="Ethiopia"/>
    <s v="Africa"/>
    <x v="0"/>
  </r>
  <r>
    <s v="Kenya Athena AB Espresso"/>
    <n v="94"/>
    <s v="Medium"/>
    <n v="46"/>
    <n v="60"/>
    <n v="374.78"/>
    <s v="Taiwan"/>
    <s v="Kenya"/>
    <s v="Africa"/>
    <x v="1"/>
  </r>
  <r>
    <s v="Colombia La Esperanza Anaerobic"/>
    <n v="94"/>
    <s v="Medium Light"/>
    <n v="54"/>
    <n v="74"/>
    <n v="12.35"/>
    <s v="USA"/>
    <s v="Colombia"/>
    <s v="America"/>
    <x v="0"/>
  </r>
  <r>
    <s v="Ethiopia Gogogu Bekaka #1"/>
    <n v="94"/>
    <s v="Light"/>
    <n v="64"/>
    <n v="86"/>
    <n v="7.35"/>
    <s v="USA"/>
    <s v="Ethiopia"/>
    <s v="Africa"/>
    <x v="0"/>
  </r>
  <r>
    <s v="Kenya Gichathaini"/>
    <n v="95"/>
    <s v="Medium Light"/>
    <n v="60"/>
    <n v="78"/>
    <n v="7.33"/>
    <s v="USA"/>
    <s v="Kenya"/>
    <s v="Africa"/>
    <x v="0"/>
  </r>
  <r>
    <s v="Ethiopia Kochere Hama Jet Washing Station"/>
    <n v="94"/>
    <s v="Light"/>
    <n v="64"/>
    <n v="84"/>
    <n v="176.21"/>
    <s v="Taiwan"/>
    <s v="Ethiopia"/>
    <s v="Africa"/>
    <x v="1"/>
  </r>
  <r>
    <s v="Elida Estate Dragonfly Catuai Lot 13"/>
    <n v="94"/>
    <s v="Medium Light"/>
    <n v="55"/>
    <n v="71"/>
    <n v="6.61"/>
    <s v="USA"/>
    <s v="Panama"/>
    <s v="America"/>
    <x v="0"/>
  </r>
  <r>
    <s v="Elida Estate ASD Natural Catuai 15"/>
    <n v="94"/>
    <s v="Medium Light"/>
    <n v="57"/>
    <n v="75"/>
    <n v="8.82"/>
    <s v="USA"/>
    <s v="Panama"/>
    <s v="America"/>
    <x v="0"/>
  </r>
  <r>
    <s v="Yemen Sheba Auction Lot 1: Wadi Al Mahjr"/>
    <n v="95"/>
    <s v="Medium Light"/>
    <n v="56"/>
    <n v="78"/>
    <n v="440.92"/>
    <s v="Taiwan"/>
    <s v="Yemen"/>
    <s v="Africa"/>
    <x v="1"/>
  </r>
  <r>
    <s v="Yemen Port of Mokha Al-Jabal"/>
    <n v="94"/>
    <s v="Medium Light"/>
    <n v="58"/>
    <n v="76"/>
    <n v="21.16"/>
    <s v="USA"/>
    <s v="Yemen"/>
    <s v="Africa"/>
    <x v="0"/>
  </r>
  <r>
    <s v="Colombia La Esperanza PotosГ­ Anaerobic Process"/>
    <n v="94"/>
    <s v="Medium Light"/>
    <n v="57"/>
    <n v="73"/>
    <n v="5.57"/>
    <s v="USA"/>
    <s v="Colombia"/>
    <s v="America"/>
    <x v="0"/>
  </r>
  <r>
    <s v="Panama Hacienda La Esmeralda Ethiopia Accessions"/>
    <n v="95"/>
    <s v="Light"/>
    <n v="62"/>
    <n v="82"/>
    <n v="22"/>
    <s v="USA"/>
    <s v="Panama"/>
    <s v="America"/>
    <x v="0"/>
  </r>
  <r>
    <s v="Guji Hamasho Washed"/>
    <n v="94"/>
    <s v="Medium Light"/>
    <n v="56"/>
    <n v="82"/>
    <n v="7.33"/>
    <s v="USA"/>
    <s v="Ethiopia"/>
    <s v="Africa"/>
    <x v="0"/>
  </r>
  <r>
    <s v="Kona Red Wine Process"/>
    <n v="94"/>
    <s v="Medium Light"/>
    <n v="56"/>
    <n v="76"/>
    <n v="22"/>
    <s v="USA"/>
    <s v="USA"/>
    <s v="America"/>
    <x v="0"/>
  </r>
  <r>
    <s v="Candelilla Geisha Natural"/>
    <n v="95"/>
    <s v="Light"/>
    <n v="62"/>
    <n v="80"/>
    <n v="9.48"/>
    <s v="USA"/>
    <s v="Costa Rica"/>
    <s v="America"/>
    <x v="0"/>
  </r>
  <r>
    <s v="Kiamugumo Kenya"/>
    <n v="95"/>
    <s v="Medium Light"/>
    <n v="58"/>
    <n v="80"/>
    <n v="6.17"/>
    <s v="USA"/>
    <s v="Kenya"/>
    <s v="Africa"/>
    <x v="0"/>
  </r>
  <r>
    <s v="Ethiopia Sidama Ardi"/>
    <n v="95"/>
    <s v="Light"/>
    <n v="64"/>
    <n v="86"/>
    <n v="5.59"/>
    <s v="USA"/>
    <s v="Ethiopia"/>
    <s v="Africa"/>
    <x v="0"/>
  </r>
  <r>
    <s v="Colombia Gesha"/>
    <n v="94"/>
    <s v="Medium Light"/>
    <n v="60"/>
    <n v="77"/>
    <n v="7.94"/>
    <s v="USA"/>
    <s v="Colombia"/>
    <s v="America"/>
    <x v="0"/>
  </r>
  <r>
    <s v="Ethiopia Kayon Mountain Washed"/>
    <n v="94"/>
    <s v="Medium Light"/>
    <n v="60"/>
    <n v="78"/>
    <n v="5.86"/>
    <s v="USA"/>
    <s v="Ethiopia"/>
    <s v="Africa"/>
    <x v="0"/>
  </r>
  <r>
    <s v="Ethiopia Gedeb Worka Wuri"/>
    <n v="95"/>
    <s v="Light"/>
    <n v="62"/>
    <n v="80"/>
    <n v="7.64"/>
    <s v="USA"/>
    <s v="Ethiopia"/>
    <s v="Africa"/>
    <x v="0"/>
  </r>
  <r>
    <s v="Mama Cata Mokkita"/>
    <n v="95"/>
    <s v="Medium Light"/>
    <n v="54"/>
    <n v="72"/>
    <n v="23.52"/>
    <s v="USA"/>
    <s v="Panama"/>
    <s v="America"/>
    <x v="0"/>
  </r>
  <r>
    <s v="Kenya Karatina"/>
    <n v="94"/>
    <s v="Medium Light"/>
    <n v="56"/>
    <n v="74"/>
    <n v="6.91"/>
    <s v="USA"/>
    <s v="Kenya"/>
    <s v="Africa"/>
    <x v="0"/>
  </r>
  <r>
    <s v="La Reforma El Salvador Natural"/>
    <n v="94"/>
    <s v="Medium Light"/>
    <n v="58"/>
    <n v="77"/>
    <n v="6.03"/>
    <s v="USA"/>
    <s v="El Salvador"/>
    <s v="America"/>
    <x v="0"/>
  </r>
  <r>
    <s v="Panama Geisha"/>
    <n v="94"/>
    <s v="Light"/>
    <n v="62"/>
    <n v="82"/>
    <n v="712"/>
    <s v="Taiwan"/>
    <s v="Panama"/>
    <s v="America"/>
    <x v="1"/>
  </r>
  <r>
    <s v="Guatemala COE-NW#2 Sierra Roja Geisha Washed"/>
    <n v="96"/>
    <s v="Medium Light"/>
    <n v="60"/>
    <n v="80"/>
    <n v="600"/>
    <s v="Taiwan"/>
    <s v="Guatemala"/>
    <s v="America"/>
    <x v="1"/>
  </r>
  <r>
    <s v="Guatemala La Voz"/>
    <n v="94"/>
    <s v="Medium Light"/>
    <n v="58"/>
    <n v="76"/>
    <n v="6.17"/>
    <s v="USA"/>
    <s v="Guatemala"/>
    <s v="America"/>
    <x v="0"/>
  </r>
  <r>
    <s v="Cafe Granja La Esperanza Sudan Rume"/>
    <n v="94"/>
    <s v="Medium Light"/>
    <n v="59"/>
    <n v="77"/>
    <n v="17.64"/>
    <s v="China"/>
    <s v="Colombia"/>
    <s v="America"/>
    <x v="1"/>
  </r>
  <r>
    <s v="Ethiopia Guji Laayoo Natural"/>
    <n v="95"/>
    <s v="Light"/>
    <n v="64"/>
    <n v="84"/>
    <n v="7.33"/>
    <s v="USA"/>
    <s v="Ethiopia"/>
    <s v="Africa"/>
    <x v="0"/>
  </r>
  <r>
    <s v="Colombia Cafe Granja La Esperanza Sidra Natural"/>
    <n v="95"/>
    <s v="Medium Light"/>
    <n v="58"/>
    <n v="80"/>
    <n v="25.71"/>
    <s v="USA"/>
    <s v="Colombia"/>
    <s v="America"/>
    <x v="0"/>
  </r>
  <r>
    <s v="Kenya Gatomboya"/>
    <n v="94"/>
    <s v="Medium Light"/>
    <n v="56"/>
    <n v="76"/>
    <n v="7.05"/>
    <s v="USA"/>
    <s v="Kenya"/>
    <s v="Africa"/>
    <x v="0"/>
  </r>
  <r>
    <s v="Nicaragua La Bendicion Yellow Maracaturra Natural"/>
    <n v="94"/>
    <s v="Light"/>
    <n v="64"/>
    <n v="86"/>
    <n v="8.7899999999999991"/>
    <s v="USA"/>
    <s v="Nicaragua"/>
    <s v="America"/>
    <x v="0"/>
  </r>
  <r>
    <s v="Kona Lactic Washed"/>
    <n v="94"/>
    <s v="Medium Light"/>
    <n v="60"/>
    <n v="76"/>
    <n v="22"/>
    <s v="USA"/>
    <s v="USA"/>
    <s v="America"/>
    <x v="0"/>
  </r>
  <r>
    <s v="Kenya Kamwangi"/>
    <n v="95"/>
    <s v="Medium Light"/>
    <n v="58"/>
    <n v="78"/>
    <n v="7.05"/>
    <s v="USA"/>
    <s v="Kenya"/>
    <s v="Africa"/>
    <x v="0"/>
  </r>
  <r>
    <s v="Ethiopia Bench Maji Gesha Village Oma Geisha 1931 Lot 55 Natural"/>
    <n v="94"/>
    <s v="Light"/>
    <n v="64"/>
    <n v="86"/>
    <n v="668.14"/>
    <s v="Taiwan"/>
    <s v="Ethiopia"/>
    <s v="Africa"/>
    <x v="1"/>
  </r>
  <r>
    <s v="Ethiopia Guji Natural Euphora Special Lot"/>
    <n v="94"/>
    <s v="Medium Light"/>
    <n v="59"/>
    <n v="79"/>
    <n v="141.09"/>
    <s v="Taiwan"/>
    <s v="Ethiopia"/>
    <s v="Africa"/>
    <x v="1"/>
  </r>
  <r>
    <s v="Sudan Rume"/>
    <n v="95"/>
    <s v="Medium Light"/>
    <n v="57"/>
    <n v="74"/>
    <n v="13.23"/>
    <s v="USA"/>
    <s v="Colombia"/>
    <s v="America"/>
    <x v="0"/>
  </r>
  <r>
    <s v="Testi Ayla Double Ethiopia"/>
    <n v="97"/>
    <s v="Light"/>
    <n v="64"/>
    <n v="86"/>
    <n v="16.149999999999999"/>
    <s v="USA"/>
    <s v="Ethiopia"/>
    <s v="Africa"/>
    <x v="0"/>
  </r>
  <r>
    <s v="Primavera Colombia Espresso"/>
    <n v="94"/>
    <s v="Medium Light"/>
    <n v="58"/>
    <n v="78"/>
    <n v="5.59"/>
    <s v="USA"/>
    <s v="Colombia"/>
    <s v="America"/>
    <x v="0"/>
  </r>
  <r>
    <s v="Gigesa Ethiopia"/>
    <n v="94"/>
    <s v="Light"/>
    <n v="62"/>
    <n v="80"/>
    <n v="5.29"/>
    <s v="USA"/>
    <s v="Ethiopia"/>
    <s v="Africa"/>
    <x v="0"/>
  </r>
  <r>
    <s v="Espresso Blend"/>
    <n v="94"/>
    <s v="Medium"/>
    <n v="51"/>
    <n v="64"/>
    <n v="200"/>
    <s v="Taiwan"/>
    <s v="Unknown"/>
    <s v="NULL"/>
    <x v="1"/>
  </r>
  <r>
    <s v="Classic MK Blend"/>
    <n v="94"/>
    <s v="Medium Dark"/>
    <n v="36"/>
    <n v="48"/>
    <n v="200"/>
    <s v="Taiwan"/>
    <s v="Colombia"/>
    <s v="America"/>
    <x v="1"/>
  </r>
  <r>
    <s v="Chocolate LoverвЂ™s Espresso"/>
    <n v="94"/>
    <s v="Medium Dark"/>
    <n v="39"/>
    <n v="53"/>
    <n v="133.33000000000001"/>
    <s v="Taiwan"/>
    <s v="Colombia"/>
    <s v="America"/>
    <x v="1"/>
  </r>
  <r>
    <s v="Golden Parrot Blend"/>
    <n v="95"/>
    <s v="Medium"/>
    <n v="50"/>
    <n v="67"/>
    <n v="92.59"/>
    <s v="Taiwan"/>
    <s v="Ethiopia"/>
    <s v="Africa"/>
    <x v="1"/>
  </r>
  <r>
    <s v="Bull Demon King"/>
    <n v="96"/>
    <s v="Medium Dark"/>
    <n v="35"/>
    <n v="48"/>
    <n v="242.5"/>
    <s v="Taiwan"/>
    <s v="Ethiopia"/>
    <s v="Africa"/>
    <x v="1"/>
  </r>
  <r>
    <s v="Tanzania Gesha Peaberry"/>
    <n v="95"/>
    <s v="Light"/>
    <n v="62"/>
    <n v="80"/>
    <n v="66.09"/>
    <s v="USA"/>
    <s v="Tanzania"/>
    <s v="Africa"/>
    <x v="0"/>
  </r>
  <r>
    <s v="Ethiopia Natural Guji D Minor 21/01"/>
    <n v="95"/>
    <s v="Light"/>
    <n v="64"/>
    <n v="84"/>
    <n v="165.34"/>
    <s v="Taiwan"/>
    <s v="Ethiopia"/>
    <s v="Africa"/>
    <x v="1"/>
  </r>
  <r>
    <s v="Ethiopia Hambela Yellow Honey James Selection"/>
    <n v="95"/>
    <s v="Light"/>
    <n v="62"/>
    <n v="80"/>
    <n v="180.78"/>
    <s v="Taiwan"/>
    <s v="Ethiopia"/>
    <s v="Africa"/>
    <x v="1"/>
  </r>
  <r>
    <s v="Costa Rica Black Honey"/>
    <n v="94"/>
    <s v="Medium Light"/>
    <n v="58"/>
    <n v="76"/>
    <n v="121.25"/>
    <s v="Taiwan"/>
    <s v="Costa Rica"/>
    <s v="America"/>
    <x v="1"/>
  </r>
  <r>
    <s v="Ethiopia Guji Hambela Kudume Yellow Honey"/>
    <n v="94"/>
    <s v="Medium Light"/>
    <n v="58"/>
    <n v="76"/>
    <n v="280"/>
    <s v="Taiwan"/>
    <s v="Ethiopia"/>
    <s v="Africa"/>
    <x v="1"/>
  </r>
  <r>
    <s v="Ethiopia Sidamo Bensa Mirado Natural"/>
    <n v="94"/>
    <s v="Light"/>
    <n v="64"/>
    <n v="80"/>
    <n v="220.26"/>
    <s v="Taiwan"/>
    <s v="Ethiopia"/>
    <s v="Africa"/>
    <x v="1"/>
  </r>
  <r>
    <s v="Costa Rica La Florida Red Honey Espresso"/>
    <n v="95"/>
    <s v="Medium Light"/>
    <n v="54"/>
    <n v="78"/>
    <n v="132.28"/>
    <s v="Taiwan"/>
    <s v="Costa Rica"/>
    <s v="America"/>
    <x v="1"/>
  </r>
  <r>
    <s v="Ethiopia Yirgacheffe Botabaa Washed G1 21/01"/>
    <n v="94"/>
    <s v="Medium Light"/>
    <n v="60"/>
    <n v="80"/>
    <n v="127.87"/>
    <s v="Taiwan"/>
    <s v="Ethiopia"/>
    <s v="Africa"/>
    <x v="1"/>
  </r>
  <r>
    <s v="Yemen Mocca Matari"/>
    <n v="94"/>
    <s v="Medium Light"/>
    <n v="60"/>
    <n v="78"/>
    <n v="299.56"/>
    <s v="Taiwan"/>
    <s v="Yemen"/>
    <s v="Africa"/>
    <x v="1"/>
  </r>
  <r>
    <s v="Mojave Vault Series Geisha Natural"/>
    <n v="94"/>
    <s v="Light"/>
    <n v="64"/>
    <n v="84"/>
    <n v="22.02"/>
    <s v="USA"/>
    <s v="Panama"/>
    <s v="America"/>
    <x v="0"/>
  </r>
  <r>
    <s v="Kabiufa Papua New Guinea"/>
    <n v="94"/>
    <s v="Light"/>
    <n v="60"/>
    <n v="82"/>
    <n v="4.7"/>
    <s v="USA"/>
    <s v="Papua New Guinea"/>
    <s v="Asia-Pacific"/>
    <x v="0"/>
  </r>
  <r>
    <s v="Ethiopia Buku Abela"/>
    <n v="94"/>
    <s v="Medium Light"/>
    <n v="60"/>
    <n v="78"/>
    <n v="154.19"/>
    <s v="Taiwan"/>
    <s v="Ethiopia"/>
    <s v="Africa"/>
    <x v="1"/>
  </r>
  <r>
    <s v="Colombia Finca Santa Maria"/>
    <n v="95"/>
    <s v="Medium Light"/>
    <n v="58"/>
    <n v="78"/>
    <n v="5.29"/>
    <s v="USA"/>
    <s v="Colombia"/>
    <s v="America"/>
    <x v="0"/>
  </r>
  <r>
    <s v="Yemen Mocha Haimi"/>
    <n v="94"/>
    <s v="Light"/>
    <n v="63"/>
    <n v="83"/>
    <n v="15.43"/>
    <s v="USA"/>
    <s v="Yemen"/>
    <s v="Africa"/>
    <x v="0"/>
  </r>
  <r>
    <s v="Costa Rica Hacienda Tobosi Villalobos Anaerobic Natural"/>
    <n v="94"/>
    <s v="Light"/>
    <n v="62"/>
    <n v="80"/>
    <n v="300"/>
    <s v="Taiwan"/>
    <s v="Costa Rica"/>
    <s v="America"/>
    <x v="1"/>
  </r>
  <r>
    <s v="Colombia Wush Wush"/>
    <n v="94"/>
    <s v="Medium"/>
    <n v="56"/>
    <n v="64"/>
    <n v="7.94"/>
    <s v="USA"/>
    <s v="Colombia"/>
    <s v="America"/>
    <x v="0"/>
  </r>
  <r>
    <s v="Brazil Gauriroba Natural"/>
    <n v="94"/>
    <s v="Light"/>
    <n v="82"/>
    <n v="104"/>
    <n v="2980"/>
    <s v="Japan"/>
    <s v="Brazil"/>
    <s v="America"/>
    <x v="1"/>
  </r>
  <r>
    <s v="Rwanda вЂњSilverback ReturnsвЂќ"/>
    <n v="94"/>
    <s v="Medium Dark"/>
    <n v="42"/>
    <n v="58"/>
    <n v="352.73"/>
    <s v="Taiwan"/>
    <s v="Rwanda"/>
    <s v="Africa"/>
    <x v="1"/>
  </r>
  <r>
    <s v="Gigesa Natural"/>
    <n v="95"/>
    <s v="Medium Light"/>
    <n v="58"/>
    <n v="78"/>
    <n v="5.29"/>
    <s v="USA"/>
    <s v="Ethiopia"/>
    <s v="Africa"/>
    <x v="0"/>
  </r>
  <r>
    <s v="El Jocote Natural"/>
    <n v="95"/>
    <s v="Medium Light"/>
    <n v="60"/>
    <n v="78"/>
    <n v="7.05"/>
    <s v="USA"/>
    <s v="Costa Rica"/>
    <s v="America"/>
    <x v="0"/>
  </r>
  <r>
    <s v="Panama Finca Santa Teresa Summer Gesha"/>
    <n v="94"/>
    <s v="Medium Light"/>
    <n v="60"/>
    <n v="78"/>
    <n v="25.57"/>
    <s v="USA"/>
    <s v="Panama"/>
    <s v="America"/>
    <x v="0"/>
  </r>
  <r>
    <s v="Baby Dragons"/>
    <n v="94"/>
    <s v="Medium Light"/>
    <n v="60"/>
    <n v="77"/>
    <n v="8.23"/>
    <s v="USA"/>
    <s v="Colombia"/>
    <s v="America"/>
    <x v="0"/>
  </r>
  <r>
    <s v="Kona Maragogype Peaberry Natural"/>
    <n v="95"/>
    <s v="Medium Light"/>
    <n v="58"/>
    <n v="80"/>
    <n v="22.05"/>
    <s v="USA"/>
    <s v="USA"/>
    <s v="America"/>
    <x v="0"/>
  </r>
  <r>
    <s v="Ecuador San JosГ© de Minas Double-Anaerobic"/>
    <n v="94"/>
    <s v="Light"/>
    <n v="62"/>
    <n v="80"/>
    <n v="13.23"/>
    <s v="USA"/>
    <s v="Ecuador"/>
    <s v="America"/>
    <x v="0"/>
  </r>
  <r>
    <s v="Nyeri Hill Kenya"/>
    <n v="95"/>
    <s v="Medium Light"/>
    <n v="58"/>
    <n v="80"/>
    <n v="6.03"/>
    <s v="USA"/>
    <s v="Kenya"/>
    <s v="Africa"/>
    <x v="0"/>
  </r>
  <r>
    <s v="La Perla Chiquita Ecuador"/>
    <n v="95"/>
    <s v="Medium Light"/>
    <n v="56"/>
    <n v="76"/>
    <n v="6.17"/>
    <s v="USA"/>
    <s v="Ecuador"/>
    <s v="America"/>
    <x v="0"/>
  </r>
  <r>
    <s v="Pantan Musara Sumatra"/>
    <n v="94"/>
    <s v="Medium Light"/>
    <n v="56"/>
    <n v="74"/>
    <n v="5.26"/>
    <s v="USA"/>
    <s v="Indonesia"/>
    <s v="Asia-Pacific"/>
    <x v="0"/>
  </r>
  <r>
    <s v="Las Flores Colombia"/>
    <n v="94"/>
    <s v="Medium Light"/>
    <n v="58"/>
    <n v="78"/>
    <n v="5.88"/>
    <s v="USA"/>
    <s v="Colombia"/>
    <s v="America"/>
    <x v="0"/>
  </r>
  <r>
    <s v="Nicaragua Yellow Pacamara Natural"/>
    <n v="94"/>
    <s v="Light"/>
    <n v="62"/>
    <n v="80"/>
    <n v="26.41"/>
    <s v="USA"/>
    <s v="Nicaragua"/>
    <s v="America"/>
    <x v="0"/>
  </r>
  <r>
    <s v="Ethiopia West Arsi Nensebo Natural G1"/>
    <n v="95"/>
    <s v="Medium Light"/>
    <n v="52"/>
    <n v="70"/>
    <n v="7.05"/>
    <s v="Taiwan"/>
    <s v="Ethiopia"/>
    <s v="Africa"/>
    <x v="1"/>
  </r>
  <r>
    <s v="Ethiopia Sidama Bona Sweet Natural"/>
    <n v="94"/>
    <s v="Light"/>
    <n v="62"/>
    <n v="80"/>
    <n v="5.88"/>
    <s v="Taiwan"/>
    <s v="Ethiopia"/>
    <s v="Africa"/>
    <x v="1"/>
  </r>
  <r>
    <s v="Congo Square"/>
    <n v="94"/>
    <s v="Medium Light"/>
    <n v="56"/>
    <n v="74"/>
    <n v="5.88"/>
    <s v="USA"/>
    <s v="Democratic Republic of the Congo"/>
    <s v="Africa"/>
    <x v="0"/>
  </r>
  <r>
    <s v="Rwanda Rulindo Tumba"/>
    <n v="94"/>
    <s v="Medium Light"/>
    <n v="60"/>
    <n v="78"/>
    <n v="5"/>
    <s v="USA"/>
    <s v="Rwanda"/>
    <s v="Africa"/>
    <x v="0"/>
  </r>
  <r>
    <s v="Tanzania Sambewe"/>
    <n v="94"/>
    <s v="Medium Light"/>
    <n v="58"/>
    <n v="78"/>
    <n v="4.9800000000000004"/>
    <s v="USA"/>
    <s v="Tanzania"/>
    <s v="Africa"/>
    <x v="0"/>
  </r>
  <r>
    <s v="Rwanda Kinini Village Natural"/>
    <n v="94"/>
    <s v="Medium Light"/>
    <n v="58"/>
    <n v="78"/>
    <n v="6.32"/>
    <s v="USA"/>
    <s v="Rwanda"/>
    <s v="Africa"/>
    <x v="0"/>
  </r>
  <r>
    <s v="Tanzania Peaberry"/>
    <n v="94"/>
    <s v="Medium Light"/>
    <n v="53"/>
    <n v="71"/>
    <n v="3.97"/>
    <s v="USA"/>
    <s v="Tanzania"/>
    <s v="Africa"/>
    <x v="0"/>
  </r>
  <r>
    <s v="Tanzania Ngila Estate SL28"/>
    <n v="95"/>
    <s v="Light"/>
    <n v="60"/>
    <n v="84"/>
    <n v="7.33"/>
    <s v="USA"/>
    <s v="Tanzania"/>
    <s v="Africa"/>
    <x v="0"/>
  </r>
  <r>
    <s v="Ethiopia Washed Sidama Nafasha 74158 21/01"/>
    <n v="96"/>
    <s v="Medium Light"/>
    <n v="60"/>
    <n v="78"/>
    <n v="127.87"/>
    <s v="Taiwan"/>
    <s v="Ethiopia"/>
    <s v="Africa"/>
    <x v="1"/>
  </r>
  <r>
    <s v="Ethiopia Tibe Haro Uraga"/>
    <n v="95"/>
    <s v="Medium Light"/>
    <n v="58"/>
    <n v="78"/>
    <n v="6.02"/>
    <s v="USA"/>
    <s v="Ethiopia"/>
    <s v="Africa"/>
    <x v="0"/>
  </r>
  <r>
    <s v="Taiwan Natural Alishan TFUвЂ™YA Kakalove Lot"/>
    <n v="95"/>
    <s v="Medium Light"/>
    <n v="58"/>
    <n v="78"/>
    <n v="617.28"/>
    <s v="Taiwan"/>
    <s v="Taiwan"/>
    <s v="Asia-Pacific"/>
    <x v="1"/>
  </r>
  <r>
    <s v="Ethiopia Natural Guji Blue Donkey 21/01"/>
    <n v="95"/>
    <s v="Light"/>
    <n v="60"/>
    <n v="82"/>
    <n v="143.30000000000001"/>
    <s v="Taiwan"/>
    <s v="Ethiopia"/>
    <s v="Africa"/>
    <x v="1"/>
  </r>
  <r>
    <s v="Kenya Nyeri Gachatha Washed AB"/>
    <n v="94"/>
    <s v="Medium Light"/>
    <n v="58"/>
    <n v="76"/>
    <n v="143.30000000000001"/>
    <s v="Taiwan"/>
    <s v="Kenya"/>
    <s v="Africa"/>
    <x v="1"/>
  </r>
  <r>
    <s v="Ethiopia Yirgacheffe G1 Mulugeta Tsige"/>
    <n v="95"/>
    <s v="Medium Light"/>
    <n v="60"/>
    <n v="78"/>
    <n v="250"/>
    <s v="Taiwan"/>
    <s v="Ethiopia"/>
    <s v="Africa"/>
    <x v="1"/>
  </r>
  <r>
    <s v="Kenya AA Top Gathambi Station"/>
    <n v="94"/>
    <s v="Medium Light"/>
    <n v="58"/>
    <n v="76"/>
    <n v="275"/>
    <s v="Taiwan"/>
    <s v="Kenya"/>
    <s v="Africa"/>
    <x v="1"/>
  </r>
  <r>
    <s v="Ethiopia Guji Gerba Station G1 Natural Espresso"/>
    <n v="94"/>
    <s v="Medium Light"/>
    <n v="56"/>
    <n v="76"/>
    <n v="225"/>
    <s v="Taiwan"/>
    <s v="Ethiopia"/>
    <s v="Africa"/>
    <x v="1"/>
  </r>
  <r>
    <s v="Ethiopia Keramo Village"/>
    <n v="94"/>
    <s v="Medium Light"/>
    <n v="60"/>
    <n v="77"/>
    <n v="10"/>
    <s v="USA"/>
    <s v="Ethiopia"/>
    <s v="Africa"/>
    <x v="0"/>
  </r>
  <r>
    <s v="Ethiopia Uraga Washed G1"/>
    <n v="94"/>
    <s v="Medium Light"/>
    <n v="58"/>
    <n v="78"/>
    <n v="5.28"/>
    <s v="USA"/>
    <s v="Ethiopia"/>
    <s v="Africa"/>
    <x v="0"/>
  </r>
  <r>
    <s v="Kenya Karindudu AA"/>
    <n v="95"/>
    <s v="Medium Light"/>
    <n v="56"/>
    <n v="76"/>
    <n v="6.47"/>
    <s v="USA"/>
    <s v="Kenya"/>
    <s v="Africa"/>
    <x v="0"/>
  </r>
  <r>
    <s v="Colombia Cardona Natural"/>
    <n v="94"/>
    <s v="Light"/>
    <n v="62"/>
    <n v="80"/>
    <n v="7.35"/>
    <s v="USA"/>
    <s v="Colombia"/>
    <s v="America"/>
    <x v="0"/>
  </r>
  <r>
    <s v="Ethiopia Guji Anaerobic"/>
    <n v="94"/>
    <s v="Medium Light"/>
    <n v="57"/>
    <n v="73"/>
    <n v="7.35"/>
    <s v="USA"/>
    <s v="Ethiopia"/>
    <s v="Africa"/>
    <x v="0"/>
  </r>
  <r>
    <s v="Maypop"/>
    <n v="94"/>
    <s v="Medium Light"/>
    <n v="56"/>
    <n v="72"/>
    <n v="7.35"/>
    <s v="Colombia"/>
    <s v="Colombia"/>
    <s v="America"/>
    <x v="0"/>
  </r>
  <r>
    <s v="La Soledad Colombia"/>
    <n v="94"/>
    <s v="Medium Light"/>
    <n v="58"/>
    <n v="80"/>
    <n v="7.94"/>
    <s v="USA"/>
    <s v="Colombia"/>
    <s v="America"/>
    <x v="0"/>
  </r>
  <r>
    <s v="Colombia Huila Acevedo El Paraiso"/>
    <n v="94"/>
    <s v="Medium Light"/>
    <n v="57"/>
    <n v="77"/>
    <n v="7.35"/>
    <s v="USA"/>
    <s v="Colombia"/>
    <s v="America"/>
    <x v="0"/>
  </r>
  <r>
    <s v="Love of Desolate"/>
    <n v="96"/>
    <s v="Medium Light"/>
    <n v="58"/>
    <n v="80"/>
    <n v="220.26"/>
    <s v="Taiwan"/>
    <s v="Costa Rica"/>
    <s v="America"/>
    <x v="1"/>
  </r>
  <r>
    <s v="Blend No.7 Berrichee"/>
    <n v="95"/>
    <s v="Medium Light"/>
    <n v="54"/>
    <n v="74"/>
    <n v="210"/>
    <s v="Taiwan"/>
    <s v="Mexico"/>
    <s v="America"/>
    <x v="1"/>
  </r>
  <r>
    <s v="Ethiopia Niguse Gemeda Mude Natural"/>
    <n v="94"/>
    <s v="Medium Light"/>
    <n v="60"/>
    <n v="78"/>
    <n v="396.48"/>
    <s v="Taiwan"/>
    <s v="Ethiopia"/>
    <s v="Africa"/>
    <x v="1"/>
  </r>
  <r>
    <s v="La Estrella Carbonic Geisha Reserve"/>
    <n v="95"/>
    <s v="Medium Light"/>
    <n v="59"/>
    <n v="77"/>
    <n v="20"/>
    <s v="USA"/>
    <s v="Colombia"/>
    <s v="America"/>
    <x v="0"/>
  </r>
  <r>
    <s v="Ethiopia Guji Wush Wush Anaerobic Natural"/>
    <n v="95"/>
    <s v="Medium Light"/>
    <n v="57"/>
    <n v="77"/>
    <n v="246.7"/>
    <s v="Taiwan"/>
    <s v="Ethiopia"/>
    <s v="Africa"/>
    <x v="1"/>
  </r>
  <r>
    <s v="Ethiopia Guji Wush Wush"/>
    <n v="95"/>
    <s v="Medium Light"/>
    <n v="58"/>
    <n v="77"/>
    <n v="7.33"/>
    <s v="USA"/>
    <s v="Ethiopia"/>
    <s v="Africa"/>
    <x v="0"/>
  </r>
  <r>
    <s v="Tres Dragones Colombia"/>
    <n v="94"/>
    <s v="Medium Light"/>
    <n v="60"/>
    <n v="78"/>
    <n v="7.35"/>
    <s v="USA"/>
    <s v="Colombia"/>
    <s v="America"/>
    <x v="0"/>
  </r>
  <r>
    <s v="Panama Elida Estate CatuaГ­ Natural ASD"/>
    <n v="94"/>
    <s v="Medium Light"/>
    <n v="58"/>
    <n v="76"/>
    <n v="7.27"/>
    <s v="USA"/>
    <s v="Panama"/>
    <s v="America"/>
    <x v="0"/>
  </r>
  <r>
    <s v="Ethiopia Yirgacheffe Israel Degfa Natural Gr.1"/>
    <n v="94"/>
    <s v="Medium Light"/>
    <n v="56"/>
    <n v="76"/>
    <n v="198.24"/>
    <s v="Taiwan"/>
    <s v="Ethiopia"/>
    <s v="Africa"/>
    <x v="1"/>
  </r>
  <r>
    <s v="Panama Elida Estate Washed"/>
    <n v="96"/>
    <s v="Medium Light"/>
    <n v="59"/>
    <n v="77"/>
    <n v="40"/>
    <s v="USA"/>
    <s v="Panama"/>
    <s v="America"/>
    <x v="0"/>
  </r>
  <r>
    <s v="Kona Maragogype Natural"/>
    <n v="94"/>
    <s v="Medium Light"/>
    <n v="58"/>
    <n v="82"/>
    <n v="26.41"/>
    <s v="USA"/>
    <s v="USA"/>
    <s v="America"/>
    <x v="0"/>
  </r>
  <r>
    <s v="Kenya Washed Nakuru Gachombe Factory AB"/>
    <n v="95"/>
    <s v="Medium Light"/>
    <n v="56"/>
    <n v="78"/>
    <n v="92.59"/>
    <s v="Taiwan"/>
    <s v="Kenya"/>
    <s v="Africa"/>
    <x v="1"/>
  </r>
  <r>
    <s v="Ethiopia Natural Guji Hambella Wate Peaberry"/>
    <n v="95"/>
    <s v="Light"/>
    <n v="62"/>
    <n v="84"/>
    <n v="165.34"/>
    <s v="Taiwan"/>
    <s v="Ethiopia"/>
    <s v="Africa"/>
    <x v="1"/>
  </r>
  <r>
    <s v="Ethiopia Guji Shakiso Dambi Udo Natural Anaerobic"/>
    <n v="94"/>
    <s v="Medium Light"/>
    <n v="59"/>
    <n v="77"/>
    <n v="160"/>
    <s v="Taiwan"/>
    <s v="Ethiopia"/>
    <s v="Africa"/>
    <x v="1"/>
  </r>
  <r>
    <s v="Ethiopia Natural Guji"/>
    <n v="94"/>
    <s v="Medium Light"/>
    <n v="56"/>
    <n v="76"/>
    <n v="92.59"/>
    <s v="Taiwan"/>
    <s v="Ethiopia"/>
    <s v="Africa"/>
    <x v="1"/>
  </r>
  <r>
    <s v="Costa Rica Yellow Honey Kinka Bear Lot 20-02"/>
    <n v="94"/>
    <s v="Medium Light"/>
    <n v="52"/>
    <n v="70"/>
    <n v="110.23"/>
    <s v="Taiwan"/>
    <s v="Costa Rica"/>
    <s v="America"/>
    <x v="1"/>
  </r>
  <r>
    <s v="Ethiopia Guji Shakiso Dambi Udo Honey"/>
    <n v="94"/>
    <s v="Light"/>
    <n v="62"/>
    <n v="80"/>
    <n v="155.56"/>
    <s v="Taiwan"/>
    <s v="Ethiopia"/>
    <s v="Africa"/>
    <x v="1"/>
  </r>
  <r>
    <s v="Kenya Washed Nyeri Gichathaini Factory AB"/>
    <n v="94"/>
    <s v="Medium Light"/>
    <n v="60"/>
    <n v="78"/>
    <n v="171.96"/>
    <s v="Taiwan"/>
    <s v="Kenya"/>
    <s v="Africa"/>
    <x v="1"/>
  </r>
  <r>
    <s v="Colombia Pink Bourbon Honey"/>
    <n v="95"/>
    <s v="Medium Light"/>
    <n v="60"/>
    <n v="80"/>
    <n v="8.52"/>
    <s v="USA"/>
    <s v="Colombia"/>
    <s v="America"/>
    <x v="0"/>
  </r>
  <r>
    <s v="Karatina Kenya"/>
    <n v="95"/>
    <s v="Medium Light"/>
    <n v="60"/>
    <n v="78"/>
    <n v="6.47"/>
    <s v="USA"/>
    <s v="Kenya"/>
    <s v="Africa"/>
    <x v="0"/>
  </r>
  <r>
    <s v="Cerro Azul Geisha"/>
    <n v="95"/>
    <s v="Light"/>
    <n v="62"/>
    <n v="80"/>
    <n v="12.35"/>
    <s v="USA"/>
    <s v="Colombia"/>
    <s v="America"/>
    <x v="0"/>
  </r>
  <r>
    <s v="Kona SL34 Sweet Spot"/>
    <n v="94"/>
    <s v="Medium Light"/>
    <n v="58"/>
    <n v="80"/>
    <n v="25.17"/>
    <s v="USA"/>
    <s v="USA"/>
    <s v="America"/>
    <x v="0"/>
  </r>
  <r>
    <s v="Haraaz Red"/>
    <n v="95"/>
    <s v="Medium Light"/>
    <n v="58"/>
    <n v="82"/>
    <n v="7.72"/>
    <s v="USA"/>
    <s v="Yemen"/>
    <s v="Africa"/>
    <x v="0"/>
  </r>
  <r>
    <s v="Kona MoccaВ®"/>
    <n v="96"/>
    <s v="Medium Light"/>
    <n v="56"/>
    <n v="74"/>
    <n v="38.58"/>
    <s v="USA"/>
    <s v="USA"/>
    <s v="America"/>
    <x v="0"/>
  </r>
  <r>
    <s v="Panama Elida Green-Tip Geisha La Torre ASD"/>
    <n v="95"/>
    <s v="Light"/>
    <n v="62"/>
    <n v="84"/>
    <n v="26.46"/>
    <s v="USA"/>
    <s v="Panama"/>
    <s v="America"/>
    <x v="0"/>
  </r>
  <r>
    <s v="Kona Peaberry"/>
    <n v="94"/>
    <s v="Medium Light"/>
    <n v="56"/>
    <n v="76"/>
    <n v="12.35"/>
    <s v="USA"/>
    <s v="USA"/>
    <s v="America"/>
    <x v="0"/>
  </r>
  <r>
    <s v="Panama Finca Los Lajones Natural"/>
    <n v="94"/>
    <s v="Light"/>
    <n v="60"/>
    <n v="82"/>
    <n v="8.52"/>
    <s v="USA"/>
    <s v="Panama"/>
    <s v="America"/>
    <x v="0"/>
  </r>
  <r>
    <s v="SL28"/>
    <n v="94"/>
    <s v="Medium Light"/>
    <n v="56"/>
    <n v="76"/>
    <n v="14.55"/>
    <s v="USA"/>
    <s v="Unknown"/>
    <s v="NULL"/>
    <x v="0"/>
  </r>
  <r>
    <s v="Bourbon Pointu Natural"/>
    <n v="94"/>
    <s v="Medium Light"/>
    <n v="58"/>
    <n v="76"/>
    <n v="25.2"/>
    <s v="USA"/>
    <s v="Unknown"/>
    <s v="NULL"/>
    <x v="0"/>
  </r>
  <r>
    <s v="Ethiopia Guji Hambela Buku Abel Slow Dry Natural 2400m"/>
    <n v="94"/>
    <s v="Light"/>
    <n v="64"/>
    <n v="82"/>
    <n v="181.82"/>
    <s v="Taiwan"/>
    <s v="Ethiopia"/>
    <s v="Africa"/>
    <x v="1"/>
  </r>
  <r>
    <s v="Yemen Al Mashtal Al Burhani"/>
    <n v="94"/>
    <s v="Medium Light"/>
    <n v="58"/>
    <n v="78"/>
    <n v="22"/>
    <s v="USA"/>
    <s v="Yemen"/>
    <s v="Africa"/>
    <x v="0"/>
  </r>
  <r>
    <s v="Flight Seasonal Espresso"/>
    <n v="95"/>
    <s v="Medium Light"/>
    <n v="58"/>
    <n v="74"/>
    <n v="5.58"/>
    <s v="USA"/>
    <s v="Unknown"/>
    <s v="NULL"/>
    <x v="0"/>
  </r>
  <r>
    <s v="Panama Boquete Flor De Mariposa Geisha Espresso"/>
    <n v="96"/>
    <s v="Medium Light"/>
    <n v="54"/>
    <n v="76"/>
    <n v="220.46"/>
    <s v="Taiwan"/>
    <s v="Panama"/>
    <s v="America"/>
    <x v="1"/>
  </r>
  <r>
    <s v="Guji Ethiopia Washed"/>
    <n v="94"/>
    <s v="Light"/>
    <n v="62"/>
    <n v="84"/>
    <n v="5.29"/>
    <s v="USA"/>
    <s v="Ethiopia"/>
    <s v="Africa"/>
    <x v="0"/>
  </r>
  <r>
    <s v="Colombia Monteblanco Geisha"/>
    <n v="94"/>
    <s v="Light"/>
    <n v="64"/>
    <n v="82"/>
    <n v="8.81"/>
    <s v="USA"/>
    <s v="Colombia"/>
    <s v="America"/>
    <x v="0"/>
  </r>
  <r>
    <s v="Ethiopia Gedeo Kochere Reko Natural"/>
    <n v="94"/>
    <s v="Light"/>
    <n v="64"/>
    <n v="84"/>
    <n v="6.96"/>
    <s v="Taiwan"/>
    <s v="Ethiopia"/>
    <s v="Africa"/>
    <x v="1"/>
  </r>
  <r>
    <s v="Costa Rica Aris Red Honey Lot 2002 Espresso"/>
    <n v="94"/>
    <s v="Medium Light"/>
    <n v="52"/>
    <n v="70"/>
    <n v="119.05"/>
    <s v="Taiwan"/>
    <s v="Costa Rica"/>
    <s v="America"/>
    <x v="1"/>
  </r>
  <r>
    <s v="Twisted V.6 Espresso"/>
    <n v="94"/>
    <s v="Medium Light"/>
    <n v="54"/>
    <n v="74"/>
    <n v="4.63"/>
    <s v="USA"/>
    <s v="Unknown"/>
    <s v="NULL"/>
    <x v="0"/>
  </r>
  <r>
    <s v="Aged Sumatra Ulos Batak 2015"/>
    <n v="94"/>
    <s v="Medium"/>
    <n v="45"/>
    <n v="63"/>
    <n v="5.57"/>
    <s v="USA"/>
    <s v="Indonesia"/>
    <s v="Asia-Pacific"/>
    <x v="0"/>
  </r>
  <r>
    <s v="Kona Uluwehi SL34"/>
    <n v="94"/>
    <s v="Medium Light"/>
    <n v="60"/>
    <n v="80"/>
    <n v="26.41"/>
    <s v="USA"/>
    <s v="USA"/>
    <s v="America"/>
    <x v="0"/>
  </r>
  <r>
    <s v="Colombia Pink Bourbon Finca El Chaparote"/>
    <n v="94"/>
    <s v="Light"/>
    <n v="64"/>
    <n v="82"/>
    <n v="8.7899999999999991"/>
    <s v="USA"/>
    <s v="Colombia"/>
    <s v="America"/>
    <x v="0"/>
  </r>
  <r>
    <s v="Ethiopia Neja Fadil"/>
    <n v="94"/>
    <s v="Medium Light"/>
    <n v="58"/>
    <n v="78"/>
    <n v="5.88"/>
    <s v="USA"/>
    <s v="Ethiopia"/>
    <s v="Africa"/>
    <x v="0"/>
  </r>
  <r>
    <s v="Peru Buena Vista Valerio Almanza Ccahua"/>
    <n v="94"/>
    <s v="Medium Light"/>
    <n v="60"/>
    <n v="78"/>
    <n v="11.9"/>
    <s v="USA"/>
    <s v="Peru"/>
    <s v="America"/>
    <x v="0"/>
  </r>
  <r>
    <s v="Panama Finca Santa Teresa Lot 9"/>
    <n v="94"/>
    <s v="Medium Light"/>
    <n v="60"/>
    <n v="78"/>
    <n v="5.88"/>
    <s v="USA"/>
    <s v="Panama"/>
    <s v="America"/>
    <x v="0"/>
  </r>
  <r>
    <s v="Guatemala CobГЎn Chicoj Cooperative Red Honey Fair Trade"/>
    <n v="94"/>
    <s v="Medium Light"/>
    <n v="58"/>
    <n v="78"/>
    <n v="160"/>
    <s v="Taiwan"/>
    <s v="Guatemala"/>
    <s v="America"/>
    <x v="1"/>
  </r>
  <r>
    <s v="Ethiopia Halo Hartume Daniel Mijane"/>
    <n v="94"/>
    <s v="Medium Light"/>
    <n v="58"/>
    <n v="78"/>
    <n v="5.59"/>
    <s v="USA"/>
    <s v="Ethiopia"/>
    <s v="Africa"/>
    <x v="0"/>
  </r>
  <r>
    <s v="Colombia Cauca El Paraiso"/>
    <n v="96"/>
    <s v="Light"/>
    <n v="85"/>
    <n v="105"/>
    <n v="1"/>
    <s v="Japan"/>
    <s v="Colombia"/>
    <s v="America"/>
    <x v="1"/>
  </r>
  <r>
    <s v="Taiwan Songyue Geisha"/>
    <n v="94"/>
    <s v="Light"/>
    <n v="79"/>
    <n v="92"/>
    <n v="4"/>
    <s v="Japan"/>
    <s v="Taiwan"/>
    <s v="Asia-Pacific"/>
    <x v="1"/>
  </r>
  <r>
    <s v="Kenya Nyeri"/>
    <n v="94"/>
    <s v="Medium Light"/>
    <n v="60"/>
    <n v="78"/>
    <n v="288.89"/>
    <s v="Taiwan"/>
    <s v="Kenya"/>
    <s v="Africa"/>
    <x v="1"/>
  </r>
  <r>
    <s v="Kenya Kirinyaga Baragwi Karumandi AA"/>
    <n v="94"/>
    <s v="Medium Light"/>
    <n v="54"/>
    <n v="74"/>
    <n v="4.9800000000000004"/>
    <s v="USA"/>
    <s v="Kenya"/>
    <s v="Africa"/>
    <x v="0"/>
  </r>
  <r>
    <s v="Harimau Tiger Sumatra"/>
    <n v="94"/>
    <s v="Medium Light"/>
    <n v="54"/>
    <n v="74"/>
    <n v="5"/>
    <s v="USA"/>
    <s v="Indonesia"/>
    <s v="Asia-Pacific"/>
    <x v="0"/>
  </r>
  <r>
    <s v="Ethiopia Sidamo Washed"/>
    <n v="95"/>
    <s v="Medium Light"/>
    <n v="58"/>
    <n v="78"/>
    <n v="163.88"/>
    <s v="Taiwan"/>
    <s v="Ethiopia"/>
    <s v="Africa"/>
    <x v="1"/>
  </r>
  <r>
    <s v="Ethiopia Guji Uraga Washed"/>
    <n v="95"/>
    <s v="Medium Light"/>
    <n v="60"/>
    <n v="78"/>
    <n v="111.01"/>
    <s v="Taiwan"/>
    <s v="Ethiopia"/>
    <s v="Africa"/>
    <x v="1"/>
  </r>
  <r>
    <s v="Indonesia Golden Sumatra TP Espresso"/>
    <n v="96"/>
    <s v="Medium"/>
    <n v="44"/>
    <n v="62"/>
    <n v="225"/>
    <s v="Taiwan"/>
    <s v="Indonesia"/>
    <s v="Asia-Pacific"/>
    <x v="1"/>
  </r>
  <r>
    <s v="Kenya Gachatha"/>
    <n v="95"/>
    <s v="Medium Light"/>
    <n v="54"/>
    <n v="72"/>
    <n v="6.61"/>
    <s v="USA"/>
    <s v="Kenya"/>
    <s v="Africa"/>
    <x v="0"/>
  </r>
  <r>
    <s v="Ethiopia Suke Quto Single-Origin Espresso"/>
    <n v="94"/>
    <s v="Medium Light"/>
    <n v="52"/>
    <n v="72"/>
    <n v="5.59"/>
    <s v="USA"/>
    <s v="Ethiopia"/>
    <s v="Africa"/>
    <x v="0"/>
  </r>
  <r>
    <s v="Ethiopia Gera Limu"/>
    <n v="94"/>
    <s v="Medium Light"/>
    <n v="58"/>
    <n v="80"/>
    <n v="5.59"/>
    <s v="USA"/>
    <s v="Ethiopia"/>
    <s v="Africa"/>
    <x v="0"/>
  </r>
  <r>
    <s v="Panama Pacamara Natural"/>
    <n v="94"/>
    <s v="Medium Light"/>
    <n v="52"/>
    <n v="70"/>
    <n v="25"/>
    <s v="Canada"/>
    <s v="Panama"/>
    <s v="America"/>
    <x v="0"/>
  </r>
  <r>
    <s v="KaвЂ™u Pink Honey"/>
    <n v="94"/>
    <s v="Light"/>
    <n v="64"/>
    <n v="84"/>
    <n v="22"/>
    <s v="USA"/>
    <s v="USA"/>
    <s v="America"/>
    <x v="0"/>
  </r>
  <r>
    <s v="Kona Maragogype Pink Honey"/>
    <n v="94"/>
    <s v="Light"/>
    <n v="64"/>
    <n v="86"/>
    <n v="26.41"/>
    <s v="USA"/>
    <s v="USA"/>
    <s v="America"/>
    <x v="0"/>
  </r>
  <r>
    <s v="RD1 Espresso Blend"/>
    <n v="95"/>
    <s v="Medium Light"/>
    <n v="54"/>
    <n v="72"/>
    <n v="132.28"/>
    <s v="Taiwan"/>
    <s v="Indonesia"/>
    <s v="Asia-Pacific"/>
    <x v="1"/>
  </r>
  <r>
    <s v="Bull Espresso Blend"/>
    <n v="95"/>
    <s v="Medium Light"/>
    <n v="56"/>
    <n v="76"/>
    <n v="99.12"/>
    <s v="Taiwan"/>
    <s v="Kenya"/>
    <s v="Africa"/>
    <x v="1"/>
  </r>
  <r>
    <s v="Ethiopia Yirgacheffe Gotiti Natural"/>
    <n v="95"/>
    <s v="Medium Light"/>
    <n v="58"/>
    <n v="80"/>
    <n v="167.55"/>
    <s v="Taiwan"/>
    <s v="Ethiopia"/>
    <s v="Africa"/>
    <x v="1"/>
  </r>
  <r>
    <s v="Ethiopia Demeka Becha"/>
    <n v="95"/>
    <s v="Light"/>
    <n v="64"/>
    <n v="82"/>
    <n v="6.46"/>
    <s v="USA"/>
    <s v="Ethiopia"/>
    <s v="Africa"/>
    <x v="0"/>
  </r>
  <r>
    <s v="Trust the Process вЂ” Full Natural"/>
    <n v="96"/>
    <s v="Light"/>
    <n v="64"/>
    <n v="84"/>
    <n v="8.3699999999999992"/>
    <s v="USA"/>
    <s v="Colombia"/>
    <s v="America"/>
    <x v="0"/>
  </r>
  <r>
    <s v="Colombia Finca El Caucho Pink Bourbon"/>
    <n v="95"/>
    <s v="Light"/>
    <n v="62"/>
    <n v="80"/>
    <n v="9.9600000000000009"/>
    <s v="USA"/>
    <s v="Colombia"/>
    <s v="America"/>
    <x v="0"/>
  </r>
  <r>
    <s v="Colombia Antioquia Natural Carbonic Maceration Caturra"/>
    <n v="95"/>
    <s v="Medium Light"/>
    <n v="60"/>
    <n v="80"/>
    <n v="136.68"/>
    <s v="Taiwan"/>
    <s v="Colombia"/>
    <s v="America"/>
    <x v="1"/>
  </r>
  <r>
    <s v="Colombia La Gallera Estate"/>
    <n v="94"/>
    <s v="Light"/>
    <n v="64"/>
    <n v="84"/>
    <n v="273.37"/>
    <s v="Taiwan"/>
    <s v="Colombia"/>
    <s v="America"/>
    <x v="1"/>
  </r>
  <r>
    <s v="Colombia Diofanor Ruiz"/>
    <n v="94"/>
    <s v="Medium Light"/>
    <n v="58"/>
    <n v="76"/>
    <n v="14.7"/>
    <s v="China"/>
    <s v="Colombia"/>
    <s v="America"/>
    <x v="1"/>
  </r>
  <r>
    <s v="Colombia Java El EdГ©n Limited Edition"/>
    <n v="94"/>
    <s v="Medium Light"/>
    <n v="58"/>
    <n v="80"/>
    <n v="8.82"/>
    <s v="USA"/>
    <s v="Colombia"/>
    <s v="America"/>
    <x v="0"/>
  </r>
  <r>
    <s v="Finca La Maria Geisha Natural"/>
    <n v="94"/>
    <s v="Light"/>
    <n v="62"/>
    <n v="80"/>
    <n v="1146.3800000000001"/>
    <s v="Taiwan"/>
    <s v="Colombia"/>
    <s v="America"/>
    <x v="1"/>
  </r>
  <r>
    <s v="Angamaza"/>
    <n v="94"/>
    <s v="Medium Light"/>
    <n v="60"/>
    <n v="78"/>
    <n v="5.88"/>
    <s v="USA"/>
    <s v="Ecuador"/>
    <s v="America"/>
    <x v="0"/>
  </r>
  <r>
    <s v="Ethiopia Rhapsody Espresso"/>
    <n v="95"/>
    <s v="Medium Light"/>
    <n v="52"/>
    <n v="70"/>
    <n v="263.88"/>
    <s v="Taiwan"/>
    <s v="Ethiopia"/>
    <s v="Africa"/>
    <x v="1"/>
  </r>
  <r>
    <s v="Kona Geisha Champagne Natural"/>
    <n v="95"/>
    <s v="Light"/>
    <n v="64"/>
    <n v="84"/>
    <n v="66.09"/>
    <s v="USA"/>
    <s v="USA"/>
    <s v="America"/>
    <x v="0"/>
  </r>
  <r>
    <s v="Dafis Abafita Natural Ethiopia"/>
    <n v="95"/>
    <s v="Light"/>
    <n v="64"/>
    <n v="84"/>
    <n v="6.32"/>
    <s v="USA"/>
    <s v="Ethiopia"/>
    <s v="Africa"/>
    <x v="0"/>
  </r>
  <r>
    <s v="Berg Wu Championship Sidamo Washed G1 Lot 20-02"/>
    <n v="95"/>
    <s v="Light"/>
    <n v="64"/>
    <n v="84"/>
    <n v="149.91"/>
    <s v="Taiwan"/>
    <s v="Ethiopia"/>
    <s v="Africa"/>
    <x v="1"/>
  </r>
  <r>
    <s v="KaвЂ™u Yellow Bourbon"/>
    <n v="94"/>
    <s v="Medium Light"/>
    <n v="60"/>
    <n v="78"/>
    <n v="11.64"/>
    <s v="USA"/>
    <s v="USA"/>
    <s v="America"/>
    <x v="0"/>
  </r>
  <r>
    <s v="Ethiopia Natural Hambela Wate"/>
    <n v="95"/>
    <s v="Medium Light"/>
    <n v="58"/>
    <n v="76"/>
    <n v="136.68"/>
    <s v="Taiwan"/>
    <s v="Ethiopia"/>
    <s v="Africa"/>
    <x v="1"/>
  </r>
  <r>
    <s v="Kinini Village Rwanda"/>
    <n v="94"/>
    <s v="Medium Light"/>
    <n v="58"/>
    <n v="76"/>
    <n v="5.88"/>
    <s v="USA"/>
    <s v="Rwanda"/>
    <s v="Africa"/>
    <x v="0"/>
  </r>
  <r>
    <s v="Ethiopia Natural Guji Uraga G1 Lot 20-05"/>
    <n v="94"/>
    <s v="Medium Light"/>
    <n v="58"/>
    <n v="78"/>
    <n v="165.34"/>
    <s v="Taiwan"/>
    <s v="Ethiopia"/>
    <s v="Africa"/>
    <x v="1"/>
  </r>
  <r>
    <s v="Kenya Nyeri Muchoki Estate AA"/>
    <n v="94"/>
    <s v="Light"/>
    <n v="62"/>
    <n v="80"/>
    <n v="154.32"/>
    <s v="Taiwan"/>
    <s v="Kenya"/>
    <s v="Africa"/>
    <x v="1"/>
  </r>
  <r>
    <s v="Fruity Espresso Blend"/>
    <n v="95"/>
    <s v="Medium Light"/>
    <n v="56"/>
    <n v="74"/>
    <n v="59"/>
    <s v="China"/>
    <s v="Kenya"/>
    <s v="Africa"/>
    <x v="1"/>
  </r>
  <r>
    <s v="Ethiopia Yirgacheffe Cleopatra Natural"/>
    <n v="94"/>
    <s v="Medium Light"/>
    <n v="56"/>
    <n v="76"/>
    <n v="300"/>
    <s v="Taiwan"/>
    <s v="Ethiopia"/>
    <s v="Africa"/>
    <x v="1"/>
  </r>
  <r>
    <s v="Ethiopia Yirgacheffe Dumerso G1 Natural"/>
    <n v="94"/>
    <s v="Medium Light"/>
    <n v="57"/>
    <n v="73"/>
    <n v="5.57"/>
    <s v="USA"/>
    <s v="Ethiopia"/>
    <s v="Africa"/>
    <x v="0"/>
  </r>
  <r>
    <s v="Guatemala Santa Felisa Solar Eclipse Gesha Natural"/>
    <n v="94"/>
    <s v="Light"/>
    <n v="64"/>
    <n v="80"/>
    <n v="546.74"/>
    <s v="Taiwan"/>
    <s v="Guatemala"/>
    <s v="America"/>
    <x v="1"/>
  </r>
  <r>
    <s v="Coral"/>
    <n v="94"/>
    <s v="Medium Light"/>
    <n v="58"/>
    <n v="78"/>
    <n v="4"/>
    <s v="Peru"/>
    <s v="Peru"/>
    <s v="America"/>
    <x v="0"/>
  </r>
  <r>
    <s v="Ethiopia Guji Goro Muda Washed G1"/>
    <n v="95"/>
    <s v="Light"/>
    <n v="64"/>
    <n v="82"/>
    <n v="198.41"/>
    <s v="Taiwan"/>
    <s v="Ethiopia"/>
    <s v="Africa"/>
    <x v="1"/>
  </r>
  <r>
    <s v="Ethiopian Guji Ana Sora Alcoholic Natural G1"/>
    <n v="94"/>
    <s v="Medium Light"/>
    <n v="60"/>
    <n v="80"/>
    <n v="132.28"/>
    <s v="Taiwan"/>
    <s v="Ethiopia"/>
    <s v="Africa"/>
    <x v="1"/>
  </r>
  <r>
    <s v="Panama Hacienda La Esmeralda Gesha"/>
    <n v="96"/>
    <s v="Medium Light"/>
    <n v="58"/>
    <n v="78"/>
    <n v="24.69"/>
    <s v="USA"/>
    <s v="Panama"/>
    <s v="America"/>
    <x v="0"/>
  </r>
  <r>
    <s v="Ethiopia Cup of Excellence Guji Natural"/>
    <n v="95"/>
    <s v="Light"/>
    <n v="68"/>
    <n v="90"/>
    <n v="17.59"/>
    <s v="USA"/>
    <s v="Ethiopia"/>
    <s v="Africa"/>
    <x v="0"/>
  </r>
  <r>
    <s v="Ethiopia Sidama Telamo FTO Natural"/>
    <n v="95"/>
    <s v="Medium Light"/>
    <n v="58"/>
    <n v="76"/>
    <n v="6.76"/>
    <s v="USA"/>
    <s v="Ethiopia"/>
    <s v="Africa"/>
    <x v="0"/>
  </r>
  <r>
    <s v="Ethiopia Guji Laayyoo Natural"/>
    <n v="94"/>
    <s v="Light"/>
    <n v="64"/>
    <n v="82"/>
    <n v="7.33"/>
    <s v="USA"/>
    <s v="Ethiopia"/>
    <s v="Africa"/>
    <x v="0"/>
  </r>
  <r>
    <s v="Magic Cat Kenya Civet AFCA TOH NO.2 Gatuya Factory New Murarandia AA"/>
    <n v="94"/>
    <s v="Medium Light"/>
    <n v="56"/>
    <n v="78"/>
    <n v="90.83"/>
    <s v="Taiwan"/>
    <s v="Kenya"/>
    <s v="Africa"/>
    <x v="1"/>
  </r>
  <r>
    <s v="Ethiopia Grade 1 Chelchele"/>
    <n v="94"/>
    <s v="Light"/>
    <n v="62"/>
    <n v="80"/>
    <n v="6.47"/>
    <s v="USA"/>
    <s v="Ethiopia"/>
    <s v="Africa"/>
    <x v="0"/>
  </r>
  <r>
    <s v="Ethiopia Natural Yirgacheffe Gr.1 Cleopatra"/>
    <n v="95"/>
    <s v="Medium"/>
    <n v="47"/>
    <n v="73"/>
    <n v="485.01"/>
    <s v="Taiwan"/>
    <s v="Ethiopia"/>
    <s v="Africa"/>
    <x v="1"/>
  </r>
  <r>
    <s v="Taiwan Alishan Zhou-Zhu-Yuan Farm Estate Reserve Washed"/>
    <n v="94"/>
    <s v="Medium"/>
    <n v="46"/>
    <n v="64"/>
    <n v="485.01"/>
    <s v="Taiwan"/>
    <s v="Taiwan"/>
    <s v="Asia-Pacific"/>
    <x v="1"/>
  </r>
  <r>
    <s v="Ethiopia Keramo Zero Oxygen Natural"/>
    <n v="94"/>
    <s v="Medium Light"/>
    <n v="60"/>
    <n v="78"/>
    <n v="24.25"/>
    <s v="USA"/>
    <s v="Ethiopia"/>
    <s v="Africa"/>
    <x v="0"/>
  </r>
  <r>
    <s v="Panama Elida ASD Natural"/>
    <n v="94"/>
    <s v="Light"/>
    <n v="62"/>
    <n v="80"/>
    <n v="40"/>
    <s v="USA"/>
    <s v="Panama"/>
    <s v="America"/>
    <x v="0"/>
  </r>
  <r>
    <s v="Peru Yanesha Geisha"/>
    <n v="94"/>
    <s v="Medium Light"/>
    <n v="61"/>
    <n v="79"/>
    <n v="0.44"/>
    <s v="Taiwan"/>
    <s v="Peru"/>
    <s v="America"/>
    <x v="1"/>
  </r>
  <r>
    <s v="Ethiopia Guji Chembi"/>
    <n v="95"/>
    <s v="Medium Light"/>
    <n v="58"/>
    <n v="76"/>
    <n v="198.24"/>
    <s v="Taiwan"/>
    <s v="Ethiopia"/>
    <s v="Africa"/>
    <x v="1"/>
  </r>
  <r>
    <s v="Kenya Nyeri"/>
    <n v="94"/>
    <s v="Medium Light"/>
    <n v="57"/>
    <n v="77"/>
    <n v="200"/>
    <s v="Taiwan"/>
    <s v="Kenya"/>
    <s v="Africa"/>
    <x v="1"/>
  </r>
  <r>
    <s v="Kona Red Bourbon Anaerobic Washed Uluwehi Farm"/>
    <n v="95"/>
    <s v="Medium Light"/>
    <n v="58"/>
    <n v="74"/>
    <n v="26.41"/>
    <s v="USA"/>
    <s v="USA"/>
    <s v="America"/>
    <x v="0"/>
  </r>
  <r>
    <s v="Wush Wush"/>
    <n v="95"/>
    <s v="Light"/>
    <n v="60"/>
    <n v="82"/>
    <n v="6.17"/>
    <s v="USA"/>
    <s v="Ethiopia"/>
    <s v="Africa"/>
    <x v="0"/>
  </r>
  <r>
    <s v="Honey Typica Anaerobic"/>
    <n v="95"/>
    <s v="Medium Light"/>
    <n v="56"/>
    <n v="74"/>
    <n v="16.53"/>
    <s v="USA"/>
    <s v="Unknown"/>
    <s v="NULL"/>
    <x v="0"/>
  </r>
  <r>
    <s v="Geisha"/>
    <n v="94"/>
    <s v="Medium Light"/>
    <n v="55"/>
    <n v="71"/>
    <n v="14.55"/>
    <s v="USA"/>
    <s v="Unknown"/>
    <s v="NULL"/>
    <x v="0"/>
  </r>
  <r>
    <s v="Panama Abu Natural ASD Geisha BOP GN11"/>
    <n v="96"/>
    <s v="Medium Light"/>
    <n v="58"/>
    <n v="76"/>
    <n v="1058.2"/>
    <s v="Taiwan"/>
    <s v="Panama"/>
    <s v="America"/>
    <x v="1"/>
  </r>
  <r>
    <s v="Ethiopia Kochere Boji"/>
    <n v="95"/>
    <s v="Medium Light"/>
    <n v="60"/>
    <n v="77"/>
    <n v="5.86"/>
    <s v="USA"/>
    <s v="Ethiopia"/>
    <s v="Africa"/>
    <x v="0"/>
  </r>
  <r>
    <s v="Panama Finca Minerva-Mirage Pacamara BOP PAC04"/>
    <n v="95"/>
    <s v="Medium Light"/>
    <n v="46"/>
    <n v="76"/>
    <n v="529.1"/>
    <s v="Taiwan"/>
    <s v="Panama"/>
    <s v="America"/>
    <x v="1"/>
  </r>
  <r>
    <s v="Tanzania Shimiligwanda"/>
    <n v="94"/>
    <s v="Light"/>
    <n v="62"/>
    <n v="80"/>
    <n v="5.28"/>
    <s v="USA"/>
    <s v="Tanzania"/>
    <s v="Africa"/>
    <x v="0"/>
  </r>
  <r>
    <s v="Ethiopia Natural Guji Blue-Donkey 2020"/>
    <n v="95"/>
    <s v="Medium Light"/>
    <n v="59"/>
    <n v="77"/>
    <n v="143.30000000000001"/>
    <s v="Taiwan"/>
    <s v="Ethiopia"/>
    <s v="Africa"/>
    <x v="1"/>
  </r>
  <r>
    <s v="Kenya Washed Peaberry Rnyeusi"/>
    <n v="94"/>
    <s v="Medium Light"/>
    <n v="52"/>
    <n v="74"/>
    <n v="143.30000000000001"/>
    <s v="Taiwan"/>
    <s v="Kenya"/>
    <s v="Africa"/>
    <x v="1"/>
  </r>
  <r>
    <s v="Ethiopia COE 2nd place Washed Sidamo Rumudamo"/>
    <n v="94"/>
    <s v="Medium Light"/>
    <n v="60"/>
    <n v="78"/>
    <n v="1750"/>
    <s v="Taiwan"/>
    <s v="Ethiopia"/>
    <s v="Africa"/>
    <x v="1"/>
  </r>
  <r>
    <s v="Ethiopia Yirgacheffe Natural Haru Suke G1"/>
    <n v="94"/>
    <s v="Medium Light"/>
    <n v="60"/>
    <n v="80"/>
    <n v="136.68"/>
    <s v="Taiwan"/>
    <s v="Ethiopia"/>
    <s v="Africa"/>
    <x v="1"/>
  </r>
  <r>
    <s v="Finca Sophia Gesha Washed"/>
    <n v="98"/>
    <s v="Medium Light"/>
    <n v="58"/>
    <n v="76"/>
    <n v="44.09"/>
    <s v="USA"/>
    <s v="Panama"/>
    <s v="America"/>
    <x v="0"/>
  </r>
  <r>
    <s v="Colombia Granja La Esperanza Java Anaerobic"/>
    <n v="95"/>
    <s v="Medium Light"/>
    <n v="53"/>
    <n v="73"/>
    <n v="49.97"/>
    <s v="USA"/>
    <s v="Colombia"/>
    <s v="America"/>
    <x v="0"/>
  </r>
  <r>
    <s v="Shantawene Ethiopia Daya Bensa Natural"/>
    <n v="94"/>
    <s v="Light"/>
    <n v="62"/>
    <n v="80"/>
    <n v="5.59"/>
    <s v="USA"/>
    <s v="Ethiopia"/>
    <s v="Africa"/>
    <x v="0"/>
  </r>
  <r>
    <s v="Kenya AA FAQ"/>
    <n v="94"/>
    <s v="Medium Light"/>
    <n v="60"/>
    <n v="77"/>
    <n v="165"/>
    <s v="Taiwan"/>
    <s v="Kenya"/>
    <s v="Africa"/>
    <x v="1"/>
  </r>
  <r>
    <s v="Ardent Ethiopia Natural"/>
    <n v="97"/>
    <s v="Medium Light"/>
    <n v="57"/>
    <n v="77"/>
    <n v="15.43"/>
    <s v="USA"/>
    <s v="Ethiopia"/>
    <s v="Africa"/>
    <x v="0"/>
  </r>
  <r>
    <s v="Kona MoccaВ®"/>
    <n v="96"/>
    <s v="Medium Light"/>
    <n v="52"/>
    <n v="70"/>
    <n v="33.049999999999997"/>
    <s v="USA"/>
    <s v="USA"/>
    <s v="America"/>
    <x v="0"/>
  </r>
  <r>
    <s v="Holiday Coffee"/>
    <n v="94"/>
    <s v="Medium Light"/>
    <n v="54"/>
    <n v="74"/>
    <n v="17.61"/>
    <s v="USA"/>
    <s v="Unknown"/>
    <s v="NULL"/>
    <x v="0"/>
  </r>
  <r>
    <s v="Ethiopia Dur Feres Natural"/>
    <n v="94"/>
    <s v="Medium Light"/>
    <n v="60"/>
    <n v="78"/>
    <n v="5.58"/>
    <s v="USA"/>
    <s v="Ethiopia"/>
    <s v="Africa"/>
    <x v="0"/>
  </r>
  <r>
    <s v="Kenya AA Ares Phoenix Special"/>
    <n v="96"/>
    <s v="Medium"/>
    <n v="44"/>
    <n v="60"/>
    <n v="396.83"/>
    <s v="Taiwan"/>
    <s v="Kenya"/>
    <s v="Africa"/>
    <x v="1"/>
  </r>
  <r>
    <s v="GW01 Finca Sophia Olympus Geisha"/>
    <n v="98"/>
    <s v="Medium Light"/>
    <n v="58"/>
    <n v="76"/>
    <n v="25"/>
    <s v="Taiwan"/>
    <s v="Panama"/>
    <s v="America"/>
    <x v="1"/>
  </r>
  <r>
    <s v="La Esperanza Colombian Natural X.O."/>
    <n v="94"/>
    <s v="Medium Light"/>
    <n v="54"/>
    <n v="70"/>
    <n v="4.9800000000000004"/>
    <s v="USA"/>
    <s v="Colombia"/>
    <s v="America"/>
    <x v="0"/>
  </r>
  <r>
    <s v="Taiwan Geisha Honey"/>
    <n v="94"/>
    <s v="Light"/>
    <n v="62"/>
    <n v="80"/>
    <n v="57.28"/>
    <s v="USA"/>
    <s v="Taiwan"/>
    <s v="Asia-Pacific"/>
    <x v="0"/>
  </r>
  <r>
    <s v="Camilina Geisha"/>
    <n v="95"/>
    <s v="Medium Light"/>
    <n v="60"/>
    <n v="78"/>
    <n v="49.97"/>
    <s v="USA"/>
    <s v="Panama"/>
    <s v="America"/>
    <x v="0"/>
  </r>
  <r>
    <s v="Hacienda La Esmeralda Buenos Aires Geisha Natural"/>
    <n v="95"/>
    <s v="Medium Light"/>
    <n v="54"/>
    <n v="70"/>
    <n v="28.66"/>
    <s v="USA"/>
    <s v="Panama"/>
    <s v="America"/>
    <x v="0"/>
  </r>
  <r>
    <s v="Ethiopia Sidama Bona Washed G1"/>
    <n v="94"/>
    <s v="Medium Light"/>
    <n v="58"/>
    <n v="78"/>
    <n v="12.79"/>
    <s v="Taiwan"/>
    <s v="Ethiopia"/>
    <s v="Africa"/>
    <x v="1"/>
  </r>
  <r>
    <s v="Sidama Extreme Papilio Washed"/>
    <n v="94"/>
    <s v="Medium Light"/>
    <n v="59"/>
    <n v="74"/>
    <n v="7.35"/>
    <s v="Taiwan"/>
    <s v="Ethiopia"/>
    <s v="Africa"/>
    <x v="1"/>
  </r>
  <r>
    <s v="Finca Santa Isabel"/>
    <n v="94"/>
    <s v="Medium Light"/>
    <n v="55"/>
    <n v="73"/>
    <n v="3.82"/>
    <s v="Guatemala"/>
    <s v="Guatemala"/>
    <s v="America"/>
    <x v="0"/>
  </r>
  <r>
    <s v="Finca San Carlos"/>
    <n v="94"/>
    <s v="Medium Light"/>
    <n v="56"/>
    <n v="72"/>
    <n v="3.82"/>
    <s v="Guatemala"/>
    <s v="Guatemala"/>
    <s v="America"/>
    <x v="0"/>
  </r>
  <r>
    <s v="Ethiopia Natural Guji D Minor Special Lot"/>
    <n v="97"/>
    <s v="Medium Light"/>
    <n v="60"/>
    <n v="76"/>
    <n v="176.37"/>
    <s v="Taiwan"/>
    <s v="Ethiopia"/>
    <s v="Africa"/>
    <x v="1"/>
  </r>
  <r>
    <s v="2020 Savage Auction Deborah Carbonic-Macerated Natural Geisha"/>
    <n v="94"/>
    <s v="Medium Light"/>
    <n v="58"/>
    <n v="74"/>
    <n v="661.38"/>
    <s v="Taiwan"/>
    <s v="Panama"/>
    <s v="America"/>
    <x v="1"/>
  </r>
  <r>
    <s v="Costa Rica Cordillera del Fuego"/>
    <n v="94"/>
    <s v="Medium Light"/>
    <n v="58"/>
    <n v="76"/>
    <n v="10.58"/>
    <s v="USA"/>
    <s v="Costa Rica"/>
    <s v="America"/>
    <x v="0"/>
  </r>
  <r>
    <s v="Ethiopia Bombe Mountains"/>
    <n v="94"/>
    <s v="Medium Light"/>
    <n v="58"/>
    <n v="76"/>
    <n v="7.35"/>
    <s v="USA"/>
    <s v="Ethiopia"/>
    <s v="Africa"/>
    <x v="0"/>
  </r>
  <r>
    <s v="Ethiopia Yirgacheffe G1 Natural Asfaw Maru"/>
    <n v="94"/>
    <s v="Medium Light"/>
    <n v="52"/>
    <n v="70"/>
    <n v="4.9800000000000004"/>
    <s v="USA"/>
    <s v="Ethiopia"/>
    <s v="Africa"/>
    <x v="0"/>
  </r>
  <r>
    <s v="Coffea Diversa Rume Sudan Winey"/>
    <n v="95"/>
    <s v="Light"/>
    <n v="64"/>
    <n v="84"/>
    <n v="17.59"/>
    <s v="USA"/>
    <s v="Guatemala"/>
    <s v="America"/>
    <x v="0"/>
  </r>
  <r>
    <s v="HawaiвЂ™i Puna Anaerobic Washed"/>
    <n v="94"/>
    <s v="Medium Light"/>
    <n v="58"/>
    <n v="76"/>
    <n v="17.59"/>
    <s v="USA"/>
    <s v="USA"/>
    <s v="America"/>
    <x v="0"/>
  </r>
  <r>
    <s v="Colombia Hacienda Casablanca"/>
    <n v="94"/>
    <s v="Medium Light"/>
    <n v="62"/>
    <n v="78"/>
    <n v="5.88"/>
    <s v="Canada"/>
    <s v="Colombia"/>
    <s v="America"/>
    <x v="0"/>
  </r>
  <r>
    <s v="Ethiopia Natural Guji Kercha Lot Riverside"/>
    <n v="94"/>
    <s v="Medium Light"/>
    <n v="58"/>
    <n v="78"/>
    <n v="121.25"/>
    <s v="Taiwan"/>
    <s v="Ethiopia"/>
    <s v="Africa"/>
    <x v="1"/>
  </r>
  <r>
    <s v="Costa Rica Yellow Honey Lot Kinka Bear"/>
    <n v="94"/>
    <s v="Medium Light"/>
    <n v="52"/>
    <n v="70"/>
    <n v="110.23"/>
    <s v="Taiwan"/>
    <s v="Costa Rica"/>
    <s v="America"/>
    <x v="1"/>
  </r>
  <r>
    <s v="San Diego Natural"/>
    <n v="95"/>
    <s v="Medium Light"/>
    <n v="55"/>
    <n v="75"/>
    <n v="5.26"/>
    <s v="USA"/>
    <s v="Costa Rica"/>
    <s v="America"/>
    <x v="0"/>
  </r>
  <r>
    <s v="Buna Boka #1"/>
    <n v="94"/>
    <s v="Medium Light"/>
    <n v="60"/>
    <n v="78"/>
    <n v="5.51"/>
    <s v="USA"/>
    <s v="Ethiopia"/>
    <s v="Africa"/>
    <x v="0"/>
  </r>
  <r>
    <s v="El Jardin"/>
    <n v="94"/>
    <s v="Medium Light"/>
    <n v="58"/>
    <n v="74"/>
    <n v="12.35"/>
    <s v="USA"/>
    <s v="Colombia"/>
    <s v="America"/>
    <x v="0"/>
  </r>
  <r>
    <s v="Kenya Wachuri"/>
    <n v="95"/>
    <s v="Medium"/>
    <n v="48"/>
    <n v="66"/>
    <n v="6.47"/>
    <s v="USA"/>
    <s v="Kenya"/>
    <s v="Africa"/>
    <x v="0"/>
  </r>
  <r>
    <s v="Kenya Baragwi Guama AB"/>
    <n v="95"/>
    <s v="Medium Light"/>
    <n v="60"/>
    <n v="80"/>
    <n v="5"/>
    <s v="USA"/>
    <s v="Kenya"/>
    <s v="Africa"/>
    <x v="0"/>
  </r>
  <r>
    <s v="Kenya ARES"/>
    <n v="95"/>
    <s v="Medium Light"/>
    <n v="54"/>
    <n v="74"/>
    <n v="330.43"/>
    <s v="Taiwan"/>
    <s v="Kenya"/>
    <s v="Africa"/>
    <x v="1"/>
  </r>
  <r>
    <s v="Empress Kenya"/>
    <n v="95"/>
    <s v="Medium Light"/>
    <n v="58"/>
    <n v="74"/>
    <n v="244.44"/>
    <s v="Taiwan"/>
    <s v="Kenya"/>
    <s v="Africa"/>
    <x v="1"/>
  </r>
  <r>
    <s v="Kenya Kiambu AB Top Lot"/>
    <n v="94"/>
    <s v="Medium Light"/>
    <n v="54"/>
    <n v="72"/>
    <n v="198.24"/>
    <s v="Taiwan"/>
    <s v="Kenya"/>
    <s v="Africa"/>
    <x v="1"/>
  </r>
  <r>
    <s v="Kenya Kiambu Maua Lot AB"/>
    <n v="94"/>
    <s v="Medium Light"/>
    <n v="60"/>
    <n v="78"/>
    <n v="143.30000000000001"/>
    <s v="Taiwan"/>
    <s v="Kenya"/>
    <s v="Africa"/>
    <x v="1"/>
  </r>
  <r>
    <s v="Kenya Thunguri AA"/>
    <n v="94"/>
    <s v="Medium Light"/>
    <n v="58"/>
    <n v="80"/>
    <n v="6.45"/>
    <s v="USA"/>
    <s v="Kenya"/>
    <s v="Africa"/>
    <x v="0"/>
  </r>
  <r>
    <s v="Kenya Kirinyaga Kabare Karani AA"/>
    <n v="94"/>
    <s v="Medium Light"/>
    <n v="60"/>
    <n v="78"/>
    <n v="9.7799999999999994"/>
    <s v="Canada"/>
    <s v="Kenya"/>
    <s v="Africa"/>
    <x v="0"/>
  </r>
  <r>
    <s v="Kenya Kirinyaga Kii"/>
    <n v="94"/>
    <s v="Medium Light"/>
    <n v="57"/>
    <n v="77"/>
    <n v="250"/>
    <s v="Taiwan"/>
    <s v="Kenya"/>
    <s v="Africa"/>
    <x v="1"/>
  </r>
  <r>
    <s v="Kenya Rungeto"/>
    <n v="94"/>
    <s v="Medium Light"/>
    <n v="56"/>
    <n v="72"/>
    <n v="6.76"/>
    <s v="USA"/>
    <s v="Kenya"/>
    <s v="Africa"/>
    <x v="0"/>
  </r>
  <r>
    <s v="Kenya AA Top Gatomboya"/>
    <n v="94"/>
    <s v="Medium Light"/>
    <n v="54"/>
    <n v="72"/>
    <n v="5.29"/>
    <s v="USA"/>
    <s v="Kenya"/>
    <s v="Africa"/>
    <x v="0"/>
  </r>
  <r>
    <s v="Heart &amp; Soul Espresso Blend"/>
    <n v="94"/>
    <s v="Medium"/>
    <n v="50"/>
    <n v="70"/>
    <n v="5.29"/>
    <s v="USA"/>
    <s v="Ethiopia"/>
    <s v="Africa"/>
    <x v="0"/>
  </r>
  <r>
    <s v="Ethiopia Banko Gotiti"/>
    <n v="94"/>
    <s v="Medium Light"/>
    <n v="57"/>
    <n v="77"/>
    <n v="5.88"/>
    <s v="USA"/>
    <s v="Ethiopia"/>
    <s v="Africa"/>
    <x v="0"/>
  </r>
  <r>
    <s v="Ethiopia Yabitu Koba"/>
    <n v="94"/>
    <s v="Medium Light"/>
    <n v="58"/>
    <n v="78"/>
    <n v="5.88"/>
    <s v="USA"/>
    <s v="Ethiopia"/>
    <s v="Africa"/>
    <x v="0"/>
  </r>
  <r>
    <s v="Ethiopia Banko Gotiti"/>
    <n v="94"/>
    <s v="Medium Light"/>
    <n v="60"/>
    <n v="78"/>
    <n v="5.73"/>
    <s v="USA"/>
    <s v="Ethiopia"/>
    <s v="Africa"/>
    <x v="0"/>
  </r>
  <r>
    <s v="Rhapsody of Dreams"/>
    <n v="94"/>
    <s v="Medium Light"/>
    <n v="58"/>
    <n v="74"/>
    <n v="198.24"/>
    <s v="Taiwan"/>
    <s v="Colombia"/>
    <s v="America"/>
    <x v="1"/>
  </r>
  <r>
    <s v="LauraвЂ™s Reserve SL34"/>
    <n v="95"/>
    <s v="Medium Light"/>
    <n v="60"/>
    <n v="78"/>
    <n v="27.76"/>
    <s v="USA"/>
    <s v="Unknown"/>
    <s v="NULL"/>
    <x v="0"/>
  </r>
  <r>
    <s v="Ethiopia Reko Yirgacheffe"/>
    <n v="94"/>
    <s v="Medium Light"/>
    <n v="60"/>
    <n v="76"/>
    <n v="6.03"/>
    <s v="USA"/>
    <s v="Ethiopia"/>
    <s v="Africa"/>
    <x v="0"/>
  </r>
  <r>
    <s v="Colombia Asobombo Inza"/>
    <n v="94"/>
    <s v="Light"/>
    <n v="62"/>
    <n v="84"/>
    <n v="4.7"/>
    <s v="USA"/>
    <s v="Colombia"/>
    <s v="America"/>
    <x v="0"/>
  </r>
  <r>
    <s v="Ethiopia Sidamo Natural Twakok G1"/>
    <n v="94"/>
    <s v="Medium Light"/>
    <n v="52"/>
    <n v="72"/>
    <n v="239.13"/>
    <s v="Taiwan"/>
    <s v="Ethiopia"/>
    <s v="Africa"/>
    <x v="1"/>
  </r>
  <r>
    <s v="Panama Boquete Torre Lot #1 Geisha Honey"/>
    <n v="94"/>
    <s v="Light"/>
    <n v="62"/>
    <n v="80"/>
    <n v="2500"/>
    <s v="Taiwan"/>
    <s v="Panama"/>
    <s v="America"/>
    <x v="1"/>
  </r>
  <r>
    <s v="Yellow Caturra (special lot)"/>
    <n v="94"/>
    <s v="Medium Light"/>
    <n v="56"/>
    <n v="70"/>
    <n v="13.23"/>
    <s v="USA"/>
    <s v="Unknown"/>
    <s v="NULL"/>
    <x v="0"/>
  </r>
  <r>
    <s v="HawaiвЂ™i Kilauea Volcano Yeast Fermentation Washed"/>
    <n v="96"/>
    <s v="Medium Light"/>
    <n v="58"/>
    <n v="76"/>
    <n v="26.41"/>
    <s v="USA"/>
    <s v="USA"/>
    <s v="America"/>
    <x v="0"/>
  </r>
  <r>
    <s v="Kona Pink Honey Black Rock Farm"/>
    <n v="94"/>
    <s v="Medium Light"/>
    <n v="58"/>
    <n v="78"/>
    <n v="22"/>
    <s v="USA"/>
    <s v="USA"/>
    <s v="America"/>
    <x v="0"/>
  </r>
  <r>
    <s v="Ethiopia Kayon Mountain"/>
    <n v="94"/>
    <s v="Medium Light"/>
    <n v="60"/>
    <n v="78"/>
    <n v="5.86"/>
    <s v="USA"/>
    <s v="Ethiopia"/>
    <s v="Africa"/>
    <x v="0"/>
  </r>
  <r>
    <s v="Benti Nenqa #209 Ethiopia"/>
    <n v="94"/>
    <s v="Medium Light"/>
    <n v="60"/>
    <n v="78"/>
    <n v="5.51"/>
    <s v="USA"/>
    <s v="Ethiopia"/>
    <s v="Africa"/>
    <x v="0"/>
  </r>
  <r>
    <s v="El Salvador Santa Elena Pacamara"/>
    <n v="94"/>
    <s v="Medium Light"/>
    <n v="54"/>
    <n v="70"/>
    <n v="250"/>
    <s v="Taiwan"/>
    <s v="El Salvador"/>
    <s v="America"/>
    <x v="1"/>
  </r>
  <r>
    <s v="Ethiopia Sheka Kawo Kamina Natural"/>
    <n v="95"/>
    <s v="Medium Light"/>
    <n v="58"/>
    <n v="72"/>
    <n v="7.33"/>
    <s v="USA"/>
    <s v="Ethiopia"/>
    <s v="Africa"/>
    <x v="0"/>
  </r>
  <r>
    <s v="Black Swan Blend"/>
    <n v="94"/>
    <s v="Medium Light"/>
    <n v="54"/>
    <n v="70"/>
    <n v="114.64"/>
    <s v="Taiwan"/>
    <s v="Ethiopia"/>
    <s v="Africa"/>
    <x v="1"/>
  </r>
  <r>
    <s v="Indonesia Lintong Mandheling"/>
    <n v="94"/>
    <s v="Medium Light"/>
    <n v="58"/>
    <n v="78"/>
    <n v="200"/>
    <s v="Taiwan"/>
    <s v="Indonesia"/>
    <s v="Asia-Pacific"/>
    <x v="1"/>
  </r>
  <r>
    <s v="Ethiopia Yirgacheffe Natural Farm Direct"/>
    <n v="94"/>
    <s v="Medium Light"/>
    <n v="58"/>
    <n v="76"/>
    <n v="6.47"/>
    <s v="USA"/>
    <s v="Ethiopia"/>
    <s v="Africa"/>
    <x v="0"/>
  </r>
  <r>
    <s v="Kenya Karatina AA 2020"/>
    <n v="94"/>
    <s v="Medium Light"/>
    <n v="58"/>
    <n v="76"/>
    <n v="7.05"/>
    <s v="USA"/>
    <s v="Kenya"/>
    <s v="Africa"/>
    <x v="0"/>
  </r>
  <r>
    <s v="Colombia San LuГ­s Gesha"/>
    <n v="94"/>
    <s v="Medium Light"/>
    <n v="60"/>
    <n v="76"/>
    <n v="8.81"/>
    <s v="USA"/>
    <s v="Colombia"/>
    <s v="America"/>
    <x v="0"/>
  </r>
  <r>
    <s v="Karani Kenya"/>
    <n v="95"/>
    <s v="Medium Light"/>
    <n v="56"/>
    <n v="74"/>
    <n v="6.17"/>
    <s v="USA"/>
    <s v="Kenya"/>
    <s v="Africa"/>
    <x v="0"/>
  </r>
  <r>
    <s v="Miraflores Colombia"/>
    <n v="95"/>
    <s v="Medium Light"/>
    <n v="58"/>
    <n v="78"/>
    <n v="6.47"/>
    <s v="USA"/>
    <s v="Colombia"/>
    <s v="America"/>
    <x v="0"/>
  </r>
  <r>
    <s v="Kenya Gatuya"/>
    <n v="94"/>
    <s v="Medium Light"/>
    <n v="55"/>
    <n v="73"/>
    <n v="6.17"/>
    <s v="USA"/>
    <s v="Kenya"/>
    <s v="Africa"/>
    <x v="0"/>
  </r>
  <r>
    <s v="Flight Seasonal Espresso"/>
    <n v="94"/>
    <s v="Medium Light"/>
    <n v="58"/>
    <n v="80"/>
    <n v="5.44"/>
    <s v="USA"/>
    <s v="Ethiopia"/>
    <s v="Africa"/>
    <x v="0"/>
  </r>
  <r>
    <s v="Kenya Gicherori"/>
    <n v="94"/>
    <s v="Medium Light"/>
    <n v="58"/>
    <n v="78"/>
    <n v="6.91"/>
    <s v="USA"/>
    <s v="Kenya"/>
    <s v="Africa"/>
    <x v="0"/>
  </r>
  <r>
    <s v="Ethiopia Kayon Mountain (Natural)"/>
    <n v="94"/>
    <s v="Light"/>
    <n v="64"/>
    <n v="92"/>
    <n v="5.58"/>
    <s v="USA"/>
    <s v="Ethiopia"/>
    <s v="Africa"/>
    <x v="0"/>
  </r>
  <r>
    <s v="Ethiopia Kayon Mountain (Washed)"/>
    <n v="94"/>
    <s v="Light"/>
    <n v="62"/>
    <n v="88"/>
    <n v="5.44"/>
    <s v="USA"/>
    <s v="Ethiopia"/>
    <s v="Africa"/>
    <x v="0"/>
  </r>
  <r>
    <s v="Ethiopia Dame Dabaye"/>
    <n v="95"/>
    <s v="Medium Light"/>
    <n v="60"/>
    <n v="76"/>
    <n v="4.7"/>
    <s v="USA"/>
    <s v="Ethiopia"/>
    <s v="Africa"/>
    <x v="0"/>
  </r>
  <r>
    <s v="Kenya Nyeri AB Nyeshun"/>
    <n v="96"/>
    <s v="Medium Light"/>
    <n v="58"/>
    <n v="78"/>
    <n v="176.37"/>
    <s v="Taiwan"/>
    <s v="Kenya"/>
    <s v="Africa"/>
    <x v="1"/>
  </r>
  <r>
    <s v="Ethiopia Guji Bishala"/>
    <n v="94"/>
    <s v="Medium Light"/>
    <n v="58"/>
    <n v="76"/>
    <n v="127.87"/>
    <s v="Taiwan"/>
    <s v="Ethiopia"/>
    <s v="Africa"/>
    <x v="1"/>
  </r>
  <r>
    <s v="Ethiopia Wegida Natural"/>
    <n v="94"/>
    <s v="Light"/>
    <n v="62"/>
    <n v="80"/>
    <n v="5.88"/>
    <s v="USA"/>
    <s v="Ethiopia"/>
    <s v="Africa"/>
    <x v="0"/>
  </r>
  <r>
    <s v="KaвЂ™u Red Caturra Peaberry"/>
    <n v="94"/>
    <s v="Medium Light"/>
    <n v="58"/>
    <n v="78"/>
    <n v="14.7"/>
    <s v="USA"/>
    <s v="USA"/>
    <s v="America"/>
    <x v="0"/>
  </r>
  <r>
    <s v="Wush Wush Ginbo Keffa Ethiopia"/>
    <n v="95"/>
    <s v="Medium Light"/>
    <n v="60"/>
    <n v="74"/>
    <n v="5.29"/>
    <s v="USA"/>
    <s v="Ethiopia"/>
    <s v="Africa"/>
    <x v="0"/>
  </r>
  <r>
    <s v="Burundi Karehe"/>
    <n v="95"/>
    <s v="Medium Light"/>
    <n v="60"/>
    <n v="76"/>
    <n v="5.88"/>
    <s v="USA"/>
    <s v="Burundi"/>
    <s v="Africa"/>
    <x v="0"/>
  </r>
  <r>
    <s v="Ethiopia Guji Natural"/>
    <n v="94"/>
    <s v="Light"/>
    <n v="64"/>
    <n v="83"/>
    <n v="5.29"/>
    <s v="USA"/>
    <s v="Ethiopia"/>
    <s v="Africa"/>
    <x v="0"/>
  </r>
  <r>
    <s v="Ethiopia Gera Estate Natural"/>
    <n v="94"/>
    <s v="Light"/>
    <n v="67"/>
    <n v="96"/>
    <n v="4.7"/>
    <s v="USA"/>
    <s v="Ethiopia"/>
    <s v="Africa"/>
    <x v="0"/>
  </r>
  <r>
    <s v="EstelГ­ Nicaragua"/>
    <n v="94"/>
    <s v="Medium Light"/>
    <n v="60"/>
    <n v="79"/>
    <n v="6.61"/>
    <s v="USA"/>
    <s v="Nicaragua"/>
    <s v="America"/>
    <x v="0"/>
  </r>
  <r>
    <s v="Limu Ethiopia Natural"/>
    <n v="94"/>
    <s v="Light"/>
    <n v="66"/>
    <n v="85"/>
    <n v="4.12"/>
    <s v="USA"/>
    <s v="Ethiopia"/>
    <s v="Africa"/>
    <x v="0"/>
  </r>
  <r>
    <s v="Colombia Finca El Roblar"/>
    <n v="94"/>
    <s v="Medium Light"/>
    <n v="60"/>
    <n v="76"/>
    <n v="4.8499999999999996"/>
    <s v="USA"/>
    <s v="Colombia"/>
    <s v="America"/>
    <x v="0"/>
  </r>
  <r>
    <s v="Guatemala Bella Carmona"/>
    <n v="94"/>
    <s v="Medium Light"/>
    <n v="58"/>
    <n v="74"/>
    <n v="5.59"/>
    <s v="USA"/>
    <s v="Guatemala"/>
    <s v="America"/>
    <x v="0"/>
  </r>
  <r>
    <s v="Ethiopia Yirgacheffe Kochere Debo"/>
    <n v="94"/>
    <s v="Medium Light"/>
    <n v="54"/>
    <n v="70"/>
    <n v="4.12"/>
    <s v="USA"/>
    <s v="Ethiopia"/>
    <s v="Africa"/>
    <x v="0"/>
  </r>
  <r>
    <s v="Kilauea Volcano Champagne Natural"/>
    <n v="95"/>
    <s v="Light"/>
    <n v="64"/>
    <n v="80"/>
    <n v="26.41"/>
    <s v="USA"/>
    <s v="Unknown"/>
    <s v="NULL"/>
    <x v="0"/>
  </r>
  <r>
    <s v="Nicaragua La Benedicion SL28 Natural"/>
    <n v="94"/>
    <s v="Light"/>
    <n v="62"/>
    <n v="80"/>
    <n v="11.73"/>
    <s v="USA"/>
    <s v="Nicaragua"/>
    <s v="America"/>
    <x v="0"/>
  </r>
  <r>
    <s v="Colombia Tolima Geisha"/>
    <n v="94"/>
    <s v="Light"/>
    <n v="62"/>
    <n v="82"/>
    <n v="17.62"/>
    <s v="USA"/>
    <s v="Colombia"/>
    <s v="America"/>
    <x v="0"/>
  </r>
  <r>
    <s v="Ethiopia Haro Guta Natural"/>
    <n v="94"/>
    <s v="Light"/>
    <n v="62"/>
    <n v="80"/>
    <n v="176.37"/>
    <s v="Taiwan"/>
    <s v="Ethiopia"/>
    <s v="Africa"/>
    <x v="1"/>
  </r>
  <r>
    <s v="Kenya AA Kirinyaga Kii"/>
    <n v="95"/>
    <s v="Medium Light"/>
    <n v="60"/>
    <n v="78"/>
    <n v="264.55"/>
    <s v="Taiwan"/>
    <s v="Kenya"/>
    <s v="Africa"/>
    <x v="1"/>
  </r>
  <r>
    <s v="Colombia Antioquia La Papaya Bourbon Chiroso"/>
    <n v="94"/>
    <s v="Medium Light"/>
    <n v="62"/>
    <n v="76"/>
    <n v="308.64"/>
    <s v="Taiwan"/>
    <s v="Colombia"/>
    <s v="America"/>
    <x v="1"/>
  </r>
  <r>
    <s v="Karimiuki Espresso"/>
    <n v="96"/>
    <s v="Medium Light"/>
    <n v="58"/>
    <n v="76"/>
    <n v="6.17"/>
    <s v="USA"/>
    <s v="Kenya"/>
    <s v="Africa"/>
    <x v="0"/>
  </r>
  <r>
    <s v="Karimiuki Kenya"/>
    <n v="95"/>
    <s v="Medium Light"/>
    <n v="58"/>
    <n v="76"/>
    <n v="6.17"/>
    <s v="USA"/>
    <s v="Kenya"/>
    <s v="Africa"/>
    <x v="0"/>
  </r>
  <r>
    <s v="Colombia San Pedro"/>
    <n v="94"/>
    <s v="Medium Light"/>
    <n v="56"/>
    <n v="72"/>
    <n v="5.59"/>
    <s v="USA"/>
    <s v="Colombia"/>
    <s v="America"/>
    <x v="0"/>
  </r>
  <r>
    <s v="DR Congo, Gera Village, SOPACDI"/>
    <n v="94"/>
    <s v="Medium Light"/>
    <n v="58"/>
    <n v="76"/>
    <n v="6.17"/>
    <s v="USA"/>
    <s v="Democratic Republic of the Congo"/>
    <s v="Africa"/>
    <x v="0"/>
  </r>
  <r>
    <s v="El Floral Colombia"/>
    <n v="95"/>
    <s v="Medium Light"/>
    <n v="59"/>
    <n v="77"/>
    <n v="6.17"/>
    <s v="USA"/>
    <s v="Colombia"/>
    <s v="America"/>
    <x v="0"/>
  </r>
  <r>
    <s v="El Salvador Geisha Natural"/>
    <n v="94"/>
    <s v="Medium Light"/>
    <n v="58"/>
    <n v="74"/>
    <n v="9.9600000000000009"/>
    <s v="USA"/>
    <s v="El Salvador"/>
    <s v="America"/>
    <x v="0"/>
  </r>
  <r>
    <s v="Ethiopia Natural Guji Lot D Minor"/>
    <n v="95"/>
    <s v="Medium Light"/>
    <n v="58"/>
    <n v="76"/>
    <n v="121.25"/>
    <s v="Taiwan"/>
    <s v="Ethiopia"/>
    <s v="Africa"/>
    <x v="1"/>
  </r>
  <r>
    <s v="Taiwan Natural Alishan Zhuo-Wu Farm Geisha"/>
    <n v="94"/>
    <s v="Medium Light"/>
    <n v="56"/>
    <n v="72"/>
    <n v="0.88"/>
    <s v="Taiwan"/>
    <s v="Taiwan"/>
    <s v="Asia-Pacific"/>
    <x v="1"/>
  </r>
  <r>
    <s v="All Rise"/>
    <n v="94"/>
    <s v="Medium Light"/>
    <n v="54"/>
    <n v="72"/>
    <n v="5.88"/>
    <s v="USA"/>
    <s v="Democratic Republic of the Congo"/>
    <s v="Africa"/>
    <x v="0"/>
  </r>
  <r>
    <s v="Costa Rica Hacienda Tobosi Copey Villa Sarchi Black Honey"/>
    <n v="94"/>
    <s v="Medium Light"/>
    <n v="52"/>
    <n v="70"/>
    <n v="204.55"/>
    <s v="Taiwan"/>
    <s v="Costa Rica"/>
    <s v="America"/>
    <x v="1"/>
  </r>
  <r>
    <s v="Sudan Rume"/>
    <n v="94"/>
    <s v="Light"/>
    <n v="62"/>
    <n v="80"/>
    <n v="17.64"/>
    <s v="USA"/>
    <s v="Colombia"/>
    <s v="America"/>
    <x v="0"/>
  </r>
  <r>
    <s v="Ethiopia Sidama Keramo Village"/>
    <n v="94"/>
    <s v="Medium Light"/>
    <n v="60"/>
    <n v="76"/>
    <n v="7.35"/>
    <s v="USA"/>
    <s v="Ethiopia"/>
    <s v="Africa"/>
    <x v="0"/>
  </r>
  <r>
    <s v="Red Bourbon Natural Exclusive Reserve"/>
    <n v="95"/>
    <s v="Medium Light"/>
    <n v="58"/>
    <n v="76"/>
    <n v="16.75"/>
    <s v="USA"/>
    <s v="USA"/>
    <s v="America"/>
    <x v="0"/>
  </r>
  <r>
    <s v="Nano Genji Agaro Gera"/>
    <n v="94"/>
    <s v="Medium"/>
    <n v="52"/>
    <n v="68"/>
    <n v="6.17"/>
    <s v="USA"/>
    <s v="Ethiopia"/>
    <s v="Africa"/>
    <x v="0"/>
  </r>
  <r>
    <s v="Sumatra Pantan Musara"/>
    <n v="94"/>
    <s v="Medium Light"/>
    <n v="58"/>
    <n v="74"/>
    <n v="6.17"/>
    <s v="USA"/>
    <s v="Indonesia"/>
    <s v="Asia-Pacific"/>
    <x v="0"/>
  </r>
  <r>
    <s v="Kona Classic Black Rock Farm"/>
    <n v="94"/>
    <s v="Medium"/>
    <n v="52"/>
    <n v="68"/>
    <n v="16.71"/>
    <s v="USA"/>
    <s v="USA"/>
    <s v="America"/>
    <x v="0"/>
  </r>
  <r>
    <s v="Ethiopian Yirgacheffe Natural"/>
    <n v="94"/>
    <s v="Medium Light"/>
    <n v="58"/>
    <n v="76"/>
    <n v="5.88"/>
    <s v="USA"/>
    <s v="Ethiopia"/>
    <s v="Africa"/>
    <x v="0"/>
  </r>
  <r>
    <s v="Colombia Cauca AtвЂ™e"/>
    <n v="94"/>
    <s v="Medium Light"/>
    <n v="60"/>
    <n v="78"/>
    <n v="5.29"/>
    <s v="USA"/>
    <s v="Colombia"/>
    <s v="America"/>
    <x v="0"/>
  </r>
  <r>
    <s v="Sumatra Pantan Musara"/>
    <n v="94"/>
    <s v="Medium Light"/>
    <n v="54"/>
    <n v="72"/>
    <n v="7.33"/>
    <s v="USA"/>
    <s v="Indonesia"/>
    <s v="Asia-Pacific"/>
    <x v="0"/>
  </r>
  <r>
    <s v="Sumatra Gayo G1 Triple-Picked Lot 005"/>
    <n v="94"/>
    <s v="Medium Light"/>
    <n v="56"/>
    <n v="74"/>
    <n v="99.21"/>
    <s v="Taiwan"/>
    <s v="Indonesia"/>
    <s v="Asia-Pacific"/>
    <x v="1"/>
  </r>
  <r>
    <s v="Nano Genji #4 Espresso"/>
    <n v="96"/>
    <s v="Medium Light"/>
    <n v="56"/>
    <n v="74"/>
    <n v="5.51"/>
    <s v="USA"/>
    <s v="Ethiopia"/>
    <s v="Africa"/>
    <x v="0"/>
  </r>
  <r>
    <s v="Ignacio Quintero Colombia"/>
    <n v="95"/>
    <s v="Medium Light"/>
    <n v="58"/>
    <n v="78"/>
    <n v="5.29"/>
    <s v="USA"/>
    <s v="Colombia"/>
    <s v="America"/>
    <x v="0"/>
  </r>
  <r>
    <s v="KaвЂ™u Giant Maragogipe"/>
    <n v="94"/>
    <s v="Medium Light"/>
    <n v="54"/>
    <n v="68"/>
    <n v="12.35"/>
    <s v="USA"/>
    <s v="USA"/>
    <s v="America"/>
    <x v="0"/>
  </r>
  <r>
    <s v="Organic Ethiopia Agaro-Nano Challa"/>
    <n v="94"/>
    <s v="Medium Light"/>
    <n v="58"/>
    <n v="74"/>
    <n v="6.75"/>
    <s v="USA"/>
    <s v="Ethiopia"/>
    <s v="Africa"/>
    <x v="0"/>
  </r>
  <r>
    <s v="Kerinci Palompek Sumatra"/>
    <n v="94"/>
    <s v="Medium Light"/>
    <n v="58"/>
    <n v="78"/>
    <n v="5.23"/>
    <s v="USA"/>
    <s v="Indonesia"/>
    <s v="Asia-Pacific"/>
    <x v="0"/>
  </r>
  <r>
    <s v="Kenya Embu Gicherori Factory AA Top"/>
    <n v="95"/>
    <s v="Medium Light"/>
    <n v="58"/>
    <n v="74"/>
    <n v="290"/>
    <s v="Taiwan"/>
    <s v="Kenya"/>
    <s v="Africa"/>
    <x v="1"/>
  </r>
  <r>
    <s v="Colombia Finca Lord Baltimore Papayo"/>
    <n v="94"/>
    <s v="Light"/>
    <n v="62"/>
    <n v="80"/>
    <n v="7.33"/>
    <s v="USA"/>
    <s v="Colombia"/>
    <s v="America"/>
    <x v="0"/>
  </r>
  <r>
    <s v="Mocha Java"/>
    <n v="96"/>
    <s v="Medium"/>
    <n v="52"/>
    <n v="68"/>
    <n v="4.26"/>
    <s v="USA"/>
    <s v="Ethiopia"/>
    <s v="Africa"/>
    <x v="0"/>
  </r>
  <r>
    <s v="Ethiopia Shantawene Washed"/>
    <n v="96"/>
    <s v="Medium Light"/>
    <n v="60"/>
    <n v="78"/>
    <n v="6.17"/>
    <s v="USA"/>
    <s v="Ethiopia"/>
    <s v="Africa"/>
    <x v="0"/>
  </r>
  <r>
    <s v="Organic Suke Quto Ethiopia"/>
    <n v="95"/>
    <s v="Medium Light"/>
    <n v="56"/>
    <n v="74"/>
    <n v="5.59"/>
    <s v="USA"/>
    <s v="Ethiopia"/>
    <s v="Africa"/>
    <x v="0"/>
  </r>
  <r>
    <s v="Kenya Tuikit Factory AA"/>
    <n v="95"/>
    <s v="Medium Light"/>
    <n v="56"/>
    <n v="72"/>
    <n v="132.28"/>
    <s v="Taiwan"/>
    <s v="Kenya"/>
    <s v="Africa"/>
    <x v="1"/>
  </r>
  <r>
    <s v="Karen J Kona Red Bourbon"/>
    <n v="94"/>
    <s v="Medium Light"/>
    <n v="58"/>
    <n v="80"/>
    <n v="4.41"/>
    <s v="USA"/>
    <s v="USA"/>
    <s v="America"/>
    <x v="0"/>
  </r>
  <r>
    <s v="Abu Natural Panama Geisha"/>
    <n v="94"/>
    <s v="Medium Light"/>
    <n v="58"/>
    <n v="78"/>
    <n v="20.55"/>
    <s v="USA"/>
    <s v="Panama"/>
    <s v="America"/>
    <x v="0"/>
  </r>
  <r>
    <s v="Colombia Finca Las Margaritas Natural Sudan Rume"/>
    <n v="94"/>
    <s v="Medium Light"/>
    <n v="55"/>
    <n v="73"/>
    <n v="17.64"/>
    <s v="USA"/>
    <s v="Colombia"/>
    <s v="America"/>
    <x v="0"/>
  </r>
  <r>
    <s v="Ecuador Finca Carolina Sidra"/>
    <n v="94"/>
    <s v="Medium Light"/>
    <n v="60"/>
    <n v="78"/>
    <n v="8.8000000000000007"/>
    <s v="USA"/>
    <s v="Ecuador"/>
    <s v="America"/>
    <x v="0"/>
  </r>
  <r>
    <s v="Gesha Village Single-Variety Gesha Special Selection"/>
    <n v="94"/>
    <s v="Medium Light"/>
    <n v="58"/>
    <n v="74"/>
    <n v="13.23"/>
    <s v="China"/>
    <s v="Ethiopia"/>
    <s v="Africa"/>
    <x v="1"/>
  </r>
  <r>
    <s v="Indestec El Paraiso"/>
    <n v="94"/>
    <s v="Medium Light"/>
    <n v="58"/>
    <n v="74"/>
    <n v="8.52"/>
    <s v="USA"/>
    <s v="Colombia"/>
    <s v="America"/>
    <x v="0"/>
  </r>
  <r>
    <s v="Monteblanco Cold Fermentation Geisha"/>
    <n v="94"/>
    <s v="Medium Light"/>
    <n v="57"/>
    <n v="73"/>
    <n v="8.52"/>
    <s v="USA"/>
    <s v="Colombia"/>
    <s v="America"/>
    <x v="0"/>
  </r>
  <r>
    <s v="Funky Chicken"/>
    <n v="94"/>
    <s v="Medium"/>
    <n v="46"/>
    <n v="64"/>
    <n v="9.8699999999999992"/>
    <s v="USA"/>
    <s v="Unknown"/>
    <s v="NULL"/>
    <x v="0"/>
  </r>
  <r>
    <s v="Yemen Al-Obbarat"/>
    <n v="95"/>
    <s v="Medium Light"/>
    <n v="54"/>
    <n v="72"/>
    <n v="44.05"/>
    <s v="USA"/>
    <s v="Yemen"/>
    <s v="Africa"/>
    <x v="0"/>
  </r>
  <r>
    <s v="Ecuador Quilanga Typica Yeast Fermentation"/>
    <n v="94"/>
    <s v="Medium Light"/>
    <n v="57"/>
    <n v="73"/>
    <n v="6.75"/>
    <s v="USA"/>
    <s v="Ecuador"/>
    <s v="America"/>
    <x v="0"/>
  </r>
  <r>
    <s v="Ethiopia Natural Guji PB JackyLai Lot"/>
    <n v="94"/>
    <s v="Medium Light"/>
    <n v="56"/>
    <n v="76"/>
    <n v="132.28"/>
    <s v="Taiwan"/>
    <s v="Ethiopia"/>
    <s v="Africa"/>
    <x v="1"/>
  </r>
  <r>
    <s v="Ethiopia Wush Wush"/>
    <n v="96"/>
    <s v="Light"/>
    <n v="62"/>
    <n v="80"/>
    <n v="9.6999999999999993"/>
    <s v="USA"/>
    <s v="Ethiopia"/>
    <s v="Africa"/>
    <x v="0"/>
  </r>
  <r>
    <s v="Ethiopia Hassen Ware Akrabi"/>
    <n v="94"/>
    <s v="Medium Light"/>
    <n v="58"/>
    <n v="74"/>
    <n v="6.61"/>
    <s v="USA"/>
    <s v="Ethiopia"/>
    <s v="Africa"/>
    <x v="0"/>
  </r>
  <r>
    <s v="Costa Rica Luis Campos Anaerobic"/>
    <n v="94"/>
    <s v="Medium Light"/>
    <n v="58"/>
    <n v="76"/>
    <n v="6.76"/>
    <s v="USA"/>
    <s v="Costa Rica"/>
    <s v="America"/>
    <x v="0"/>
  </r>
  <r>
    <s v="Colombia Granja La Esperanza Tres Dragones"/>
    <n v="94"/>
    <s v="Medium Light"/>
    <n v="60"/>
    <n v="74"/>
    <n v="6.91"/>
    <s v="USA"/>
    <s v="Colombia"/>
    <s v="America"/>
    <x v="0"/>
  </r>
  <r>
    <s v="Colombia Finca La Loma Microlot"/>
    <n v="94"/>
    <s v="Medium Light"/>
    <n v="58"/>
    <n v="76"/>
    <n v="4.8499999999999996"/>
    <s v="USA"/>
    <s v="Colombia"/>
    <s v="America"/>
    <x v="0"/>
  </r>
  <r>
    <s v="Kenya Kiambu AB Uklili 1905 Lot"/>
    <n v="94"/>
    <s v="Medium Light"/>
    <n v="58"/>
    <n v="76"/>
    <n v="132.28"/>
    <s v="Taiwan"/>
    <s v="Kenya"/>
    <s v="Africa"/>
    <x v="1"/>
  </r>
  <r>
    <s v="Elida Natural Dragonfly Lot"/>
    <n v="95"/>
    <s v="Medium Light"/>
    <n v="54"/>
    <n v="70"/>
    <n v="5.88"/>
    <s v="USA"/>
    <s v="Panama"/>
    <s v="America"/>
    <x v="0"/>
  </r>
  <r>
    <s v="Kona Laurina Pointu"/>
    <n v="94"/>
    <s v="Medium Light"/>
    <n v="56"/>
    <n v="70"/>
    <n v="25.2"/>
    <s v="USA"/>
    <s v="USA"/>
    <s v="America"/>
    <x v="0"/>
  </r>
  <r>
    <s v="Dadaocheng Garden Blend Espresso"/>
    <n v="94"/>
    <s v="Medium"/>
    <n v="52"/>
    <n v="68"/>
    <n v="175"/>
    <s v="Taiwan"/>
    <s v="Guatemala"/>
    <s v="America"/>
    <x v="1"/>
  </r>
  <r>
    <s v="Ethiopia Dimtu"/>
    <n v="95"/>
    <s v="Medium Light"/>
    <n v="58"/>
    <n v="82"/>
    <n v="6.17"/>
    <s v="USA"/>
    <s v="Ethiopia"/>
    <s v="Africa"/>
    <x v="0"/>
  </r>
  <r>
    <s v="Ethiopia Sidama Anaerobic"/>
    <n v="94"/>
    <s v="Medium Light"/>
    <n v="58"/>
    <n v="78"/>
    <n v="5.81"/>
    <s v="USA"/>
    <s v="Ethiopia"/>
    <s v="Africa"/>
    <x v="0"/>
  </r>
  <r>
    <s v="Kenya Kiri Peaberry"/>
    <n v="94"/>
    <s v="Medium Light"/>
    <n v="56"/>
    <n v="74"/>
    <n v="5.59"/>
    <s v="USA"/>
    <s v="Kenya"/>
    <s v="Africa"/>
    <x v="0"/>
  </r>
  <r>
    <s v="Ethiopia Violent Andromeda Natural"/>
    <n v="94"/>
    <s v="Medium"/>
    <n v="48"/>
    <n v="66"/>
    <n v="300"/>
    <s v="Taiwan"/>
    <s v="Ethiopia"/>
    <s v="Africa"/>
    <x v="1"/>
  </r>
  <r>
    <s v="Kenya Nyeri Yerihar AA Lot 1901 Espresso"/>
    <n v="95"/>
    <s v="Medium Light"/>
    <n v="52"/>
    <n v="78"/>
    <n v="143.30000000000001"/>
    <s v="Taiwan"/>
    <s v="Kenya"/>
    <s v="Africa"/>
    <x v="1"/>
  </r>
  <r>
    <s v="Costa Rica Aris Red Honey Lot 1901 Espresso"/>
    <n v="95"/>
    <s v="Medium"/>
    <n v="50"/>
    <n v="68"/>
    <n v="88.18"/>
    <s v="Taiwan"/>
    <s v="Costa Rica"/>
    <s v="America"/>
    <x v="1"/>
  </r>
  <r>
    <s v="100% Kona Bourbon Pointu Laurina"/>
    <n v="95"/>
    <s v="Medium Light"/>
    <n v="53"/>
    <n v="75"/>
    <n v="27.76"/>
    <s v="USA"/>
    <s v="USA"/>
    <s v="America"/>
    <x v="0"/>
  </r>
  <r>
    <s v="Panama Hacienda La Esmeralda Geisha Natural Special Auction ES-N-2"/>
    <n v="94"/>
    <s v="Medium Light"/>
    <n v="54"/>
    <n v="72"/>
    <n v="1410.93"/>
    <s v="Taiwan"/>
    <s v="Panama"/>
    <s v="America"/>
    <x v="1"/>
  </r>
  <r>
    <s v="El Salvador Finca El Cerro Natural"/>
    <n v="94"/>
    <s v="Medium Light"/>
    <n v="58"/>
    <n v="78"/>
    <n v="6.76"/>
    <s v="USA"/>
    <s v="El Salvador"/>
    <s v="America"/>
    <x v="0"/>
  </r>
  <r>
    <s v="Halo Hartume Espresso"/>
    <n v="94"/>
    <s v="Medium Light"/>
    <n v="57"/>
    <n v="77"/>
    <n v="5.26"/>
    <s v="USA"/>
    <s v="Ethiopia"/>
    <s v="Africa"/>
    <x v="0"/>
  </r>
  <r>
    <s v="Giusto Organic Espresso Blend"/>
    <n v="94"/>
    <s v="Medium"/>
    <n v="48"/>
    <n v="60"/>
    <n v="4.1900000000000004"/>
    <s v="USA"/>
    <s v="Unknown"/>
    <s v="NULL"/>
    <x v="0"/>
  </r>
  <r>
    <s v="Berg Wu Championship Selection Yirgacheffe G1 Natural Lot 19/01"/>
    <n v="95"/>
    <s v="Medium Light"/>
    <n v="60"/>
    <n v="78"/>
    <n v="275"/>
    <s v="Taiwan"/>
    <s v="Ethiopia"/>
    <s v="Africa"/>
    <x v="1"/>
  </r>
  <r>
    <s v="Ethiopia Mulegeta Sintayehu Washed"/>
    <n v="94"/>
    <s v="Medium Light"/>
    <n v="59"/>
    <n v="77"/>
    <n v="500"/>
    <s v="Taiwan"/>
    <s v="Ethiopia"/>
    <s v="Africa"/>
    <x v="1"/>
  </r>
  <r>
    <s v="Ecuador Eugenioides Natural Finca Perla Negra"/>
    <n v="94"/>
    <s v="Medium Light"/>
    <n v="55"/>
    <n v="73"/>
    <n v="10.29"/>
    <s v="USA"/>
    <s v="Ecuador"/>
    <s v="America"/>
    <x v="0"/>
  </r>
  <r>
    <s v="Panama Esmeralda Geisha Natural"/>
    <n v="96"/>
    <s v="Medium Light"/>
    <n v="56"/>
    <n v="74"/>
    <n v="17.59"/>
    <s v="USA"/>
    <s v="Panama"/>
    <s v="America"/>
    <x v="0"/>
  </r>
  <r>
    <s v="Ethiopia Suke Quto Honey"/>
    <n v="95"/>
    <s v="Medium Light"/>
    <n v="52"/>
    <n v="70"/>
    <n v="5.81"/>
    <s v="USA"/>
    <s v="Ethiopia"/>
    <s v="Africa"/>
    <x v="0"/>
  </r>
  <r>
    <s v="Kenya FSC AB"/>
    <n v="94"/>
    <s v="Medium"/>
    <n v="50"/>
    <n v="67"/>
    <n v="1"/>
    <s v="Taiwan"/>
    <s v="Kenya"/>
    <s v="Africa"/>
    <x v="1"/>
  </r>
  <r>
    <s v="Ceri Ceri Meriah Coffee"/>
    <n v="94"/>
    <s v="Medium Light"/>
    <n v="54"/>
    <n v="72"/>
    <n v="60"/>
    <s v="Indonesia"/>
    <s v="Indonesia"/>
    <s v="Asia-Pacific"/>
    <x v="1"/>
  </r>
  <r>
    <s v="Alamendah Patuha Coffee"/>
    <n v="94"/>
    <s v="Medium"/>
    <n v="50"/>
    <n v="66"/>
    <n v="60"/>
    <s v="Indonesia"/>
    <s v="Indonesia"/>
    <s v="Asia-Pacific"/>
    <x v="1"/>
  </r>
  <r>
    <s v="Holiday Blend"/>
    <n v="94"/>
    <s v="Medium Light"/>
    <n v="54"/>
    <n v="74"/>
    <n v="8"/>
    <s v="China"/>
    <s v="Ethiopia"/>
    <s v="Africa"/>
    <x v="1"/>
  </r>
  <r>
    <s v="2019 Celebration"/>
    <n v="94"/>
    <s v="Medium"/>
    <n v="47"/>
    <n v="67"/>
    <n v="5.51"/>
    <s v="USA"/>
    <s v="Guatemala"/>
    <s v="America"/>
    <x v="0"/>
  </r>
  <r>
    <s v="Kenya Kiandu Peaberry"/>
    <n v="95"/>
    <s v="Medium Light"/>
    <n v="56"/>
    <n v="74"/>
    <n v="285"/>
    <s v="Taiwan"/>
    <s v="Kenya"/>
    <s v="Africa"/>
    <x v="1"/>
  </r>
  <r>
    <s v="Sumatra Raja Harimau Lintong Espresso"/>
    <n v="96"/>
    <s v="Medium"/>
    <n v="44"/>
    <n v="61"/>
    <n v="121.25"/>
    <s v="Taiwan"/>
    <s v="Indonesia"/>
    <s v="Asia-Pacific"/>
    <x v="1"/>
  </r>
  <r>
    <s v="Panama Esmeralda Geisha PortГіn Oro Yeast"/>
    <n v="94"/>
    <s v="Medium Light"/>
    <n v="59"/>
    <n v="77"/>
    <n v="41.12"/>
    <s v="USA"/>
    <s v="Panama"/>
    <s v="America"/>
    <x v="0"/>
  </r>
  <r>
    <s v="Kenya Kiambu Peaberry Uklili 1904 Lot"/>
    <n v="94"/>
    <s v="Medium"/>
    <n v="50"/>
    <n v="68"/>
    <n v="132.28"/>
    <s v="Taiwan"/>
    <s v="Kenya"/>
    <s v="Africa"/>
    <x v="1"/>
  </r>
  <r>
    <s v="Kenya Kiambu AB Uklili 1903 Lot"/>
    <n v="94"/>
    <s v="Medium Light"/>
    <n v="52"/>
    <n v="70"/>
    <n v="132.28"/>
    <s v="Taiwan"/>
    <s v="Kenya"/>
    <s v="Africa"/>
    <x v="1"/>
  </r>
  <r>
    <s v="Ethiopia Natural Yirgacheffe Blue Donkey Lot #2"/>
    <n v="94"/>
    <s v="Medium Light"/>
    <n v="56"/>
    <n v="78"/>
    <n v="132.28"/>
    <s v="Taiwan"/>
    <s v="Ethiopia"/>
    <s v="Africa"/>
    <x v="1"/>
  </r>
  <r>
    <s v="Ethiopia Nansebo Worka"/>
    <n v="95"/>
    <s v="Medium Light"/>
    <n v="56"/>
    <n v="74"/>
    <n v="6.17"/>
    <s v="USA"/>
    <s v="Ethiopia"/>
    <s v="Africa"/>
    <x v="0"/>
  </r>
  <r>
    <s v="Panama Elida Geisha Natural 1029"/>
    <n v="97"/>
    <s v="Medium Light"/>
    <n v="54"/>
    <n v="74"/>
    <n v="555.55999999999995"/>
    <s v="USA"/>
    <s v="Panama"/>
    <s v="America"/>
    <x v="0"/>
  </r>
  <r>
    <s v="Port of Mokha Yemen JSP"/>
    <n v="97"/>
    <s v="Medium"/>
    <n v="44"/>
    <n v="58"/>
    <n v="60"/>
    <s v="China"/>
    <s v="Yemen"/>
    <s v="Africa"/>
    <x v="1"/>
  </r>
  <r>
    <s v="Panama Elida Natural Catuai"/>
    <n v="95"/>
    <s v="Medium Light"/>
    <n v="58"/>
    <n v="78"/>
    <n v="6.45"/>
    <s v="USA"/>
    <s v="Panama"/>
    <s v="America"/>
    <x v="0"/>
  </r>
  <r>
    <s v="Cate Natural G5"/>
    <n v="95"/>
    <s v="Medium Light"/>
    <n v="52"/>
    <n v="70"/>
    <n v="100"/>
    <s v="Taiwan"/>
    <s v="Ethiopia"/>
    <s v="Africa"/>
    <x v="1"/>
  </r>
  <r>
    <s v="Harimau Tiger Sumatra"/>
    <n v="96"/>
    <s v="Medium Light"/>
    <n v="52"/>
    <n v="70"/>
    <n v="5.0599999999999996"/>
    <s v="USA"/>
    <s v="Indonesia"/>
    <s v="Asia-Pacific"/>
    <x v="0"/>
  </r>
  <r>
    <s v="Gachami Kenya"/>
    <n v="94"/>
    <s v="Medium Light"/>
    <n v="56"/>
    <n v="72"/>
    <n v="5.64"/>
    <s v="USA"/>
    <s v="Kenya"/>
    <s v="Africa"/>
    <x v="0"/>
  </r>
  <r>
    <s v="Ethiopia Natural вЂњPhoenixвЂќ"/>
    <n v="95"/>
    <s v="Medium"/>
    <n v="44"/>
    <n v="60"/>
    <n v="0.44"/>
    <s v="Taiwan"/>
    <s v="Ethiopia"/>
    <s v="Africa"/>
    <x v="1"/>
  </r>
  <r>
    <s v="Costa Rica SL-28 Yellow Honey Espresso"/>
    <n v="95"/>
    <s v="Medium Dark"/>
    <n v="38"/>
    <n v="46"/>
    <n v="0.44"/>
    <s v="Taiwan"/>
    <s v="Costa Rica"/>
    <s v="America"/>
    <x v="1"/>
  </r>
  <r>
    <s v="Washed Geisha Hacienda La Esmeralda Jaramillo Special"/>
    <n v="97"/>
    <s v="Medium Light"/>
    <n v="56"/>
    <n v="76"/>
    <n v="110.23"/>
    <s v="USA"/>
    <s v="Panama"/>
    <s v="America"/>
    <x v="0"/>
  </r>
  <r>
    <s v="Panama Perci Geisha Natural"/>
    <n v="96"/>
    <s v="Medium Light"/>
    <n v="52"/>
    <n v="72"/>
    <n v="26.46"/>
    <s v="USA"/>
    <s v="Panama"/>
    <s v="America"/>
    <x v="0"/>
  </r>
  <r>
    <s v="Elida Estate Geisha Green-Tip Natural"/>
    <n v="98"/>
    <s v="Medium Light"/>
    <n v="54"/>
    <n v="78"/>
    <n v="476.19"/>
    <s v="USA"/>
    <s v="Panama"/>
    <s v="America"/>
    <x v="0"/>
  </r>
  <r>
    <s v="Washed Kenya"/>
    <n v="95"/>
    <s v="Medium"/>
    <n v="47"/>
    <n v="67"/>
    <n v="244.44"/>
    <s v="Taiwan"/>
    <s v="Kenya"/>
    <s v="Africa"/>
    <x v="1"/>
  </r>
  <r>
    <s v="Panama Hacienda La Esmeralda Super Mario Geisha"/>
    <n v="96"/>
    <s v="Medium Light"/>
    <n v="54"/>
    <n v="78"/>
    <n v="100"/>
    <s v="Australia"/>
    <s v="Panama"/>
    <s v="America"/>
    <x v="1"/>
  </r>
  <r>
    <s v="Kenya Gakundu FCS Kamviu Wet Mill"/>
    <n v="94"/>
    <s v="Medium Light"/>
    <n v="56"/>
    <n v="78"/>
    <n v="6.17"/>
    <s v="Canada"/>
    <s v="Kenya"/>
    <s v="Africa"/>
    <x v="0"/>
  </r>
  <r>
    <s v="Rukira Kenya"/>
    <n v="94"/>
    <s v="Medium Light"/>
    <n v="58"/>
    <n v="80"/>
    <n v="6"/>
    <s v="USA"/>
    <s v="Kenya"/>
    <s v="Africa"/>
    <x v="0"/>
  </r>
  <r>
    <s v="Gesha Village Lot #85 Natural"/>
    <n v="95"/>
    <s v="Medium Light"/>
    <n v="54"/>
    <n v="72"/>
    <n v="17.61"/>
    <s v="USA"/>
    <s v="Ethiopia"/>
    <s v="Africa"/>
    <x v="0"/>
  </r>
  <r>
    <s v="Ethiopia Natural Yirgacheffe Banko Gotiti"/>
    <n v="94"/>
    <s v="Medium Light"/>
    <n v="52"/>
    <n v="70"/>
    <n v="143.30000000000001"/>
    <s v="Taiwan"/>
    <s v="Ethiopia"/>
    <s v="Africa"/>
    <x v="1"/>
  </r>
  <r>
    <s v="Indonesia Sumatra Gayo Espresso"/>
    <n v="94"/>
    <s v="Dark"/>
    <n v="36"/>
    <n v="44"/>
    <n v="264.56"/>
    <s v="Taiwan"/>
    <s v="Indonesia"/>
    <s v="Asia-Pacific"/>
    <x v="1"/>
  </r>
  <r>
    <s v="Ethiopia Limu Nano Challa Lot #10"/>
    <n v="94"/>
    <s v="Medium Light"/>
    <n v="54"/>
    <n v="74"/>
    <n v="5.73"/>
    <s v="USA"/>
    <s v="Ethiopia"/>
    <s v="Africa"/>
    <x v="0"/>
  </r>
  <r>
    <s v="Best of Panama GNEP-01 Elida Geisha Green Tip Natural"/>
    <n v="97"/>
    <s v="Medium Light"/>
    <n v="55"/>
    <n v="73"/>
    <n v="188.88"/>
    <s v="USA"/>
    <s v="Panama"/>
    <s v="America"/>
    <x v="0"/>
  </r>
  <r>
    <s v="Geisha XO"/>
    <n v="96"/>
    <s v="Medium"/>
    <n v="54"/>
    <n v="62"/>
    <n v="26.46"/>
    <s v="USA"/>
    <s v="Colombia"/>
    <s v="America"/>
    <x v="0"/>
  </r>
  <r>
    <s v="Colombia Finca La Maria Geisha Natural"/>
    <n v="96"/>
    <s v="Medium Light"/>
    <n v="57"/>
    <n v="74"/>
    <n v="32.299999999999997"/>
    <s v="USA"/>
    <s v="Colombia"/>
    <s v="America"/>
    <x v="0"/>
  </r>
  <r>
    <s v="Panama Finca Kalithea Natural Geisha"/>
    <n v="96"/>
    <s v="Medium Light"/>
    <n v="55"/>
    <n v="79"/>
    <n v="661.38"/>
    <s v="Taiwan"/>
    <s v="Panama"/>
    <s v="America"/>
    <x v="1"/>
  </r>
  <r>
    <s v="Panama Hacienda La Esmeralda Super Mario 6 Geisha"/>
    <n v="95"/>
    <s v="Medium Light"/>
    <n v="51"/>
    <n v="71"/>
    <n v="26.46"/>
    <s v="USA"/>
    <s v="Panama"/>
    <s v="America"/>
    <x v="0"/>
  </r>
  <r>
    <s v="Panama Geisha Alto Jaramillo"/>
    <n v="94"/>
    <s v="Medium Light"/>
    <n v="53"/>
    <n v="71"/>
    <n v="35.270000000000003"/>
    <s v="USA"/>
    <s v="Panama"/>
    <s v="America"/>
    <x v="0"/>
  </r>
  <r>
    <s v="Colombia Laderas del Tapias Estate Natural Geisha"/>
    <n v="94"/>
    <s v="Medium Light"/>
    <n v="52"/>
    <n v="70"/>
    <n v="586.96"/>
    <s v="Taiwan"/>
    <s v="Colombia"/>
    <s v="America"/>
    <x v="1"/>
  </r>
  <r>
    <s v="Gesha Village Natural Lot #19"/>
    <n v="94"/>
    <s v="Medium Light"/>
    <n v="58"/>
    <n v="80"/>
    <n v="1200"/>
    <s v="Taiwan"/>
    <s v="Ethiopia"/>
    <s v="Africa"/>
    <x v="1"/>
  </r>
  <r>
    <s v="Gesha Village 1931 Lot 27"/>
    <n v="94"/>
    <s v="Medium Light"/>
    <n v="60"/>
    <n v="78"/>
    <n v="22.05"/>
    <s v="USA"/>
    <s v="Ethiopia"/>
    <s v="Africa"/>
    <x v="0"/>
  </r>
  <r>
    <s v="Ethiopia Sidamo Gora Kone"/>
    <n v="94"/>
    <s v="Medium Light"/>
    <n v="59"/>
    <n v="72"/>
    <n v="5.59"/>
    <s v="USA"/>
    <s v="Ethiopia"/>
    <s v="Africa"/>
    <x v="0"/>
  </r>
  <r>
    <s v="Kebele Village Espresso"/>
    <n v="94"/>
    <s v="Medium Light"/>
    <n v="52"/>
    <n v="70"/>
    <n v="5.03"/>
    <s v="USA"/>
    <s v="Ethiopia"/>
    <s v="Africa"/>
    <x v="0"/>
  </r>
  <r>
    <s v="Panama Finca San Sebastian"/>
    <n v="94"/>
    <s v="Medium Light"/>
    <n v="53"/>
    <n v="71"/>
    <n v="3.53"/>
    <s v="USA"/>
    <s v="Panama"/>
    <s v="America"/>
    <x v="0"/>
  </r>
  <r>
    <s v="Yirgacheffe Gedeb G1 Natural"/>
    <n v="94"/>
    <s v="Light"/>
    <n v="62"/>
    <n v="83"/>
    <n v="154.32"/>
    <s v="Taiwan"/>
    <s v="Ethiopia"/>
    <s v="Africa"/>
    <x v="1"/>
  </r>
  <r>
    <s v="Kenya Kiambu Uklili AA"/>
    <n v="95"/>
    <s v="Medium"/>
    <n v="52"/>
    <n v="68"/>
    <n v="154.32"/>
    <s v="Taiwan"/>
    <s v="Kenya"/>
    <s v="Africa"/>
    <x v="1"/>
  </r>
  <r>
    <s v="Ethiopia Guji Shakisso Natural Lot 24"/>
    <n v="94"/>
    <s v="Medium Light"/>
    <n v="53"/>
    <n v="71"/>
    <n v="114.64"/>
    <s v="Taiwan"/>
    <s v="Ethiopia"/>
    <s v="Africa"/>
    <x v="1"/>
  </r>
  <r>
    <s v="Ethiopia Washed Yirgacheffe Nafasha Lot"/>
    <n v="94"/>
    <s v="Medium Light"/>
    <n v="55"/>
    <n v="77"/>
    <n v="121.25"/>
    <s v="Taiwan"/>
    <s v="Ethiopia"/>
    <s v="Africa"/>
    <x v="1"/>
  </r>
  <r>
    <s v="El Salvador"/>
    <n v="94"/>
    <s v="Medium"/>
    <n v="47"/>
    <n v="59"/>
    <n v="8.66"/>
    <s v="China"/>
    <s v="El Salvador"/>
    <s v="America"/>
    <x v="1"/>
  </r>
  <r>
    <s v="Ethiopia Kayon Mountain Natural"/>
    <n v="94"/>
    <s v="Medium"/>
    <n v="50"/>
    <n v="70"/>
    <n v="6.17"/>
    <s v="USA"/>
    <s v="Ethiopia"/>
    <s v="Africa"/>
    <x v="0"/>
  </r>
  <r>
    <s v="Ethiopia Natural Yirgacheffe Blue Donkey Lot"/>
    <n v="94"/>
    <s v="Medium Light"/>
    <n v="57"/>
    <n v="75"/>
    <n v="132.28"/>
    <s v="Taiwan"/>
    <s v="Ethiopia"/>
    <s v="Africa"/>
    <x v="1"/>
  </r>
  <r>
    <s v="Geisha Village Auction Lot #11"/>
    <n v="94"/>
    <s v="Medium Light"/>
    <n v="52"/>
    <n v="75"/>
    <n v="22.71"/>
    <s v="USA"/>
    <s v="Ethiopia"/>
    <s v="Africa"/>
    <x v="0"/>
  </r>
  <r>
    <s v="Ethiopia Yirgacheffe Chelelektu Natural"/>
    <n v="96"/>
    <s v="Medium Light"/>
    <n v="58"/>
    <n v="82"/>
    <n v="5.29"/>
    <s v="USA"/>
    <s v="Ethiopia"/>
    <s v="Africa"/>
    <x v="0"/>
  </r>
  <r>
    <s v="Kenya Kimaruri"/>
    <n v="94"/>
    <s v="Medium Light"/>
    <n v="54"/>
    <n v="72"/>
    <n v="6.76"/>
    <s v="USA"/>
    <s v="Kenya"/>
    <s v="Africa"/>
    <x v="0"/>
  </r>
  <r>
    <s v="Kenya Handege"/>
    <n v="94"/>
    <s v="Medium"/>
    <n v="53"/>
    <n v="65"/>
    <n v="5.59"/>
    <s v="USA"/>
    <s v="Kenya"/>
    <s v="Africa"/>
    <x v="0"/>
  </r>
  <r>
    <s v="Colombia Valle del Cauca Cerro Azul Geisha"/>
    <n v="96"/>
    <s v="Medium"/>
    <n v="48"/>
    <n v="67"/>
    <n v="16.670000000000002"/>
    <s v="USA"/>
    <s v="Colombia"/>
    <s v="America"/>
    <x v="0"/>
  </r>
  <r>
    <s v="Green-Tip Geisha"/>
    <n v="94"/>
    <s v="Medium Light"/>
    <n v="56"/>
    <n v="78"/>
    <n v="15.43"/>
    <s v="Mexico"/>
    <s v="Mexico"/>
    <s v="America"/>
    <x v="0"/>
  </r>
  <r>
    <s v="Barichu Double"/>
    <n v="94"/>
    <s v="Medium Light"/>
    <n v="53"/>
    <n v="75"/>
    <n v="11.76"/>
    <s v="USA"/>
    <s v="Kenya"/>
    <s v="Africa"/>
    <x v="0"/>
  </r>
  <r>
    <s v="Rukera Kenya"/>
    <n v="97"/>
    <s v="Medium Light"/>
    <n v="54"/>
    <n v="78"/>
    <n v="6.23"/>
    <s v="USA"/>
    <s v="Kenya"/>
    <s v="Africa"/>
    <x v="0"/>
  </r>
  <r>
    <s v="Rukera Espresso"/>
    <n v="97"/>
    <s v="Medium Light"/>
    <n v="54"/>
    <n v="78"/>
    <n v="6.23"/>
    <s v="USA"/>
    <s v="Kenya"/>
    <s v="Africa"/>
    <x v="0"/>
  </r>
  <r>
    <s v="The Core Espresso"/>
    <n v="94"/>
    <s v="Medium"/>
    <n v="45"/>
    <n v="67"/>
    <n v="5.07"/>
    <s v="USA"/>
    <s v="Unknown"/>
    <s v="NULL"/>
    <x v="0"/>
  </r>
  <r>
    <s v="Espresso Mandarina"/>
    <n v="94"/>
    <s v="Medium"/>
    <n v="46"/>
    <n v="68"/>
    <n v="4.9800000000000004"/>
    <s v="USA"/>
    <s v="Ethiopia"/>
    <s v="Africa"/>
    <x v="0"/>
  </r>
  <r>
    <s v="SOB Espresso"/>
    <n v="94"/>
    <s v="Medium"/>
    <n v="46"/>
    <n v="68"/>
    <n v="5.57"/>
    <s v="USA"/>
    <s v="Colombia"/>
    <s v="America"/>
    <x v="0"/>
  </r>
  <r>
    <s v="Ethiopia Gedeb Worka Sakaro"/>
    <n v="95"/>
    <s v="Medium Light"/>
    <n v="60"/>
    <n v="78"/>
    <n v="293.33"/>
    <s v="Taiwan"/>
    <s v="Ethiopia"/>
    <s v="Africa"/>
    <x v="1"/>
  </r>
  <r>
    <s v="La Belleza Colombia"/>
    <n v="94"/>
    <s v="Medium Light"/>
    <n v="57"/>
    <n v="79"/>
    <n v="5.73"/>
    <s v="USA"/>
    <s v="Colombia"/>
    <s v="America"/>
    <x v="0"/>
  </r>
  <r>
    <s v="Colombia Pink Bourbon"/>
    <n v="94"/>
    <s v="Medium Light"/>
    <n v="56"/>
    <n v="74"/>
    <n v="7.33"/>
    <s v="USA"/>
    <s v="Colombia"/>
    <s v="America"/>
    <x v="0"/>
  </r>
  <r>
    <s v="Crystalina"/>
    <n v="94"/>
    <s v="Medium Light"/>
    <n v="60"/>
    <n v="78"/>
    <n v="5.88"/>
    <s v="USA"/>
    <s v="Colombia"/>
    <s v="America"/>
    <x v="0"/>
  </r>
  <r>
    <s v="Kenya Kiambu Gititu AA"/>
    <n v="94"/>
    <s v="Medium Light"/>
    <n v="55"/>
    <n v="75"/>
    <n v="158.72999999999999"/>
    <s v="Taiwan"/>
    <s v="Kenya"/>
    <s v="Africa"/>
    <x v="1"/>
  </r>
  <r>
    <s v="Ninety Plus Gesha Estates JBC Custom Lot #252"/>
    <n v="94"/>
    <s v="Medium Light"/>
    <n v="55"/>
    <n v="74"/>
    <n v="43.65"/>
    <s v="USA"/>
    <s v="Panama"/>
    <s v="America"/>
    <x v="0"/>
  </r>
  <r>
    <s v="La Palma Y El Tucan Hero Series Colombia Sidra Lot #190"/>
    <n v="96"/>
    <s v="Medium Light"/>
    <n v="57"/>
    <n v="83"/>
    <n v="26.46"/>
    <s v="USA"/>
    <s v="Colombia"/>
    <s v="America"/>
    <x v="0"/>
  </r>
  <r>
    <s v="KaвЂ™u Champagne Natural"/>
    <n v="94"/>
    <s v="Light"/>
    <n v="58"/>
    <n v="84"/>
    <n v="17.59"/>
    <s v="USA"/>
    <s v="USA"/>
    <s v="America"/>
    <x v="0"/>
  </r>
  <r>
    <s v="Monarch Gesha"/>
    <n v="94"/>
    <s v="Medium Light"/>
    <n v="51"/>
    <n v="73"/>
    <n v="37.04"/>
    <s v="USA"/>
    <s v="Unknown"/>
    <s v="NULL"/>
    <x v="0"/>
  </r>
  <r>
    <s v="Australian Blend Espresso"/>
    <n v="95"/>
    <s v="Medium Light"/>
    <n v="51"/>
    <n v="73"/>
    <n v="9.5"/>
    <s v="China"/>
    <s v="Ethiopia"/>
    <s v="Africa"/>
    <x v="1"/>
  </r>
  <r>
    <s v="Colombia Tolima Monteverde Estate Natural Wush Wush"/>
    <n v="94"/>
    <s v="Medium"/>
    <n v="53"/>
    <n v="64"/>
    <n v="533.33000000000004"/>
    <s v="Taiwan"/>
    <s v="Colombia"/>
    <s v="America"/>
    <x v="1"/>
  </r>
  <r>
    <s v="Ethiopia Oromia Guji Washed"/>
    <n v="94"/>
    <s v="Medium Light"/>
    <n v="60"/>
    <n v="79"/>
    <n v="266.67"/>
    <s v="Taiwan"/>
    <s v="Ethiopia"/>
    <s v="Africa"/>
    <x v="1"/>
  </r>
  <r>
    <s v="Kenya MurangвЂ™a Githiga AA"/>
    <n v="94"/>
    <s v="Medium Light"/>
    <n v="53"/>
    <n v="75"/>
    <n v="5.95"/>
    <s v="Taiwan"/>
    <s v="Kenya"/>
    <s v="Africa"/>
    <x v="1"/>
  </r>
  <r>
    <s v="Ethiopia Sidama Shantewene"/>
    <n v="95"/>
    <s v="Medium Light"/>
    <n v="58"/>
    <n v="82"/>
    <n v="5.59"/>
    <s v="USA"/>
    <s v="Ethiopia"/>
    <s v="Africa"/>
    <x v="0"/>
  </r>
  <r>
    <s v="Gesha Rebecca Natural"/>
    <n v="95"/>
    <s v="Medium Light"/>
    <n v="58"/>
    <n v="80"/>
    <n v="154.32"/>
    <s v="Taiwan"/>
    <s v="Ethiopia"/>
    <s v="Africa"/>
    <x v="1"/>
  </r>
  <r>
    <s v="CafГ© Granja La Esperanza Sudan Rume Natural"/>
    <n v="95"/>
    <s v="Medium"/>
    <n v="51"/>
    <n v="69"/>
    <n v="16.53"/>
    <s v="USA"/>
    <s v="Colombia"/>
    <s v="America"/>
    <x v="0"/>
  </r>
  <r>
    <s v="Boru Batak Sumatra"/>
    <n v="94"/>
    <s v="Medium Light"/>
    <n v="53"/>
    <n v="75"/>
    <n v="5.29"/>
    <s v="Canada"/>
    <s v="Indonesia"/>
    <s v="Asia-Pacific"/>
    <x v="0"/>
  </r>
  <r>
    <s v="Sumatra Tano Batak"/>
    <n v="94"/>
    <s v="Medium Light"/>
    <n v="55"/>
    <n v="68"/>
    <n v="5.29"/>
    <s v="USA"/>
    <s v="Indonesia"/>
    <s v="Asia-Pacific"/>
    <x v="0"/>
  </r>
  <r>
    <s v="Sumatra Lintong"/>
    <n v="95"/>
    <s v="Medium"/>
    <n v="51"/>
    <n v="68"/>
    <n v="5"/>
    <s v="USA"/>
    <s v="Indonesia"/>
    <s v="Asia-Pacific"/>
    <x v="0"/>
  </r>
  <r>
    <s v="Ethiopia Natural Guji Hambela G1 Bishan Fugu"/>
    <n v="95"/>
    <s v="Medium Light"/>
    <n v="51"/>
    <n v="73"/>
    <n v="143.30000000000001"/>
    <s v="Taiwan"/>
    <s v="Ethiopia"/>
    <s v="Africa"/>
    <x v="1"/>
  </r>
  <r>
    <s v="Tanzania Tarime AB"/>
    <n v="94"/>
    <s v="Medium Light"/>
    <n v="56"/>
    <n v="80"/>
    <n v="5"/>
    <s v="USA"/>
    <s v="Tanzania"/>
    <s v="Africa"/>
    <x v="0"/>
  </r>
  <r>
    <s v="El Salvador Cerro Las Ranas Honey Espresso"/>
    <n v="94"/>
    <s v="Medium Light"/>
    <n v="50"/>
    <n v="74"/>
    <n v="79.37"/>
    <s v="Taiwan"/>
    <s v="El Salvador"/>
    <s v="America"/>
    <x v="1"/>
  </r>
  <r>
    <s v="Panama Baru Geisha Black"/>
    <n v="94"/>
    <s v="Medium Light"/>
    <n v="52"/>
    <n v="74"/>
    <n v="485.01"/>
    <s v="Taiwan"/>
    <s v="Panama"/>
    <s v="America"/>
    <x v="1"/>
  </r>
  <r>
    <s v="Flight Seasonal Espresso"/>
    <n v="94"/>
    <s v="Medium Light"/>
    <n v="54"/>
    <n v="78"/>
    <n v="5.29"/>
    <s v="USA"/>
    <s v="Ethiopia"/>
    <s v="Africa"/>
    <x v="0"/>
  </r>
  <r>
    <s v="Eaagads Estate Kenya"/>
    <n v="94"/>
    <s v="Medium Light"/>
    <n v="52"/>
    <n v="76"/>
    <n v="5.59"/>
    <s v="USA"/>
    <s v="Kenya"/>
    <s v="Africa"/>
    <x v="0"/>
  </r>
  <r>
    <s v="Ethiopia Guji"/>
    <n v="94"/>
    <s v="Medium Light"/>
    <n v="54"/>
    <n v="78"/>
    <n v="5.29"/>
    <s v="USA"/>
    <s v="Ethiopia"/>
    <s v="Africa"/>
    <x v="0"/>
  </r>
  <r>
    <s v="Ethiopia Yirgacheffe G1"/>
    <n v="94"/>
    <s v="Light"/>
    <n v="58"/>
    <n v="84"/>
    <n v="111.11"/>
    <s v="Taiwan"/>
    <s v="Ethiopia"/>
    <s v="Africa"/>
    <x v="1"/>
  </r>
  <r>
    <s v="Kenya Karindundu AA Small Lot Reserve"/>
    <n v="97"/>
    <s v="Medium Light"/>
    <n v="54"/>
    <n v="78"/>
    <n v="5.29"/>
    <s v="USA"/>
    <s v="Kenya"/>
    <s v="Africa"/>
    <x v="0"/>
  </r>
  <r>
    <s v="Rwanda Kanzu"/>
    <n v="94"/>
    <s v="Medium Light"/>
    <n v="55"/>
    <n v="77"/>
    <n v="7.05"/>
    <s v="USA"/>
    <s v="Rwanda"/>
    <s v="Africa"/>
    <x v="0"/>
  </r>
  <r>
    <s v="Ethiopia Kochere Natural"/>
    <n v="94"/>
    <s v="Medium Light"/>
    <n v="52"/>
    <n v="74"/>
    <n v="5.29"/>
    <s v="USA"/>
    <s v="Ethiopia"/>
    <s v="Africa"/>
    <x v="0"/>
  </r>
  <r>
    <s v="Kenya Thirikwa Single-Origin Espresso"/>
    <n v="94"/>
    <s v="Medium"/>
    <n v="42"/>
    <n v="64"/>
    <n v="6.47"/>
    <s v="USA"/>
    <s v="Kenya"/>
    <s v="Africa"/>
    <x v="0"/>
  </r>
  <r>
    <s v="Sumatra Tano Batak"/>
    <n v="95"/>
    <s v="Medium Light"/>
    <n v="54"/>
    <n v="76"/>
    <n v="6.17"/>
    <s v="USA"/>
    <s v="Indonesia"/>
    <s v="Asia-Pacific"/>
    <x v="0"/>
  </r>
  <r>
    <s v="Rwanda Mushonyi Natural"/>
    <n v="94"/>
    <s v="Medium Light"/>
    <n v="54"/>
    <n v="78"/>
    <n v="8.8000000000000007"/>
    <s v="USA"/>
    <s v="Rwanda"/>
    <s v="Africa"/>
    <x v="0"/>
  </r>
  <r>
    <s v="Ethiopia Hambela Natural Organic"/>
    <n v="94"/>
    <s v="Medium Light"/>
    <n v="52"/>
    <n v="76"/>
    <n v="4.41"/>
    <s v="USA"/>
    <s v="Ethiopia"/>
    <s v="Africa"/>
    <x v="0"/>
  </r>
  <r>
    <s v="Kenya AB"/>
    <n v="94"/>
    <s v="Medium"/>
    <n v="47"/>
    <n v="69"/>
    <n v="5.29"/>
    <s v="USA"/>
    <s v="Kenya"/>
    <s v="Africa"/>
    <x v="0"/>
  </r>
  <r>
    <s v="Tanzania Ngorongoro Ridge Peaberry"/>
    <n v="95"/>
    <s v="Medium Light"/>
    <n v="55"/>
    <n v="79"/>
    <n v="4.7"/>
    <s v="USA"/>
    <s v="Tanzania"/>
    <s v="Africa"/>
    <x v="0"/>
  </r>
  <r>
    <s v="100% Kona Bourbon Pointu Laurina"/>
    <n v="95"/>
    <s v="Medium Light"/>
    <n v="52"/>
    <n v="74"/>
    <n v="19.82"/>
    <s v="USA"/>
    <s v="USA"/>
    <s v="America"/>
    <x v="0"/>
  </r>
  <r>
    <s v="Ethiopia Haro Wachu"/>
    <n v="94"/>
    <s v="Medium Light"/>
    <n v="50"/>
    <n v="72"/>
    <n v="6.61"/>
    <s v="USA"/>
    <s v="Ethiopia"/>
    <s v="Africa"/>
    <x v="0"/>
  </r>
  <r>
    <s v="Banco Gotete Ethiopia"/>
    <n v="94"/>
    <s v="Medium Light"/>
    <n v="53"/>
    <n v="75"/>
    <n v="5.44"/>
    <s v="USA"/>
    <s v="Ethiopia"/>
    <s v="Africa"/>
    <x v="0"/>
  </r>
  <r>
    <s v="Kenya Ruthaka Peaberry"/>
    <n v="95"/>
    <s v="Medium"/>
    <n v="48"/>
    <n v="72"/>
    <n v="5.59"/>
    <s v="USA"/>
    <s v="Kenya"/>
    <s v="Africa"/>
    <x v="0"/>
  </r>
  <r>
    <s v="Honduras Las Flores Parainema"/>
    <n v="94"/>
    <s v="Medium Light"/>
    <n v="56"/>
    <n v="80"/>
    <n v="6.47"/>
    <s v="USA"/>
    <s v="Honduras"/>
    <s v="America"/>
    <x v="0"/>
  </r>
  <r>
    <s v="Kivu DR Congo"/>
    <n v="94"/>
    <s v="Medium Light"/>
    <n v="56"/>
    <n v="78"/>
    <n v="4.97"/>
    <s v="USA"/>
    <s v="Democratic Republic of the Congo"/>
    <s v="Africa"/>
    <x v="0"/>
  </r>
  <r>
    <s v="Panama Ninety Plus Perci Lot 50"/>
    <n v="97"/>
    <s v="Medium Light"/>
    <n v="50"/>
    <n v="74"/>
    <n v="26.46"/>
    <s v="USA"/>
    <s v="Panama"/>
    <s v="America"/>
    <x v="0"/>
  </r>
  <r>
    <s v="Colombia Sidra"/>
    <n v="94"/>
    <s v="Medium Light"/>
    <n v="58"/>
    <n v="80"/>
    <n v="6.61"/>
    <s v="Taiwan"/>
    <s v="Colombia"/>
    <s v="America"/>
    <x v="1"/>
  </r>
  <r>
    <s v="Colombia Geisha"/>
    <n v="94"/>
    <s v="Medium Light"/>
    <n v="53"/>
    <n v="77"/>
    <n v="7.61"/>
    <s v="USA"/>
    <s v="Colombia"/>
    <s v="America"/>
    <x v="0"/>
  </r>
  <r>
    <s v="Kenya Murunga New Gatanga FCS Mukurwe Factory AB"/>
    <n v="94"/>
    <s v="Medium Light"/>
    <n v="54"/>
    <n v="76"/>
    <n v="7.05"/>
    <s v="Taiwan"/>
    <s v="Kenya"/>
    <s v="Africa"/>
    <x v="1"/>
  </r>
  <r>
    <s v="Ethiopia WORKA"/>
    <n v="94"/>
    <s v="Medium Light"/>
    <n v="60"/>
    <n v="80"/>
    <n v="5.29"/>
    <s v="USA"/>
    <s v="Ethiopia"/>
    <s v="Africa"/>
    <x v="0"/>
  </r>
  <r>
    <s v="Ethiopia Banko Dhadhato Washed"/>
    <n v="94"/>
    <s v="Light"/>
    <n v="62"/>
    <n v="82"/>
    <n v="5.29"/>
    <s v="USA"/>
    <s v="Ethiopia"/>
    <s v="Africa"/>
    <x v="0"/>
  </r>
  <r>
    <s v="Kenya Karuthi AA"/>
    <n v="95"/>
    <s v="Medium Light"/>
    <n v="56"/>
    <n v="72"/>
    <n v="6"/>
    <s v="USA"/>
    <s v="Kenya"/>
    <s v="Africa"/>
    <x v="0"/>
  </r>
  <r>
    <s v="Kenya Nyeri Nudurutu Factory AB"/>
    <n v="94"/>
    <s v="Medium Light"/>
    <n v="57"/>
    <n v="79"/>
    <n v="132.28"/>
    <s v="Taiwan"/>
    <s v="Kenya"/>
    <s v="Africa"/>
    <x v="1"/>
  </r>
  <r>
    <s v="Ethiopia Kochere Washed Saona Lot"/>
    <n v="95"/>
    <s v="Medium Light"/>
    <n v="57"/>
    <n v="79"/>
    <n v="127.87"/>
    <s v="Taiwan"/>
    <s v="Ethiopia"/>
    <s v="Africa"/>
    <x v="1"/>
  </r>
  <r>
    <s v="Ethiopia Guji Natural Dasaya"/>
    <n v="94"/>
    <s v="Medium Light"/>
    <n v="57"/>
    <n v="79"/>
    <n v="132.28"/>
    <s v="Taiwan"/>
    <s v="Ethiopia"/>
    <s v="Africa"/>
    <x v="1"/>
  </r>
  <r>
    <s v="Holiday Sweet Blend"/>
    <n v="94"/>
    <s v="Medium Light"/>
    <n v="54"/>
    <n v="76"/>
    <n v="4.99"/>
    <s v="USA"/>
    <s v="Colombia"/>
    <s v="America"/>
    <x v="0"/>
  </r>
  <r>
    <s v="Colombia El Obraje Gesha"/>
    <n v="94"/>
    <s v="Medium Light"/>
    <n v="54"/>
    <n v="74"/>
    <n v="14.11"/>
    <s v="USA"/>
    <s v="Colombia"/>
    <s v="America"/>
    <x v="0"/>
  </r>
  <r>
    <s v="Flowery Nekisse"/>
    <n v="95"/>
    <s v="Medium Light"/>
    <n v="60"/>
    <n v="80"/>
    <n v="7.94"/>
    <s v="Taiwan"/>
    <s v="Ethiopia"/>
    <s v="Africa"/>
    <x v="1"/>
  </r>
  <r>
    <s v="Baru Gesha"/>
    <n v="96"/>
    <s v="Medium Light"/>
    <n v="55"/>
    <n v="75"/>
    <n v="12"/>
    <s v="USA"/>
    <s v="Panama"/>
    <s v="America"/>
    <x v="0"/>
  </r>
  <r>
    <s v="Camilina Geisha"/>
    <n v="94"/>
    <s v="Medium Light"/>
    <n v="54"/>
    <n v="78"/>
    <n v="19.84"/>
    <s v="USA"/>
    <s v="Panama"/>
    <s v="America"/>
    <x v="0"/>
  </r>
  <r>
    <s v="Mama Cata Geisha Washed"/>
    <n v="94"/>
    <s v="Medium Light"/>
    <n v="56"/>
    <n v="84"/>
    <n v="15.87"/>
    <s v="USA"/>
    <s v="Panama"/>
    <s v="America"/>
    <x v="0"/>
  </r>
  <r>
    <s v="Wei Rong Blend"/>
    <n v="94"/>
    <s v="Medium Light"/>
    <n v="55"/>
    <n v="72"/>
    <n v="132.28"/>
    <s v="Taiwan"/>
    <s v="Kenya"/>
    <s v="Africa"/>
    <x v="1"/>
  </r>
  <r>
    <s v="Kiunyu Peaberry"/>
    <n v="94"/>
    <s v="Medium Light"/>
    <n v="52"/>
    <n v="76"/>
    <n v="7.64"/>
    <s v="USA"/>
    <s v="Kenya"/>
    <s v="Africa"/>
    <x v="0"/>
  </r>
  <r>
    <s v="Kona MoccaВ®"/>
    <n v="96"/>
    <s v="Medium"/>
    <n v="46"/>
    <n v="64"/>
    <n v="19.82"/>
    <s v="USA"/>
    <s v="USA"/>
    <s v="America"/>
    <x v="0"/>
  </r>
  <r>
    <s v="Kibugu Kenya"/>
    <n v="95"/>
    <s v="Medium Light"/>
    <n v="54"/>
    <n v="74"/>
    <n v="5.86"/>
    <s v="USA"/>
    <s v="Kenya"/>
    <s v="Africa"/>
    <x v="0"/>
  </r>
  <r>
    <s v="Poseidon Blend Espresso"/>
    <n v="95"/>
    <s v="Medium Light"/>
    <n v="52"/>
    <n v="74"/>
    <n v="132.16"/>
    <s v="Taiwan"/>
    <s v="Unknown"/>
    <s v="NULL"/>
    <x v="1"/>
  </r>
  <r>
    <s v="Kenya Gikirima Kibugu"/>
    <n v="94"/>
    <s v="Medium Light"/>
    <n v="56"/>
    <n v="74"/>
    <n v="5.73"/>
    <s v="USA"/>
    <s v="Kenya"/>
    <s v="Africa"/>
    <x v="0"/>
  </r>
  <r>
    <s v="Elida Estate Geisha Natural Dragonfly Reserve"/>
    <n v="95"/>
    <s v="Medium Light"/>
    <n v="54"/>
    <n v="78"/>
    <n v="30.86"/>
    <s v="USA"/>
    <s v="Panama"/>
    <s v="America"/>
    <x v="0"/>
  </r>
  <r>
    <s v="Costa Rica Geisha Honey COE 2018 2nd Place"/>
    <n v="94"/>
    <s v="Medium Light"/>
    <n v="50"/>
    <n v="76"/>
    <n v="19.84"/>
    <s v="USA"/>
    <s v="Costa Rica"/>
    <s v="America"/>
    <x v="0"/>
  </r>
  <r>
    <s v="Guatemala Pacamara Natural"/>
    <n v="95"/>
    <s v="Medium Light"/>
    <n v="57"/>
    <n v="77"/>
    <n v="639.33000000000004"/>
    <s v="Taiwan"/>
    <s v="Guatemala"/>
    <s v="America"/>
    <x v="1"/>
  </r>
  <r>
    <s v="La Providencia Guatemala Maragogype"/>
    <n v="94"/>
    <s v="Medium Light"/>
    <n v="56"/>
    <n v="78"/>
    <n v="6.17"/>
    <s v="USA"/>
    <s v="Guatemala"/>
    <s v="America"/>
    <x v="0"/>
  </r>
  <r>
    <s v="Kenya Kabingara"/>
    <n v="94"/>
    <s v="Medium Light"/>
    <n v="58"/>
    <n v="80"/>
    <n v="5.86"/>
    <s v="USA"/>
    <s v="Kenya"/>
    <s v="Africa"/>
    <x v="0"/>
  </r>
  <r>
    <s v="Kenya Konyu"/>
    <n v="95"/>
    <s v="Medium Light"/>
    <n v="57"/>
    <n v="81"/>
    <n v="5.73"/>
    <s v="USA"/>
    <s v="Kenya"/>
    <s v="Africa"/>
    <x v="0"/>
  </r>
  <r>
    <s v="Hacienda La Esmeralda Cabana Geisha Natural"/>
    <n v="95"/>
    <s v="Medium Light"/>
    <n v="57"/>
    <n v="83"/>
    <n v="33.07"/>
    <s v="USA"/>
    <s v="Panama"/>
    <s v="America"/>
    <x v="0"/>
  </r>
  <r>
    <s v="Finca La Aurora Camilina Geisha"/>
    <n v="96"/>
    <s v="Medium Light"/>
    <n v="56"/>
    <n v="76"/>
    <n v="19.84"/>
    <s v="USA"/>
    <s v="Panama"/>
    <s v="America"/>
    <x v="0"/>
  </r>
  <r>
    <s v="Twenty Five"/>
    <n v="96"/>
    <s v="Medium Light"/>
    <n v="50"/>
    <n v="74"/>
    <n v="4.25"/>
    <s v="USA"/>
    <s v="Guatemala"/>
    <s v="America"/>
    <x v="0"/>
  </r>
  <r>
    <s v="Karimikui Kenya"/>
    <n v="94"/>
    <s v="Medium Light"/>
    <n v="55"/>
    <n v="75"/>
    <n v="5.73"/>
    <s v="USA"/>
    <s v="Kenya"/>
    <s v="Africa"/>
    <x v="0"/>
  </r>
  <r>
    <s v="Kenya Baragwi Thimu Peaberry"/>
    <n v="94"/>
    <s v="Medium Light"/>
    <n v="52"/>
    <n v="74"/>
    <n v="5.73"/>
    <s v="USA"/>
    <s v="Kenya"/>
    <s v="Africa"/>
    <x v="0"/>
  </r>
  <r>
    <s v="Kariru Kenya"/>
    <n v="94"/>
    <s v="Medium Light"/>
    <n v="56"/>
    <n v="75"/>
    <n v="5.73"/>
    <s v="USA"/>
    <s v="Kenya"/>
    <s v="Africa"/>
    <x v="0"/>
  </r>
  <r>
    <s v="Esmeralda Estate Porton Geisha Natural"/>
    <n v="96"/>
    <s v="Medium Light"/>
    <n v="56"/>
    <n v="84"/>
    <n v="33.07"/>
    <s v="USA"/>
    <s v="Panama"/>
    <s v="America"/>
    <x v="0"/>
  </r>
  <r>
    <s v="Kenya Kiambu"/>
    <n v="94"/>
    <s v="Medium Light"/>
    <n v="53"/>
    <n v="81"/>
    <n v="4.92"/>
    <s v="USA"/>
    <s v="Kenya"/>
    <s v="Africa"/>
    <x v="0"/>
  </r>
  <r>
    <s v="Ethiopia Washed Phoenix Special вЂњMuseвЂќ"/>
    <n v="95"/>
    <s v="Medium Dark"/>
    <n v="40"/>
    <n v="48"/>
    <n v="308.64999999999998"/>
    <s v="Taiwan"/>
    <s v="Ethiopia"/>
    <s v="Africa"/>
    <x v="1"/>
  </r>
  <r>
    <s v="Kenya AB Phoenix Special вЂњGloryвЂќ"/>
    <n v="94"/>
    <s v="Medium Dark"/>
    <n v="39"/>
    <n v="45"/>
    <n v="330.7"/>
    <s v="Taiwan"/>
    <s v="Kenya"/>
    <s v="Africa"/>
    <x v="1"/>
  </r>
  <r>
    <s v="Kenya Ritho FCS Handege Factory AB"/>
    <n v="96"/>
    <s v="Medium Light"/>
    <n v="53"/>
    <n v="81"/>
    <n v="165.34"/>
    <s v="Taiwan"/>
    <s v="Kenya"/>
    <s v="Africa"/>
    <x v="1"/>
  </r>
  <r>
    <s v="Ethiopia Yirgacheffe Botabaa Washed"/>
    <n v="95"/>
    <s v="Light"/>
    <n v="56"/>
    <n v="86"/>
    <n v="127.87"/>
    <s v="Taiwan"/>
    <s v="Ethiopia"/>
    <s v="Africa"/>
    <x v="1"/>
  </r>
  <r>
    <s v="Ethiopia Hambela Natural"/>
    <n v="94"/>
    <s v="Medium Light"/>
    <n v="56"/>
    <n v="82"/>
    <n v="5.29"/>
    <s v="USA"/>
    <s v="Ethiopia"/>
    <s v="Africa"/>
    <x v="0"/>
  </r>
  <r>
    <s v="Ethiopia Gera Limmu Oromia"/>
    <n v="94"/>
    <s v="Medium Light"/>
    <n v="58"/>
    <n v="82"/>
    <n v="5.14"/>
    <s v="USA"/>
    <s v="Ethiopia"/>
    <s v="Africa"/>
    <x v="0"/>
  </r>
  <r>
    <s v="Kenya Kabare Konyu"/>
    <n v="94"/>
    <s v="Medium Light"/>
    <n v="54"/>
    <n v="80"/>
    <n v="6.03"/>
    <s v="USA"/>
    <s v="Kenya"/>
    <s v="Africa"/>
    <x v="0"/>
  </r>
  <r>
    <s v="Alemu Bukato Espresso"/>
    <n v="95"/>
    <s v="Medium Light"/>
    <n v="56"/>
    <n v="80"/>
    <n v="5.51"/>
    <s v="USA"/>
    <s v="Ethiopia"/>
    <s v="Africa"/>
    <x v="0"/>
  </r>
  <r>
    <s v="Tarime Tanzania"/>
    <n v="95"/>
    <s v="Medium Light"/>
    <n v="58"/>
    <n v="82"/>
    <n v="4.34"/>
    <s v="USA"/>
    <s v="Tanzania"/>
    <s v="Africa"/>
    <x v="0"/>
  </r>
  <r>
    <s v="Berlina Geisha"/>
    <n v="96"/>
    <s v="Medium Light"/>
    <n v="56"/>
    <n v="84"/>
    <n v="11.76"/>
    <s v="USA"/>
    <s v="Panama"/>
    <s v="America"/>
    <x v="0"/>
  </r>
  <r>
    <s v="Gatugi Triple"/>
    <n v="95"/>
    <s v="Light"/>
    <n v="58"/>
    <n v="86"/>
    <n v="11.76"/>
    <s v="USA"/>
    <s v="Kenya"/>
    <s v="Africa"/>
    <x v="0"/>
  </r>
  <r>
    <s v="Ethiopia Yirgacheffe Natural Espresso"/>
    <n v="94"/>
    <s v="Medium Light"/>
    <n v="51"/>
    <n v="74"/>
    <n v="5.29"/>
    <s v="USA"/>
    <s v="Ethiopia"/>
    <s v="Africa"/>
    <x v="0"/>
  </r>
  <r>
    <s v="Ethiopia Yirgacheffe Natural"/>
    <n v="94"/>
    <s v="Medium Light"/>
    <n v="55"/>
    <n v="80"/>
    <n v="5.29"/>
    <s v="USA"/>
    <s v="Ethiopia"/>
    <s v="Africa"/>
    <x v="0"/>
  </r>
  <r>
    <s v="Guatemala Finca El General Lot ALT8 Espresso"/>
    <n v="94"/>
    <s v="Medium Light"/>
    <n v="52"/>
    <n v="74"/>
    <n v="121.25"/>
    <s v="Taiwan"/>
    <s v="Guatemala"/>
    <s v="America"/>
    <x v="1"/>
  </r>
  <r>
    <s v="Green Dolphin Blend Espresso"/>
    <n v="94"/>
    <s v="Medium Light"/>
    <n v="50"/>
    <n v="74"/>
    <n v="105.82"/>
    <s v="Taiwan"/>
    <s v="Unknown"/>
    <s v="NULL"/>
    <x v="1"/>
  </r>
  <r>
    <s v="Finca El Socorro Maracaturra"/>
    <n v="95"/>
    <s v="Medium Light"/>
    <n v="52"/>
    <n v="78"/>
    <n v="6.61"/>
    <s v="USA"/>
    <s v="Guatemala"/>
    <s v="America"/>
    <x v="0"/>
  </r>
  <r>
    <s v="Ethiopia Kochere Debo Washed Gellana"/>
    <n v="94"/>
    <s v="Medium Light"/>
    <n v="57"/>
    <n v="83"/>
    <n v="121.25"/>
    <s v="Taiwan"/>
    <s v="Ethiopia"/>
    <s v="Africa"/>
    <x v="1"/>
  </r>
  <r>
    <s v="Ethiopia Gotiti Natural"/>
    <n v="95"/>
    <s v="Medium"/>
    <n v="46"/>
    <n v="72"/>
    <n v="255.73"/>
    <s v="Taiwan"/>
    <s v="Ethiopia"/>
    <s v="Africa"/>
    <x v="1"/>
  </r>
  <r>
    <s v="Cream Tabby Espresso Blend"/>
    <n v="94"/>
    <s v="Medium Light"/>
    <n v="49"/>
    <n v="74"/>
    <n v="177.78"/>
    <s v="Taiwan"/>
    <s v="Kenya"/>
    <s v="Africa"/>
    <x v="1"/>
  </r>
  <r>
    <s v="Ethiopia Girma Eshetu"/>
    <n v="94"/>
    <s v="Medium Light"/>
    <n v="56"/>
    <n v="80"/>
    <n v="6.17"/>
    <s v="Canada"/>
    <s v="Ethiopia"/>
    <s v="Africa"/>
    <x v="0"/>
  </r>
  <r>
    <s v="Karimikui Espresso"/>
    <n v="94"/>
    <s v="Medium Light"/>
    <n v="51"/>
    <n v="73"/>
    <n v="5.73"/>
    <s v="USA"/>
    <s v="Kenya"/>
    <s v="Africa"/>
    <x v="0"/>
  </r>
  <r>
    <s v="Ethiospro Blend"/>
    <n v="94"/>
    <s v="Medium Light"/>
    <n v="54"/>
    <n v="73"/>
    <n v="5.22"/>
    <s v="USA"/>
    <s v="Ethiopia"/>
    <s v="Africa"/>
    <x v="0"/>
  </r>
  <r>
    <s v="Costa Rica Cumbres Del Poas вЂњPerla NegraвЂќ Natural"/>
    <n v="94"/>
    <s v="Medium Light"/>
    <n v="59"/>
    <n v="79"/>
    <n v="5.29"/>
    <s v="USA"/>
    <s v="Costa Rica"/>
    <s v="America"/>
    <x v="0"/>
  </r>
  <r>
    <s v="Natural Sidamo Twakok G1"/>
    <n v="94"/>
    <s v="Light"/>
    <n v="59"/>
    <n v="85"/>
    <n v="114.64"/>
    <s v="Taiwan"/>
    <s v="Ethiopia"/>
    <s v="Africa"/>
    <x v="1"/>
  </r>
  <r>
    <s v="Yemen Haraaz"/>
    <n v="94"/>
    <s v="Medium Light"/>
    <n v="55"/>
    <n v="75"/>
    <n v="10.29"/>
    <s v="USA"/>
    <s v="Yemen"/>
    <s v="Africa"/>
    <x v="0"/>
  </r>
  <r>
    <s v="YCFCU Banko Gotiti Coop G1"/>
    <n v="95"/>
    <s v="Medium Dark"/>
    <n v="41"/>
    <n v="53"/>
    <n v="187.39"/>
    <s v="Taiwan"/>
    <s v="Ethiopia"/>
    <s v="Africa"/>
    <x v="1"/>
  </r>
  <r>
    <s v="Gesha Village Lot #25"/>
    <n v="95"/>
    <s v="Medium Light"/>
    <n v="52"/>
    <n v="75"/>
    <n v="661.38"/>
    <s v="Taiwan"/>
    <s v="Ethiopia"/>
    <s v="Africa"/>
    <x v="1"/>
  </r>
  <r>
    <s v="Costa Rica Perla Negra"/>
    <n v="95"/>
    <s v="Medium"/>
    <n v="50"/>
    <n v="65"/>
    <n v="4.9800000000000004"/>
    <s v="USA"/>
    <s v="Costa Rica"/>
    <s v="America"/>
    <x v="0"/>
  </r>
  <r>
    <s v="Espresso 1849 Blend"/>
    <n v="94"/>
    <s v="Medium"/>
    <n v="50"/>
    <n v="70"/>
    <n v="5.29"/>
    <s v="USA"/>
    <s v="Ethiopia"/>
    <s v="Africa"/>
    <x v="0"/>
  </r>
  <r>
    <s v="Ethiopia Kayon Mountain"/>
    <n v="94"/>
    <s v="Light"/>
    <n v="60"/>
    <n v="88"/>
    <n v="5.58"/>
    <s v="USA"/>
    <s v="Ethiopia"/>
    <s v="Africa"/>
    <x v="0"/>
  </r>
  <r>
    <s v="Tano Batak Sumatra"/>
    <n v="94"/>
    <s v="Medium Light"/>
    <n v="58"/>
    <n v="75"/>
    <n v="5.44"/>
    <s v="USA"/>
    <s v="Indonesia"/>
    <s v="Asia-Pacific"/>
    <x v="0"/>
  </r>
  <r>
    <s v="No. 7 Espresso Blend"/>
    <n v="95"/>
    <s v="Medium"/>
    <n v="47"/>
    <n v="69"/>
    <n v="198.41"/>
    <s v="Taiwan"/>
    <s v="Guatemala"/>
    <s v="America"/>
    <x v="1"/>
  </r>
  <r>
    <s v="Kenya Embu Uteuzi Jimbo"/>
    <n v="94"/>
    <s v="Medium Light"/>
    <n v="56"/>
    <n v="80"/>
    <n v="154.32"/>
    <s v="Taiwan"/>
    <s v="Kenya"/>
    <s v="Africa"/>
    <x v="1"/>
  </r>
  <r>
    <s v="DR Congo FTO Bourbon SOPACDI"/>
    <n v="94"/>
    <s v="Medium Light"/>
    <n v="50"/>
    <n v="74"/>
    <n v="5.29"/>
    <s v="USA"/>
    <s v="Democratic Republic of the Congo"/>
    <s v="Africa"/>
    <x v="0"/>
  </r>
  <r>
    <s v="Tarime Tanzania"/>
    <n v="95"/>
    <s v="Medium Light"/>
    <n v="56"/>
    <n v="80"/>
    <n v="5.64"/>
    <s v="USA"/>
    <s v="Tanzania"/>
    <s v="Africa"/>
    <x v="0"/>
  </r>
  <r>
    <s v="Kiniyota Espresso"/>
    <n v="95"/>
    <s v="Medium Light"/>
    <n v="54"/>
    <n v="78"/>
    <n v="5.17"/>
    <s v="USA"/>
    <s v="Unknown"/>
    <s v="NULL"/>
    <x v="0"/>
  </r>
  <r>
    <s v="El Obraje Geisha"/>
    <n v="95"/>
    <s v="Medium Light"/>
    <n v="52"/>
    <n v="78"/>
    <n v="15.43"/>
    <s v="USA"/>
    <s v="Colombia"/>
    <s v="America"/>
    <x v="0"/>
  </r>
  <r>
    <s v="Mandheling Onan Ganjang"/>
    <n v="94"/>
    <s v="Medium Light"/>
    <n v="55"/>
    <n v="77"/>
    <n v="121.25"/>
    <s v="Taiwan"/>
    <s v="Indonesia"/>
    <s v="Asia-Pacific"/>
    <x v="1"/>
  </r>
  <r>
    <s v="Ethiopia Banko Gotiti Natural"/>
    <n v="94"/>
    <s v="Light"/>
    <n v="60"/>
    <n v="84"/>
    <n v="154.32"/>
    <s v="Taiwan"/>
    <s v="Ethiopia"/>
    <s v="Africa"/>
    <x v="1"/>
  </r>
  <r>
    <s v="Yemen Microlot"/>
    <n v="96"/>
    <s v="Light"/>
    <n v="58"/>
    <n v="84"/>
    <n v="33.07"/>
    <s v="USA"/>
    <s v="Yemen"/>
    <s v="Africa"/>
    <x v="0"/>
  </r>
  <r>
    <s v="Lycello by Ninety Plus"/>
    <n v="95"/>
    <s v="Medium Light"/>
    <n v="54"/>
    <n v="78"/>
    <n v="33.07"/>
    <s v="USA"/>
    <s v="Panama"/>
    <s v="America"/>
    <x v="0"/>
  </r>
  <r>
    <s v="Lotus by Ninety Plus"/>
    <n v="95"/>
    <s v="Medium Light"/>
    <n v="52"/>
    <n v="72"/>
    <n v="63.93"/>
    <s v="USA"/>
    <s v="Panama"/>
    <s v="America"/>
    <x v="0"/>
  </r>
  <r>
    <s v="Karen J Red Bourbon"/>
    <n v="94"/>
    <s v="Medium Light"/>
    <n v="58"/>
    <n v="80"/>
    <n v="20.260000000000002"/>
    <s v="USA"/>
    <s v="USA"/>
    <s v="America"/>
    <x v="0"/>
  </r>
  <r>
    <s v="Kenya Nyeri Gatugi Peaberry"/>
    <n v="94"/>
    <s v="Medium"/>
    <n v="45"/>
    <n v="75"/>
    <n v="5.28"/>
    <s v="USA"/>
    <s v="Kenya"/>
    <s v="Africa"/>
    <x v="0"/>
  </r>
  <r>
    <s v="Kenya Gura AA"/>
    <n v="94"/>
    <s v="Medium Light"/>
    <n v="56"/>
    <n v="78"/>
    <n v="202.82"/>
    <s v="Taiwan"/>
    <s v="Kenya"/>
    <s v="Africa"/>
    <x v="1"/>
  </r>
  <r>
    <s v="Sumatra Tano Batak"/>
    <n v="94"/>
    <s v="Medium Light"/>
    <n v="53"/>
    <n v="77"/>
    <n v="6.17"/>
    <s v="USA"/>
    <s v="Indonesia"/>
    <s v="Asia-Pacific"/>
    <x v="0"/>
  </r>
  <r>
    <s v="Sumatra Tano Batak"/>
    <n v="94"/>
    <s v="Medium Light"/>
    <n v="55"/>
    <n v="77"/>
    <n v="5"/>
    <s v="USA"/>
    <s v="Indonesia"/>
    <s v="Asia-Pacific"/>
    <x v="0"/>
  </r>
  <r>
    <s v="Yemen Port of Mokha Al-Durrar"/>
    <n v="94"/>
    <s v="Medium Light"/>
    <n v="50"/>
    <n v="76"/>
    <n v="26.9"/>
    <s v="USA"/>
    <s v="Yemen"/>
    <s v="Africa"/>
    <x v="0"/>
  </r>
  <r>
    <s v="Finca La Maria Geisha Natural"/>
    <n v="95"/>
    <s v="Medium Light"/>
    <n v="55"/>
    <n v="79"/>
    <n v="22.49"/>
    <s v="USA"/>
    <s v="Colombia"/>
    <s v="America"/>
    <x v="0"/>
  </r>
  <r>
    <s v="Ethiopia Guji Gigessa"/>
    <n v="94"/>
    <s v="Light"/>
    <n v="60"/>
    <n v="84"/>
    <n v="202.82"/>
    <s v="Taiwan"/>
    <s v="Ethiopia"/>
    <s v="Africa"/>
    <x v="1"/>
  </r>
  <r>
    <s v="Granja La Esperanza Sudan Rume Natural"/>
    <n v="95"/>
    <s v="Medium"/>
    <n v="50"/>
    <n v="70"/>
    <n v="16.53"/>
    <s v="USA"/>
    <s v="Colombia"/>
    <s v="America"/>
    <x v="0"/>
  </r>
  <r>
    <s v="Gedeb Espresso"/>
    <n v="94"/>
    <s v="Medium Light"/>
    <n v="51"/>
    <n v="74"/>
    <n v="5.51"/>
    <s v="USA"/>
    <s v="Ethiopia"/>
    <s v="Africa"/>
    <x v="0"/>
  </r>
  <r>
    <s v="Panama Baru Geisha Honey by Joseph"/>
    <n v="94"/>
    <s v="Medium Light"/>
    <n v="56"/>
    <n v="78"/>
    <n v="396.83"/>
    <s v="Taiwan"/>
    <s v="Panama"/>
    <s v="America"/>
    <x v="1"/>
  </r>
  <r>
    <s v="Panama Baru Geisha Natural by Joseph"/>
    <n v="94"/>
    <s v="Medium Light"/>
    <n v="58"/>
    <n v="80"/>
    <n v="418.87"/>
    <s v="Taiwan"/>
    <s v="Panama"/>
    <s v="America"/>
    <x v="1"/>
  </r>
  <r>
    <s v="Burundi Buhorwa"/>
    <n v="94"/>
    <s v="Medium Light"/>
    <n v="54"/>
    <n v="78"/>
    <n v="4.41"/>
    <s v="USA"/>
    <s v="Burundi"/>
    <s v="Africa"/>
    <x v="0"/>
  </r>
  <r>
    <s v="Dodora Double"/>
    <n v="96"/>
    <s v="Light"/>
    <n v="60"/>
    <n v="84"/>
    <n v="8.77"/>
    <s v="USA"/>
    <s v="Ethiopia"/>
    <s v="Africa"/>
    <x v="0"/>
  </r>
  <r>
    <s v="Summer Night Blend Espresso"/>
    <n v="94"/>
    <s v="Medium Light"/>
    <n v="58"/>
    <n v="82"/>
    <n v="110.23"/>
    <s v="Taiwan"/>
    <s v="Ethiopia"/>
    <s v="Africa"/>
    <x v="1"/>
  </r>
  <r>
    <s v="Kenya Kirinyaga"/>
    <n v="94"/>
    <s v="Light"/>
    <n v="65"/>
    <n v="91"/>
    <n v="4.41"/>
    <s v="USA"/>
    <s v="Kenya"/>
    <s v="Africa"/>
    <x v="0"/>
  </r>
  <r>
    <s v="Sumatra Mutu Batak"/>
    <n v="94"/>
    <s v="Medium"/>
    <n v="49"/>
    <n v="71"/>
    <n v="4.3899999999999997"/>
    <s v="USA"/>
    <s v="Indonesia"/>
    <s v="Asia-Pacific"/>
    <x v="0"/>
  </r>
  <r>
    <s v="Three Queens Blend"/>
    <n v="94"/>
    <s v="Medium Light"/>
    <n v="52"/>
    <n v="73"/>
    <n v="4.1100000000000003"/>
    <s v="USA"/>
    <s v="Kenya"/>
    <s v="Africa"/>
    <x v="0"/>
  </r>
  <r>
    <s v="Kiniyota Burundi"/>
    <n v="95"/>
    <s v="Medium Light"/>
    <n v="52"/>
    <n v="78"/>
    <n v="5.17"/>
    <s v="USA"/>
    <s v="Burundi"/>
    <s v="Africa"/>
    <x v="0"/>
  </r>
  <r>
    <s v="Kona MoccaВ®"/>
    <n v="95"/>
    <s v="Medium"/>
    <n v="46"/>
    <n v="62"/>
    <n v="19.82"/>
    <s v="USA"/>
    <s v="USA"/>
    <s v="America"/>
    <x v="0"/>
  </r>
  <r>
    <s v="Ethiopia Suke Quto Honey"/>
    <n v="94"/>
    <s v="Medium Light"/>
    <n v="58"/>
    <n v="82"/>
    <n v="5.28"/>
    <s v="USA"/>
    <s v="Ethiopia"/>
    <s v="Africa"/>
    <x v="0"/>
  </r>
  <r>
    <s v="Ethiopia Biftu Gundina Coop Espresso"/>
    <n v="94"/>
    <s v="Medium Dark"/>
    <n v="42"/>
    <n v="57"/>
    <n v="121.25"/>
    <s v="Taiwan"/>
    <s v="Ethiopia"/>
    <s v="Africa"/>
    <x v="1"/>
  </r>
  <r>
    <s v="Ethiopia Banko Gotiti Natural"/>
    <n v="94"/>
    <s v="Light"/>
    <n v="60"/>
    <n v="88"/>
    <n v="143.30000000000001"/>
    <s v="Taiwan"/>
    <s v="Ethiopia"/>
    <s v="Africa"/>
    <x v="1"/>
  </r>
  <r>
    <s v="Canoe Blend"/>
    <n v="94"/>
    <s v="Medium Light"/>
    <n v="56"/>
    <n v="82"/>
    <n v="4.12"/>
    <s v="USA"/>
    <s v="Indonesia"/>
    <s v="Asia-Pacific"/>
    <x v="0"/>
  </r>
  <r>
    <s v="Guatemala Retiro Natural Process"/>
    <n v="94"/>
    <s v="Medium Light"/>
    <n v="57"/>
    <n v="70"/>
    <n v="4.63"/>
    <s v="USA"/>
    <s v="Guatemala"/>
    <s v="America"/>
    <x v="0"/>
  </r>
  <r>
    <s v="Kenya Gatugi AB"/>
    <n v="94"/>
    <s v="Medium Light"/>
    <n v="53"/>
    <n v="85"/>
    <n v="35"/>
    <s v="Taiwan"/>
    <s v="Kenya"/>
    <s v="Africa"/>
    <x v="1"/>
  </r>
  <r>
    <s v="Gedeb Ethiopia"/>
    <n v="95"/>
    <s v="Medium Light"/>
    <n v="58"/>
    <n v="82"/>
    <n v="5.51"/>
    <s v="USA"/>
    <s v="Ethiopia"/>
    <s v="Africa"/>
    <x v="0"/>
  </r>
  <r>
    <s v="Ethiopia Dry-Processed Guji Mt. Kayon"/>
    <n v="95"/>
    <s v="Medium Light"/>
    <n v="56"/>
    <n v="75"/>
    <n v="35"/>
    <s v="Taiwan"/>
    <s v="Ethiopia"/>
    <s v="Africa"/>
    <x v="1"/>
  </r>
  <r>
    <s v="Ethiopia Banko Gotiti"/>
    <n v="94"/>
    <s v="Light"/>
    <n v="65"/>
    <n v="93"/>
    <n v="4.99"/>
    <s v="USA"/>
    <s v="Ethiopia"/>
    <s v="Africa"/>
    <x v="0"/>
  </r>
  <r>
    <s v="Panama Auromar Estate Geisha Peaberry"/>
    <n v="95"/>
    <s v="Medium Light"/>
    <n v="53"/>
    <n v="81"/>
    <n v="22.49"/>
    <s v="USA"/>
    <s v="Panama"/>
    <s v="America"/>
    <x v="0"/>
  </r>
  <r>
    <s v="Panama Finca Hartmann Geisha Natural"/>
    <n v="95"/>
    <s v="Light"/>
    <n v="60"/>
    <n v="84"/>
    <n v="23.81"/>
    <s v="USA"/>
    <s v="Panama"/>
    <s v="America"/>
    <x v="0"/>
  </r>
  <r>
    <s v="Mini-Me Washed Kaffa Forest"/>
    <n v="95"/>
    <s v="Medium Dark"/>
    <n v="40"/>
    <n v="60"/>
    <n v="286.60000000000002"/>
    <s v="Taiwan"/>
    <s v="Ethiopia"/>
    <s v="Africa"/>
    <x v="1"/>
  </r>
  <r>
    <s v="Jade Espresso"/>
    <n v="94"/>
    <s v="Medium Light"/>
    <n v="56"/>
    <n v="72"/>
    <n v="4.12"/>
    <s v="USA"/>
    <s v="Unknown"/>
    <s v="NULL"/>
    <x v="0"/>
  </r>
  <r>
    <s v="Ulos Batak Sumatra"/>
    <n v="96"/>
    <s v="Medium Light"/>
    <n v="54"/>
    <n v="76"/>
    <n v="5.57"/>
    <s v="USA"/>
    <s v="Indonesia"/>
    <s v="Asia-Pacific"/>
    <x v="0"/>
  </r>
  <r>
    <s v="Blue Label La Esmeralda Porton Pascua Gesha"/>
    <n v="95"/>
    <s v="Medium Light"/>
    <n v="53"/>
    <n v="85"/>
    <n v="26.46"/>
    <s v="USA"/>
    <s v="Panama"/>
    <s v="America"/>
    <x v="0"/>
  </r>
  <r>
    <s v="David Mburu Kenya"/>
    <n v="96"/>
    <s v="Light"/>
    <n v="58"/>
    <n v="84"/>
    <n v="6"/>
    <s v="USA"/>
    <s v="Kenya"/>
    <s v="Africa"/>
    <x v="0"/>
  </r>
  <r>
    <s v="El PeГ±on Nicaragua"/>
    <n v="94"/>
    <s v="Light"/>
    <n v="61"/>
    <n v="93"/>
    <n v="5.28"/>
    <s v="USA"/>
    <s v="Nicaragua"/>
    <s v="America"/>
    <x v="0"/>
  </r>
  <r>
    <s v="Kenya Chorongi Peaberry"/>
    <n v="95"/>
    <s v="Medium Light"/>
    <n v="50"/>
    <n v="76"/>
    <n v="5.88"/>
    <s v="USA"/>
    <s v="Kenya"/>
    <s v="Africa"/>
    <x v="0"/>
  </r>
  <r>
    <s v="Kenya Riakiberu AB"/>
    <n v="95"/>
    <s v="Medium Light"/>
    <n v="55"/>
    <n v="77"/>
    <n v="5.6"/>
    <s v="USA"/>
    <s v="Kenya"/>
    <s v="Africa"/>
    <x v="0"/>
  </r>
  <r>
    <s v="Yule Blend 2018"/>
    <n v="94"/>
    <s v="Medium Light"/>
    <n v="56"/>
    <n v="80"/>
    <n v="4.41"/>
    <s v="USA"/>
    <s v="Kenya"/>
    <s v="Africa"/>
    <x v="0"/>
  </r>
  <r>
    <s v="Kenya Thaitu"/>
    <n v="95"/>
    <s v="Medium Light"/>
    <n v="54"/>
    <n v="78"/>
    <n v="6.47"/>
    <s v="USA"/>
    <s v="Kenya"/>
    <s v="Africa"/>
    <x v="0"/>
  </r>
  <r>
    <s v="Ethiopia Banko Gotiti Natural G1"/>
    <n v="94"/>
    <s v="Light"/>
    <n v="58"/>
    <n v="86"/>
    <n v="263.64"/>
    <s v="Taiwan"/>
    <s v="Ethiopia"/>
    <s v="Africa"/>
    <x v="1"/>
  </r>
  <r>
    <s v="Panama Auromar Geisha Natural"/>
    <n v="96"/>
    <s v="Medium Light"/>
    <n v="56"/>
    <n v="80"/>
    <n v="16.170000000000002"/>
    <s v="USA"/>
    <s v="Panama"/>
    <s v="America"/>
    <x v="0"/>
  </r>
  <r>
    <s v="El Salvador Finca Kilimanjaro"/>
    <n v="95"/>
    <s v="Medium Light"/>
    <n v="56"/>
    <n v="80"/>
    <n v="7.35"/>
    <s v="USA"/>
    <s v="El Salvador"/>
    <s v="America"/>
    <x v="0"/>
  </r>
  <r>
    <s v="Panama Elida Green Tip Gesha Natural"/>
    <n v="94"/>
    <s v="Medium Light"/>
    <n v="53"/>
    <n v="77"/>
    <n v="32.630000000000003"/>
    <s v="USA"/>
    <s v="Panama"/>
    <s v="America"/>
    <x v="0"/>
  </r>
  <r>
    <s v="Gikanda Kenya"/>
    <n v="96"/>
    <s v="Medium Light"/>
    <n v="55"/>
    <n v="76"/>
    <n v="5.66"/>
    <s v="USA"/>
    <s v="Kenya"/>
    <s v="Africa"/>
    <x v="0"/>
  </r>
  <r>
    <s v="Panama Don Julian Pacamara"/>
    <n v="95"/>
    <s v="Medium Light"/>
    <n v="56"/>
    <n v="80"/>
    <n v="11.02"/>
    <s v="USA"/>
    <s v="Panama"/>
    <s v="America"/>
    <x v="0"/>
  </r>
  <r>
    <s v="100% Kona Bourbon Pointu Laurina"/>
    <n v="95"/>
    <s v="Medium Light"/>
    <n v="52"/>
    <n v="76"/>
    <n v="19.82"/>
    <s v="USA"/>
    <s v="USA"/>
    <s v="America"/>
    <x v="0"/>
  </r>
  <r>
    <s v="Kenya AB Muchoki"/>
    <n v="95"/>
    <s v="Medium Light"/>
    <n v="55"/>
    <n v="75"/>
    <n v="5.86"/>
    <s v="USA"/>
    <s v="Kenya"/>
    <s v="Africa"/>
    <x v="0"/>
  </r>
  <r>
    <s v="Geisha Panama Santamaria Natural"/>
    <n v="95"/>
    <s v="Medium Light"/>
    <n v="54"/>
    <n v="78"/>
    <n v="24"/>
    <s v="Australia"/>
    <s v="Panama"/>
    <s v="America"/>
    <x v="1"/>
  </r>
  <r>
    <s v="100% Kona SL-28"/>
    <n v="97"/>
    <s v="Medium Light"/>
    <n v="56"/>
    <n v="78"/>
    <n v="33.049999999999997"/>
    <s v="USA"/>
    <s v="USA"/>
    <s v="America"/>
    <x v="0"/>
  </r>
  <r>
    <s v="Kenya Kirinyaga Mukangu AB"/>
    <n v="95"/>
    <s v="Medium Light"/>
    <n v="54"/>
    <n v="76"/>
    <n v="143.30000000000001"/>
    <s v="Taiwan"/>
    <s v="Kenya"/>
    <s v="Africa"/>
    <x v="1"/>
  </r>
  <r>
    <s v="Ethiopia Washed Yirgacheffe Adado"/>
    <n v="95"/>
    <s v="Medium Light"/>
    <n v="56"/>
    <n v="78"/>
    <n v="121.25"/>
    <s v="Taiwan"/>
    <s v="Ethiopia"/>
    <s v="Africa"/>
    <x v="1"/>
  </r>
  <r>
    <s v="Ace Espresso"/>
    <n v="94"/>
    <s v="Medium Light"/>
    <n v="52"/>
    <n v="74"/>
    <n v="5.29"/>
    <s v="Canada"/>
    <s v="Ethiopia"/>
    <s v="Africa"/>
    <x v="0"/>
  </r>
  <r>
    <s v="Kenya Mutungati"/>
    <n v="94"/>
    <s v="Medium Light"/>
    <n v="54"/>
    <n v="80"/>
    <n v="6.17"/>
    <s v="Canada"/>
    <s v="Kenya"/>
    <s v="Africa"/>
    <x v="0"/>
  </r>
  <r>
    <s v="Ethiopia Gedeb Halo Beriti"/>
    <n v="94"/>
    <s v="Medium"/>
    <n v="48"/>
    <n v="70"/>
    <n v="4.8499999999999996"/>
    <s v="USA"/>
    <s v="Ethiopia"/>
    <s v="Africa"/>
    <x v="0"/>
  </r>
  <r>
    <s v="Ethiopia Sidama"/>
    <n v="94"/>
    <s v="Medium"/>
    <n v="47"/>
    <n v="72"/>
    <n v="5"/>
    <s v="Canada"/>
    <s v="Ethiopia"/>
    <s v="Africa"/>
    <x v="0"/>
  </r>
  <r>
    <s v="Thiriku AA Kenya"/>
    <n v="95"/>
    <s v="Medium"/>
    <n v="47"/>
    <n v="65"/>
    <n v="7.2"/>
    <s v="USA"/>
    <s v="Kenya"/>
    <s v="Africa"/>
    <x v="0"/>
  </r>
  <r>
    <s v="Flora Blend Espresso"/>
    <n v="94"/>
    <s v="Medium Light"/>
    <n v="54"/>
    <n v="77"/>
    <n v="69.599999999999994"/>
    <s v="China"/>
    <s v="Unknown"/>
    <s v="NULL"/>
    <x v="1"/>
  </r>
  <r>
    <s v="вЂњSweetyвЂќ Espresso Blend"/>
    <n v="95"/>
    <s v="Medium Light"/>
    <n v="50"/>
    <n v="73"/>
    <n v="110.13"/>
    <s v="China"/>
    <s v="Ethiopia"/>
    <s v="Africa"/>
    <x v="1"/>
  </r>
  <r>
    <s v="вЂњFruityвЂќ Espresso Blend"/>
    <n v="95"/>
    <s v="Medium Light"/>
    <n v="54"/>
    <n v="78"/>
    <n v="88.11"/>
    <s v="China"/>
    <s v="China"/>
    <s v="Asia-Pacific"/>
    <x v="1"/>
  </r>
  <r>
    <s v="El Aquila Pacamara Espresso"/>
    <n v="94"/>
    <s v="Medium Light"/>
    <n v="54"/>
    <n v="75"/>
    <n v="5.26"/>
    <s v="USA"/>
    <s v="El Salvador"/>
    <s v="America"/>
    <x v="0"/>
  </r>
  <r>
    <s v="Guatemala Finca El Injerto Gesha"/>
    <n v="94"/>
    <s v="Medium Light"/>
    <n v="56"/>
    <n v="82"/>
    <n v="22.49"/>
    <s v="USA"/>
    <s v="Guatemala"/>
    <s v="America"/>
    <x v="0"/>
  </r>
  <r>
    <s v="Kenya Gatomboya AA"/>
    <n v="94"/>
    <s v="Medium Light"/>
    <n v="56"/>
    <n v="76"/>
    <n v="5.29"/>
    <s v="USA"/>
    <s v="Kenya"/>
    <s v="Africa"/>
    <x v="0"/>
  </r>
  <r>
    <s v="Flight Seasonal Espresso"/>
    <n v="95"/>
    <s v="Medium Light"/>
    <n v="56"/>
    <n v="80"/>
    <n v="4.8499999999999996"/>
    <s v="USA"/>
    <s v="Kenya"/>
    <s v="Africa"/>
    <x v="0"/>
  </r>
  <r>
    <s v="A.G.E. Duetto Espresso"/>
    <n v="95"/>
    <s v="Medium Light"/>
    <n v="56"/>
    <n v="76"/>
    <n v="11.46"/>
    <s v="Taiwan"/>
    <s v="Ethiopia"/>
    <s v="Africa"/>
    <x v="1"/>
  </r>
  <r>
    <s v="Kenya Nyeri Hill Farm"/>
    <n v="94"/>
    <s v="Medium Light"/>
    <n v="55"/>
    <n v="79"/>
    <n v="5.29"/>
    <s v="USA"/>
    <s v="Kenya"/>
    <s v="Africa"/>
    <x v="0"/>
  </r>
  <r>
    <s v="Jinotega Geisha"/>
    <n v="94"/>
    <s v="Medium Light"/>
    <n v="53"/>
    <n v="78"/>
    <n v="5.57"/>
    <s v="USA"/>
    <s v="Nicaragua"/>
    <s v="America"/>
    <x v="0"/>
  </r>
  <r>
    <s v="Nicaragua Un Regalo de Dios Bourbon"/>
    <n v="94"/>
    <s v="Medium Light"/>
    <n v="56"/>
    <n v="81"/>
    <n v="4.99"/>
    <s v="USA"/>
    <s v="Nicaragua"/>
    <s v="America"/>
    <x v="0"/>
  </r>
  <r>
    <s v="Gedeb Lot 83 Ethiopia Natural"/>
    <n v="95"/>
    <s v="Medium Light"/>
    <n v="58"/>
    <n v="82"/>
    <n v="5.57"/>
    <s v="USA"/>
    <s v="Ethiopia"/>
    <s v="Africa"/>
    <x v="0"/>
  </r>
  <r>
    <s v="Halo Beriti Ethiopia"/>
    <n v="94"/>
    <s v="Medium Light"/>
    <n v="53"/>
    <n v="77"/>
    <n v="5.26"/>
    <s v="USA"/>
    <s v="Ethiopia"/>
    <s v="Africa"/>
    <x v="0"/>
  </r>
  <r>
    <s v="Ethiopia Konga Sede"/>
    <n v="94"/>
    <s v="Medium Light"/>
    <n v="60"/>
    <n v="78"/>
    <n v="4.8499999999999996"/>
    <s v="USA"/>
    <s v="Ethiopia"/>
    <s v="Africa"/>
    <x v="0"/>
  </r>
  <r>
    <s v="Static Amaro Gayo Natural Ethiopia"/>
    <n v="95"/>
    <s v="Medium"/>
    <n v="45"/>
    <n v="61"/>
    <n v="5"/>
    <s v="USA"/>
    <s v="Ethiopia"/>
    <s v="Africa"/>
    <x v="0"/>
  </r>
  <r>
    <s v="Static Cali Classic Espresso"/>
    <n v="94"/>
    <s v="Medium Light"/>
    <n v="54"/>
    <n v="68"/>
    <n v="4.3899999999999997"/>
    <s v="USA"/>
    <s v="Colombia"/>
    <s v="America"/>
    <x v="0"/>
  </r>
  <r>
    <s v="Shine Day El Salvador"/>
    <n v="94"/>
    <s v="Light"/>
    <n v="61"/>
    <n v="84"/>
    <n v="217.78"/>
    <s v="Taiwan"/>
    <s v="El Salvador"/>
    <s v="America"/>
    <x v="1"/>
  </r>
  <r>
    <s v="Kenya Kirinyaga Baragwi Guama AB"/>
    <n v="95"/>
    <s v="Medium Light"/>
    <n v="59"/>
    <n v="77"/>
    <n v="132.28"/>
    <s v="Taiwan"/>
    <s v="Kenya"/>
    <s v="Africa"/>
    <x v="1"/>
  </r>
  <r>
    <s v="Guatemala Finca El General Espresso"/>
    <n v="94"/>
    <s v="Medium Light"/>
    <n v="56"/>
    <n v="76"/>
    <n v="121.25"/>
    <s v="Taiwan"/>
    <s v="Guatemala"/>
    <s v="America"/>
    <x v="1"/>
  </r>
  <r>
    <s v="Ethiopia Guji Zone Natural"/>
    <n v="94"/>
    <s v="Light"/>
    <n v="60"/>
    <n v="82"/>
    <n v="6.5"/>
    <s v="South Korea"/>
    <s v="Ethiopia"/>
    <s v="Africa"/>
    <x v="1"/>
  </r>
  <r>
    <s v="Kenya Boma AA"/>
    <n v="94"/>
    <s v="Medium Light"/>
    <n v="53"/>
    <n v="76"/>
    <n v="4.7"/>
    <s v="USA"/>
    <s v="Kenya"/>
    <s v="Africa"/>
    <x v="0"/>
  </r>
  <r>
    <s v="Colombia Finca Campoalegre"/>
    <n v="94"/>
    <s v="Medium Light"/>
    <n v="55"/>
    <n v="77"/>
    <n v="3.81"/>
    <s v="USA"/>
    <s v="Colombia"/>
    <s v="America"/>
    <x v="0"/>
  </r>
  <r>
    <s v="Kenya Boma Peaberry"/>
    <n v="94"/>
    <s v="Medium Light"/>
    <n v="54"/>
    <n v="76"/>
    <n v="4.99"/>
    <s v="USA"/>
    <s v="Kenya"/>
    <s v="Africa"/>
    <x v="0"/>
  </r>
  <r>
    <s v="Panama Geisha"/>
    <n v="94"/>
    <s v="Medium Dark"/>
    <n v="34"/>
    <n v="52"/>
    <n v="8.82"/>
    <s v="USA"/>
    <s v="Panama"/>
    <s v="America"/>
    <x v="0"/>
  </r>
  <r>
    <s v="Esmeralda Special Auction Washed Geisha"/>
    <n v="94"/>
    <s v="Medium Light"/>
    <n v="54"/>
    <n v="78"/>
    <n v="22.05"/>
    <s v="USA"/>
    <s v="Panama"/>
    <s v="America"/>
    <x v="0"/>
  </r>
  <r>
    <s v="Gesha Village 1931, Lot 86"/>
    <n v="95"/>
    <s v="Medium Light"/>
    <n v="54"/>
    <n v="78"/>
    <n v="33.07"/>
    <s v="USA"/>
    <s v="Ethiopia"/>
    <s v="Africa"/>
    <x v="0"/>
  </r>
  <r>
    <s v="Gesha Village Natural Oma Block Lot 72"/>
    <n v="95"/>
    <s v="Medium Light"/>
    <n v="56"/>
    <n v="77"/>
    <n v="705.48"/>
    <s v="Taiwan"/>
    <s v="Ethiopia"/>
    <s v="Africa"/>
    <x v="1"/>
  </r>
  <r>
    <s v="Gesha Village Lot 76 Nasha Block"/>
    <n v="95"/>
    <s v="Light"/>
    <n v="64"/>
    <n v="86"/>
    <n v="32.630000000000003"/>
    <s v="Taiwan"/>
    <s v="Ethiopia"/>
    <s v="Africa"/>
    <x v="1"/>
  </r>
  <r>
    <s v="Gesha Village Auction Lot 26 Gori Gesha Natural"/>
    <n v="95"/>
    <s v="Medium Light"/>
    <n v="54"/>
    <n v="74"/>
    <n v="30"/>
    <s v="Canada"/>
    <s v="Ethiopia"/>
    <s v="Africa"/>
    <x v="0"/>
  </r>
  <r>
    <s v="Carmen Geisha El Palomar Best of Panama #4 Carlos Aguilera"/>
    <n v="96"/>
    <s v="Medium Light"/>
    <n v="54"/>
    <n v="78"/>
    <n v="22.05"/>
    <s v="USA"/>
    <s v="Panama"/>
    <s v="America"/>
    <x v="0"/>
  </r>
  <r>
    <s v="Karuthi Espresso"/>
    <n v="95"/>
    <s v="Medium Light"/>
    <n v="53"/>
    <n v="77"/>
    <n v="5.57"/>
    <s v="USA"/>
    <s v="Kenya"/>
    <s v="Africa"/>
    <x v="0"/>
  </r>
  <r>
    <s v="Chelelektu Espresso"/>
    <n v="94"/>
    <s v="Medium Light"/>
    <n v="51"/>
    <n v="73"/>
    <n v="5.07"/>
    <s v="USA"/>
    <s v="Ethiopia"/>
    <s v="Africa"/>
    <x v="0"/>
  </r>
  <r>
    <s v="Karuthi Kenya"/>
    <n v="95"/>
    <s v="Medium Light"/>
    <n v="53"/>
    <n v="76"/>
    <n v="5.57"/>
    <s v="USA"/>
    <s v="Kenya"/>
    <s v="Africa"/>
    <x v="0"/>
  </r>
  <r>
    <s v="Finca El Obraje Colombia Gesha"/>
    <n v="95"/>
    <s v="Medium"/>
    <n v="46"/>
    <n v="64"/>
    <n v="17.61"/>
    <s v="USA"/>
    <s v="Colombia"/>
    <s v="America"/>
    <x v="0"/>
  </r>
  <r>
    <s v="Kenya AA Top Nyeri Tekangu Tegu Microlot"/>
    <n v="94"/>
    <s v="Medium Dark"/>
    <n v="41"/>
    <n v="49"/>
    <n v="9.5"/>
    <s v="South Korea"/>
    <s v="Kenya"/>
    <s v="Africa"/>
    <x v="1"/>
  </r>
  <r>
    <s v="Washed Ethiopia Yirgacheffe Banko Gotiti"/>
    <n v="95"/>
    <s v="Medium Light"/>
    <n v="58"/>
    <n v="82"/>
    <n v="242.5"/>
    <s v="Taiwan"/>
    <s v="Ethiopia"/>
    <s v="Africa"/>
    <x v="1"/>
  </r>
  <r>
    <s v="Sumatra Danau Toba"/>
    <n v="94"/>
    <s v="Medium Light"/>
    <n v="55"/>
    <n v="77"/>
    <n v="4.9800000000000004"/>
    <s v="USA"/>
    <s v="Indonesia"/>
    <s v="Asia-Pacific"/>
    <x v="0"/>
  </r>
  <r>
    <s v="Kapsakiso Kenya"/>
    <n v="94"/>
    <s v="Light"/>
    <n v="60"/>
    <n v="84"/>
    <n v="5.57"/>
    <s v="USA"/>
    <s v="Kenya"/>
    <s v="Africa"/>
    <x v="0"/>
  </r>
  <r>
    <s v="Ethiopia Washed Kayon Mountain"/>
    <n v="95"/>
    <s v="Medium Light"/>
    <n v="58"/>
    <n v="80"/>
    <n v="121.25"/>
    <s v="Taiwan"/>
    <s v="Ethiopia"/>
    <s v="Africa"/>
    <x v="1"/>
  </r>
  <r>
    <s v="Ninety Plus Gesha Estates Limited Batch #227"/>
    <n v="97"/>
    <s v="Light"/>
    <n v="67"/>
    <n v="97"/>
    <n v="60.41"/>
    <s v="USA"/>
    <s v="Panama"/>
    <s v="America"/>
    <x v="0"/>
  </r>
  <r>
    <s v="Tano Batak Sumatra"/>
    <n v="95"/>
    <s v="Medium Light"/>
    <n v="54"/>
    <n v="80"/>
    <n v="4.8499999999999996"/>
    <s v="USA"/>
    <s v="Indonesia"/>
    <s v="Asia-Pacific"/>
    <x v="0"/>
  </r>
  <r>
    <s v="Makwa Kenya AB"/>
    <n v="94"/>
    <s v="Light"/>
    <n v="62"/>
    <n v="84"/>
    <n v="4.12"/>
    <s v="USA"/>
    <s v="Kenya"/>
    <s v="Africa"/>
    <x v="0"/>
  </r>
  <r>
    <s v="Finca El Guamo Colombia"/>
    <n v="94"/>
    <s v="Medium Light"/>
    <n v="54"/>
    <n v="75"/>
    <n v="4.7"/>
    <s v="USA"/>
    <s v="Colombia"/>
    <s v="America"/>
    <x v="0"/>
  </r>
  <r>
    <s v="Kenya Ndaroini AA"/>
    <n v="94"/>
    <s v="Medium Light"/>
    <n v="54"/>
    <n v="76"/>
    <n v="5.88"/>
    <s v="USA"/>
    <s v="Kenya"/>
    <s v="Africa"/>
    <x v="0"/>
  </r>
  <r>
    <s v="El Salvador Finca Kilimanjaro Natural"/>
    <n v="94"/>
    <s v="Medium Light"/>
    <n v="54"/>
    <n v="78"/>
    <n v="10.29"/>
    <s v="USA"/>
    <s v="El Salvador"/>
    <s v="America"/>
    <x v="0"/>
  </r>
  <r>
    <s v="Kamagogo Kenya"/>
    <n v="96"/>
    <s v="Medium Light"/>
    <n v="53"/>
    <n v="76"/>
    <n v="6.14"/>
    <s v="USA"/>
    <s v="Kenya"/>
    <s v="Africa"/>
    <x v="0"/>
  </r>
  <r>
    <s v="Twisted 4.0 Espresso"/>
    <n v="94"/>
    <s v="Medium Light"/>
    <n v="53"/>
    <n v="75"/>
    <n v="4.63"/>
    <s v="USA"/>
    <s v="Unknown"/>
    <s v="NULL"/>
    <x v="0"/>
  </r>
  <r>
    <s v="El Salvador Finca Kilimanjaro Cascara Fermentation Aida Batlle"/>
    <n v="95"/>
    <s v="Medium"/>
    <n v="50"/>
    <n v="71"/>
    <n v="10.29"/>
    <s v="USA"/>
    <s v="El Salvador"/>
    <s v="America"/>
    <x v="0"/>
  </r>
  <r>
    <s v="Puna Natural"/>
    <n v="94"/>
    <s v="Medium Light"/>
    <n v="54"/>
    <n v="74"/>
    <n v="10.23"/>
    <s v="USA"/>
    <s v="USA"/>
    <s v="America"/>
    <x v="0"/>
  </r>
  <r>
    <s v="Colombia La Palma Y El Tucan Gesha"/>
    <n v="94"/>
    <s v="Light"/>
    <n v="62"/>
    <n v="84"/>
    <n v="58.24"/>
    <s v="USA"/>
    <s v="Colombia"/>
    <s v="America"/>
    <x v="0"/>
  </r>
  <r>
    <s v="Bourbon Peaberry"/>
    <n v="94"/>
    <s v="Medium Light"/>
    <n v="54"/>
    <n v="80"/>
    <n v="22.02"/>
    <s v="USA"/>
    <s v="USA"/>
    <s v="America"/>
    <x v="0"/>
  </r>
  <r>
    <s v="Sumatra Boru Batak"/>
    <n v="94"/>
    <s v="Medium Light"/>
    <n v="54"/>
    <n v="80"/>
    <n v="4.41"/>
    <s v="Canada"/>
    <s v="Indonesia"/>
    <s v="Asia-Pacific"/>
    <x v="0"/>
  </r>
  <r>
    <s v="Gesha Village Estate Bench Maji Gesha G1"/>
    <n v="95"/>
    <s v="Medium Light"/>
    <n v="55"/>
    <n v="78"/>
    <n v="15.43"/>
    <s v="USA"/>
    <s v="Ethiopia"/>
    <s v="Africa"/>
    <x v="0"/>
  </r>
  <r>
    <s v="Bourbon-Barrel-Aged Kenya Baragu"/>
    <n v="94"/>
    <s v="Medium Light"/>
    <n v="55"/>
    <n v="76"/>
    <n v="8.82"/>
    <s v="USA"/>
    <s v="Kenya"/>
    <s v="Africa"/>
    <x v="0"/>
  </r>
  <r>
    <s v="Aged Sumatra Ulos Batak Peaberry"/>
    <n v="94"/>
    <s v="Medium Light"/>
    <n v="53"/>
    <n v="73"/>
    <n v="5.29"/>
    <s v="USA"/>
    <s v="Indonesia"/>
    <s v="Asia-Pacific"/>
    <x v="0"/>
  </r>
  <r>
    <s v="Colombia La Palma and El Tucan Espresso"/>
    <n v="94"/>
    <s v="Medium Light"/>
    <n v="51"/>
    <n v="72"/>
    <n v="110.23"/>
    <s v="Taiwan"/>
    <s v="Colombia"/>
    <s v="America"/>
    <x v="1"/>
  </r>
  <r>
    <s v="Flight Seasonal Espresso"/>
    <n v="94"/>
    <s v="Medium Light"/>
    <n v="56"/>
    <n v="80"/>
    <n v="4.26"/>
    <s v="USA"/>
    <s v="Ethiopia"/>
    <s v="Africa"/>
    <x v="0"/>
  </r>
  <r>
    <s v="Kenya Kabare AA"/>
    <n v="96"/>
    <s v="Medium Light"/>
    <n v="56"/>
    <n v="77"/>
    <n v="4.26"/>
    <s v="USA"/>
    <s v="Kenya"/>
    <s v="Africa"/>
    <x v="0"/>
  </r>
  <r>
    <s v="Gesha, Gesha Village 1931"/>
    <n v="94"/>
    <s v="Medium Light"/>
    <n v="56"/>
    <n v="77"/>
    <n v="38.799999999999997"/>
    <s v="USA"/>
    <s v="Ethiopia"/>
    <s v="Africa"/>
    <x v="0"/>
  </r>
  <r>
    <s v="Aricha Yirgacheffe Ethiopia"/>
    <n v="94"/>
    <s v="Medium Light"/>
    <n v="58"/>
    <n v="82"/>
    <n v="5.86"/>
    <s v="USA"/>
    <s v="Ethiopia"/>
    <s v="Africa"/>
    <x v="0"/>
  </r>
  <r>
    <s v="Guatemala Finca Cappuccino вЂњEcho-LotвЂќ Espresso"/>
    <n v="95"/>
    <s v="Medium Light"/>
    <n v="50"/>
    <n v="74"/>
    <n v="99.21"/>
    <s v="Taiwan"/>
    <s v="Guatemala"/>
    <s v="America"/>
    <x v="1"/>
  </r>
  <r>
    <s v="Ethiopia Guji Shakiso Danbi Uddo"/>
    <n v="94"/>
    <s v="Medium Light"/>
    <n v="56"/>
    <n v="76"/>
    <n v="5.29"/>
    <s v="USA"/>
    <s v="Ethiopia"/>
    <s v="Africa"/>
    <x v="0"/>
  </r>
  <r>
    <s v="Kenya AA Gura Auction Lot"/>
    <n v="94"/>
    <s v="Medium Light"/>
    <n v="56"/>
    <n v="76"/>
    <n v="4.5"/>
    <s v="USA"/>
    <s v="Kenya"/>
    <s v="Africa"/>
    <x v="0"/>
  </r>
  <r>
    <s v="100% Kona Bourbon Pointu Laurina"/>
    <n v="96"/>
    <s v="Medium Light"/>
    <n v="56"/>
    <n v="76"/>
    <n v="22.02"/>
    <s v="USA"/>
    <s v="USA"/>
    <s v="America"/>
    <x v="0"/>
  </r>
  <r>
    <s v="Yirgacheffe G1 Idido"/>
    <n v="95"/>
    <s v="Medium Light"/>
    <n v="56"/>
    <n v="76"/>
    <n v="335.1"/>
    <s v="Taiwan"/>
    <s v="Ethiopia"/>
    <s v="Africa"/>
    <x v="1"/>
  </r>
  <r>
    <s v="Yemen Port of Mokha Hayma Microlot"/>
    <n v="97"/>
    <s v="Medium"/>
    <n v="47"/>
    <n v="68"/>
    <n v="37.479999999999997"/>
    <s v="USA"/>
    <s v="Yemen"/>
    <s v="Africa"/>
    <x v="0"/>
  </r>
  <r>
    <s v="Edgar Motta Colombia Pink Bourbon"/>
    <n v="94"/>
    <s v="Medium Light"/>
    <n v="59"/>
    <n v="78"/>
    <n v="5.59"/>
    <s v="USA"/>
    <s v="Colombia"/>
    <s v="America"/>
    <x v="0"/>
  </r>
  <r>
    <s v="Papua New Guinea PB Kimel Estate"/>
    <n v="94"/>
    <s v="Medium Light"/>
    <n v="56"/>
    <n v="70"/>
    <n v="3.86"/>
    <s v="USA"/>
    <s v="Papua New Guinea"/>
    <s v="Asia-Pacific"/>
    <x v="0"/>
  </r>
  <r>
    <s v="Panama La Esmeralda Noria Enero Geisha"/>
    <n v="95"/>
    <s v="Medium Light"/>
    <n v="57"/>
    <n v="83"/>
    <n v="33.51"/>
    <s v="USA"/>
    <s v="Panama"/>
    <s v="America"/>
    <x v="0"/>
  </r>
  <r>
    <s v="Rwanda Bufcafe"/>
    <n v="95"/>
    <s v="Medium Light"/>
    <n v="54"/>
    <n v="78"/>
    <n v="5.07"/>
    <s v="USA"/>
    <s v="Rwanda"/>
    <s v="Africa"/>
    <x v="0"/>
  </r>
  <r>
    <s v="Ethiopia Queen Sheba Natural Yirgacheffe Phoenix Special"/>
    <n v="94"/>
    <s v="Medium Light"/>
    <n v="54"/>
    <n v="76"/>
    <n v="330.7"/>
    <s v="Taiwan"/>
    <s v="Ethiopia"/>
    <s v="Africa"/>
    <x v="1"/>
  </r>
  <r>
    <s v="Ulos Batak Sumatra Peaberry"/>
    <n v="97"/>
    <s v="Medium Light"/>
    <n v="57"/>
    <n v="76"/>
    <n v="5.47"/>
    <s v="USA"/>
    <s v="Indonesia"/>
    <s v="Asia-Pacific"/>
    <x v="0"/>
  </r>
  <r>
    <s v="Bernachon High-Level Espresso"/>
    <n v="94"/>
    <s v="Medium"/>
    <n v="50"/>
    <n v="64"/>
    <n v="22.03"/>
    <s v="Taiwan"/>
    <s v="Ethiopia"/>
    <s v="Africa"/>
    <x v="1"/>
  </r>
  <r>
    <s v="Mora Negra Geisha Hartmann Farm"/>
    <n v="95"/>
    <s v="Medium Light"/>
    <n v="56"/>
    <n v="78"/>
    <n v="12.79"/>
    <s v="USA"/>
    <s v="Panama"/>
    <s v="America"/>
    <x v="0"/>
  </r>
  <r>
    <s v="Gori Gesha Forest"/>
    <n v="95"/>
    <s v="Medium Light"/>
    <n v="54"/>
    <n v="74"/>
    <n v="15.43"/>
    <s v="USA"/>
    <s v="Ethiopia"/>
    <s v="Africa"/>
    <x v="0"/>
  </r>
  <r>
    <s v="Ethiopia Natural Hambela Buku"/>
    <n v="94"/>
    <s v="Medium Light"/>
    <n v="58"/>
    <n v="78"/>
    <n v="4.1900000000000004"/>
    <s v="Taiwan"/>
    <s v="Ethiopia"/>
    <s v="Africa"/>
    <x v="1"/>
  </r>
  <r>
    <s v="Panama Camilina Natural Geisha"/>
    <n v="94"/>
    <s v="Medium Light"/>
    <n v="58"/>
    <n v="78"/>
    <n v="22.02"/>
    <s v="USA"/>
    <s v="Panama"/>
    <s v="America"/>
    <x v="0"/>
  </r>
  <r>
    <s v="Kenya Nyeri Thageini Peaberry"/>
    <n v="94"/>
    <s v="Medium Light"/>
    <n v="52"/>
    <n v="71"/>
    <n v="5.73"/>
    <s v="USA"/>
    <s v="Kenya"/>
    <s v="Africa"/>
    <x v="0"/>
  </r>
  <r>
    <s v="Hawaii Kilauea Volcano Nano-Lot"/>
    <n v="96"/>
    <s v="Medium Light"/>
    <n v="59"/>
    <n v="82"/>
    <n v="21.16"/>
    <s v="USA"/>
    <s v="USA"/>
    <s v="America"/>
    <x v="0"/>
  </r>
  <r>
    <s v="Ethiopia Charbanta Natural"/>
    <n v="95"/>
    <s v="Medium Light"/>
    <n v="60"/>
    <n v="80"/>
    <n v="5.29"/>
    <s v="USA"/>
    <s v="Ethiopia"/>
    <s v="Africa"/>
    <x v="0"/>
  </r>
  <r>
    <s v="Panama Don Julian Pacamara"/>
    <n v="95"/>
    <s v="Light"/>
    <n v="65"/>
    <n v="82"/>
    <n v="11.02"/>
    <s v="USA"/>
    <s v="Panama"/>
    <s v="America"/>
    <x v="0"/>
  </r>
  <r>
    <s v="Esmeralda Noria Natural"/>
    <n v="95"/>
    <s v="Medium Light"/>
    <n v="58"/>
    <n v="78"/>
    <n v="20.94"/>
    <s v="USA"/>
    <s v="Panama"/>
    <s v="America"/>
    <x v="0"/>
  </r>
  <r>
    <s v="Miami Winter Holiday Blend"/>
    <n v="94"/>
    <s v="Light"/>
    <n v="62"/>
    <n v="84"/>
    <n v="8.82"/>
    <s v="USA"/>
    <s v="Kenya"/>
    <s v="Africa"/>
    <x v="0"/>
  </r>
  <r>
    <s v="Duncan Estate Panamanian Gesha"/>
    <n v="94"/>
    <s v="Light"/>
    <n v="66"/>
    <n v="82"/>
    <n v="14.11"/>
    <s v="USA"/>
    <s v="Panama"/>
    <s v="America"/>
    <x v="0"/>
  </r>
  <r>
    <s v="The Jungle"/>
    <n v="94"/>
    <s v="Medium Dark"/>
    <n v="43"/>
    <n v="52"/>
    <n v="220.46"/>
    <s v="Taiwan"/>
    <s v="Mexico"/>
    <s v="America"/>
    <x v="1"/>
  </r>
  <r>
    <s v="Ethiopia Yirgacheffe"/>
    <n v="94"/>
    <s v="Light"/>
    <n v="63"/>
    <n v="84"/>
    <n v="6.8"/>
    <s v="USA"/>
    <s v="Ethiopia"/>
    <s v="Africa"/>
    <x v="0"/>
  </r>
  <r>
    <s v="Ethiopia Washed Yirgacheffe вЂњParadiseвЂќ Espresso"/>
    <n v="95"/>
    <s v="Medium"/>
    <n v="47"/>
    <n v="70"/>
    <n v="308.64999999999998"/>
    <s v="Taiwan"/>
    <s v="Ethiopia"/>
    <s v="Africa"/>
    <x v="1"/>
  </r>
  <r>
    <s v="Kenya Lenana"/>
    <n v="94"/>
    <s v="Medium"/>
    <n v="52"/>
    <n v="64"/>
    <n v="4.78"/>
    <s v="USA"/>
    <s v="Kenya"/>
    <s v="Africa"/>
    <x v="0"/>
  </r>
  <r>
    <s v="вЂњMini-MeвЂќ Washed Yirgacheffe"/>
    <n v="95"/>
    <s v="Medium Light"/>
    <n v="52"/>
    <n v="74"/>
    <n v="286.60000000000002"/>
    <s v="Taiwan"/>
    <s v="Ethiopia"/>
    <s v="Africa"/>
    <x v="1"/>
  </r>
  <r>
    <s v="Kenya Guama Peaberry"/>
    <n v="97"/>
    <s v="Medium Light"/>
    <n v="56"/>
    <n v="78"/>
    <n v="7.05"/>
    <s v="USA"/>
    <s v="Kenya"/>
    <s v="Africa"/>
    <x v="0"/>
  </r>
  <r>
    <s v="Sumatra Tano Batak"/>
    <n v="95"/>
    <s v="Medium Light"/>
    <n v="55"/>
    <n v="77"/>
    <n v="6.17"/>
    <s v="USA"/>
    <s v="Indonesia"/>
    <s v="Asia-Pacific"/>
    <x v="0"/>
  </r>
  <r>
    <s v="Los Congos Pacamara Natural"/>
    <n v="94"/>
    <s v="Medium Light"/>
    <n v="60"/>
    <n v="76"/>
    <n v="5.88"/>
    <s v="USA"/>
    <s v="Nicaragua"/>
    <s v="America"/>
    <x v="0"/>
  </r>
  <r>
    <s v="Kibugu Kenya"/>
    <n v="94"/>
    <s v="Medium Light"/>
    <n v="60"/>
    <n v="78"/>
    <n v="5.28"/>
    <s v="USA"/>
    <s v="Kenya"/>
    <s v="Africa"/>
    <x v="0"/>
  </r>
  <r>
    <s v="Granja La Esperanza Colombia"/>
    <n v="94"/>
    <s v="Medium Light"/>
    <n v="56"/>
    <n v="78"/>
    <n v="7.05"/>
    <s v="USA"/>
    <s v="Colombia"/>
    <s v="America"/>
    <x v="0"/>
  </r>
  <r>
    <s v="Mokka"/>
    <n v="95"/>
    <s v="Medium Light"/>
    <n v="54"/>
    <n v="76"/>
    <n v="17.61"/>
    <s v="USA"/>
    <s v="USA"/>
    <s v="America"/>
    <x v="0"/>
  </r>
  <r>
    <s v="Kenya Gathugu"/>
    <n v="95"/>
    <s v="Medium Light"/>
    <n v="60"/>
    <n v="80"/>
    <n v="5.28"/>
    <s v="USA"/>
    <s v="Kenya"/>
    <s v="Africa"/>
    <x v="0"/>
  </r>
  <r>
    <s v="Pacamara Finca Los Planes El Salvador"/>
    <n v="94"/>
    <s v="Medium Light"/>
    <n v="55"/>
    <n v="78"/>
    <n v="5.73"/>
    <s v="USA"/>
    <s v="El Salvador"/>
    <s v="America"/>
    <x v="0"/>
  </r>
  <r>
    <s v="Kenya Karindundu"/>
    <n v="95"/>
    <s v="Medium Light"/>
    <n v="56"/>
    <n v="78"/>
    <n v="5.29"/>
    <s v="USA"/>
    <s v="Kenya"/>
    <s v="Africa"/>
    <x v="0"/>
  </r>
  <r>
    <s v="Panama Finca Las Brujas Geisha Natural"/>
    <n v="96"/>
    <s v="Medium Light"/>
    <n v="57"/>
    <n v="80"/>
    <n v="22.05"/>
    <s v="USA"/>
    <s v="Panama"/>
    <s v="America"/>
    <x v="0"/>
  </r>
  <r>
    <s v="P.r.o. Coffee Ethiopia Yirgacheffe"/>
    <n v="95"/>
    <s v="Medium Light"/>
    <n v="56"/>
    <n v="78"/>
    <n v="52.86"/>
    <s v="China"/>
    <s v="Ethiopia"/>
    <s v="Africa"/>
    <x v="1"/>
  </r>
  <r>
    <s v="Gichichi Peaberry Kenya"/>
    <n v="94"/>
    <s v="Medium Light"/>
    <n v="57"/>
    <n v="77"/>
    <n v="4.7"/>
    <s v="USA"/>
    <s v="Kenya"/>
    <s v="Africa"/>
    <x v="0"/>
  </r>
  <r>
    <s v="Blade Runner Blend"/>
    <n v="95"/>
    <s v="Medium Light"/>
    <n v="56"/>
    <n v="82"/>
    <n v="6.4"/>
    <s v="Australia"/>
    <s v="Brazil"/>
    <s v="America"/>
    <x v="1"/>
  </r>
  <r>
    <s v="LauraвЂ™s Reserve SL-28"/>
    <n v="96"/>
    <s v="Medium Light"/>
    <n v="56"/>
    <n v="82"/>
    <n v="19.82"/>
    <s v="USA"/>
    <s v="USA"/>
    <s v="America"/>
    <x v="0"/>
  </r>
  <r>
    <s v="Panama Finca Mama Cata Microlot Tona"/>
    <n v="94"/>
    <s v="Light"/>
    <n v="58"/>
    <n v="84"/>
    <n v="6.61"/>
    <s v="USA"/>
    <s v="Panama"/>
    <s v="America"/>
    <x v="0"/>
  </r>
  <r>
    <s v="Mr. David Mburu Kenya"/>
    <n v="96"/>
    <s v="Medium Light"/>
    <n v="56"/>
    <n v="78"/>
    <n v="6"/>
    <s v="USA"/>
    <s v="Kenya"/>
    <s v="Africa"/>
    <x v="0"/>
  </r>
  <r>
    <s v="Meaza Ethiopia"/>
    <n v="95"/>
    <s v="Medium Light"/>
    <n v="54"/>
    <n v="74"/>
    <n v="6"/>
    <s v="USA"/>
    <s v="Ethiopia"/>
    <s v="Africa"/>
    <x v="0"/>
  </r>
  <r>
    <s v="Costa Rica Finca Chispirta"/>
    <n v="94"/>
    <s v="Medium Light"/>
    <n v="54"/>
    <n v="68"/>
    <n v="11.02"/>
    <s v="USA"/>
    <s v="Costa Rica"/>
    <s v="America"/>
    <x v="0"/>
  </r>
  <r>
    <s v="Las Lajas Perla Negra Natural"/>
    <n v="94"/>
    <s v="Medium Light"/>
    <n v="52"/>
    <n v="70"/>
    <n v="6.47"/>
    <s v="USA"/>
    <s v="Costa Rica"/>
    <s v="America"/>
    <x v="0"/>
  </r>
  <r>
    <s v="Ninety Plus Silvia Solkiln N2"/>
    <n v="96"/>
    <s v="Medium"/>
    <n v="45"/>
    <n v="58"/>
    <n v="1152.42"/>
    <s v="Taiwan"/>
    <s v="Panama"/>
    <s v="America"/>
    <x v="1"/>
  </r>
  <r>
    <s v="P.R.O. Special Blended Coffee"/>
    <n v="94"/>
    <s v="Medium Dark"/>
    <n v="44"/>
    <n v="54"/>
    <n v="509.25"/>
    <s v="Taiwan"/>
    <s v="Costa Rica"/>
    <s v="America"/>
    <x v="1"/>
  </r>
  <r>
    <s v="Ethiopia Natural Yirgacheffe Gedeb G1 Lot 118"/>
    <n v="94"/>
    <s v="Medium Light"/>
    <n v="58"/>
    <n v="80"/>
    <n v="4.63"/>
    <s v="Taiwan"/>
    <s v="Ethiopia"/>
    <s v="Africa"/>
    <x v="1"/>
  </r>
  <r>
    <s v="Kenya Karatu"/>
    <n v="94"/>
    <s v="Medium Light"/>
    <n v="57"/>
    <n v="78"/>
    <n v="5.29"/>
    <s v="USA"/>
    <s v="Kenya"/>
    <s v="Africa"/>
    <x v="0"/>
  </r>
  <r>
    <s v="Ethiopia Gedeb Natural"/>
    <n v="94"/>
    <s v="Medium Light"/>
    <n v="58"/>
    <n v="77"/>
    <n v="5"/>
    <s v="USA"/>
    <s v="Ethiopia"/>
    <s v="Africa"/>
    <x v="0"/>
  </r>
  <r>
    <s v="Sumatra Tano Batak"/>
    <n v="95"/>
    <s v="Medium"/>
    <n v="51"/>
    <n v="62"/>
    <n v="4.4800000000000004"/>
    <s v="USA"/>
    <s v="Indonesia"/>
    <s v="Asia-Pacific"/>
    <x v="0"/>
  </r>
  <r>
    <s v="Kenya Gathiruini"/>
    <n v="95"/>
    <s v="Medium Light"/>
    <n v="56"/>
    <n v="78"/>
    <n v="7.35"/>
    <s v="USA"/>
    <s v="Kenya"/>
    <s v="Africa"/>
    <x v="0"/>
  </r>
  <r>
    <s v="Kenya Thageini"/>
    <n v="96"/>
    <s v="Light"/>
    <n v="58"/>
    <n v="84"/>
    <n v="6.17"/>
    <s v="USA"/>
    <s v="Kenya"/>
    <s v="Africa"/>
    <x v="0"/>
  </r>
  <r>
    <s v="Kenya Gatomboya Peaberry"/>
    <n v="96"/>
    <s v="Medium Light"/>
    <n v="55"/>
    <n v="74"/>
    <n v="5.57"/>
    <s v="USA"/>
    <s v="Kenya"/>
    <s v="Africa"/>
    <x v="0"/>
  </r>
  <r>
    <s v="Elida Natural Dragonfly Lot"/>
    <n v="94"/>
    <s v="Medium Light"/>
    <n v="55"/>
    <n v="75"/>
    <n v="5.29"/>
    <s v="USA"/>
    <s v="Panama"/>
    <s v="America"/>
    <x v="0"/>
  </r>
  <r>
    <s v="Worka Ethiopia"/>
    <n v="95"/>
    <s v="Medium Light"/>
    <n v="58"/>
    <n v="78"/>
    <n v="5.51"/>
    <s v="USA"/>
    <s v="Ethiopia"/>
    <s v="Africa"/>
    <x v="0"/>
  </r>
  <r>
    <s v="Indonesia Sumatra Tano Batak"/>
    <n v="94"/>
    <s v="Medium Light"/>
    <n v="52"/>
    <n v="74"/>
    <n v="6.17"/>
    <s v="USA"/>
    <s v="Indonesia"/>
    <s v="Asia-Pacific"/>
    <x v="0"/>
  </r>
  <r>
    <s v="Ethiopia Hambela Washed"/>
    <n v="94"/>
    <s v="Light"/>
    <n v="65"/>
    <n v="78"/>
    <n v="4.7"/>
    <s v="USA"/>
    <s v="Ethiopia"/>
    <s v="Africa"/>
    <x v="0"/>
  </r>
  <r>
    <s v="Kenya Muranga Gondo AA"/>
    <n v="96"/>
    <s v="Medium Light"/>
    <n v="56"/>
    <n v="80"/>
    <n v="4.8499999999999996"/>
    <s v="Taiwan"/>
    <s v="Kenya"/>
    <s v="Africa"/>
    <x v="1"/>
  </r>
  <r>
    <s v="Kenya Small-Lot Reserve Karatina AA"/>
    <n v="95"/>
    <s v="Medium Light"/>
    <n v="56"/>
    <n v="78"/>
    <n v="5.29"/>
    <s v="USA"/>
    <s v="Kenya"/>
    <s v="Africa"/>
    <x v="0"/>
  </r>
  <r>
    <s v="Washed Yirgacheffe Aramo Alemayehu Berhanu"/>
    <n v="95"/>
    <s v="Medium Light"/>
    <n v="56"/>
    <n v="78"/>
    <n v="4.1900000000000004"/>
    <s v="Taiwan"/>
    <s v="Ethiopia"/>
    <s v="Africa"/>
    <x v="1"/>
  </r>
  <r>
    <s v="Kenya Nyeri Gathugu"/>
    <n v="94"/>
    <s v="Medium Light"/>
    <n v="54"/>
    <n v="75"/>
    <n v="4.41"/>
    <s v="USA"/>
    <s v="Kenya"/>
    <s v="Africa"/>
    <x v="0"/>
  </r>
  <r>
    <s v="Ethiopia Yirgacheffe Chelelektu"/>
    <n v="94"/>
    <s v="Light"/>
    <n v="69"/>
    <n v="84"/>
    <n v="2557.3200000000002"/>
    <s v="Taiwan"/>
    <s v="Ethiopia"/>
    <s v="Africa"/>
    <x v="1"/>
  </r>
  <r>
    <s v="Passport Collection Kenya Ichamara"/>
    <n v="94"/>
    <s v="Medium Light"/>
    <n v="54"/>
    <n v="73"/>
    <n v="4.7"/>
    <s v="USA"/>
    <s v="Kenya"/>
    <s v="Africa"/>
    <x v="0"/>
  </r>
  <r>
    <s v="Ethiopia Limu Natural No. 701"/>
    <n v="94"/>
    <s v="Medium Light"/>
    <n v="57"/>
    <n v="80"/>
    <n v="4.8499999999999996"/>
    <s v="USA"/>
    <s v="Ethiopia"/>
    <s v="Africa"/>
    <x v="0"/>
  </r>
  <r>
    <s v="Ethiopia Yirgacheffe YCFCU Idido"/>
    <n v="94"/>
    <s v="Medium Light"/>
    <n v="52"/>
    <n v="76"/>
    <n v="255.51"/>
    <s v="Taiwan"/>
    <s v="Ethiopia"/>
    <s v="Africa"/>
    <x v="1"/>
  </r>
  <r>
    <s v="Sumatra Black Panther"/>
    <n v="94"/>
    <s v="Medium"/>
    <n v="50"/>
    <n v="69"/>
    <n v="4"/>
    <s v="South Korea"/>
    <s v="Indonesia"/>
    <s v="Asia-Pacific"/>
    <x v="1"/>
  </r>
  <r>
    <s v="Sumatra Lintong Mutu Batak"/>
    <n v="94"/>
    <s v="Medium Light"/>
    <n v="54"/>
    <n v="74"/>
    <n v="4.26"/>
    <s v="USA"/>
    <s v="Indonesia"/>
    <s v="Asia-Pacific"/>
    <x v="0"/>
  </r>
  <r>
    <s v="Amaro Gayo Natural Ethiopia"/>
    <n v="94"/>
    <s v="Light"/>
    <n v="58"/>
    <n v="90"/>
    <n v="5.28"/>
    <s v="USA"/>
    <s v="Ethiopia"/>
    <s v="Africa"/>
    <x v="0"/>
  </r>
  <r>
    <s v="Ardi Ethiopia Natural"/>
    <n v="94"/>
    <s v="Medium Light"/>
    <n v="54"/>
    <n v="79"/>
    <n v="4.7"/>
    <s v="USA"/>
    <s v="Ethiopia"/>
    <s v="Africa"/>
    <x v="0"/>
  </r>
  <r>
    <s v="Deri Kochoha Espresso"/>
    <n v="96"/>
    <s v="Medium Light"/>
    <n v="56"/>
    <n v="78"/>
    <n v="4.9400000000000004"/>
    <s v="USA"/>
    <s v="Ethiopia"/>
    <s v="Africa"/>
    <x v="0"/>
  </r>
  <r>
    <s v="Camilina Geisha Auromar Natural"/>
    <n v="95"/>
    <s v="Light"/>
    <n v="58"/>
    <n v="84"/>
    <n v="21.83"/>
    <s v="USA"/>
    <s v="Panama"/>
    <s v="America"/>
    <x v="0"/>
  </r>
  <r>
    <s v="ManLao River Ethiopia Yirgacheffe Dry Process Gedeb Asasa"/>
    <n v="94"/>
    <s v="Medium Light"/>
    <n v="54"/>
    <n v="78"/>
    <n v="50"/>
    <s v="China"/>
    <s v="Ethiopia"/>
    <s v="Africa"/>
    <x v="1"/>
  </r>
  <r>
    <s v="Deri Kochoha Ethiopia"/>
    <n v="94"/>
    <s v="Medium Light"/>
    <n v="56"/>
    <n v="80"/>
    <n v="4.9400000000000004"/>
    <s v="USA"/>
    <s v="Ethiopia"/>
    <s v="Africa"/>
    <x v="0"/>
  </r>
  <r>
    <s v="Cachajinas Guatemala Huehuetenango"/>
    <n v="94"/>
    <s v="Medium Light"/>
    <n v="56"/>
    <n v="80"/>
    <n v="5.28"/>
    <s v="USA"/>
    <s v="Guatemala"/>
    <s v="America"/>
    <x v="0"/>
  </r>
  <r>
    <s v="Ethiopia Yirgacheffe Goro"/>
    <n v="94"/>
    <s v="Medium Light"/>
    <n v="54"/>
    <n v="76"/>
    <n v="6.4"/>
    <s v="Australia"/>
    <s v="Ethiopia"/>
    <s v="Africa"/>
    <x v="1"/>
  </r>
  <r>
    <s v="El Obraje Geisha"/>
    <n v="95"/>
    <s v="Medium Light"/>
    <n v="50"/>
    <n v="73"/>
    <n v="9.41"/>
    <s v="USA"/>
    <s v="Colombia"/>
    <s v="America"/>
    <x v="0"/>
  </r>
  <r>
    <s v="Ethiopia Yirgacheffe Reko"/>
    <n v="96"/>
    <s v="Medium Light"/>
    <n v="54"/>
    <n v="76"/>
    <n v="5.73"/>
    <s v="USA"/>
    <s v="Ethiopia"/>
    <s v="Africa"/>
    <x v="0"/>
  </r>
  <r>
    <s v="Costa Rica Alberto Guardia Bourbon Natural"/>
    <n v="95"/>
    <s v="Medium Light"/>
    <n v="60"/>
    <n v="80"/>
    <n v="6.03"/>
    <s v="USA"/>
    <s v="Costa Rica"/>
    <s v="America"/>
    <x v="0"/>
  </r>
  <r>
    <s v="Colombia San Adolfo"/>
    <n v="94"/>
    <s v="Light"/>
    <n v="65"/>
    <n v="81"/>
    <n v="5"/>
    <s v="USA"/>
    <s v="Colombia"/>
    <s v="America"/>
    <x v="0"/>
  </r>
  <r>
    <s v="LauraвЂ™s Reserve SL-28"/>
    <n v="94"/>
    <s v="Medium Light"/>
    <n v="58"/>
    <n v="83"/>
    <n v="17.61"/>
    <s v="USA"/>
    <s v="USA"/>
    <s v="America"/>
    <x v="0"/>
  </r>
  <r>
    <s v="Brazil Estancia Telese"/>
    <n v="94"/>
    <s v="Light"/>
    <n v="66"/>
    <n v="83"/>
    <n v="3.89"/>
    <s v="USA"/>
    <s v="Brazil"/>
    <s v="America"/>
    <x v="0"/>
  </r>
  <r>
    <s v="Brazil Fazenda Passeio Natural"/>
    <n v="94"/>
    <s v="Medium Light"/>
    <n v="55"/>
    <n v="81"/>
    <n v="3.08"/>
    <s v="USA"/>
    <s v="Brazil"/>
    <s v="America"/>
    <x v="0"/>
  </r>
  <r>
    <s v="Kenya Nyeri Gatugi AA"/>
    <n v="94"/>
    <s v="Light"/>
    <n v="60"/>
    <n v="84"/>
    <n v="110.23"/>
    <s v="Taiwan"/>
    <s v="Kenya"/>
    <s v="Africa"/>
    <x v="1"/>
  </r>
  <r>
    <s v="Panama La Esmeralda Bosque Geisha"/>
    <n v="95"/>
    <s v="Medium Light"/>
    <n v="53"/>
    <n v="80"/>
    <n v="22.05"/>
    <s v="USA"/>
    <s v="Panama"/>
    <s v="America"/>
    <x v="0"/>
  </r>
  <r>
    <s v="Ethiopia Yirgacheffe Kebele Kochore"/>
    <n v="94"/>
    <s v="Medium Light"/>
    <n v="48"/>
    <n v="78"/>
    <n v="6.17"/>
    <s v="USA"/>
    <s v="Ethiopia"/>
    <s v="Africa"/>
    <x v="0"/>
  </r>
  <r>
    <s v="El Sitio Ecuador"/>
    <n v="94"/>
    <s v="Medium Light"/>
    <n v="52"/>
    <n v="80"/>
    <n v="5.57"/>
    <s v="USA"/>
    <s v="Ecuador"/>
    <s v="America"/>
    <x v="0"/>
  </r>
  <r>
    <s v="Harfusa Espresso"/>
    <n v="94"/>
    <s v="Medium Light"/>
    <n v="57"/>
    <n v="84"/>
    <n v="5.23"/>
    <s v="USA"/>
    <s v="Ethiopia"/>
    <s v="Africa"/>
    <x v="0"/>
  </r>
  <r>
    <s v="SOPACDI Congo"/>
    <n v="94"/>
    <s v="Medium Light"/>
    <n v="54"/>
    <n v="74"/>
    <n v="5.28"/>
    <s v="USA"/>
    <s v="Democratic Republic of the Congo"/>
    <s v="Africa"/>
    <x v="0"/>
  </r>
  <r>
    <s v="Reserve Panama Geisha Hacienda La Esmeralda"/>
    <n v="95"/>
    <s v="Medium Light"/>
    <n v="54"/>
    <n v="86"/>
    <n v="23.37"/>
    <s v="USA"/>
    <s v="Panama"/>
    <s v="America"/>
    <x v="0"/>
  </r>
  <r>
    <s v="Competition Blend"/>
    <n v="94"/>
    <s v="Light"/>
    <n v="62"/>
    <n v="84"/>
    <n v="4.99"/>
    <s v="USA"/>
    <s v="Ethiopia"/>
    <s v="Africa"/>
    <x v="0"/>
  </r>
  <r>
    <s v="Bean Brain Reserve Suke Quto Ethiopia Sidamo Espresso"/>
    <n v="94"/>
    <s v="Medium Light"/>
    <n v="60"/>
    <n v="80"/>
    <n v="5.59"/>
    <s v="USA"/>
    <s v="Ethiopia"/>
    <s v="Africa"/>
    <x v="0"/>
  </r>
  <r>
    <s v="Hambela Ethiopia"/>
    <n v="96"/>
    <s v="Medium Light"/>
    <n v="57"/>
    <n v="82"/>
    <n v="5.13"/>
    <s v="USA"/>
    <s v="Ethiopia"/>
    <s v="Africa"/>
    <x v="0"/>
  </r>
  <r>
    <s v="Drima Zede Ethiopia"/>
    <n v="94"/>
    <s v="Medium Light"/>
    <n v="57"/>
    <n v="82"/>
    <n v="39.65"/>
    <s v="China"/>
    <s v="Ethiopia"/>
    <s v="Africa"/>
    <x v="1"/>
  </r>
  <r>
    <s v="Ecuador Juan PeГ±a"/>
    <n v="94"/>
    <s v="Light"/>
    <n v="64"/>
    <n v="78"/>
    <n v="8"/>
    <s v="USA"/>
    <s v="Ecuador"/>
    <s v="America"/>
    <x v="0"/>
  </r>
  <r>
    <s v="Kenya Othaya Peaberry"/>
    <n v="94"/>
    <s v="Medium Light"/>
    <n v="55"/>
    <n v="80"/>
    <n v="4.34"/>
    <s v="USA"/>
    <s v="Kenya"/>
    <s v="Africa"/>
    <x v="0"/>
  </r>
  <r>
    <s v="Organic Ethiopia Aramo Natural"/>
    <n v="94"/>
    <s v="Light"/>
    <n v="64"/>
    <n v="84"/>
    <n v="5.22"/>
    <s v="USA"/>
    <s v="Ethiopia"/>
    <s v="Africa"/>
    <x v="0"/>
  </r>
  <r>
    <s v="Love Shack (Kenya)"/>
    <n v="94"/>
    <s v="Medium Light"/>
    <n v="54"/>
    <n v="78"/>
    <n v="5.14"/>
    <s v="USA"/>
    <s v="Kenya"/>
    <s v="Africa"/>
    <x v="0"/>
  </r>
  <r>
    <s v="100% Kona Bourbon Pointu Laurina"/>
    <n v="94"/>
    <s v="Medium Light"/>
    <n v="56"/>
    <n v="78"/>
    <n v="15.41"/>
    <s v="USA"/>
    <s v="USA"/>
    <s v="America"/>
    <x v="0"/>
  </r>
  <r>
    <s v="Costa Rica Alberto Guardia Venecia Natural"/>
    <n v="95"/>
    <s v="Light"/>
    <n v="60"/>
    <n v="82"/>
    <n v="5.44"/>
    <s v="USA"/>
    <s v="Costa Rica"/>
    <s v="America"/>
    <x v="0"/>
  </r>
  <r>
    <s v="Adame Gorbota Espresso"/>
    <n v="95"/>
    <s v="Medium Light"/>
    <n v="56"/>
    <n v="72"/>
    <n v="5.14"/>
    <s v="USA"/>
    <s v="Ethiopia"/>
    <s v="Africa"/>
    <x v="0"/>
  </r>
  <r>
    <s v="El Aguila Pacamara Espresso"/>
    <n v="94"/>
    <s v="Medium Light"/>
    <n v="60"/>
    <n v="80"/>
    <n v="4.63"/>
    <s v="El Salvador"/>
    <s v="El Salvador"/>
    <s v="America"/>
    <x v="0"/>
  </r>
  <r>
    <s v="Ethiopia Natural Yirgacheffe Banko Gutiti Coop"/>
    <n v="95"/>
    <s v="Light"/>
    <n v="62"/>
    <n v="84"/>
    <n v="132.28"/>
    <s v="Taiwan"/>
    <s v="Ethiopia"/>
    <s v="Africa"/>
    <x v="1"/>
  </r>
  <r>
    <s v="Ethiopia Natural Sidamo Guji Shakisso"/>
    <n v="94"/>
    <s v="Medium Light"/>
    <n v="53"/>
    <n v="81"/>
    <n v="110.23"/>
    <s v="Taiwan"/>
    <s v="Ethiopia"/>
    <s v="Africa"/>
    <x v="1"/>
  </r>
  <r>
    <s v="Colombia Granja La Esperanza Las Margaritas Sudan Rume"/>
    <n v="95"/>
    <s v="Medium Light"/>
    <n v="52"/>
    <n v="78"/>
    <n v="15.43"/>
    <s v="USA"/>
    <s v="Colombia"/>
    <s v="America"/>
    <x v="0"/>
  </r>
  <r>
    <s v="Adame Gorbota Ethiopia"/>
    <n v="94"/>
    <s v="Medium Light"/>
    <n v="54"/>
    <n v="82"/>
    <n v="5.14"/>
    <s v="USA"/>
    <s v="Ethiopia"/>
    <s v="Africa"/>
    <x v="0"/>
  </r>
  <r>
    <s v="Ethiopia Yirgacheffe Adado"/>
    <n v="94"/>
    <s v="Medium Light"/>
    <n v="55"/>
    <n v="78"/>
    <n v="4.5599999999999996"/>
    <s v="USA"/>
    <s v="Ethiopia"/>
    <s v="Africa"/>
    <x v="0"/>
  </r>
  <r>
    <s v="Panama Ratibor Hartmann Natural"/>
    <n v="95"/>
    <s v="Medium Light"/>
    <n v="58"/>
    <n v="80"/>
    <n v="5.14"/>
    <s v="USA"/>
    <s v="Panama"/>
    <s v="America"/>
    <x v="0"/>
  </r>
  <r>
    <s v="Kenya AA Nyeri Tambaya"/>
    <n v="94"/>
    <s v="Light"/>
    <n v="60"/>
    <n v="84"/>
    <n v="4.55"/>
    <s v="USA"/>
    <s v="Kenya"/>
    <s v="Africa"/>
    <x v="0"/>
  </r>
  <r>
    <s v="Costa Rica Las Lajas Red Honey"/>
    <n v="94"/>
    <s v="Medium Light"/>
    <n v="53"/>
    <n v="77"/>
    <n v="4.8499999999999996"/>
    <s v="USA"/>
    <s v="Costa Rica"/>
    <s v="America"/>
    <x v="0"/>
  </r>
  <r>
    <s v="Bernachon Panama Geisha"/>
    <n v="95"/>
    <s v="Medium Light"/>
    <n v="60"/>
    <n v="76"/>
    <n v="616.74"/>
    <s v="Taiwan"/>
    <s v="Panama"/>
    <s v="America"/>
    <x v="1"/>
  </r>
  <r>
    <s v="Panama La Esmeralda Geisha Bosque Natural"/>
    <n v="97"/>
    <s v="Medium Light"/>
    <n v="59"/>
    <n v="82"/>
    <n v="27.34"/>
    <s v="USA"/>
    <s v="Panama"/>
    <s v="America"/>
    <x v="0"/>
  </r>
  <r>
    <s v="Harfusa Ethiopia Yirgacheffe Fair Trade Organic"/>
    <n v="95"/>
    <s v="Medium Light"/>
    <n v="54"/>
    <n v="76"/>
    <n v="5.23"/>
    <s v="USA"/>
    <s v="Ethiopia"/>
    <s v="Africa"/>
    <x v="0"/>
  </r>
  <r>
    <s v="ASOPCAFA Colombia"/>
    <n v="94"/>
    <s v="Medium Light"/>
    <n v="60"/>
    <n v="77"/>
    <n v="4.37"/>
    <s v="USA"/>
    <s v="Colombia"/>
    <s v="America"/>
    <x v="0"/>
  </r>
  <r>
    <s v="Guatemala San Sebastian Natural"/>
    <n v="95"/>
    <s v="Medium Light"/>
    <n v="59"/>
    <n v="78"/>
    <n v="5.8"/>
    <s v="USA"/>
    <s v="Guatemala"/>
    <s v="America"/>
    <x v="0"/>
  </r>
  <r>
    <s v="Ethiopia Hachira Natural Espresso"/>
    <n v="94"/>
    <s v="Light"/>
    <n v="62"/>
    <n v="87"/>
    <n v="9"/>
    <s v="USA"/>
    <s v="Ethiopia"/>
    <s v="Africa"/>
    <x v="0"/>
  </r>
  <r>
    <s v="Ethiopia Kochere Espresso Profile"/>
    <n v="94"/>
    <s v="Medium Light"/>
    <n v="50"/>
    <n v="79"/>
    <n v="5.62"/>
    <s v="USA"/>
    <s v="Ethiopia"/>
    <s v="Africa"/>
    <x v="0"/>
  </r>
  <r>
    <s v="Kenya Nyeri Kiama FCS Ichuga Factory Peaberry"/>
    <n v="95"/>
    <s v="Medium"/>
    <n v="49"/>
    <n v="68"/>
    <n v="5.73"/>
    <s v="USA"/>
    <s v="Kenya"/>
    <s v="Africa"/>
    <x v="0"/>
  </r>
  <r>
    <s v="Kenya Nyeri Thageini"/>
    <n v="94"/>
    <s v="Medium Light"/>
    <n v="54"/>
    <n v="68"/>
    <n v="5.29"/>
    <s v="USA"/>
    <s v="Kenya"/>
    <s v="Africa"/>
    <x v="0"/>
  </r>
  <r>
    <s v="Kenya AA Lot-125 вЂњQueen FloraвЂќ"/>
    <n v="95"/>
    <s v="Medium Dark"/>
    <n v="44"/>
    <n v="56"/>
    <n v="396.83"/>
    <s v="Taiwan"/>
    <s v="Kenya"/>
    <s v="Africa"/>
    <x v="1"/>
  </r>
  <r>
    <s v="Ethiopia Natural Yirgacheffe Phoenix Special вЂњKing SolomonвЂќ"/>
    <n v="94"/>
    <s v="Medium"/>
    <n v="48"/>
    <n v="60"/>
    <n v="352.73"/>
    <s v="Taiwan"/>
    <s v="Ethiopia"/>
    <s v="Africa"/>
    <x v="1"/>
  </r>
  <r>
    <s v="Fully Washed Ethiopia Phoenix Special вЂњDr. EvilвЂќ"/>
    <n v="94"/>
    <s v="Medium"/>
    <n v="45"/>
    <n v="57"/>
    <n v="308.64"/>
    <s v="Taiwan"/>
    <s v="Ethiopia"/>
    <s v="Africa"/>
    <x v="1"/>
  </r>
  <r>
    <s v="Sulawesi вЂњTanah KebangkitanвЂќ Phoenix Special Espresso"/>
    <n v="94"/>
    <s v="Medium Dark"/>
    <n v="44"/>
    <n v="56"/>
    <n v="308.64"/>
    <s v="Taiwan"/>
    <s v="Indonesia"/>
    <s v="Asia-Pacific"/>
    <x v="1"/>
  </r>
  <r>
    <s v="Kenya AA Lot-122 вЂњExcaliburвЂќ Espresso"/>
    <n v="94"/>
    <s v="Medium Dark"/>
    <n v="45"/>
    <n v="54"/>
    <n v="396.83"/>
    <s v="Taiwan"/>
    <s v="Kenya"/>
    <s v="Africa"/>
    <x v="1"/>
  </r>
  <r>
    <s v="Panama Elida Natural Lot #13"/>
    <n v="95"/>
    <s v="Light"/>
    <n v="63"/>
    <n v="86"/>
    <n v="8"/>
    <s v="USA"/>
    <s v="Panama"/>
    <s v="America"/>
    <x v="0"/>
  </r>
  <r>
    <s v="EmmaвЂ™s Jo: The Leam Hammer Competition Espresso"/>
    <n v="95"/>
    <s v="Medium Light"/>
    <n v="55"/>
    <n v="75"/>
    <n v="5.29"/>
    <s v="USA"/>
    <s v="Unknown"/>
    <s v="NULL"/>
    <x v="0"/>
  </r>
  <r>
    <s v="Costa Rica Sumava Natural Lot"/>
    <n v="94"/>
    <s v="Light"/>
    <n v="61"/>
    <n v="85"/>
    <n v="8"/>
    <s v="USA"/>
    <s v="Costa Rica"/>
    <s v="America"/>
    <x v="0"/>
  </r>
  <r>
    <s v="Panama Auromar Geisha Natural Peaberry"/>
    <n v="96"/>
    <s v="Medium Light"/>
    <n v="53"/>
    <n v="70"/>
    <n v="17.64"/>
    <s v="USA"/>
    <s v="Panama"/>
    <s v="America"/>
    <x v="0"/>
  </r>
  <r>
    <s v="El Burro Geisha Tachi Natural"/>
    <n v="95"/>
    <s v="Medium Light"/>
    <n v="55"/>
    <n v="75"/>
    <n v="13.8"/>
    <s v="USA"/>
    <s v="Panama"/>
    <s v="America"/>
    <x v="0"/>
  </r>
  <r>
    <s v="Holiday Blend"/>
    <n v="95"/>
    <s v="Medium Light"/>
    <n v="54"/>
    <n v="77"/>
    <n v="4.4800000000000004"/>
    <s v="USA"/>
    <s v="Unknown"/>
    <s v="NULL"/>
    <x v="0"/>
  </r>
  <r>
    <s v="Holiday Blend"/>
    <n v="95"/>
    <s v="Light"/>
    <n v="66"/>
    <n v="82"/>
    <n v="11.02"/>
    <s v="Taiwan"/>
    <s v="Unknown"/>
    <s v="NULL"/>
    <x v="1"/>
  </r>
  <r>
    <s v="Nicaragua Pacamara Los Congos Lot #8"/>
    <n v="95"/>
    <s v="Light"/>
    <n v="68"/>
    <n v="82"/>
    <n v="8"/>
    <s v="USA"/>
    <s v="Nicaragua"/>
    <s v="America"/>
    <x v="0"/>
  </r>
  <r>
    <s v="Panama Boquete Kotowa Gesha Natural"/>
    <n v="94"/>
    <s v="Light"/>
    <n v="64"/>
    <n v="84"/>
    <n v="19.84"/>
    <s v="USA"/>
    <s v="Panama"/>
    <s v="America"/>
    <x v="0"/>
  </r>
  <r>
    <s v="Holiday Blend"/>
    <n v="94"/>
    <s v="Medium Light"/>
    <n v="59"/>
    <n v="70"/>
    <n v="5.56"/>
    <s v="USA"/>
    <s v="Ethiopia"/>
    <s v="Africa"/>
    <x v="0"/>
  </r>
  <r>
    <s v="Panama Finca Auromar Camilina Natural"/>
    <n v="94"/>
    <s v="Light"/>
    <n v="66"/>
    <n v="90"/>
    <n v="22.05"/>
    <s v="USA"/>
    <s v="Panama"/>
    <s v="America"/>
    <x v="0"/>
  </r>
  <r>
    <s v="El Aguila SL-28 El Salvador"/>
    <n v="94"/>
    <s v="Medium Light"/>
    <n v="58"/>
    <n v="77"/>
    <n v="5.51"/>
    <s v="USA"/>
    <s v="El Salvador"/>
    <s v="America"/>
    <x v="0"/>
  </r>
  <r>
    <s v="Ethiopia Sidama Special Lot Natural"/>
    <n v="95"/>
    <s v="Light"/>
    <n v="63"/>
    <n v="86"/>
    <n v="5.29"/>
    <s v="USA"/>
    <s v="Ethiopia"/>
    <s v="Africa"/>
    <x v="0"/>
  </r>
  <r>
    <s v="Panama Finca Deborah Caturra Natural"/>
    <n v="94"/>
    <s v="Light"/>
    <n v="65"/>
    <n v="88"/>
    <n v="8.82"/>
    <s v="USA"/>
    <s v="Panama"/>
    <s v="America"/>
    <x v="0"/>
  </r>
  <r>
    <s v="Nekisse Red N2 Level 39"/>
    <n v="96"/>
    <s v="Medium Light"/>
    <n v="63"/>
    <n v="74"/>
    <n v="188"/>
    <s v="China"/>
    <s v="Ethiopia"/>
    <s v="Africa"/>
    <x v="1"/>
  </r>
  <r>
    <s v="Panama La Esmeralda Bosque Lot 1 Gesha"/>
    <n v="94"/>
    <s v="Light"/>
    <n v="64"/>
    <n v="85"/>
    <n v="21.16"/>
    <s v="USA"/>
    <s v="Panama"/>
    <s v="America"/>
    <x v="0"/>
  </r>
  <r>
    <s v="Finca La Mula Panama Geisha Natural"/>
    <n v="95"/>
    <s v="Medium Light"/>
    <n v="52"/>
    <n v="73"/>
    <n v="22.02"/>
    <s v="USA"/>
    <s v="Panama"/>
    <s v="America"/>
    <x v="0"/>
  </r>
  <r>
    <s v="La Lagunita El Salvador"/>
    <n v="94"/>
    <s v="Medium Light"/>
    <n v="59"/>
    <n v="79"/>
    <n v="5.51"/>
    <s v="USA"/>
    <s v="El Salvador"/>
    <s v="America"/>
    <x v="0"/>
  </r>
  <r>
    <s v="Kenya Kinuyu AA"/>
    <n v="95"/>
    <s v="Medium Light"/>
    <n v="57"/>
    <n v="70"/>
    <n v="6.17"/>
    <s v="USA"/>
    <s v="Kenya"/>
    <s v="Africa"/>
    <x v="0"/>
  </r>
  <r>
    <s v="Costa Rica Alberto Guardia Venecia Honey"/>
    <n v="94"/>
    <s v="Light"/>
    <n v="63"/>
    <n v="85"/>
    <n v="5.44"/>
    <s v="USA"/>
    <s v="Costa Rica"/>
    <s v="America"/>
    <x v="0"/>
  </r>
  <r>
    <s v="Nicaragua Cafe Vidita Los Congos Pacamara Natural"/>
    <n v="95"/>
    <s v="Light"/>
    <n v="63"/>
    <n v="91"/>
    <n v="5.29"/>
    <s v="USA"/>
    <s v="Nicaragua"/>
    <s v="America"/>
    <x v="0"/>
  </r>
  <r>
    <s v="Kenya Kigutha AA"/>
    <n v="94"/>
    <s v="Medium Light"/>
    <n v="60"/>
    <n v="78"/>
    <n v="5.28"/>
    <s v="USA"/>
    <s v="Kenya"/>
    <s v="Africa"/>
    <x v="0"/>
  </r>
  <r>
    <s v="Panama Altieri Natural Geisha"/>
    <n v="96"/>
    <s v="Medium"/>
    <n v="49"/>
    <n v="72"/>
    <n v="22.02"/>
    <s v="USA"/>
    <s v="Panama"/>
    <s v="America"/>
    <x v="0"/>
  </r>
  <r>
    <s v="Organic Espresso"/>
    <n v="94"/>
    <s v="Medium"/>
    <n v="52"/>
    <n v="60"/>
    <n v="4.41"/>
    <s v="USA"/>
    <s v="Unknown"/>
    <s v="NULL"/>
    <x v="0"/>
  </r>
  <r>
    <s v="Kemgin Ninety Plus"/>
    <n v="94"/>
    <s v="Medium Light"/>
    <n v="52"/>
    <n v="72"/>
    <n v="7.63"/>
    <s v="USA"/>
    <s v="Ethiopia"/>
    <s v="Africa"/>
    <x v="0"/>
  </r>
  <r>
    <s v="Ethiopia Nigusse Lemma"/>
    <n v="94"/>
    <s v="Medium Light"/>
    <n v="58"/>
    <n v="76"/>
    <n v="4.9800000000000004"/>
    <s v="USA"/>
    <s v="Ethiopia"/>
    <s v="Africa"/>
    <x v="0"/>
  </r>
  <r>
    <s v="Panama Don Pepe Estate Geisha Single-Origin Espresso"/>
    <n v="96"/>
    <s v="Medium"/>
    <n v="48"/>
    <n v="59"/>
    <n v="5.73"/>
    <s v="USA"/>
    <s v="Panama"/>
    <s v="America"/>
    <x v="0"/>
  </r>
  <r>
    <s v="Ichamama Kenya"/>
    <n v="94"/>
    <s v="Medium Light"/>
    <n v="56"/>
    <n v="74"/>
    <n v="4.7300000000000004"/>
    <s v="USA"/>
    <s v="Kenya"/>
    <s v="Africa"/>
    <x v="0"/>
  </r>
  <r>
    <s v="Las Flores Espresso"/>
    <n v="95"/>
    <s v="Medium Light"/>
    <n v="57"/>
    <n v="78"/>
    <n v="4.6399999999999997"/>
    <s v="USA"/>
    <s v="Costa Rica"/>
    <s v="America"/>
    <x v="0"/>
  </r>
  <r>
    <s v="El Salvador Finca Medrano Pacamara Nohemi Ventura"/>
    <n v="94"/>
    <s v="Light"/>
    <n v="62"/>
    <n v="87"/>
    <n v="8"/>
    <s v="South Korea"/>
    <s v="El Salvador"/>
    <s v="America"/>
    <x v="1"/>
  </r>
  <r>
    <s v="Ethiopia Jimma Agaro"/>
    <n v="95"/>
    <s v="Light"/>
    <n v="66"/>
    <n v="87"/>
    <n v="5.88"/>
    <s v="USA"/>
    <s v="Ethiopia"/>
    <s v="Africa"/>
    <x v="0"/>
  </r>
  <r>
    <s v="Rwanda Silverback Espresso"/>
    <n v="95"/>
    <s v="Medium Dark"/>
    <n v="43"/>
    <n v="52"/>
    <n v="0.22"/>
    <s v="Taiwan"/>
    <s v="Rwanda"/>
    <s v="Africa"/>
    <x v="1"/>
  </r>
  <r>
    <s v="Ecuador вЂњMama KilyaвЂќ Espresso"/>
    <n v="94"/>
    <s v="Medium Dark"/>
    <n v="44"/>
    <n v="50"/>
    <n v="0.44"/>
    <s v="Taiwan"/>
    <s v="Ecuador"/>
    <s v="America"/>
    <x v="1"/>
  </r>
  <r>
    <s v="Ethiopia Hambela"/>
    <n v="94"/>
    <s v="Medium Light"/>
    <n v="55"/>
    <n v="78"/>
    <n v="5.57"/>
    <s v="USA"/>
    <s v="Ethiopia"/>
    <s v="Africa"/>
    <x v="0"/>
  </r>
  <r>
    <s v="Kenya Nyeri Peaberry"/>
    <n v="95"/>
    <s v="Medium Light"/>
    <n v="55"/>
    <n v="76"/>
    <n v="4.2300000000000004"/>
    <s v="USA"/>
    <s v="Kenya"/>
    <s v="Africa"/>
    <x v="0"/>
  </r>
  <r>
    <s v="Panama Lino Esmeralda Geisha Natural"/>
    <n v="96"/>
    <s v="Light"/>
    <n v="67"/>
    <n v="88"/>
    <n v="22.49"/>
    <s v="USA"/>
    <s v="Panama"/>
    <s v="America"/>
    <x v="0"/>
  </r>
  <r>
    <s v="Ethiopia Sidama Akrabi"/>
    <n v="94"/>
    <s v="Medium Light"/>
    <n v="58"/>
    <n v="71"/>
    <n v="16.41"/>
    <s v="USA"/>
    <s v="Ethiopia"/>
    <s v="Africa"/>
    <x v="0"/>
  </r>
  <r>
    <s v="Kenya AA Gakuyuri"/>
    <n v="94"/>
    <s v="Medium Light"/>
    <n v="60"/>
    <n v="75"/>
    <n v="4.4800000000000004"/>
    <s v="USA"/>
    <s v="Kenya"/>
    <s v="Africa"/>
    <x v="0"/>
  </r>
  <r>
    <s v="Kenya Embu Gakui Peaberry"/>
    <n v="95"/>
    <s v="Medium Light"/>
    <n v="54"/>
    <n v="70"/>
    <n v="5.14"/>
    <s v="USA"/>
    <s v="Kenya"/>
    <s v="Africa"/>
    <x v="0"/>
  </r>
  <r>
    <s v="Kenya AA Kigwandi Estate"/>
    <n v="95"/>
    <s v="Medium Light"/>
    <n v="59"/>
    <n v="75"/>
    <n v="3.97"/>
    <s v="USA"/>
    <s v="Kenya"/>
    <s v="Africa"/>
    <x v="0"/>
  </r>
  <r>
    <s v="Ethiopia Yirgacheffe Buna Ababa"/>
    <n v="94"/>
    <s v="Medium Light"/>
    <n v="57"/>
    <n v="76"/>
    <n v="6.61"/>
    <s v="USA"/>
    <s v="Ethiopia"/>
    <s v="Africa"/>
    <x v="0"/>
  </r>
  <r>
    <s v="Panama Don Pepe Fully Washed Geisha"/>
    <n v="96"/>
    <s v="Medium Light"/>
    <n v="58"/>
    <n v="72"/>
    <n v="17.64"/>
    <s v="USA"/>
    <s v="Panama"/>
    <s v="America"/>
    <x v="0"/>
  </r>
  <r>
    <s v="Golden Mean Espresso Blend"/>
    <n v="94"/>
    <s v="Medium"/>
    <n v="48"/>
    <n v="60"/>
    <n v="4.3899999999999997"/>
    <s v="USA"/>
    <s v="Unknown"/>
    <s v="NULL"/>
    <x v="0"/>
  </r>
  <r>
    <s v="Finca La Mula Panama Geisha"/>
    <n v="97"/>
    <s v="Medium"/>
    <n v="52"/>
    <n v="66"/>
    <n v="26.43"/>
    <s v="USA"/>
    <s v="Panama"/>
    <s v="America"/>
    <x v="0"/>
  </r>
  <r>
    <s v="S.O. Espresso Brazil Fazenda Santa Ines"/>
    <n v="94"/>
    <s v="Medium"/>
    <n v="47"/>
    <n v="60"/>
    <n v="3.81"/>
    <s v="USA"/>
    <s v="Brazil"/>
    <s v="America"/>
    <x v="0"/>
  </r>
  <r>
    <s v="Black House"/>
    <n v="94"/>
    <s v="Medium Light"/>
    <n v="55"/>
    <n v="69"/>
    <n v="4.12"/>
    <s v="USA"/>
    <s v="Unknown"/>
    <s v="NULL"/>
    <x v="0"/>
  </r>
  <r>
    <s v="Kenya Gachatha AA"/>
    <n v="96"/>
    <s v="Medium Light"/>
    <n v="54"/>
    <n v="76"/>
    <n v="7.33"/>
    <s v="USA"/>
    <s v="Kenya"/>
    <s v="Africa"/>
    <x v="0"/>
  </r>
  <r>
    <s v="Burundi Kayanza Province Mpanga Washing Station"/>
    <n v="94"/>
    <s v="Medium Light"/>
    <n v="54"/>
    <n v="74"/>
    <n v="6.17"/>
    <s v="USA"/>
    <s v="Burundi"/>
    <s v="Africa"/>
    <x v="0"/>
  </r>
  <r>
    <s v="Ethiopia Yirgacheffe Dabub Matebya"/>
    <n v="94"/>
    <s v="Light"/>
    <n v="65"/>
    <n v="87"/>
    <n v="4.41"/>
    <s v="USA"/>
    <s v="Ethiopia"/>
    <s v="Africa"/>
    <x v="0"/>
  </r>
  <r>
    <s v="Yemen Haraaz Red A+"/>
    <n v="94"/>
    <s v="Medium Light"/>
    <n v="54"/>
    <n v="74"/>
    <n v="8.3800000000000008"/>
    <s v="USA"/>
    <s v="Yemen"/>
    <s v="Africa"/>
    <x v="0"/>
  </r>
  <r>
    <s v="El Salvador Finca Loma La Gloria"/>
    <n v="94"/>
    <s v="Light"/>
    <n v="78"/>
    <n v="99"/>
    <n v="5.58"/>
    <s v="USA"/>
    <s v="El Salvador"/>
    <s v="America"/>
    <x v="0"/>
  </r>
  <r>
    <s v="Ethiopia Sidama Ardi"/>
    <n v="95"/>
    <s v="Medium Light"/>
    <n v="57"/>
    <n v="78"/>
    <n v="5.59"/>
    <s v="USA"/>
    <s v="Ethiopia"/>
    <s v="Africa"/>
    <x v="0"/>
  </r>
  <r>
    <s v="Ethiopia Washed Limu Gera"/>
    <n v="94"/>
    <s v="Medium Light"/>
    <n v="61"/>
    <n v="79"/>
    <n v="3.75"/>
    <s v="Taiwan"/>
    <s v="Ethiopia"/>
    <s v="Africa"/>
    <x v="1"/>
  </r>
  <r>
    <s v="Ethiopia Aricha"/>
    <n v="94"/>
    <s v="Light"/>
    <n v="62"/>
    <n v="88"/>
    <n v="5.29"/>
    <s v="USA"/>
    <s v="Ethiopia"/>
    <s v="Africa"/>
    <x v="0"/>
  </r>
  <r>
    <s v="Ace Espresso"/>
    <n v="94"/>
    <s v="Medium Light"/>
    <n v="55"/>
    <n v="72"/>
    <n v="3.53"/>
    <s v="Canada"/>
    <s v="Unknown"/>
    <s v="NULL"/>
    <x v="0"/>
  </r>
  <r>
    <s v="Colombia Special Process Microlot 511 вЂњMemory OrchardвЂќ Espresso"/>
    <n v="94"/>
    <s v="Medium"/>
    <n v="47"/>
    <n v="56"/>
    <n v="0.44"/>
    <s v="Taiwan"/>
    <s v="Colombia"/>
    <s v="America"/>
    <x v="1"/>
  </r>
  <r>
    <s v="Costa Rica Sonora Bourbon Natural"/>
    <n v="94"/>
    <s v="Light"/>
    <n v="68"/>
    <n v="92"/>
    <n v="5.59"/>
    <s v="USA"/>
    <s v="Costa Rica"/>
    <s v="America"/>
    <x v="0"/>
  </r>
  <r>
    <s v="The Secret Coffee"/>
    <n v="94"/>
    <s v="Light"/>
    <n v="66"/>
    <n v="99"/>
    <n v="264.32"/>
    <s v="Taiwan"/>
    <s v="Unknown"/>
    <s v="NULL"/>
    <x v="1"/>
  </r>
  <r>
    <s v="Panama Finca Hartmann"/>
    <n v="95"/>
    <s v="Light"/>
    <n v="63"/>
    <n v="81"/>
    <n v="5.14"/>
    <s v="USA"/>
    <s v="Panama"/>
    <s v="America"/>
    <x v="0"/>
  </r>
  <r>
    <s v="Sumatra Ulos Batak"/>
    <n v="94"/>
    <s v="Medium Light"/>
    <n v="54"/>
    <n v="70"/>
    <n v="5.29"/>
    <s v="USA"/>
    <s v="Indonesia"/>
    <s v="Asia-Pacific"/>
    <x v="0"/>
  </r>
  <r>
    <s v="Espresso Blend"/>
    <n v="94"/>
    <s v="Medium"/>
    <n v="52"/>
    <n v="68"/>
    <n v="231.11"/>
    <s v="Taiwan"/>
    <s v="Unknown"/>
    <s v="NULL"/>
    <x v="1"/>
  </r>
  <r>
    <s v="Sillvia Solkiln N2 Level 95"/>
    <n v="96"/>
    <s v="Medium Light"/>
    <n v="59"/>
    <n v="80"/>
    <n v="466.67"/>
    <s v="China"/>
    <s v="Unknown"/>
    <s v="NULL"/>
    <x v="1"/>
  </r>
  <r>
    <s v="Sweet MariaвЂ™s Acatenango Gesha"/>
    <n v="94"/>
    <s v="Medium Light"/>
    <n v="60"/>
    <n v="74"/>
    <n v="187.2"/>
    <s v="China"/>
    <s v="Unknown"/>
    <s v="NULL"/>
    <x v="1"/>
  </r>
  <r>
    <s v="Keremara AA Kenya"/>
    <n v="95"/>
    <s v="Medium Light"/>
    <n v="60"/>
    <n v="79"/>
    <n v="5.42"/>
    <s v="USA"/>
    <s v="Kenya"/>
    <s v="Africa"/>
    <x v="0"/>
  </r>
  <r>
    <s v="Tchembe Gedeo Ethiopia"/>
    <n v="94"/>
    <s v="Medium Light"/>
    <n v="58"/>
    <n v="72"/>
    <n v="9.1"/>
    <s v="USA"/>
    <s v="Ethiopia"/>
    <s v="Africa"/>
    <x v="0"/>
  </r>
  <r>
    <s v="Ethiopia Yirgacheffe Gedeo"/>
    <n v="95"/>
    <s v="Light"/>
    <n v="64"/>
    <n v="94"/>
    <n v="4.26"/>
    <s v="USA"/>
    <s v="Ethiopia"/>
    <s v="Africa"/>
    <x v="0"/>
  </r>
  <r>
    <s v="Finca La Aurora Camilina Geisha"/>
    <n v="95"/>
    <s v="Light"/>
    <n v="62"/>
    <n v="88"/>
    <n v="21.38"/>
    <s v="USA"/>
    <s v="Unknown"/>
    <s v="NULL"/>
    <x v="0"/>
  </r>
  <r>
    <s v="Sumatra Lake Toba Peaberry"/>
    <n v="94"/>
    <s v="Medium"/>
    <n v="47"/>
    <n v="65"/>
    <n v="5.29"/>
    <s v="USA"/>
    <s v="Indonesia"/>
    <s v="Asia-Pacific"/>
    <x v="0"/>
  </r>
  <r>
    <s v="Sumatra Ulos Batak"/>
    <n v="94"/>
    <s v="Medium Light"/>
    <n v="56"/>
    <n v="70"/>
    <n v="5.07"/>
    <s v="USA"/>
    <s v="Indonesia"/>
    <s v="Asia-Pacific"/>
    <x v="0"/>
  </r>
  <r>
    <s v="Ethiopian Washed Kochere G1 SO Espresso"/>
    <n v="94"/>
    <s v="Medium"/>
    <n v="49"/>
    <n v="62"/>
    <n v="2.65"/>
    <s v="Taiwan"/>
    <s v="Ethiopia"/>
    <s v="Africa"/>
    <x v="1"/>
  </r>
  <r>
    <s v="Colombia Granja La Esperanza Grand Cru Mokka"/>
    <n v="94"/>
    <s v="Light"/>
    <n v="65"/>
    <n v="86"/>
    <n v="8.08"/>
    <s v="USA"/>
    <s v="Colombia"/>
    <s v="America"/>
    <x v="0"/>
  </r>
  <r>
    <s v="Panama Esmeralda Geisha"/>
    <n v="96"/>
    <s v="Medium Light"/>
    <n v="57"/>
    <n v="83"/>
    <n v="16.23"/>
    <s v="USA"/>
    <s v="Panama"/>
    <s v="America"/>
    <x v="0"/>
  </r>
  <r>
    <s v="Rum-Barrel Conditioned Ethiopia Gelena Abaya"/>
    <n v="94"/>
    <s v="Light"/>
    <n v="65"/>
    <n v="85"/>
    <n v="5.29"/>
    <s v="USA"/>
    <s v="Ethiopia"/>
    <s v="Africa"/>
    <x v="0"/>
  </r>
  <r>
    <s v="Finca La Mula Panama Geisha"/>
    <n v="96"/>
    <s v="Medium Light"/>
    <n v="57"/>
    <n v="81"/>
    <n v="21.72"/>
    <s v="USA"/>
    <s v="Panama"/>
    <s v="America"/>
    <x v="0"/>
  </r>
  <r>
    <s v="Milepost Kenya Nyeri Ruarai"/>
    <n v="94"/>
    <s v="Medium Light"/>
    <n v="58"/>
    <n v="81"/>
    <n v="5.29"/>
    <s v="USA"/>
    <s v="Kenya"/>
    <s v="Africa"/>
    <x v="0"/>
  </r>
  <r>
    <s v="Kenya Thiriku"/>
    <n v="95"/>
    <s v="Medium Light"/>
    <n v="56"/>
    <n v="77"/>
    <n v="5.14"/>
    <s v="USA"/>
    <s v="Kenya"/>
    <s v="Africa"/>
    <x v="0"/>
  </r>
  <r>
    <s v="Ari-Ari Seuri-Seuri"/>
    <n v="94"/>
    <s v="Medium Light"/>
    <n v="56"/>
    <n v="72"/>
    <n v="6"/>
    <s v="South Korea"/>
    <s v="Unknown"/>
    <s v="NULL"/>
    <x v="1"/>
  </r>
  <r>
    <s v="Jazz Apricot (Espresso)"/>
    <n v="94"/>
    <s v="Medium"/>
    <n v="50"/>
    <n v="62"/>
    <n v="110.23"/>
    <s v="Taiwan"/>
    <s v="Unknown"/>
    <s v="NULL"/>
    <x v="1"/>
  </r>
  <r>
    <s v="Ethiopia Biloya Organic"/>
    <n v="95"/>
    <s v="Medium Light"/>
    <n v="55"/>
    <n v="75"/>
    <n v="4.92"/>
    <s v="USA"/>
    <s v="Ethiopia"/>
    <s v="Africa"/>
    <x v="0"/>
  </r>
  <r>
    <s v="Organic Ethiopian Worka Special Prep"/>
    <n v="94"/>
    <s v="Light"/>
    <n v="60"/>
    <n v="83"/>
    <n v="5.22"/>
    <s v="USA"/>
    <s v="Ethiopia"/>
    <s v="Africa"/>
    <x v="0"/>
  </r>
  <r>
    <s v="Ethiopia Washed Yirgacheffe Alemu Station"/>
    <n v="94"/>
    <s v="Light"/>
    <n v="65"/>
    <n v="88"/>
    <n v="3.97"/>
    <s v="Taiwan"/>
    <s v="Ethiopia"/>
    <s v="Africa"/>
    <x v="1"/>
  </r>
  <r>
    <s v="Kenya Kianjuri AB"/>
    <n v="94"/>
    <s v="Medium"/>
    <n v="53"/>
    <n v="68"/>
    <n v="5.29"/>
    <s v="USA"/>
    <s v="Kenya"/>
    <s v="Africa"/>
    <x v="0"/>
  </r>
  <r>
    <s v="Kenya Nyeri Tambaya Peaberry"/>
    <n v="94"/>
    <s v="Medium"/>
    <n v="49"/>
    <n v="65"/>
    <n v="5.73"/>
    <s v="USA"/>
    <s v="Kenya"/>
    <s v="Africa"/>
    <x v="0"/>
  </r>
  <r>
    <s v="Ethiopian Yirgacheffe Idido Natural"/>
    <n v="94"/>
    <s v="Medium Light"/>
    <n v="58"/>
    <n v="83"/>
    <n v="5.29"/>
    <s v="USA"/>
    <s v="Ethiopia"/>
    <s v="Africa"/>
    <x v="0"/>
  </r>
  <r>
    <s v="Kenya AA"/>
    <n v="95"/>
    <s v="Medium Light"/>
    <n v="56"/>
    <n v="79"/>
    <n v="220.46"/>
    <s v="Taiwan"/>
    <s v="Kenya"/>
    <s v="Africa"/>
    <x v="1"/>
  </r>
  <r>
    <s v="Ethiopia Suke Quto Organic"/>
    <n v="95"/>
    <s v="Medium"/>
    <n v="52"/>
    <n v="65"/>
    <n v="4.3899999999999997"/>
    <s v="USA"/>
    <s v="Ethiopia"/>
    <s v="Africa"/>
    <x v="0"/>
  </r>
  <r>
    <s v="Espresso Blend Spring 15"/>
    <n v="94"/>
    <s v="Medium"/>
    <n v="48"/>
    <n v="54"/>
    <n v="127.87"/>
    <s v="Taiwan"/>
    <s v="Unknown"/>
    <s v="NULL"/>
    <x v="1"/>
  </r>
  <r>
    <s v="Esmeralda Leon Natural Geisha"/>
    <n v="96"/>
    <s v="Light"/>
    <n v="71"/>
    <n v="89"/>
    <n v="19.84"/>
    <s v="USA"/>
    <s v="Unknown"/>
    <s v="NULL"/>
    <x v="0"/>
  </r>
  <r>
    <s v="Shilcho Ethiopia, Red Cherry Initiative"/>
    <n v="94"/>
    <s v="Medium"/>
    <n v="53"/>
    <n v="66"/>
    <n v="5"/>
    <s v="USA"/>
    <s v="Ethiopia"/>
    <s v="Africa"/>
    <x v="0"/>
  </r>
  <r>
    <s v="Lomi Tasha Worka, Ethiopia"/>
    <n v="95"/>
    <s v="Light"/>
    <n v="64"/>
    <n v="85"/>
    <n v="7.35"/>
    <s v="USA"/>
    <s v="Ethiopia"/>
    <s v="Africa"/>
    <x v="0"/>
  </r>
  <r>
    <s v="LauraвЂ™s Reserve SL-28"/>
    <n v="94"/>
    <s v="Medium"/>
    <n v="53"/>
    <n v="68"/>
    <n v="15.85"/>
    <s v="USA"/>
    <s v="Unknown"/>
    <s v="NULL"/>
    <x v="0"/>
  </r>
  <r>
    <s v="Semeon Abay Ethiopia"/>
    <n v="95"/>
    <s v="Light"/>
    <n v="66"/>
    <n v="84"/>
    <n v="121.4"/>
    <s v="USA"/>
    <s v="Ethiopia"/>
    <s v="Africa"/>
    <x v="0"/>
  </r>
  <r>
    <s v="Kenya Nyeri Rukira AB"/>
    <n v="95"/>
    <s v="Medium"/>
    <n v="49"/>
    <n v="66"/>
    <n v="4.41"/>
    <s v="Taiwan"/>
    <s v="Kenya"/>
    <s v="Africa"/>
    <x v="1"/>
  </r>
  <r>
    <s v="Auromar Camilina Geisha"/>
    <n v="95"/>
    <s v="Light"/>
    <n v="62"/>
    <n v="88"/>
    <n v="17.64"/>
    <s v="USA"/>
    <s v="Unknown"/>
    <s v="NULL"/>
    <x v="0"/>
  </r>
  <r>
    <s v="Holiday Blend"/>
    <n v="95"/>
    <s v="Medium Light"/>
    <n v="59"/>
    <n v="78"/>
    <n v="5.07"/>
    <s v="USA"/>
    <s v="Unknown"/>
    <s v="NULL"/>
    <x v="0"/>
  </r>
  <r>
    <s v="Ethiopia Wenago Natural"/>
    <n v="95"/>
    <s v="Medium Light"/>
    <n v="55"/>
    <n v="73"/>
    <n v="5.29"/>
    <s v="USA"/>
    <s v="Ethiopia"/>
    <s v="Africa"/>
    <x v="0"/>
  </r>
  <r>
    <s v="Panama Geisha Holiday Blend"/>
    <n v="95"/>
    <s v="Light"/>
    <n v="67"/>
    <n v="88"/>
    <n v="16"/>
    <s v="USA"/>
    <s v="Panama"/>
    <s v="America"/>
    <x v="0"/>
  </r>
  <r>
    <s v="Panama Esmeralda Especial Geisha Bosque 2"/>
    <n v="94"/>
    <s v="Medium"/>
    <n v="50"/>
    <n v="65"/>
    <n v="27.34"/>
    <s v="USA"/>
    <s v="Panama"/>
    <s v="America"/>
    <x v="0"/>
  </r>
  <r>
    <s v="Gratitude Special Blend"/>
    <n v="94"/>
    <s v="Medium"/>
    <n v="46"/>
    <n v="64"/>
    <n v="3.67"/>
    <s v="USA"/>
    <s v="Unknown"/>
    <s v="NULL"/>
    <x v="0"/>
  </r>
  <r>
    <s v="Nicaragua Pacamara Reserve Los Congos"/>
    <n v="94"/>
    <s v="Medium Light"/>
    <n v="57"/>
    <n v="73"/>
    <n v="5.29"/>
    <s v="USA"/>
    <s v="Nicaragua"/>
    <s v="America"/>
    <x v="0"/>
  </r>
  <r>
    <s v="Kenya Muthonjo AA"/>
    <n v="94"/>
    <s v="Medium"/>
    <n v="49"/>
    <n v="64"/>
    <n v="10.67"/>
    <s v="USA"/>
    <s v="Kenya"/>
    <s v="Africa"/>
    <x v="0"/>
  </r>
  <r>
    <s v="Ethiopia Ninety Plus Hachira N2"/>
    <n v="95"/>
    <s v="Medium"/>
    <n v="51"/>
    <n v="67"/>
    <n v="8.82"/>
    <s v="USA"/>
    <s v="Ethiopia"/>
    <s v="Africa"/>
    <x v="0"/>
  </r>
  <r>
    <s v="Perci Red Panama Gesha"/>
    <n v="95"/>
    <s v="Light"/>
    <n v="74"/>
    <n v="101"/>
    <n v="21.3"/>
    <s v="USA"/>
    <s v="Panama"/>
    <s v="America"/>
    <x v="0"/>
  </r>
  <r>
    <s v="Kenya Karagoto"/>
    <n v="94"/>
    <s v="Medium"/>
    <n v="54"/>
    <n v="66"/>
    <n v="3.82"/>
    <s v="USA"/>
    <s v="Kenya"/>
    <s v="Africa"/>
    <x v="0"/>
  </r>
  <r>
    <s v="Nekisse Natural Process Ethiopia"/>
    <n v="94"/>
    <s v="Light"/>
    <n v="64"/>
    <n v="89"/>
    <n v="9.1"/>
    <s v="USA"/>
    <s v="Ethiopia"/>
    <s v="Africa"/>
    <x v="0"/>
  </r>
  <r>
    <s v="Ethiopia Yirgacheffe Gutiti"/>
    <n v="94"/>
    <s v="Medium"/>
    <n v="52"/>
    <n v="69"/>
    <n v="4.9800000000000004"/>
    <s v="USA"/>
    <s v="Ethiopia"/>
    <s v="Africa"/>
    <x v="0"/>
  </r>
  <r>
    <s v="Ulos Batak Sumatra Peaberry"/>
    <n v="95"/>
    <s v="Medium Light"/>
    <n v="54"/>
    <n v="78"/>
    <n v="5.44"/>
    <s v="USA"/>
    <s v="Indonesia"/>
    <s v="Asia-Pacific"/>
    <x v="0"/>
  </r>
  <r>
    <s v="Ethiopia Konga"/>
    <n v="94"/>
    <s v="Medium Light"/>
    <n v="56"/>
    <n v="76"/>
    <n v="4.9800000000000004"/>
    <s v="USA"/>
    <s v="Ethiopia"/>
    <s v="Africa"/>
    <x v="0"/>
  </r>
  <r>
    <s v="Kenya AA Top 405A Espresso"/>
    <n v="95"/>
    <s v="Medium"/>
    <n v="47"/>
    <n v="62"/>
    <n v="352.74"/>
    <s v="Taiwan"/>
    <s v="Kenya"/>
    <s v="Africa"/>
    <x v="1"/>
  </r>
  <r>
    <s v="Seasonal Mini-Me Yirgacheffe Washed"/>
    <n v="94"/>
    <s v="Medium"/>
    <n v="52"/>
    <n v="68"/>
    <n v="220.46"/>
    <s v="Taiwan"/>
    <s v="Ethiopia"/>
    <s v="Africa"/>
    <x v="1"/>
  </r>
  <r>
    <s v="Panama Mama Cata Natural"/>
    <n v="95"/>
    <s v="Medium"/>
    <n v="42"/>
    <n v="63"/>
    <n v="9.98"/>
    <s v="USA"/>
    <s v="Panama"/>
    <s v="America"/>
    <x v="0"/>
  </r>
  <r>
    <s v="High Mountain Red Bourbon"/>
    <n v="95"/>
    <s v="Medium Light"/>
    <n v="61"/>
    <n v="77"/>
    <n v="15.41"/>
    <s v="USA"/>
    <s v="Unknown"/>
    <s v="NULL"/>
    <x v="0"/>
  </r>
  <r>
    <s v="Nicaragua Pacamara Reserve Los Congos"/>
    <n v="94"/>
    <s v="Medium Light"/>
    <n v="56"/>
    <n v="73"/>
    <n v="5.29"/>
    <s v="USA"/>
    <s v="Nicaragua"/>
    <s v="America"/>
    <x v="0"/>
  </r>
  <r>
    <s v="Panama Duncan Natural Gesha"/>
    <n v="94"/>
    <s v="Light"/>
    <n v="61"/>
    <n v="81"/>
    <n v="20.72"/>
    <s v="USA"/>
    <s v="Panama"/>
    <s v="America"/>
    <x v="0"/>
  </r>
  <r>
    <s v="Guatemala Acatenango Gesha"/>
    <n v="94"/>
    <s v="Light"/>
    <n v="72"/>
    <n v="87"/>
    <n v="9.6999999999999993"/>
    <s v="USA"/>
    <s v="Guatemala"/>
    <s v="America"/>
    <x v="0"/>
  </r>
  <r>
    <s v="Kenya Kigwandi AA"/>
    <n v="94"/>
    <s v="Medium Light"/>
    <n v="53"/>
    <n v="70"/>
    <n v="5.86"/>
    <s v="USA"/>
    <s v="Kenya"/>
    <s v="Africa"/>
    <x v="0"/>
  </r>
  <r>
    <s v="Ethiopia Homacho Waeno"/>
    <n v="95"/>
    <s v="Medium Light"/>
    <n v="62"/>
    <n v="75"/>
    <n v="217.47"/>
    <s v="USA"/>
    <s v="Ethiopia"/>
    <s v="Africa"/>
    <x v="0"/>
  </r>
  <r>
    <s v="Colombia Granja Esperanza Gesha AAA"/>
    <n v="95"/>
    <s v="Medium Light"/>
    <n v="53"/>
    <n v="76"/>
    <n v="97.39"/>
    <s v="USA"/>
    <s v="Colombia"/>
    <s v="America"/>
    <x v="0"/>
  </r>
  <r>
    <s v="Kenya Mathew Mugo"/>
    <n v="94"/>
    <s v="Medium Light"/>
    <n v="61"/>
    <n v="79"/>
    <n v="5.28"/>
    <s v="USA"/>
    <s v="Kenya"/>
    <s v="Africa"/>
    <x v="0"/>
  </r>
  <r>
    <s v="Organic Ethiopian Banko Natural"/>
    <n v="94"/>
    <s v="Medium Light"/>
    <n v="59"/>
    <n v="75"/>
    <n v="4.92"/>
    <s v="USA"/>
    <s v="Ethiopia"/>
    <s v="Africa"/>
    <x v="0"/>
  </r>
  <r>
    <s v="Kenya Nyeri"/>
    <n v="94"/>
    <s v="Medium"/>
    <n v="52"/>
    <n v="62"/>
    <n v="5.29"/>
    <s v="USA"/>
    <s v="Kenya"/>
    <s v="Africa"/>
    <x v="0"/>
  </r>
  <r>
    <s v="Konga Natural Ethiopia"/>
    <n v="94"/>
    <s v="Light"/>
    <n v="62"/>
    <n v="84"/>
    <n v="5.24"/>
    <s v="USA"/>
    <s v="Ethiopia"/>
    <s v="Africa"/>
    <x v="0"/>
  </r>
  <r>
    <s v="Kenya AA Giakanja"/>
    <n v="94"/>
    <s v="Medium Light"/>
    <n v="53"/>
    <n v="71"/>
    <n v="43.82"/>
    <s v="USA"/>
    <s v="Kenya"/>
    <s v="Africa"/>
    <x v="0"/>
  </r>
  <r>
    <s v="Ethiopia CheleвЂ™ Lektu"/>
    <n v="94"/>
    <s v="Medium"/>
    <n v="52"/>
    <n v="68"/>
    <n v="4.12"/>
    <s v="USA"/>
    <s v="Ethiopia"/>
    <s v="Africa"/>
    <x v="0"/>
  </r>
  <r>
    <s v="Ethiopia Boke Natural Grade 1 Espresso"/>
    <n v="94"/>
    <s v="Medium Light"/>
    <n v="56"/>
    <n v="66"/>
    <n v="5.14"/>
    <s v="USA"/>
    <s v="Ethiopia"/>
    <s v="Africa"/>
    <x v="0"/>
  </r>
  <r>
    <s v="Kochoha Espresso"/>
    <n v="94"/>
    <s v="Medium Light"/>
    <n v="56"/>
    <n v="72"/>
    <n v="4.37"/>
    <s v="USA"/>
    <s v="Unknown"/>
    <s v="NULL"/>
    <x v="0"/>
  </r>
  <r>
    <s v="Kenya Nyeri Giakanja"/>
    <n v="95"/>
    <s v="Medium"/>
    <n v="50"/>
    <n v="55"/>
    <n v="6.17"/>
    <s v="USA"/>
    <s v="Kenya"/>
    <s v="Africa"/>
    <x v="0"/>
  </r>
  <r>
    <s v="Perci N2 L39"/>
    <n v="94"/>
    <s v="Medium Light"/>
    <n v="55"/>
    <n v="78"/>
    <n v="188"/>
    <s v="China"/>
    <s v="Unknown"/>
    <s v="NULL"/>
    <x v="1"/>
  </r>
  <r>
    <s v="Yirgacheffe Aricha Natural G1"/>
    <n v="94"/>
    <s v="Medium Light"/>
    <n v="59"/>
    <n v="74"/>
    <n v="10"/>
    <s v="South Korea"/>
    <s v="Ethiopia"/>
    <s v="Africa"/>
    <x v="1"/>
  </r>
  <r>
    <s v="Sumatra Tano Batak"/>
    <n v="94"/>
    <s v="Medium"/>
    <n v="54"/>
    <n v="66"/>
    <n v="5.14"/>
    <s v="USA"/>
    <s v="Indonesia"/>
    <s v="Asia-Pacific"/>
    <x v="0"/>
  </r>
  <r>
    <s v="Panama Ironman Camilina Geisha"/>
    <n v="97"/>
    <s v="Medium Light"/>
    <n v="58"/>
    <n v="80"/>
    <n v="22.02"/>
    <s v="USA"/>
    <s v="Panama"/>
    <s v="America"/>
    <x v="0"/>
  </r>
  <r>
    <s v="Panama Estate Reserve: Elida Estate Natural"/>
    <n v="94"/>
    <s v="Medium Light"/>
    <n v="58"/>
    <n v="80"/>
    <n v="5.29"/>
    <s v="USA"/>
    <s v="Panama"/>
    <s v="America"/>
    <x v="0"/>
  </r>
  <r>
    <s v="ByronвЂ™s Maracaturra Natural Nicaragua"/>
    <n v="94"/>
    <s v="Light"/>
    <n v="64"/>
    <n v="80"/>
    <n v="4.8499999999999996"/>
    <s v="USA"/>
    <s v="Nicaragua"/>
    <s v="America"/>
    <x v="0"/>
  </r>
  <r>
    <s v="Panama Chiriqui Finca Santa Teresa Geisha"/>
    <n v="94"/>
    <s v="Light"/>
    <n v="72"/>
    <n v="87"/>
    <n v="7.94"/>
    <s v="USA"/>
    <s v="Panama"/>
    <s v="America"/>
    <x v="0"/>
  </r>
  <r>
    <s v="Costa Rica Cerro San Luis Natural"/>
    <n v="94"/>
    <s v="Medium Light"/>
    <n v="57"/>
    <n v="74"/>
    <n v="5.26"/>
    <s v="USA"/>
    <s v="Costa Rica"/>
    <s v="America"/>
    <x v="0"/>
  </r>
  <r>
    <s v="Panama La Berlina Typica Natural"/>
    <n v="94"/>
    <s v="Medium Light"/>
    <n v="56"/>
    <n v="76"/>
    <n v="211.64"/>
    <s v="Taiwan"/>
    <s v="Panama"/>
    <s v="America"/>
    <x v="1"/>
  </r>
  <r>
    <s v="Costa Rica Flor de Santos Bourbon Natural"/>
    <n v="94"/>
    <s v="Medium Light"/>
    <n v="57"/>
    <n v="79"/>
    <n v="89"/>
    <s v="China"/>
    <s v="Costa Rica"/>
    <s v="America"/>
    <x v="1"/>
  </r>
  <r>
    <s v="Panama NPGE Perci N2"/>
    <n v="94"/>
    <s v="Medium Light"/>
    <n v="59"/>
    <n v="77"/>
    <n v="25"/>
    <s v="South Korea"/>
    <s v="Panama"/>
    <s v="America"/>
    <x v="1"/>
  </r>
  <r>
    <s v="El Salvador Cerro Las Ranas Espresso"/>
    <n v="94"/>
    <s v="Medium Dark"/>
    <n v="44"/>
    <n v="50"/>
    <n v="4.6900000000000004"/>
    <s v="USA"/>
    <s v="El Salvador"/>
    <s v="America"/>
    <x v="0"/>
  </r>
  <r>
    <s v="Kii Kenya"/>
    <n v="94"/>
    <s v="Medium Light"/>
    <n v="58"/>
    <n v="73"/>
    <n v="5.86"/>
    <s v="USA"/>
    <s v="Kenya"/>
    <s v="Africa"/>
    <x v="0"/>
  </r>
  <r>
    <s v="Ethiopia Boke Washed Grade 1"/>
    <n v="95"/>
    <s v="Medium Light"/>
    <n v="57"/>
    <n v="82"/>
    <n v="5"/>
    <s v="USA"/>
    <s v="Ethiopia"/>
    <s v="Africa"/>
    <x v="0"/>
  </r>
  <r>
    <s v="Ethiopia Semeon Abay N3"/>
    <n v="94"/>
    <s v="Light"/>
    <n v="62"/>
    <n v="87"/>
    <n v="95"/>
    <s v="South Korea"/>
    <s v="Ethiopia"/>
    <s v="Africa"/>
    <x v="1"/>
  </r>
  <r>
    <s v="Kenya Kahiriga"/>
    <n v="94"/>
    <s v="Medium Light"/>
    <n v="56"/>
    <n v="74"/>
    <n v="5.44"/>
    <s v="USA"/>
    <s v="Kenya"/>
    <s v="Africa"/>
    <x v="0"/>
  </r>
  <r>
    <s v="Elida Estate Panama"/>
    <n v="95"/>
    <s v="Medium Light"/>
    <n v="57"/>
    <n v="74"/>
    <n v="7.64"/>
    <s v="USA"/>
    <s v="Panama"/>
    <s v="America"/>
    <x v="0"/>
  </r>
  <r>
    <s v="Kenya Baragwi Kagongo Peaberry"/>
    <n v="94"/>
    <s v="Medium"/>
    <n v="49"/>
    <n v="71"/>
    <n v="4.26"/>
    <s v="USA"/>
    <s v="Kenya"/>
    <s v="Africa"/>
    <x v="0"/>
  </r>
  <r>
    <s v="Sumatra Ulos Batak"/>
    <n v="96"/>
    <s v="Medium"/>
    <n v="53"/>
    <n v="68"/>
    <n v="5.29"/>
    <s v="USA"/>
    <s v="Indonesia"/>
    <s v="Asia-Pacific"/>
    <x v="0"/>
  </r>
  <r>
    <s v="Washed Yirgacheffe"/>
    <n v="94"/>
    <s v="Medium Light"/>
    <n v="54"/>
    <n v="76"/>
    <n v="5.58"/>
    <s v="USA"/>
    <s v="Ethiopia"/>
    <s v="Africa"/>
    <x v="0"/>
  </r>
  <r>
    <s v="Kenya Kikai"/>
    <n v="95"/>
    <s v="Medium Light"/>
    <n v="57"/>
    <n v="77"/>
    <n v="5.22"/>
    <s v="USA"/>
    <s v="Kenya"/>
    <s v="Africa"/>
    <x v="0"/>
  </r>
  <r>
    <s v="Ethiopia Yirgacheffe Kore Kochore"/>
    <n v="94"/>
    <s v="Medium Light"/>
    <n v="59"/>
    <n v="76"/>
    <n v="4.26"/>
    <s v="USA"/>
    <s v="Ethiopia"/>
    <s v="Africa"/>
    <x v="0"/>
  </r>
  <r>
    <s v="SO Espresso Brazil Fazenda Rainha Natural"/>
    <n v="94"/>
    <s v="Medium"/>
    <n v="54"/>
    <n v="66"/>
    <n v="3.81"/>
    <s v="USA"/>
    <s v="Brazil"/>
    <s v="America"/>
    <x v="0"/>
  </r>
  <r>
    <s v="Papua New Guinea Kunjin"/>
    <n v="94"/>
    <s v="Light"/>
    <n v="64"/>
    <n v="82"/>
    <n v="4.8499999999999996"/>
    <s v="USA"/>
    <s v="Papua New Guinea"/>
    <s v="Asia-Pacific"/>
    <x v="0"/>
  </r>
  <r>
    <s v="Ethiopia Sidama Ardi"/>
    <n v="94"/>
    <s v="Medium"/>
    <n v="52"/>
    <n v="61"/>
    <n v="5"/>
    <s v="USA"/>
    <s v="Ethiopia"/>
    <s v="Africa"/>
    <x v="0"/>
  </r>
  <r>
    <s v="Celinga Ethiopia Espresso"/>
    <n v="94"/>
    <s v="Medium Light"/>
    <n v="57"/>
    <n v="73"/>
    <n v="4.8499999999999996"/>
    <s v="USA"/>
    <s v="Ethiopia"/>
    <s v="Africa"/>
    <x v="0"/>
  </r>
  <r>
    <s v="Celinga Ethiopia"/>
    <n v="95"/>
    <s v="Medium Light"/>
    <n v="57"/>
    <n v="73"/>
    <n v="4.8499999999999996"/>
    <s v="USA"/>
    <s v="Ethiopia"/>
    <s v="Africa"/>
    <x v="0"/>
  </r>
  <r>
    <s v="Ethiopia Danch Meng"/>
    <n v="94"/>
    <s v="Medium Light"/>
    <n v="57"/>
    <n v="77"/>
    <n v="5.73"/>
    <s v="USA"/>
    <s v="Ethiopia"/>
    <s v="Africa"/>
    <x v="0"/>
  </r>
  <r>
    <s v="Ethiopia Moplaco Yirgacheffe"/>
    <n v="94"/>
    <s v="Medium Light"/>
    <n v="58"/>
    <n v="80"/>
    <n v="450"/>
    <s v="Taiwan"/>
    <s v="Ethiopia"/>
    <s v="Africa"/>
    <x v="1"/>
  </r>
  <r>
    <s v="Ethiopia Yirga Natural Bedhatu"/>
    <n v="94"/>
    <s v="Light"/>
    <n v="65"/>
    <n v="90"/>
    <n v="5.07"/>
    <s v="Taiwan"/>
    <s v="Ethiopia"/>
    <s v="Africa"/>
    <x v="1"/>
  </r>
  <r>
    <s v="Kenya Nyeri Tambaya AA"/>
    <n v="95"/>
    <s v="Medium Light"/>
    <n v="55"/>
    <n v="72"/>
    <n v="450"/>
    <s v="Taiwan"/>
    <s v="Kenya"/>
    <s v="Africa"/>
    <x v="1"/>
  </r>
  <r>
    <s v="Guji Zone Ethiopia"/>
    <n v="95"/>
    <s v="Medium Light"/>
    <n v="59"/>
    <n v="77"/>
    <n v="5.29"/>
    <s v="USA"/>
    <s v="Ethiopia"/>
    <s v="Africa"/>
    <x v="0"/>
  </r>
  <r>
    <s v="Colombia Cerro Azul Geisha"/>
    <n v="95"/>
    <s v="Medium"/>
    <n v="52"/>
    <n v="63"/>
    <n v="13.33"/>
    <s v="USA"/>
    <s v="Colombia"/>
    <s v="America"/>
    <x v="0"/>
  </r>
  <r>
    <s v="Colombia Cerro Azul Enano"/>
    <n v="94"/>
    <s v="Medium Light"/>
    <n v="60"/>
    <n v="79"/>
    <n v="4.51"/>
    <s v="USA"/>
    <s v="Colombia"/>
    <s v="America"/>
    <x v="0"/>
  </r>
  <r>
    <s v="Colombia Finca Monte Verde, Gildardo Gutierrez"/>
    <n v="94"/>
    <s v="Medium Light"/>
    <n v="58"/>
    <n v="73"/>
    <n v="5.73"/>
    <s v="USA"/>
    <s v="Colombia"/>
    <s v="America"/>
    <x v="0"/>
  </r>
  <r>
    <s v="Twisted 3.0 Espresso"/>
    <n v="94"/>
    <s v="Medium"/>
    <n v="50"/>
    <n v="60"/>
    <n v="4.63"/>
    <s v="USA"/>
    <s v="Unknown"/>
    <s v="NULL"/>
    <x v="0"/>
  </r>
  <r>
    <s v="Ethiopia Amaro Gayo Dry Process"/>
    <n v="94"/>
    <s v="Medium Light"/>
    <n v="60"/>
    <n v="81"/>
    <n v="3.97"/>
    <s v="USA"/>
    <s v="Ethiopia"/>
    <s v="Africa"/>
    <x v="0"/>
  </r>
  <r>
    <s v="Ethiopia Gedeo Yirgacheffe"/>
    <n v="94"/>
    <s v="Light"/>
    <n v="63"/>
    <n v="85"/>
    <n v="4.04"/>
    <s v="USA"/>
    <s v="Ethiopia"/>
    <s v="Africa"/>
    <x v="0"/>
  </r>
  <r>
    <s v="Rwanda Karongi Gitesi"/>
    <n v="94"/>
    <s v="Medium Light"/>
    <n v="53"/>
    <n v="71"/>
    <n v="4.26"/>
    <s v="USA"/>
    <s v="Rwanda"/>
    <s v="Africa"/>
    <x v="0"/>
  </r>
  <r>
    <s v="Gelgelu Adame Ethiopia Yirgacheffe Organic Natural Process"/>
    <n v="96"/>
    <s v="Light"/>
    <n v="63"/>
    <n v="81"/>
    <n v="5.66"/>
    <s v="USA"/>
    <s v="Ethiopia"/>
    <s v="Africa"/>
    <x v="0"/>
  </r>
  <r>
    <s v="Ethiopia FTO Worka"/>
    <n v="95"/>
    <s v="Light"/>
    <n v="66"/>
    <n v="88"/>
    <n v="4.41"/>
    <s v="USA"/>
    <s v="Ethiopia"/>
    <s v="Africa"/>
    <x v="0"/>
  </r>
  <r>
    <s v="Kenya Makwa AB"/>
    <n v="96"/>
    <s v="Medium"/>
    <n v="54"/>
    <n v="67"/>
    <n v="4.9800000000000004"/>
    <s v="USA"/>
    <s v="Kenya"/>
    <s v="Africa"/>
    <x v="0"/>
  </r>
  <r>
    <s v="Kenya Kabare AB"/>
    <n v="95"/>
    <s v="Light"/>
    <n v="64"/>
    <n v="84"/>
    <n v="4.26"/>
    <s v="USA"/>
    <s v="Kenya"/>
    <s v="Africa"/>
    <x v="0"/>
  </r>
  <r>
    <s v="El Salvador Santa Elena Honey Pacamara"/>
    <n v="94"/>
    <s v="Medium Light"/>
    <n v="55"/>
    <n v="68"/>
    <n v="5.59"/>
    <s v="USA"/>
    <s v="El Salvador"/>
    <s v="America"/>
    <x v="0"/>
  </r>
  <r>
    <s v="Kenya Makwa AB"/>
    <n v="95"/>
    <s v="Medium"/>
    <n v="51"/>
    <n v="59"/>
    <n v="4.7"/>
    <s v="USA"/>
    <s v="Kenya"/>
    <s v="Africa"/>
    <x v="0"/>
  </r>
  <r>
    <s v="Ethiopia Yirgacheffe ECX Auction Lot"/>
    <n v="94"/>
    <s v="Medium Light"/>
    <n v="56"/>
    <n v="71"/>
    <n v="5"/>
    <s v="USA"/>
    <s v="Ethiopia"/>
    <s v="Africa"/>
    <x v="0"/>
  </r>
  <r>
    <s v="Ethiopia Ninety Plus Pheribo N2"/>
    <n v="95"/>
    <s v="Light"/>
    <n v="66"/>
    <n v="85"/>
    <n v="15"/>
    <s v="South Korea"/>
    <s v="Ethiopia"/>
    <s v="Africa"/>
    <x v="1"/>
  </r>
  <r>
    <s v="Ethiopia Washed Sidama Shilcho Coop G1"/>
    <n v="94"/>
    <s v="Light"/>
    <n v="64"/>
    <n v="80"/>
    <n v="143.30000000000001"/>
    <s v="Taiwan"/>
    <s v="Ethiopia"/>
    <s v="Africa"/>
    <x v="1"/>
  </r>
  <r>
    <s v="Ethiopia Washed Yirgacheffe вЂњMini-MeвЂќ 2014"/>
    <n v="96"/>
    <s v="Medium"/>
    <n v="50"/>
    <n v="65"/>
    <n v="220.46"/>
    <s v="Taiwan"/>
    <s v="Ethiopia"/>
    <s v="Africa"/>
    <x v="1"/>
  </r>
  <r>
    <s v="Panama Los Lajones Bambu Geisha"/>
    <n v="96"/>
    <s v="Medium Light"/>
    <n v="57"/>
    <n v="78"/>
    <n v="26.46"/>
    <s v="USA"/>
    <s v="Panama"/>
    <s v="America"/>
    <x v="0"/>
  </r>
  <r>
    <s v="Kikai Kenya"/>
    <n v="95"/>
    <s v="Medium"/>
    <n v="52"/>
    <n v="62"/>
    <n v="4.26"/>
    <s v="USA"/>
    <s v="Kenya"/>
    <s v="Africa"/>
    <x v="0"/>
  </r>
  <r>
    <s v="Panama Gesha Perci Red"/>
    <n v="96"/>
    <s v="Light"/>
    <n v="66"/>
    <n v="88"/>
    <n v="21.3"/>
    <s v="USA"/>
    <s v="Panama"/>
    <s v="America"/>
    <x v="0"/>
  </r>
  <r>
    <s v="Organic Ethiopian Yirgacheffe Idido"/>
    <n v="94"/>
    <s v="Medium Light"/>
    <n v="59"/>
    <n v="74"/>
    <n v="4.63"/>
    <s v="USA"/>
    <s v="Ethiopia"/>
    <s v="Africa"/>
    <x v="0"/>
  </r>
  <r>
    <s v="Holiday Blend"/>
    <n v="95"/>
    <s v="Medium Light"/>
    <n v="56"/>
    <n v="78"/>
    <n v="3.75"/>
    <s v="USA"/>
    <s v="Unknown"/>
    <s v="NULL"/>
    <x v="0"/>
  </r>
  <r>
    <s v="Panama Finca La Mula Geisha Natural"/>
    <n v="94"/>
    <s v="Medium Light"/>
    <n v="60"/>
    <n v="75"/>
    <n v="22.02"/>
    <s v="USA"/>
    <s v="Panama"/>
    <s v="America"/>
    <x v="0"/>
  </r>
  <r>
    <s v="Kenya Gichuka AA"/>
    <n v="94"/>
    <s v="Medium Light"/>
    <n v="56"/>
    <n v="72"/>
    <n v="5"/>
    <s v="USA"/>
    <s v="Kenya"/>
    <s v="Africa"/>
    <x v="0"/>
  </r>
  <r>
    <s v="Ethiopia Washed Yirgacheffe Mini-Me"/>
    <n v="94"/>
    <s v="Medium"/>
    <n v="50"/>
    <n v="62"/>
    <n v="220.46"/>
    <s v="Taiwan"/>
    <s v="Ethiopia"/>
    <s v="Africa"/>
    <x v="1"/>
  </r>
  <r>
    <s v="Ethiopia Kelenso Mokanisa"/>
    <n v="94"/>
    <s v="Medium Light"/>
    <n v="59"/>
    <n v="73"/>
    <n v="4.1100000000000003"/>
    <s v="USA"/>
    <s v="Ethiopia"/>
    <s v="Africa"/>
    <x v="0"/>
  </r>
  <r>
    <s v="Ganesha Espresso"/>
    <n v="94"/>
    <s v="Medium"/>
    <n v="49"/>
    <n v="59"/>
    <n v="3.08"/>
    <s v="USA"/>
    <s v="Unknown"/>
    <s v="NULL"/>
    <x v="0"/>
  </r>
  <r>
    <s v="Lennette Kenya"/>
    <n v="94"/>
    <s v="Medium Light"/>
    <n v="56"/>
    <n v="68"/>
    <n v="4.7"/>
    <s v="USA"/>
    <s v="Kenya"/>
    <s v="Africa"/>
    <x v="0"/>
  </r>
  <r>
    <s v="Ethiopia Ninety Plus Nekisse Red"/>
    <n v="95"/>
    <s v="Medium"/>
    <n v="49"/>
    <n v="66"/>
    <n v="19.11"/>
    <s v="USA"/>
    <s v="Ethiopia"/>
    <s v="Africa"/>
    <x v="0"/>
  </r>
  <r>
    <s v="Ethiopia Yirgacheffe Kochere Aricha"/>
    <n v="94"/>
    <s v="Medium Light"/>
    <n v="53"/>
    <n v="79"/>
    <n v="3.56"/>
    <s v="USA"/>
    <s v="Ethiopia"/>
    <s v="Africa"/>
    <x v="0"/>
  </r>
  <r>
    <s v="Ethiopia Banko Natural"/>
    <n v="94"/>
    <s v="Medium Light"/>
    <n v="58"/>
    <n v="75"/>
    <n v="4.79"/>
    <s v="USA"/>
    <s v="Ethiopia"/>
    <s v="Africa"/>
    <x v="0"/>
  </r>
  <r>
    <s v="Makwa Kenya Nyeri"/>
    <n v="94"/>
    <s v="Medium Light"/>
    <n v="57"/>
    <n v="71"/>
    <n v="5.29"/>
    <s v="USA"/>
    <s v="Kenya"/>
    <s v="Africa"/>
    <x v="0"/>
  </r>
  <r>
    <s v="Panama Los Lajones Bambu Geisha Natural"/>
    <n v="94"/>
    <s v="Medium Light"/>
    <n v="58"/>
    <n v="75"/>
    <n v="26.43"/>
    <s v="USA"/>
    <s v="Panama"/>
    <s v="America"/>
    <x v="0"/>
  </r>
  <r>
    <s v="Juliette Red Ninety Plus Gesha Estate Panama"/>
    <n v="94"/>
    <s v="Medium Light"/>
    <n v="53"/>
    <n v="72"/>
    <n v="35"/>
    <s v="South Korea"/>
    <s v="Panama"/>
    <s v="America"/>
    <x v="1"/>
  </r>
  <r>
    <s v="100% Kona High Mountain Io Extra Fancy"/>
    <n v="94"/>
    <s v="Medium Light"/>
    <n v="55"/>
    <n v="75"/>
    <n v="15.85"/>
    <s v="USA"/>
    <s v="USA"/>
    <s v="America"/>
    <x v="0"/>
  </r>
  <r>
    <s v="Sumatra Blue Batak Peaberry"/>
    <n v="94"/>
    <s v="Medium"/>
    <n v="53"/>
    <n v="68"/>
    <n v="4.8499999999999996"/>
    <s v="USA"/>
    <s v="Indonesia"/>
    <s v="Asia-Pacific"/>
    <x v="0"/>
  </r>
  <r>
    <s v="Panama Gesha Ninety Plus Perci Red"/>
    <n v="95"/>
    <s v="Medium"/>
    <n v="52"/>
    <n v="68"/>
    <n v="19.11"/>
    <s v="USA"/>
    <s v="Panama"/>
    <s v="America"/>
    <x v="0"/>
  </r>
  <r>
    <s v="El Agulia Pacamara El Salvador"/>
    <n v="94"/>
    <s v="Light"/>
    <n v="63"/>
    <n v="82"/>
    <n v="5.1100000000000003"/>
    <s v="USA"/>
    <s v="El Salvador"/>
    <s v="America"/>
    <x v="0"/>
  </r>
  <r>
    <s v="Mexico Finca Kassandra Pacamara"/>
    <n v="94"/>
    <s v="Medium Light"/>
    <n v="55"/>
    <n v="68"/>
    <n v="5"/>
    <s v="USA"/>
    <s v="Mexico"/>
    <s v="America"/>
    <x v="0"/>
  </r>
  <r>
    <s v="Panama Finca Santa Teresa Honey Geisha"/>
    <n v="94"/>
    <s v="Medium"/>
    <n v="55"/>
    <n v="66"/>
    <n v="1234.57"/>
    <s v="Taiwan"/>
    <s v="Panama"/>
    <s v="America"/>
    <x v="1"/>
  </r>
  <r>
    <s v="Batista Natural Geisha"/>
    <n v="94"/>
    <s v="Light"/>
    <n v="65"/>
    <n v="84"/>
    <n v="837.74"/>
    <s v="Taiwan"/>
    <s v="Unknown"/>
    <s v="NULL"/>
    <x v="1"/>
  </r>
  <r>
    <s v="Perci N2 Ninety Plus Gesha Estates Panama"/>
    <n v="94"/>
    <s v="Medium Light"/>
    <n v="58"/>
    <n v="71"/>
    <n v="35"/>
    <s v="South Korea"/>
    <s v="Panama"/>
    <s v="America"/>
    <x v="1"/>
  </r>
  <r>
    <s v="Ethiopia Sidama Deri Kochoha"/>
    <n v="94"/>
    <s v="Medium"/>
    <n v="52"/>
    <n v="66"/>
    <n v="3.97"/>
    <s v="USA"/>
    <s v="Ethiopia"/>
    <s v="Africa"/>
    <x v="0"/>
  </r>
  <r>
    <s v="Kenya Kirinyaga Karimikui Peaberry"/>
    <n v="95"/>
    <s v="Medium"/>
    <n v="52"/>
    <n v="66"/>
    <n v="4.26"/>
    <s v="USA"/>
    <s v="Kenya"/>
    <s v="Africa"/>
    <x v="0"/>
  </r>
  <r>
    <s v="Ethiopia Yirgacheffe"/>
    <n v="94"/>
    <s v="Light"/>
    <n v="59"/>
    <n v="84"/>
    <n v="4.41"/>
    <s v="USA"/>
    <s v="Ethiopia"/>
    <s v="Africa"/>
    <x v="0"/>
  </r>
  <r>
    <s v="Panama Auromar Estate вЂњIronmanвЂќ Geisha"/>
    <n v="94"/>
    <s v="Medium Light"/>
    <n v="56"/>
    <n v="82"/>
    <n v="23.36"/>
    <s v="USA"/>
    <s v="Panama"/>
    <s v="America"/>
    <x v="0"/>
  </r>
  <r>
    <s v="Guatemala Acatenango Gesha"/>
    <n v="95"/>
    <s v="Medium"/>
    <n v="50"/>
    <n v="65"/>
    <n v="8.82"/>
    <s v="USA"/>
    <s v="Guatemala"/>
    <s v="America"/>
    <x v="0"/>
  </r>
  <r>
    <s v="Kenya Ruira Mchana Estate"/>
    <n v="94"/>
    <s v="Medium"/>
    <n v="51"/>
    <n v="55"/>
    <n v="4.5599999999999996"/>
    <s v="USA"/>
    <s v="Kenya"/>
    <s v="Africa"/>
    <x v="0"/>
  </r>
  <r>
    <s v="Honeyed Yellow Caturra"/>
    <n v="94"/>
    <s v="Medium"/>
    <n v="52"/>
    <n v="60"/>
    <n v="11.76"/>
    <s v="USA"/>
    <s v="USA"/>
    <s v="America"/>
    <x v="0"/>
  </r>
  <r>
    <s v="Hawaii KaвЂ™u Isla"/>
    <n v="94"/>
    <s v="Medium Light"/>
    <n v="57"/>
    <n v="75"/>
    <n v="9.69"/>
    <s v="USA"/>
    <s v="USA"/>
    <s v="America"/>
    <x v="0"/>
  </r>
  <r>
    <s v="Ethiopia Yirgacheffe Kochere Grade 1"/>
    <n v="94"/>
    <s v="Medium Light"/>
    <n v="58"/>
    <n v="74"/>
    <n v="4.5599999999999996"/>
    <s v="USA"/>
    <s v="Ethiopia"/>
    <s v="Africa"/>
    <x v="0"/>
  </r>
  <r>
    <s v="Colombia Valle del Cauca Cerro Azul Geisha AAA"/>
    <n v="96"/>
    <s v="Medium Light"/>
    <n v="60"/>
    <n v="81"/>
    <n v="26.34"/>
    <s v="USA"/>
    <s v="Colombia"/>
    <s v="America"/>
    <x v="0"/>
  </r>
  <r>
    <s v="Nyala Kenya Peaberry"/>
    <n v="94"/>
    <s v="Medium Light"/>
    <n v="55"/>
    <n v="68"/>
    <n v="4.41"/>
    <s v="USA"/>
    <s v="Kenya"/>
    <s v="Africa"/>
    <x v="0"/>
  </r>
  <r>
    <s v="Ethiopia Kercha Naturally Processed Sidama"/>
    <n v="94"/>
    <s v="Light"/>
    <n v="64"/>
    <n v="81"/>
    <n v="5.23"/>
    <s v="Canada"/>
    <s v="Ethiopia"/>
    <s v="Africa"/>
    <x v="0"/>
  </r>
  <r>
    <s v="Kenya AA Top Lot A114"/>
    <n v="94"/>
    <s v="Medium"/>
    <n v="49"/>
    <n v="62"/>
    <n v="352.74"/>
    <s v="Taiwan"/>
    <s v="Kenya"/>
    <s v="Africa"/>
    <x v="1"/>
  </r>
  <r>
    <s v="Mchana Kenya Peaberry"/>
    <n v="95"/>
    <s v="Medium"/>
    <n v="53"/>
    <n v="65"/>
    <n v="4.7"/>
    <s v="USA"/>
    <s v="Kenya"/>
    <s v="Africa"/>
    <x v="0"/>
  </r>
  <r>
    <s v="Deri Kochoha Ethiopian Sidamo"/>
    <n v="94"/>
    <s v="Medium Light"/>
    <n v="57"/>
    <n v="72"/>
    <n v="4.41"/>
    <s v="USA"/>
    <s v="Ethiopia"/>
    <s v="Africa"/>
    <x v="0"/>
  </r>
  <r>
    <s v="Kemgin Ethiopia"/>
    <n v="94"/>
    <s v="Medium"/>
    <n v="51"/>
    <n v="62"/>
    <n v="4.3"/>
    <s v="USA"/>
    <s v="Ethiopia"/>
    <s v="Africa"/>
    <x v="0"/>
  </r>
  <r>
    <s v="Lintong Sumatra Dolok Sangul"/>
    <n v="94"/>
    <s v="Medium Light"/>
    <n v="54"/>
    <n v="77"/>
    <n v="4.8499999999999996"/>
    <s v="USA"/>
    <s v="Indonesia"/>
    <s v="Asia-Pacific"/>
    <x v="0"/>
  </r>
  <r>
    <s v="Tano Batak Sumatra"/>
    <n v="94"/>
    <s v="Medium Light"/>
    <n v="54"/>
    <n v="73"/>
    <n v="4.1100000000000003"/>
    <s v="USA"/>
    <s v="Indonesia"/>
    <s v="Asia-Pacific"/>
    <x v="0"/>
  </r>
  <r>
    <s v="Momma Bear Espresso"/>
    <n v="94"/>
    <s v="Medium Light"/>
    <n v="56"/>
    <n v="76"/>
    <n v="5"/>
    <s v="USA"/>
    <s v="Unknown"/>
    <s v="NULL"/>
    <x v="0"/>
  </r>
  <r>
    <s v="Ethiopia Yirgacheffe Kochere G1"/>
    <n v="94"/>
    <s v="Medium Light"/>
    <n v="58"/>
    <n v="75"/>
    <n v="4.8499999999999996"/>
    <s v="USA"/>
    <s v="Ethiopia"/>
    <s v="Africa"/>
    <x v="0"/>
  </r>
  <r>
    <s v="Maragogype Honey Process"/>
    <n v="94"/>
    <s v="Medium Light"/>
    <n v="51"/>
    <n v="75"/>
    <n v="20.16"/>
    <s v="USA"/>
    <s v="USA"/>
    <s v="America"/>
    <x v="0"/>
  </r>
  <r>
    <s v="Ulos Batak Sumatra Peaberry"/>
    <n v="95"/>
    <s v="Medium"/>
    <n v="52"/>
    <n v="68"/>
    <n v="4.41"/>
    <s v="USA"/>
    <s v="Indonesia"/>
    <s v="Asia-Pacific"/>
    <x v="0"/>
  </r>
  <r>
    <s v="Ninety Plus Kemgin W2 Ethiopia"/>
    <n v="94"/>
    <s v="Medium"/>
    <n v="49"/>
    <n v="65"/>
    <n v="286.60000000000002"/>
    <s v="Taiwan"/>
    <s v="Ethiopia"/>
    <s v="Africa"/>
    <x v="1"/>
  </r>
  <r>
    <s v="Ethiopia Dry Process Saris Abaya"/>
    <n v="94"/>
    <s v="Medium Light"/>
    <n v="59"/>
    <n v="72"/>
    <n v="198.41"/>
    <s v="Taiwan"/>
    <s v="Ethiopia"/>
    <s v="Africa"/>
    <x v="1"/>
  </r>
  <r>
    <s v="Kenya AB Top Lot Single-Origin Espresso"/>
    <n v="94"/>
    <s v="Medium Dark"/>
    <n v="46"/>
    <n v="53"/>
    <n v="286.60000000000002"/>
    <s v="Taiwan"/>
    <s v="Kenya"/>
    <s v="Africa"/>
    <x v="1"/>
  </r>
  <r>
    <s v="Geisha S94"/>
    <n v="94"/>
    <s v="Light"/>
    <n v="61"/>
    <n v="93"/>
    <n v="288"/>
    <s v="China"/>
    <s v="Panama"/>
    <s v="America"/>
    <x v="1"/>
  </r>
  <r>
    <s v="Sumatra Mandheling Wahana"/>
    <n v="94"/>
    <s v="Medium Light"/>
    <n v="59"/>
    <n v="76"/>
    <n v="3.97"/>
    <s v="USA"/>
    <s v="Indonesia"/>
    <s v="Asia-Pacific"/>
    <x v="0"/>
  </r>
  <r>
    <s v="Geisha P.E.B. (RFA)"/>
    <n v="94"/>
    <s v="Medium Light"/>
    <n v="56"/>
    <n v="83"/>
    <n v="588"/>
    <s v="China"/>
    <s v="Panama"/>
    <s v="America"/>
    <x v="1"/>
  </r>
  <r>
    <s v="Ethiopia Dry Process Grade 1 Aricha Yirgacheffe"/>
    <n v="95"/>
    <s v="Medium Light"/>
    <n v="56"/>
    <n v="81"/>
    <n v="500"/>
    <s v="Taiwan"/>
    <s v="Ethiopia"/>
    <s v="Africa"/>
    <x v="1"/>
  </r>
  <r>
    <s v="Ethiopia Yirgacheffe ECX"/>
    <n v="96"/>
    <s v="Light"/>
    <n v="64"/>
    <n v="83"/>
    <n v="4.5599999999999996"/>
    <s v="USA"/>
    <s v="Ethiopia"/>
    <s v="Africa"/>
    <x v="0"/>
  </r>
  <r>
    <s v="Tchembe Single Origin Espresso"/>
    <n v="94"/>
    <s v="Medium"/>
    <n v="53"/>
    <n v="66"/>
    <n v="5.5"/>
    <s v="USA"/>
    <s v="Unknown"/>
    <s v="NULL"/>
    <x v="0"/>
  </r>
  <r>
    <s v="Ethiopia Ninety Plus Kemgin"/>
    <n v="96"/>
    <s v="Medium Light"/>
    <n v="52"/>
    <n v="73"/>
    <n v="5.29"/>
    <s v="USA"/>
    <s v="Ethiopia"/>
    <s v="Africa"/>
    <x v="0"/>
  </r>
  <r>
    <s v="El Salvador Santa Marta Honey"/>
    <n v="94"/>
    <s v="Medium Light"/>
    <n v="55"/>
    <n v="79"/>
    <n v="4.9800000000000004"/>
    <s v="USA"/>
    <s v="El Salvador"/>
    <s v="America"/>
    <x v="0"/>
  </r>
  <r>
    <s v="Rwanda Nyamasheke"/>
    <n v="95"/>
    <s v="Medium Light"/>
    <n v="56"/>
    <n v="73"/>
    <n v="4.12"/>
    <s v="USA"/>
    <s v="Rwanda"/>
    <s v="Africa"/>
    <x v="0"/>
  </r>
  <r>
    <s v="Kenya Riakiberu Peaberry"/>
    <n v="95"/>
    <s v="Medium"/>
    <n v="45"/>
    <n v="67"/>
    <n v="3.82"/>
    <s v="USA"/>
    <s v="Kenya"/>
    <s v="Africa"/>
    <x v="0"/>
  </r>
  <r>
    <s v="Belekatu Ethiopia Yirgacheffe"/>
    <n v="94"/>
    <s v="Medium Light"/>
    <n v="56"/>
    <n v="78"/>
    <n v="4.41"/>
    <s v="USA"/>
    <s v="Ethiopia"/>
    <s v="Africa"/>
    <x v="0"/>
  </r>
  <r>
    <s v="Yukro Ethiopia"/>
    <n v="94"/>
    <s v="Medium Light"/>
    <n v="57"/>
    <n v="72"/>
    <n v="6.17"/>
    <s v="USA"/>
    <s v="Ethiopia"/>
    <s v="Africa"/>
    <x v="0"/>
  </r>
  <r>
    <s v="Kenya Nyeri Gaturiri Peaberry"/>
    <n v="95"/>
    <s v="Medium"/>
    <n v="49"/>
    <n v="69"/>
    <n v="4.7"/>
    <s v="USA"/>
    <s v="Kenya"/>
    <s v="Africa"/>
    <x v="0"/>
  </r>
  <r>
    <s v="Rutana Burundi Espresso"/>
    <n v="94"/>
    <s v="Medium Dark"/>
    <n v="46"/>
    <n v="55"/>
    <n v="4.1100000000000003"/>
    <s v="USA"/>
    <s v="Burundi"/>
    <s v="Africa"/>
    <x v="0"/>
  </r>
  <r>
    <s v="La Esmeralda Mario Carnaval 2012 Panama"/>
    <n v="96"/>
    <s v="Light"/>
    <n v="66"/>
    <n v="86"/>
    <n v="104.84"/>
    <s v="USA"/>
    <s v="Panama"/>
    <s v="America"/>
    <x v="0"/>
  </r>
  <r>
    <s v="Sumatra Wahana Natural"/>
    <n v="94"/>
    <s v="Medium Light"/>
    <n v="59"/>
    <n v="69"/>
    <n v="4.76"/>
    <s v="USA"/>
    <s v="Indonesia"/>
    <s v="Asia-Pacific"/>
    <x v="0"/>
  </r>
  <r>
    <s v="Harfusa Ethiopia Yirgacheffe Fair Trade Organic"/>
    <n v="94"/>
    <s v="Medium Light"/>
    <n v="56"/>
    <n v="73"/>
    <n v="4.41"/>
    <s v="USA"/>
    <s v="Ethiopia"/>
    <s v="Africa"/>
    <x v="0"/>
  </r>
  <r>
    <s v="Kenya Mukurweini Kamuchuni AA"/>
    <n v="94"/>
    <s v="Medium"/>
    <n v="53"/>
    <n v="63"/>
    <n v="5.29"/>
    <s v="USA"/>
    <s v="Kenya"/>
    <s v="Africa"/>
    <x v="0"/>
  </r>
  <r>
    <s v="Sweet Breeze"/>
    <n v="94"/>
    <s v="Medium Light"/>
    <n v="58"/>
    <n v="76"/>
    <n v="220.46"/>
    <s v="Taiwan"/>
    <s v="Unknown"/>
    <s v="NULL"/>
    <x v="1"/>
  </r>
  <r>
    <s v="Washed Yirgacheffe"/>
    <n v="94"/>
    <s v="Light"/>
    <n v="61"/>
    <n v="81"/>
    <n v="176.37"/>
    <s v="Taiwan"/>
    <s v="Ethiopia"/>
    <s v="Africa"/>
    <x v="1"/>
  </r>
  <r>
    <s v="Ninety Plus Sillvia SK L95"/>
    <n v="94"/>
    <s v="Medium Light"/>
    <n v="55"/>
    <n v="75"/>
    <n v="40"/>
    <s v="China"/>
    <s v="Unknown"/>
    <s v="NULL"/>
    <x v="1"/>
  </r>
  <r>
    <s v="Mexico Santa Teresa BCS 02: Cabernet Franc Barrel"/>
    <n v="95"/>
    <s v="Medium Light"/>
    <n v="58"/>
    <n v="79"/>
    <n v="5.88"/>
    <s v="USA"/>
    <s v="Mexico"/>
    <s v="America"/>
    <x v="0"/>
  </r>
  <r>
    <s v="Yirgacheffe Blue Nile"/>
    <n v="94"/>
    <s v="Medium Light"/>
    <n v="54"/>
    <n v="73"/>
    <n v="3.86"/>
    <s v="USA"/>
    <s v="Ethiopia"/>
    <s v="Africa"/>
    <x v="0"/>
  </r>
  <r>
    <s v="Yirgacheffe Belekatu"/>
    <n v="95"/>
    <s v="Medium Light"/>
    <n v="52"/>
    <n v="70"/>
    <n v="4.41"/>
    <s v="USA"/>
    <s v="Ethiopia"/>
    <s v="Africa"/>
    <x v="0"/>
  </r>
  <r>
    <s v="Ethiopia Yirgacheffe Kochere"/>
    <n v="94"/>
    <s v="Medium Light"/>
    <n v="53"/>
    <n v="69"/>
    <n v="4.3899999999999997"/>
    <s v="USA"/>
    <s v="Ethiopia"/>
    <s v="Africa"/>
    <x v="0"/>
  </r>
  <r>
    <s v="Mario San Jose Geisha"/>
    <n v="94"/>
    <s v="Medium Light"/>
    <n v="54"/>
    <n v="71"/>
    <n v="29.72"/>
    <s v="USA"/>
    <s v="Panama"/>
    <s v="America"/>
    <x v="0"/>
  </r>
  <r>
    <s v="Perci Red Panama Gesha"/>
    <n v="97"/>
    <s v="Medium"/>
    <n v="52"/>
    <n v="67"/>
    <n v="16.739999999999998"/>
    <s v="USA"/>
    <s v="Panama"/>
    <s v="America"/>
    <x v="0"/>
  </r>
  <r>
    <s v="Panama Don Pachi Natural Geisha"/>
    <n v="96"/>
    <s v="Light"/>
    <n v="62"/>
    <n v="86"/>
    <n v="26.45"/>
    <s v="USA"/>
    <s v="Panama"/>
    <s v="America"/>
    <x v="0"/>
  </r>
  <r>
    <s v="Kenya Kamviu"/>
    <n v="95"/>
    <s v="Medium"/>
    <n v="52"/>
    <n v="61"/>
    <n v="4.8499999999999996"/>
    <s v="USA"/>
    <s v="Kenya"/>
    <s v="Africa"/>
    <x v="0"/>
  </r>
  <r>
    <s v="Panama La Esmeralda Especial"/>
    <n v="95"/>
    <s v="Medium Light"/>
    <n v="57"/>
    <n v="74"/>
    <n v="14.09"/>
    <s v="USA"/>
    <s v="Panama"/>
    <s v="America"/>
    <x v="0"/>
  </r>
  <r>
    <s v="Jingle Bell Natural Yirgacheffe"/>
    <n v="95"/>
    <s v="Light"/>
    <n v="58"/>
    <n v="84"/>
    <n v="4.41"/>
    <s v="Taiwan"/>
    <s v="Ethiopia"/>
    <s v="Africa"/>
    <x v="1"/>
  </r>
  <r>
    <s v="Rwanda Abakundakawa"/>
    <n v="94"/>
    <s v="Medium Light"/>
    <n v="58"/>
    <n v="82"/>
    <n v="4.34"/>
    <s v="USA"/>
    <s v="Rwanda"/>
    <s v="Africa"/>
    <x v="0"/>
  </r>
  <r>
    <s v="Ethiopia Nekisse"/>
    <n v="94"/>
    <s v="Light"/>
    <n v="63"/>
    <n v="79"/>
    <n v="9.98"/>
    <s v="USA"/>
    <s v="Ethiopia"/>
    <s v="Africa"/>
    <x v="0"/>
  </r>
  <r>
    <s v="Finca El Injerto Patagonia, Guatemala"/>
    <n v="94"/>
    <s v="Medium Light"/>
    <n v="59"/>
    <n v="78"/>
    <n v="8.8000000000000007"/>
    <s v="USA"/>
    <s v="Guatemala"/>
    <s v="America"/>
    <x v="0"/>
  </r>
  <r>
    <s v="Colombia Geisha"/>
    <n v="94"/>
    <s v="Medium"/>
    <n v="46"/>
    <n v="68"/>
    <n v="8.81"/>
    <s v="USA"/>
    <s v="Colombia"/>
    <s v="America"/>
    <x v="0"/>
  </r>
  <r>
    <s v="Colombia La Esperanza Cerro Azul Geisha"/>
    <n v="96"/>
    <s v="Medium Light"/>
    <n v="58"/>
    <n v="81"/>
    <n v="15.43"/>
    <s v="USA"/>
    <s v="Colombia"/>
    <s v="America"/>
    <x v="0"/>
  </r>
  <r>
    <s v="Ethiopia Washed Yirgacheffe Aroma Roast"/>
    <n v="94"/>
    <s v="Medium"/>
    <n v="53"/>
    <n v="64"/>
    <n v="209.44"/>
    <s v="Taiwan"/>
    <s v="Ethiopia"/>
    <s v="Africa"/>
    <x v="1"/>
  </r>
  <r>
    <s v="Bourbon Duets"/>
    <n v="94"/>
    <s v="Medium"/>
    <n v="47"/>
    <n v="59"/>
    <n v="0.22"/>
    <s v="Taiwan"/>
    <s v="Unknown"/>
    <s v="NULL"/>
    <x v="1"/>
  </r>
  <r>
    <s v="Lycello Panama Gesha"/>
    <n v="95"/>
    <s v="Medium Light"/>
    <n v="56"/>
    <n v="71"/>
    <n v="10.02"/>
    <s v="USA"/>
    <s v="Panama"/>
    <s v="America"/>
    <x v="0"/>
  </r>
  <r>
    <s v="Karatu Kenya AA"/>
    <n v="94"/>
    <s v="Medium"/>
    <n v="53"/>
    <n v="67"/>
    <n v="4.99"/>
    <s v="USA"/>
    <s v="Kenya"/>
    <s v="Africa"/>
    <x v="0"/>
  </r>
  <r>
    <s v="Kenya Mamuto"/>
    <n v="96"/>
    <s v="Medium Light"/>
    <n v="61"/>
    <n v="76"/>
    <n v="7.35"/>
    <s v="USA"/>
    <s v="Kenya"/>
    <s v="Africa"/>
    <x v="0"/>
  </r>
  <r>
    <s v="Kenya Thunguri вЂ“ Top Auction Lot"/>
    <n v="94"/>
    <s v="Medium"/>
    <n v="49"/>
    <n v="62"/>
    <n v="5.57"/>
    <s v="USA"/>
    <s v="Kenya"/>
    <s v="Africa"/>
    <x v="0"/>
  </r>
  <r>
    <s v="Kenya Nyeri AA Tegu"/>
    <n v="95"/>
    <s v="Medium Light"/>
    <n v="56"/>
    <n v="76"/>
    <n v="450"/>
    <s v="Taiwan"/>
    <s v="Kenya"/>
    <s v="Africa"/>
    <x v="1"/>
  </r>
  <r>
    <s v="Panama Gesha Estates: Perci Estate 29 Natural"/>
    <n v="95"/>
    <s v="Medium Light"/>
    <n v="60"/>
    <n v="78"/>
    <n v="19.84"/>
    <s v="USA"/>
    <s v="Panama"/>
    <s v="America"/>
    <x v="0"/>
  </r>
  <r>
    <s v="Ethiopia Hachira"/>
    <n v="94"/>
    <s v="Medium Light"/>
    <n v="58"/>
    <n v="74"/>
    <n v="11.02"/>
    <s v="USA"/>
    <s v="Ethiopia"/>
    <s v="Africa"/>
    <x v="0"/>
  </r>
  <r>
    <s v="Goldilocks Espresso"/>
    <n v="94"/>
    <s v="Medium Light"/>
    <n v="56"/>
    <n v="75"/>
    <n v="4.41"/>
    <s v="USA"/>
    <s v="Unknown"/>
    <s v="NULL"/>
    <x v="0"/>
  </r>
  <r>
    <s v="RoastmasterвЂ™s Reserve Esmeralda"/>
    <n v="97"/>
    <s v="Medium"/>
    <n v="52"/>
    <n v="66"/>
    <n v="8.81"/>
    <s v="USA"/>
    <s v="Panama"/>
    <s v="America"/>
    <x v="0"/>
  </r>
  <r>
    <s v="Panama Don Pachi Natural Geisha"/>
    <n v="94"/>
    <s v="Medium Light"/>
    <n v="61"/>
    <n v="77"/>
    <n v="26.45"/>
    <s v="USA"/>
    <s v="Panama"/>
    <s v="America"/>
    <x v="0"/>
  </r>
  <r>
    <s v="Ethiopia Nanno Challa Cooperative"/>
    <n v="94"/>
    <s v="Medium"/>
    <n v="53"/>
    <n v="66"/>
    <n v="4.9800000000000004"/>
    <s v="USA"/>
    <s v="Ethiopia"/>
    <s v="Africa"/>
    <x v="0"/>
  </r>
  <r>
    <s v="Esmeralda Leon, Panama Geisha Auction Lot"/>
    <n v="96"/>
    <s v="Medium Light"/>
    <n v="52"/>
    <n v="73"/>
    <n v="17.61"/>
    <s v="USA"/>
    <s v="Panama"/>
    <s v="America"/>
    <x v="0"/>
  </r>
  <r>
    <s v="Panama Don Pachi Natural Geisha"/>
    <n v="94"/>
    <s v="Medium Light"/>
    <n v="55"/>
    <n v="78"/>
    <n v="26.43"/>
    <s v="USA"/>
    <s v="Panama"/>
    <s v="America"/>
    <x v="0"/>
  </r>
  <r>
    <s v="Gelena Abaya Natural Processed Ethiopia"/>
    <n v="94"/>
    <s v="Light"/>
    <n v="66"/>
    <n v="88"/>
    <n v="4.41"/>
    <s v="USA"/>
    <s v="Ethiopia"/>
    <s v="Africa"/>
    <x v="0"/>
  </r>
  <r>
    <s v="Ulos Batak Sumatra"/>
    <n v="94"/>
    <s v="Medium Light"/>
    <n v="57"/>
    <n v="82"/>
    <n v="4.41"/>
    <s v="USA"/>
    <s v="Indonesia"/>
    <s v="Asia-Pacific"/>
    <x v="0"/>
  </r>
  <r>
    <s v="Maui Mokka Peaberry"/>
    <n v="95"/>
    <s v="Medium Dark"/>
    <n v="42"/>
    <n v="55"/>
    <n v="10.58"/>
    <s v="USA"/>
    <s v="USA"/>
    <s v="America"/>
    <x v="0"/>
  </r>
  <r>
    <s v="Kona Maragogipe Honey S.O. Espresso"/>
    <n v="94"/>
    <s v="Medium"/>
    <n v="53"/>
    <n v="63"/>
    <n v="705.47"/>
    <s v="Taiwan"/>
    <s v="USA"/>
    <s v="America"/>
    <x v="1"/>
  </r>
  <r>
    <s v="Panama Lerida Estate"/>
    <n v="94"/>
    <s v="Medium"/>
    <n v="51"/>
    <n v="61"/>
    <n v="5.73"/>
    <s v="USA"/>
    <s v="Panama"/>
    <s v="America"/>
    <x v="0"/>
  </r>
  <r>
    <s v="Kenya Mamuto"/>
    <n v="95"/>
    <s v="Medium Light"/>
    <n v="58"/>
    <n v="76"/>
    <n v="8.52"/>
    <s v="USA"/>
    <s v="Kenya"/>
    <s v="Africa"/>
    <x v="0"/>
  </r>
  <r>
    <s v="Colombian La Esperanza"/>
    <n v="94"/>
    <s v="Medium Light"/>
    <n v="58"/>
    <n v="73"/>
    <n v="3.96"/>
    <s v="USA"/>
    <s v="Colombia"/>
    <s v="America"/>
    <x v="0"/>
  </r>
  <r>
    <s v="Colombia Finca Villa Loyola"/>
    <n v="94"/>
    <s v="Medium Light"/>
    <n v="60"/>
    <n v="72"/>
    <n v="5.39"/>
    <s v="USA"/>
    <s v="Colombia"/>
    <s v="America"/>
    <x v="0"/>
  </r>
  <r>
    <s v="El Vergel Guatemala"/>
    <n v="97"/>
    <s v="Medium Light"/>
    <n v="61"/>
    <n v="75"/>
    <n v="4.8499999999999996"/>
    <s v="USA"/>
    <s v="Guatemala"/>
    <s v="America"/>
    <x v="0"/>
  </r>
  <r>
    <s v="Kenya Nyeri AA Gaturiri"/>
    <n v="94"/>
    <s v="Medium Dark"/>
    <n v="45"/>
    <n v="52"/>
    <n v="7.05"/>
    <s v="USA"/>
    <s v="Kenya"/>
    <s v="Africa"/>
    <x v="0"/>
  </r>
  <r>
    <s v="Colombia Huila Monserrate Yaneth Gil Microlot"/>
    <n v="94"/>
    <s v="Medium"/>
    <n v="54"/>
    <n v="63"/>
    <n v="4.1900000000000004"/>
    <s v="USA"/>
    <s v="Colombia"/>
    <s v="America"/>
    <x v="0"/>
  </r>
  <r>
    <s v="Colombia El Roble Single Origin Espresso"/>
    <n v="94"/>
    <s v="Medium"/>
    <n v="48"/>
    <n v="59"/>
    <n v="5.22"/>
    <s v="USA"/>
    <s v="Colombia"/>
    <s v="America"/>
    <x v="0"/>
  </r>
  <r>
    <s v="Kenya AA Top Single Origin Espresso"/>
    <n v="96"/>
    <s v="Medium"/>
    <n v="47"/>
    <n v="59"/>
    <n v="308.64999999999998"/>
    <s v="Taiwan"/>
    <s v="Kenya"/>
    <s v="Africa"/>
    <x v="1"/>
  </r>
  <r>
    <s v="El Salvador Santa Rita"/>
    <n v="94"/>
    <s v="Medium Light"/>
    <n v="56"/>
    <n v="80"/>
    <n v="3.31"/>
    <s v="USA"/>
    <s v="El Salvador"/>
    <s v="America"/>
    <x v="0"/>
  </r>
  <r>
    <s v="Kenya Meru Kinjo Peaberry"/>
    <n v="94"/>
    <s v="Medium Light"/>
    <n v="54"/>
    <n v="72"/>
    <n v="5.88"/>
    <s v="USA"/>
    <s v="Kenya"/>
    <s v="Africa"/>
    <x v="0"/>
  </r>
  <r>
    <s v="Ethiopia Yirgacheffe Gedeo Worka Fair Trade Organic Certified"/>
    <n v="94"/>
    <s v="Light"/>
    <n v="59"/>
    <n v="89"/>
    <n v="52.08"/>
    <s v="USA"/>
    <s v="Ethiopia"/>
    <s v="Africa"/>
    <x v="0"/>
  </r>
  <r>
    <s v="RustyвЂ™s Hawaiian Red Caturra Natural"/>
    <n v="94"/>
    <s v="Medium"/>
    <n v="55"/>
    <n v="64"/>
    <n v="9.92"/>
    <s v="USA"/>
    <s v="USA"/>
    <s v="America"/>
    <x v="0"/>
  </r>
  <r>
    <s v="Guatemala El Injerto Pacamara"/>
    <n v="95"/>
    <s v="Medium"/>
    <n v="54"/>
    <n v="64"/>
    <n v="7.71"/>
    <s v="USA"/>
    <s v="Guatemala"/>
    <s v="America"/>
    <x v="0"/>
  </r>
  <r>
    <s v="Guatemala El Diamante"/>
    <n v="94"/>
    <s v="Medium Light"/>
    <n v="53"/>
    <n v="70"/>
    <n v="4.5599999999999996"/>
    <s v="USA"/>
    <s v="Guatemala"/>
    <s v="America"/>
    <x v="0"/>
  </r>
  <r>
    <s v="Honey Pot Espresso"/>
    <n v="94"/>
    <s v="Medium Light"/>
    <n v="55"/>
    <n v="74"/>
    <n v="4.7"/>
    <s v="USA"/>
    <s v="Unknown"/>
    <s v="NULL"/>
    <x v="0"/>
  </r>
  <r>
    <s v="Mocha Java"/>
    <n v="95"/>
    <s v="Medium"/>
    <n v="47"/>
    <n v="62"/>
    <n v="2.79"/>
    <s v="USA"/>
    <s v="Unknown"/>
    <s v="NULL"/>
    <x v="0"/>
  </r>
  <r>
    <s v="Guatemala Pandora Pacamara Medium-Light Roast"/>
    <n v="96"/>
    <s v="Medium"/>
    <n v="52"/>
    <n v="63"/>
    <n v="11.02"/>
    <s v="Taiwan"/>
    <s v="Guatemala"/>
    <s v="America"/>
    <x v="1"/>
  </r>
  <r>
    <s v="Panama Geisha Aroma Roast"/>
    <n v="95"/>
    <s v="Medium"/>
    <n v="49"/>
    <n v="71"/>
    <n v="1146.3800000000001"/>
    <s v="Taiwan"/>
    <s v="Panama"/>
    <s v="America"/>
    <x v="1"/>
  </r>
  <r>
    <s v="Starlight Blend"/>
    <n v="96"/>
    <s v="Medium"/>
    <n v="54"/>
    <n v="67"/>
    <n v="3.3"/>
    <s v="USA"/>
    <s v="Unknown"/>
    <s v="NULL"/>
    <x v="0"/>
  </r>
  <r>
    <s v="Kenya Nyeri AB Gichatha-ini Signature Series"/>
    <n v="97"/>
    <s v="Medium"/>
    <n v="45"/>
    <n v="60"/>
    <n v="4.8499999999999996"/>
    <s v="USA"/>
    <s v="Kenya"/>
    <s v="Africa"/>
    <x v="0"/>
  </r>
  <r>
    <s v="Colombia Tolimas"/>
    <n v="95"/>
    <s v="Medium"/>
    <n v="50"/>
    <n v="56"/>
    <n v="4.41"/>
    <s v="USA"/>
    <s v="Colombia"/>
    <s v="America"/>
    <x v="0"/>
  </r>
  <r>
    <s v="Ethiopia Harrar"/>
    <n v="94"/>
    <s v="Medium"/>
    <n v="48"/>
    <n v="70"/>
    <n v="4.53"/>
    <s v="USA"/>
    <s v="Ethiopia"/>
    <s v="Africa"/>
    <x v="0"/>
  </r>
  <r>
    <s v="El Salvador Nombre de Dios"/>
    <n v="94"/>
    <s v="Medium Light"/>
    <n v="53"/>
    <n v="73"/>
    <n v="4.12"/>
    <s v="USA"/>
    <s v="El Salvador"/>
    <s v="America"/>
    <x v="0"/>
  </r>
  <r>
    <s v="Panama Elida Estate"/>
    <n v="95"/>
    <s v="Medium Light"/>
    <n v="54"/>
    <n v="80"/>
    <n v="4.12"/>
    <s v="USA"/>
    <s v="Panama"/>
    <s v="America"/>
    <x v="0"/>
  </r>
  <r>
    <s v="Panama Elida Estate Natural Process"/>
    <n v="94"/>
    <s v="Medium Light"/>
    <n v="52"/>
    <n v="76"/>
    <n v="4.12"/>
    <s v="USA"/>
    <s v="Panama"/>
    <s v="America"/>
    <x v="0"/>
  </r>
  <r>
    <s v="Ethiopia Sidamo Guji"/>
    <n v="94"/>
    <s v="Medium Light"/>
    <n v="57"/>
    <n v="81"/>
    <n v="3.67"/>
    <s v="USA"/>
    <s v="Ethiopia"/>
    <s v="Africa"/>
    <x v="0"/>
  </r>
  <r>
    <s v="Kenya Karinga"/>
    <n v="95"/>
    <s v="Medium"/>
    <n v="52"/>
    <n v="67"/>
    <n v="5.88"/>
    <s v="USA"/>
    <s v="Kenya"/>
    <s v="Africa"/>
    <x v="0"/>
  </r>
  <r>
    <s v="Kenya Karatu AA"/>
    <n v="95"/>
    <s v="Medium"/>
    <n v="50"/>
    <n v="68"/>
    <n v="8.8000000000000007"/>
    <s v="USA"/>
    <s v="Kenya"/>
    <s v="Africa"/>
    <x v="0"/>
  </r>
  <r>
    <s v="Kenya Giakanja"/>
    <n v="94"/>
    <s v="Medium Light"/>
    <n v="51"/>
    <n v="75"/>
    <n v="6.75"/>
    <s v="USA"/>
    <s v="Kenya"/>
    <s v="Africa"/>
    <x v="0"/>
  </r>
  <r>
    <s v="Kenya AA Kiaora Estate Full City Roast"/>
    <n v="94"/>
    <s v="Medium"/>
    <n v="47"/>
    <n v="56"/>
    <n v="3.75"/>
    <s v="USA"/>
    <s v="Kenya"/>
    <s v="Africa"/>
    <x v="0"/>
  </r>
  <r>
    <s v="Kenya Kiandu"/>
    <n v="95"/>
    <s v="Medium Light"/>
    <n v="54"/>
    <n v="81"/>
    <n v="6.76"/>
    <s v="USA"/>
    <s v="Kenya"/>
    <s v="Africa"/>
    <x v="0"/>
  </r>
  <r>
    <s v="Kenya Kirinyaga Kii Peaberry Espresso"/>
    <n v="94"/>
    <s v="Medium Dark"/>
    <n v="37"/>
    <n v="49"/>
    <n v="4.0999999999999996"/>
    <s v="USA"/>
    <s v="Kenya"/>
    <s v="Africa"/>
    <x v="0"/>
  </r>
  <r>
    <s v="Sumatra Lake Tawar"/>
    <n v="94"/>
    <s v="Medium"/>
    <n v="49"/>
    <n v="56"/>
    <n v="4.63"/>
    <s v="USA"/>
    <s v="Indonesia"/>
    <s v="Asia-Pacific"/>
    <x v="0"/>
  </r>
  <r>
    <s v="Espresso Nuevo"/>
    <n v="95"/>
    <s v="Medium Dark"/>
    <n v="39"/>
    <n v="54"/>
    <n v="3.81"/>
    <s v="USA"/>
    <s v="Unknown"/>
    <s v="NULL"/>
    <x v="0"/>
  </r>
  <r>
    <s v="Nicaragua SHG"/>
    <n v="94"/>
    <s v="Medium"/>
    <n v="50"/>
    <n v="61"/>
    <n v="3.53"/>
    <s v="USA"/>
    <s v="Nicaragua"/>
    <s v="America"/>
    <x v="0"/>
  </r>
  <r>
    <s v="Costa Rica Micro Lot вЂњPepeвЂќ Honey Processed"/>
    <n v="95"/>
    <s v="Medium Light"/>
    <n v="53"/>
    <n v="69"/>
    <n v="4.38"/>
    <s v="USA"/>
    <s v="Costa Rica"/>
    <s v="America"/>
    <x v="0"/>
  </r>
  <r>
    <s v="Panama Gesha 2011"/>
    <n v="94"/>
    <s v="Medium"/>
    <n v="53"/>
    <n v="68"/>
    <n v="11.01"/>
    <s v="USA"/>
    <s v="Panama"/>
    <s v="America"/>
    <x v="0"/>
  </r>
  <r>
    <s v="Guatemala Xeucalvitz"/>
    <n v="95"/>
    <s v="Medium Light"/>
    <n v="58"/>
    <n v="79"/>
    <n v="136.36000000000001"/>
    <s v="USA"/>
    <s v="Guatemala"/>
    <s v="America"/>
    <x v="0"/>
  </r>
  <r>
    <s v="Kenya Gethembwini"/>
    <n v="95"/>
    <s v="Medium Light"/>
    <n v="57"/>
    <n v="73"/>
    <n v="6.17"/>
    <s v="USA"/>
    <s v="Kenya"/>
    <s v="Africa"/>
    <x v="0"/>
  </r>
  <r>
    <s v="Ibonia Kenya Peaberry"/>
    <n v="94"/>
    <s v="Medium"/>
    <n v="51"/>
    <n v="69"/>
    <n v="170.45"/>
    <s v="USA"/>
    <s v="Kenya"/>
    <s v="Africa"/>
    <x v="0"/>
  </r>
  <r>
    <s v="Colombia Finca Cerro Azul"/>
    <n v="95"/>
    <s v="Medium Light"/>
    <n v="57"/>
    <n v="68"/>
    <n v="8.3800000000000008"/>
    <s v="USA"/>
    <s v="Colombia"/>
    <s v="America"/>
    <x v="0"/>
  </r>
  <r>
    <s v="El Patron Nicaragua Espresso"/>
    <n v="94"/>
    <s v="Medium Dark"/>
    <n v="46"/>
    <n v="53"/>
    <n v="2.86"/>
    <s v="Canada"/>
    <s v="Nicaragua"/>
    <s v="America"/>
    <x v="0"/>
  </r>
  <r>
    <s v="Ethiopia Yirgacheffe Addis Ketema North Italian Espresso Roast"/>
    <n v="94"/>
    <s v="Medium"/>
    <n v="50"/>
    <n v="59"/>
    <n v="4.7"/>
    <s v="USA"/>
    <s v="Ethiopia"/>
    <s v="Africa"/>
    <x v="0"/>
  </r>
  <r>
    <s v="Bolivia Caranavi Cenaproc Co-op"/>
    <n v="94"/>
    <s v="Medium Dark"/>
    <n v="43"/>
    <n v="55"/>
    <n v="4.1900000000000004"/>
    <s v="USA"/>
    <s v="Bolivia"/>
    <s v="America"/>
    <x v="0"/>
  </r>
  <r>
    <s v="Kenya Ndiara"/>
    <n v="94"/>
    <s v="Medium"/>
    <n v="52"/>
    <n v="68"/>
    <n v="5.44"/>
    <s v="USA"/>
    <s v="Kenya"/>
    <s v="Africa"/>
    <x v="0"/>
  </r>
  <r>
    <s v="Guatemala La Conception"/>
    <n v="95"/>
    <s v="Medium"/>
    <n v="53"/>
    <n v="59"/>
    <n v="4.9800000000000004"/>
    <s v="USA"/>
    <s v="Guatemala"/>
    <s v="America"/>
    <x v="0"/>
  </r>
  <r>
    <s v="Colombia La Escuelita"/>
    <n v="95"/>
    <s v="Medium Light"/>
    <n v="57"/>
    <n v="65"/>
    <n v="147.72999999999999"/>
    <s v="USA"/>
    <s v="Colombia"/>
    <s v="America"/>
    <x v="0"/>
  </r>
  <r>
    <s v="Kenya Thiriku Top Auction Lot"/>
    <n v="95"/>
    <s v="Medium"/>
    <n v="54"/>
    <n v="64"/>
    <n v="5.95"/>
    <s v="USA"/>
    <s v="Kenya"/>
    <s v="Africa"/>
    <x v="0"/>
  </r>
  <r>
    <s v="Extra Fancy Kona Coffee Medium Roast"/>
    <n v="94"/>
    <s v="Medium Light"/>
    <n v="55"/>
    <n v="71"/>
    <n v="8.81"/>
    <s v="USA"/>
    <s v="USA"/>
    <s v="America"/>
    <x v="0"/>
  </r>
  <r>
    <s v="El Salvador La Montana Pacamara"/>
    <n v="94"/>
    <s v="Medium"/>
    <n v="55"/>
    <n v="61"/>
    <n v="4.63"/>
    <s v="USA"/>
    <s v="El Salvador"/>
    <s v="America"/>
    <x v="0"/>
  </r>
  <r>
    <s v="Stars of Formosa Blend"/>
    <n v="94"/>
    <s v="Medium Light"/>
    <n v="54"/>
    <n v="78"/>
    <n v="264.55"/>
    <s v="Taiwan"/>
    <s v="Unknown"/>
    <s v="NULL"/>
    <x v="1"/>
  </r>
  <r>
    <s v="Kenya Kagongo Peaberry"/>
    <n v="95"/>
    <s v="Medium"/>
    <n v="45"/>
    <n v="59"/>
    <n v="5.59"/>
    <s v="USA"/>
    <s v="Kenya"/>
    <s v="Africa"/>
    <x v="0"/>
  </r>
  <r>
    <s v="Kenya Peaberry Muthunzunni Estate"/>
    <n v="95"/>
    <s v="Medium Dark"/>
    <n v="43"/>
    <n v="54"/>
    <n v="4.0999999999999996"/>
    <s v="USA"/>
    <s v="Kenya"/>
    <s v="Africa"/>
    <x v="0"/>
  </r>
  <r>
    <s v="Kenya Kangunu"/>
    <n v="95"/>
    <s v="Medium"/>
    <n v="50"/>
    <n v="66"/>
    <n v="6.17"/>
    <s v="USA"/>
    <s v="Kenya"/>
    <s v="Africa"/>
    <x v="0"/>
  </r>
  <r>
    <s v="Ethiopia Konga Co-op Yirgacheffe"/>
    <n v="95"/>
    <s v="Medium"/>
    <n v="50"/>
    <n v="66"/>
    <n v="4.6900000000000004"/>
    <s v="USA"/>
    <s v="Ethiopia"/>
    <s v="Africa"/>
    <x v="0"/>
  </r>
  <r>
    <s v="Honduras David Mancia"/>
    <n v="94"/>
    <s v="Medium Light"/>
    <n v="57"/>
    <n v="73"/>
    <n v="119.32"/>
    <s v="USA"/>
    <s v="Honduras"/>
    <s v="America"/>
    <x v="0"/>
  </r>
  <r>
    <s v="Hawaii Isla Kona Mauka"/>
    <n v="94"/>
    <s v="Medium Light"/>
    <n v="53"/>
    <n v="71"/>
    <n v="13.28"/>
    <s v="USA"/>
    <s v="USA"/>
    <s v="America"/>
    <x v="0"/>
  </r>
  <r>
    <s v="Ethiopia Nekisse Espresso"/>
    <n v="94"/>
    <s v="Medium"/>
    <n v="48"/>
    <n v="56"/>
    <n v="11.16"/>
    <s v="USA"/>
    <s v="Ethiopia"/>
    <s v="Africa"/>
    <x v="0"/>
  </r>
  <r>
    <s v="Panama Mama Cata Geisha"/>
    <n v="95"/>
    <s v="Medium"/>
    <n v="47"/>
    <n v="62"/>
    <n v="15.5"/>
    <s v="USA"/>
    <s v="Panama"/>
    <s v="America"/>
    <x v="0"/>
  </r>
  <r>
    <s v="El Salvador Pacamara Finca Los Alpes The Bank"/>
    <n v="94"/>
    <s v="Medium Light"/>
    <n v="58"/>
    <n v="78"/>
    <n v="4.3899999999999997"/>
    <s v="USA"/>
    <s v="El Salvador"/>
    <s v="America"/>
    <x v="0"/>
  </r>
  <r>
    <s v="Honduras Fernandez Farm"/>
    <n v="94"/>
    <s v="Medium Light"/>
    <n v="54"/>
    <n v="73"/>
    <n v="7.94"/>
    <s v="USA"/>
    <s v="Honduras"/>
    <s v="America"/>
    <x v="0"/>
  </r>
  <r>
    <s v="Resiprocate Verita Espresso"/>
    <n v="94"/>
    <s v="Medium Dark"/>
    <n v="40"/>
    <n v="49"/>
    <n v="2"/>
    <s v="Canada"/>
    <s v="Unknown"/>
    <s v="NULL"/>
    <x v="0"/>
  </r>
  <r>
    <s v="KaвЂ™u Coffee Natural Dried"/>
    <n v="95"/>
    <s v="Medium"/>
    <n v="46"/>
    <n v="67"/>
    <n v="11.9"/>
    <s v="USA"/>
    <s v="USA"/>
    <s v="America"/>
    <x v="0"/>
  </r>
  <r>
    <s v="Stars of Italy Espresso"/>
    <n v="96"/>
    <s v="Medium"/>
    <n v="46"/>
    <n v="60"/>
    <n v="264.55"/>
    <s v="Taiwan"/>
    <s v="Unknown"/>
    <s v="NULL"/>
    <x v="1"/>
  </r>
  <r>
    <s v="Guatemala Hunapu Antigua Bourbon"/>
    <n v="97"/>
    <s v="Medium"/>
    <n v="48"/>
    <n v="58"/>
    <n v="4.41"/>
    <s v="USA"/>
    <s v="Guatemala"/>
    <s v="America"/>
    <x v="0"/>
  </r>
  <r>
    <s v="Kenya Bourbon French Mission"/>
    <n v="94"/>
    <s v="Medium Light"/>
    <n v="55"/>
    <n v="83"/>
    <n v="264.55"/>
    <s v="Taiwan"/>
    <s v="Kenya"/>
    <s v="Africa"/>
    <x v="1"/>
  </r>
  <r>
    <s v="Kenya Peaberry Kirinyaga Kii"/>
    <n v="94"/>
    <s v="Medium Light"/>
    <n v="49"/>
    <n v="73"/>
    <n v="4.3899999999999997"/>
    <s v="USA"/>
    <s v="Kenya"/>
    <s v="Africa"/>
    <x v="0"/>
  </r>
  <r>
    <s v="El Salvador Pacamara Finca Los Alpes Tierra Fertil"/>
    <n v="94"/>
    <s v="Medium Light"/>
    <n v="56"/>
    <n v="69"/>
    <n v="3.51"/>
    <s v="USA"/>
    <s v="El Salvador"/>
    <s v="America"/>
    <x v="0"/>
  </r>
  <r>
    <s v="Panama Esmeralda Mario Carnival"/>
    <n v="94"/>
    <s v="Medium"/>
    <n v="52"/>
    <n v="68"/>
    <n v="15.5"/>
    <s v="USA"/>
    <s v="Panama"/>
    <s v="America"/>
    <x v="0"/>
  </r>
  <r>
    <s v="Panama La Esmeralda Especial Mario San Jose"/>
    <n v="94"/>
    <s v="Medium"/>
    <n v="49"/>
    <n v="62"/>
    <n v="12.35"/>
    <s v="USA"/>
    <s v="Panama"/>
    <s v="America"/>
    <x v="0"/>
  </r>
  <r>
    <s v="Mocha Java Espresso"/>
    <n v="95"/>
    <s v="Medium"/>
    <n v="48"/>
    <n v="57"/>
    <n v="3.31"/>
    <s v="Canada"/>
    <s v="Unknown"/>
    <s v="NULL"/>
    <x v="0"/>
  </r>
  <r>
    <s v="Ethiopia Nekisse"/>
    <n v="96"/>
    <s v="Medium"/>
    <n v="50"/>
    <n v="65"/>
    <n v="11.16"/>
    <s v="USA"/>
    <s v="Ethiopia"/>
    <s v="Africa"/>
    <x v="0"/>
  </r>
  <r>
    <s v="Sumatra Aceh Pondok"/>
    <n v="94"/>
    <s v="Medium Light"/>
    <n v="58"/>
    <n v="83"/>
    <n v="3.51"/>
    <s v="USA"/>
    <s v="Indonesia"/>
    <s v="Asia-Pacific"/>
    <x v="0"/>
  </r>
  <r>
    <s v="Ethiopian Sidamo Fair Trade/Organic"/>
    <n v="95"/>
    <s v="Medium Light"/>
    <n v="57"/>
    <n v="76"/>
    <n v="3.81"/>
    <s v="USA"/>
    <s v="Ethiopia"/>
    <s v="Africa"/>
    <x v="0"/>
  </r>
  <r>
    <s v="PeopleвЂ™s Daily Espresso"/>
    <n v="94"/>
    <s v="Medium"/>
    <n v="48"/>
    <n v="57"/>
    <n v="3.53"/>
    <s v="Canada"/>
    <s v="El Salvador"/>
    <s v="America"/>
    <x v="0"/>
  </r>
  <r>
    <s v="Tanzanian Songea Peaberry"/>
    <n v="94"/>
    <s v="Medium"/>
    <n v="47"/>
    <n v="62"/>
    <n v="3.88"/>
    <s v="Canada"/>
    <s v="Tanzania"/>
    <s v="Africa"/>
    <x v="0"/>
  </r>
  <r>
    <s v="La Esperanza Colombia Huila"/>
    <n v="95"/>
    <s v="Medium Light"/>
    <n v="63"/>
    <n v="72"/>
    <n v="4.9800000000000004"/>
    <s v="USA"/>
    <s v="Colombia"/>
    <s v="America"/>
    <x v="0"/>
  </r>
  <r>
    <s v="Ethiopia Yirga Cheffe Koke Espresso"/>
    <n v="94"/>
    <s v="Medium Light"/>
    <n v="53"/>
    <n v="72"/>
    <n v="105.11"/>
    <s v="USA"/>
    <s v="Ethiopia"/>
    <s v="Africa"/>
    <x v="0"/>
  </r>
  <r>
    <s v="Ethiopia Sidama ARDI"/>
    <n v="95"/>
    <s v="Medium Light"/>
    <n v="54"/>
    <n v="76"/>
    <n v="113.64"/>
    <s v="USA"/>
    <s v="Ethiopia"/>
    <s v="Africa"/>
    <x v="0"/>
  </r>
  <r>
    <s v="Sumatra Lake Tawar"/>
    <n v="94"/>
    <s v="Medium"/>
    <n v="46"/>
    <n v="60"/>
    <n v="3.2"/>
    <s v="USA"/>
    <s v="Indonesia"/>
    <s v="Asia-Pacific"/>
    <x v="0"/>
  </r>
  <r>
    <s v="Ethiopia Yirgacheffe"/>
    <n v="94"/>
    <s v="Medium Light"/>
    <n v="59"/>
    <n v="82"/>
    <n v="3.82"/>
    <s v="USA"/>
    <s v="Ethiopia"/>
    <s v="Africa"/>
    <x v="0"/>
  </r>
  <r>
    <s v="Sulawesi Toraja"/>
    <n v="94"/>
    <s v="Medium"/>
    <n v="49"/>
    <n v="71"/>
    <n v="385.01"/>
    <s v="USA"/>
    <s v="Indonesia"/>
    <s v="Asia-Pacific"/>
    <x v="0"/>
  </r>
  <r>
    <s v="Indonesia Blue Batak Peaberry"/>
    <n v="94"/>
    <s v="Medium Dark"/>
    <n v="39"/>
    <n v="53"/>
    <n v="1245.71"/>
    <s v="USA"/>
    <s v="Indonesia"/>
    <s v="Asia-Pacific"/>
    <x v="0"/>
  </r>
  <r>
    <s v="Romance by Paradise"/>
    <n v="94"/>
    <s v="Light"/>
    <n v="62"/>
    <n v="89"/>
    <n v="10.7"/>
    <s v="USA"/>
    <s v="Unknown"/>
    <s v="NULL"/>
    <x v="0"/>
  </r>
  <r>
    <s v="Ethiopia Washed Yirgacheffe, Koke Grade 1"/>
    <n v="97"/>
    <s v="Medium Light"/>
    <n v="49"/>
    <n v="78"/>
    <n v="6.37"/>
    <s v="Taiwan"/>
    <s v="Ethiopia"/>
    <s v="Africa"/>
    <x v="1"/>
  </r>
  <r>
    <s v="Kenya AA Top"/>
    <n v="96"/>
    <s v="Medium"/>
    <n v="49"/>
    <n v="64"/>
    <n v="79.66"/>
    <s v="Taiwan"/>
    <s v="Kenya"/>
    <s v="Africa"/>
    <x v="1"/>
  </r>
  <r>
    <s v="Costa Rica Finca Cerro Palado"/>
    <n v="95"/>
    <s v="Medium Light"/>
    <n v="55"/>
    <n v="77"/>
    <n v="5.33"/>
    <s v="USA"/>
    <s v="Costa Rica"/>
    <s v="America"/>
    <x v="0"/>
  </r>
  <r>
    <s v="Ethiopia Yirgacheffe Koke"/>
    <n v="94"/>
    <s v="Medium"/>
    <n v="51"/>
    <n v="70"/>
    <n v="93.62"/>
    <s v="USA"/>
    <s v="Ethiopia"/>
    <s v="Africa"/>
    <x v="0"/>
  </r>
  <r>
    <s v="Kenya Gichathaini"/>
    <n v="94"/>
    <s v="Medium Light"/>
    <n v="52"/>
    <n v="82"/>
    <n v="45.88"/>
    <s v="USA"/>
    <s v="Kenya"/>
    <s v="Africa"/>
    <x v="0"/>
  </r>
  <r>
    <s v="La Esmeralda"/>
    <n v="95"/>
    <s v="Medium Light"/>
    <n v="55"/>
    <n v="82"/>
    <n v="11.29"/>
    <s v="USA"/>
    <s v="Panama"/>
    <s v="America"/>
    <x v="0"/>
  </r>
  <r>
    <s v="Sumatra Danau Toba"/>
    <n v="94"/>
    <s v="Medium Light"/>
    <n v="58"/>
    <n v="73"/>
    <n v="5.18"/>
    <s v="USA"/>
    <s v="Indonesia"/>
    <s v="Asia-Pacific"/>
    <x v="0"/>
  </r>
  <r>
    <s v="Kenya Githiru"/>
    <n v="95"/>
    <s v="Medium Light"/>
    <n v="53"/>
    <n v="75"/>
    <n v="233.63"/>
    <s v="USA"/>
    <s v="Kenya"/>
    <s v="Africa"/>
    <x v="0"/>
  </r>
  <r>
    <s v="Panama Elida Estate Natural"/>
    <n v="95"/>
    <s v="Medium Light"/>
    <n v="55"/>
    <n v="79"/>
    <n v="123.6"/>
    <s v="USA"/>
    <s v="Panama"/>
    <s v="America"/>
    <x v="0"/>
  </r>
  <r>
    <s v="Fair Trade Organic Ethiopia Yirgacheffe"/>
    <n v="94"/>
    <s v="Medium"/>
    <n v="45"/>
    <n v="61"/>
    <n v="98.18"/>
    <s v="USA"/>
    <s v="Ethiopia"/>
    <s v="Africa"/>
    <x v="0"/>
  </r>
  <r>
    <s v="Hacienda La Esmeralda Special Mario Carnaval"/>
    <n v="96"/>
    <s v="Light"/>
    <n v="59"/>
    <n v="99"/>
    <n v="123.62"/>
    <s v="USA"/>
    <s v="Panama"/>
    <s v="America"/>
    <x v="0"/>
  </r>
  <r>
    <s v="Panama El Burro Estate"/>
    <n v="94"/>
    <s v="Medium"/>
    <n v="44"/>
    <n v="73"/>
    <n v="219.28"/>
    <s v="USA"/>
    <s v="Panama"/>
    <s v="America"/>
    <x v="0"/>
  </r>
  <r>
    <s v="KaвЂ™u Bourbon"/>
    <n v="95"/>
    <s v="Medium"/>
    <n v="49"/>
    <n v="69"/>
    <n v="32.869999999999997"/>
    <s v="USA"/>
    <s v="USA"/>
    <s v="America"/>
    <x v="0"/>
  </r>
  <r>
    <s v="Kenya Peaberry Thika Gethumbwini"/>
    <n v="96"/>
    <s v="Light"/>
    <n v="57"/>
    <n v="90"/>
    <n v="76.13"/>
    <s v="USA"/>
    <s v="Kenya"/>
    <s v="Africa"/>
    <x v="0"/>
  </r>
  <r>
    <s v="Burundi Kinyovu"/>
    <n v="95"/>
    <s v="Medium Light"/>
    <n v="53"/>
    <n v="77"/>
    <n v="5.53"/>
    <s v="USA"/>
    <s v="Burundi"/>
    <s v="Africa"/>
    <x v="0"/>
  </r>
  <r>
    <s v="Bonsai Blend Espresso"/>
    <n v="94"/>
    <s v="Medium Dark"/>
    <n v="37"/>
    <n v="47"/>
    <n v="68.180000000000007"/>
    <s v="USA"/>
    <s v="Unknown"/>
    <s v="NULL"/>
    <x v="0"/>
  </r>
  <r>
    <s v="Ethiopia Yirgacheffe Beloya Selection 8"/>
    <n v="95"/>
    <s v="Light"/>
    <n v="65"/>
    <n v="91"/>
    <n v="22.96"/>
    <s v="USA"/>
    <s v="Ethiopia"/>
    <s v="Africa"/>
    <x v="0"/>
  </r>
  <r>
    <s v="Romance by Paradise"/>
    <n v="95"/>
    <s v="Medium"/>
    <n v="51"/>
    <n v="66"/>
    <n v="6.42"/>
    <s v="USA"/>
    <s v="Unknown"/>
    <s v="NULL"/>
    <x v="0"/>
  </r>
  <r>
    <s v="Kenya AA Gachatha"/>
    <n v="95"/>
    <s v="Medium"/>
    <n v="47"/>
    <n v="58"/>
    <n v="104.06"/>
    <s v="USA"/>
    <s v="Kenya"/>
    <s v="Africa"/>
    <x v="0"/>
  </r>
  <r>
    <s v="вЂњKona SweetвЂќ 100% Kona"/>
    <n v="97"/>
    <s v="Light"/>
    <n v="62"/>
    <n v="83"/>
    <n v="2008.52"/>
    <s v="USA"/>
    <s v="USA"/>
    <s v="America"/>
    <x v="0"/>
  </r>
  <r>
    <s v="Kenya Ndiara Full Flavor Roast"/>
    <n v="96"/>
    <s v="Medium Light"/>
    <n v="56"/>
    <n v="75"/>
    <n v="12.45"/>
    <s v="USA"/>
    <s v="Kenya"/>
    <s v="Africa"/>
    <x v="0"/>
  </r>
  <r>
    <s v="Kenya Ndaroini Microlot"/>
    <n v="95"/>
    <s v="Medium"/>
    <n v="52"/>
    <n v="69"/>
    <n v="5.75"/>
    <s v="USA"/>
    <s v="Kenya"/>
    <s v="Africa"/>
    <x v="0"/>
  </r>
  <r>
    <s v="Kenya Mamuto"/>
    <n v="96"/>
    <s v="Medium"/>
    <n v="49"/>
    <n v="69"/>
    <n v="32.869999999999997"/>
    <s v="USA"/>
    <s v="Kenya"/>
    <s v="Africa"/>
    <x v="0"/>
  </r>
  <r>
    <s v="Sumatra Lintong"/>
    <n v="94"/>
    <s v="Medium Light"/>
    <n v="55"/>
    <n v="75"/>
    <n v="22.05"/>
    <s v="USA"/>
    <s v="Indonesia"/>
    <s v="Asia-Pacific"/>
    <x v="0"/>
  </r>
  <r>
    <s v="Panama Elida Natural"/>
    <n v="95"/>
    <s v="Medium Light"/>
    <n v="57"/>
    <n v="81"/>
    <n v="10.37"/>
    <s v="USA"/>
    <s v="Panama"/>
    <s v="America"/>
    <x v="0"/>
  </r>
  <r>
    <s v="Sumatra Danau Toba"/>
    <n v="94"/>
    <s v="Medium Light"/>
    <n v="50"/>
    <n v="74"/>
    <n v="63.49"/>
    <s v="USA"/>
    <s v="Indonesia"/>
    <s v="Asia-Pacific"/>
    <x v="0"/>
  </r>
  <r>
    <s v="Ethiopia Sidamo Special Prep"/>
    <n v="95"/>
    <s v="Light"/>
    <n v="71"/>
    <n v="98"/>
    <n v="24.18"/>
    <s v="USA"/>
    <s v="Ethiopia"/>
    <s v="Africa"/>
    <x v="0"/>
  </r>
  <r>
    <s v="El Salvador Finca Kilimanjaro"/>
    <n v="95"/>
    <s v="Light"/>
    <n v="71"/>
    <n v="99"/>
    <n v="11.95"/>
    <s v="USA"/>
    <s v="El Salvador"/>
    <s v="America"/>
    <x v="0"/>
  </r>
  <r>
    <s v="El Salvador Finca Siberia Pacamara"/>
    <n v="94"/>
    <s v="Medium"/>
    <n v="50"/>
    <n v="56"/>
    <n v="5.07"/>
    <s v="USA"/>
    <s v="El Salvador"/>
    <s v="America"/>
    <x v="0"/>
  </r>
  <r>
    <s v="Panama Esmeralda Especial"/>
    <n v="94"/>
    <s v="Light"/>
    <n v="57"/>
    <n v="86"/>
    <n v="200.59"/>
    <s v="USA"/>
    <s v="Panama"/>
    <s v="America"/>
    <x v="0"/>
  </r>
  <r>
    <s v="La Esmeralda Panama"/>
    <n v="95"/>
    <s v="Medium Light"/>
    <n v="54"/>
    <n v="71"/>
    <n v="51.92"/>
    <s v="USA"/>
    <s v="Panama"/>
    <s v="America"/>
    <x v="0"/>
  </r>
  <r>
    <s v="Panama Esmeralda Lot 9"/>
    <n v="94"/>
    <s v="Medium Light"/>
    <n v="54"/>
    <n v="79"/>
    <n v="118.06"/>
    <s v="USA"/>
    <s v="Panama"/>
    <s v="America"/>
    <x v="0"/>
  </r>
  <r>
    <s v="Ethiopia Awassa Special"/>
    <n v="94"/>
    <s v="Light"/>
    <n v="57"/>
    <n v="85"/>
    <n v="41.72"/>
    <s v="USA"/>
    <s v="Ethiopia"/>
    <s v="Africa"/>
    <x v="0"/>
  </r>
  <r>
    <s v="Kenya Peaberry Nyeri-Tatu"/>
    <n v="94"/>
    <s v="Medium"/>
    <n v="48"/>
    <n v="63"/>
    <n v="122.58"/>
    <s v="USA"/>
    <s v="Kenya"/>
    <s v="Africa"/>
    <x v="0"/>
  </r>
  <r>
    <s v="El Salvador Pacamara Tierra Fertil Los Alpes Reserva"/>
    <n v="94"/>
    <s v="Light"/>
    <n v="75"/>
    <n v="97"/>
    <n v="9.4700000000000006"/>
    <s v="USA"/>
    <s v="El Salvador"/>
    <s v="America"/>
    <x v="0"/>
  </r>
  <r>
    <s v="Ruvuma Tanzanian Peaberry"/>
    <n v="95"/>
    <s v="Medium"/>
    <n v="44"/>
    <n v="63"/>
    <n v="168.52"/>
    <s v="USA"/>
    <s v="Tanzania"/>
    <s v="Africa"/>
    <x v="0"/>
  </r>
  <r>
    <s v="Ethiopia Sidamo Natural Korate"/>
    <n v="94"/>
    <s v="Medium Light"/>
    <n v="52"/>
    <n v="73"/>
    <n v="54.07"/>
    <s v="USA"/>
    <s v="Ethiopia"/>
    <s v="Africa"/>
    <x v="0"/>
  </r>
  <r>
    <s v="Kenya AA Nyeri Tatu"/>
    <n v="94"/>
    <s v="Medium Dark"/>
    <n v="42"/>
    <n v="46"/>
    <n v="213.26"/>
    <s v="USA"/>
    <s v="Kenya"/>
    <s v="Africa"/>
    <x v="0"/>
  </r>
  <r>
    <s v="Kenya Peaberry Ruera Estate"/>
    <n v="96"/>
    <s v="Medium Dark"/>
    <n v="46"/>
    <n v="54"/>
    <n v="134.6"/>
    <s v="USA"/>
    <s v="Kenya"/>
    <s v="Africa"/>
    <x v="0"/>
  </r>
  <r>
    <s v="Brazil Fazenda Boa Vista"/>
    <n v="94"/>
    <s v="Medium"/>
    <n v="55"/>
    <n v="65"/>
    <n v="416.54"/>
    <s v="USA"/>
    <s v="Brazil"/>
    <s v="America"/>
    <x v="0"/>
  </r>
  <r>
    <s v="Panama Elida Estate"/>
    <n v="95"/>
    <s v="Light"/>
    <n v="64"/>
    <n v="82"/>
    <n v="72.290000000000006"/>
    <s v="USA"/>
    <s v="Panama"/>
    <s v="America"/>
    <x v="0"/>
  </r>
  <r>
    <s v="Ethiopia Yirgacheffe Aricha Selection #7"/>
    <n v="94"/>
    <s v="Medium"/>
    <n v="49"/>
    <n v="65"/>
    <n v="106.56"/>
    <s v="USA"/>
    <s v="Ethiopia"/>
    <s v="Africa"/>
    <x v="0"/>
  </r>
  <r>
    <s v="Guatemala El Injerto"/>
    <n v="94"/>
    <s v="Medium Light"/>
    <n v="58"/>
    <n v="72"/>
    <n v="6.51"/>
    <s v="USA"/>
    <s v="Guatemala"/>
    <s v="America"/>
    <x v="0"/>
  </r>
  <r>
    <s v="Kenya Mamuto"/>
    <n v="97"/>
    <s v="Medium"/>
    <n v="53"/>
    <n v="65"/>
    <n v="13.31"/>
    <s v="USA"/>
    <s v="Kenya"/>
    <s v="Africa"/>
    <x v="0"/>
  </r>
  <r>
    <s v="Sumatra Danau Toba"/>
    <n v="96"/>
    <s v="Medium Light"/>
    <n v="58"/>
    <n v="78"/>
    <n v="260.88"/>
    <s v="USA"/>
    <s v="Indonesia"/>
    <s v="Asia-Pacific"/>
    <x v="0"/>
  </r>
  <r>
    <s v="Organic Colombia"/>
    <n v="95"/>
    <s v="Medium"/>
    <n v="51"/>
    <n v="62"/>
    <n v="4.3499999999999996"/>
    <s v="USA"/>
    <s v="Colombia"/>
    <s v="America"/>
    <x v="0"/>
  </r>
  <r>
    <s v="Colombia Tolima Jairo Guiterrez Micro-Lot 07"/>
    <n v="95"/>
    <s v="Medium"/>
    <n v="52"/>
    <n v="59"/>
    <n v="4.7"/>
    <s v="USA"/>
    <s v="Colombia"/>
    <s v="America"/>
    <x v="0"/>
  </r>
  <r>
    <s v="Tres Santos Micro-Lot La Dorada Cauca"/>
    <n v="94"/>
    <s v="Medium Light"/>
    <n v="56"/>
    <n v="66"/>
    <n v="462.48"/>
    <s v="USA"/>
    <s v="Colombia"/>
    <s v="America"/>
    <x v="0"/>
  </r>
  <r>
    <s v="Nectar"/>
    <n v="94"/>
    <s v="Medium Light"/>
    <n v="52"/>
    <n v="75"/>
    <n v="140.51"/>
    <s v="USA"/>
    <s v="Panama"/>
    <s v="America"/>
    <x v="0"/>
  </r>
  <r>
    <s v="La Minita Costa Rica"/>
    <n v="94"/>
    <s v="Medium Light"/>
    <n v="59"/>
    <n v="79"/>
    <n v="100.77"/>
    <s v="USA"/>
    <s v="Costa Rica"/>
    <s v="America"/>
    <x v="0"/>
  </r>
  <r>
    <s v="Kenya Kigutha"/>
    <n v="95"/>
    <s v="Medium"/>
    <n v="53"/>
    <n v="65"/>
    <n v="4.8899999999999997"/>
    <s v="USA"/>
    <s v="Kenya"/>
    <s v="Africa"/>
    <x v="0"/>
  </r>
  <r>
    <s v="Hacienda La Esmeralda"/>
    <n v="94"/>
    <s v="Medium Light"/>
    <n v="54"/>
    <n v="76"/>
    <n v="113.76"/>
    <s v="USA"/>
    <s v="Panama"/>
    <s v="America"/>
    <x v="0"/>
  </r>
  <r>
    <s v="Kenya AA Mathareini"/>
    <n v="94"/>
    <s v="Medium"/>
    <n v="50"/>
    <n v="59"/>
    <n v="4.1399999999999997"/>
    <s v="USA"/>
    <s v="Kenya"/>
    <s v="Africa"/>
    <x v="0"/>
  </r>
  <r>
    <s v="Sumatra Lake Tawar"/>
    <n v="95"/>
    <s v="Medium"/>
    <n v="48"/>
    <n v="63"/>
    <n v="326.82"/>
    <s v="USA"/>
    <s v="Indonesia"/>
    <s v="Asia-Pacific"/>
    <x v="0"/>
  </r>
  <r>
    <s v="Kenyan Highland Cooperatives"/>
    <n v="96"/>
    <s v="Medium Dark"/>
    <n v="44"/>
    <n v="56"/>
    <n v="619.29999999999995"/>
    <s v="USA"/>
    <s v="Kenya"/>
    <s v="Africa"/>
    <x v="0"/>
  </r>
  <r>
    <s v="Esmeralda Especial Best of Panama"/>
    <n v="97"/>
    <s v="Medium"/>
    <n v="44"/>
    <n v="58"/>
    <n v="405.76"/>
    <s v="USA"/>
    <s v="Panama"/>
    <s v="America"/>
    <x v="0"/>
  </r>
  <r>
    <s v="Esmeralda Especial Panama"/>
    <n v="94"/>
    <s v="Medium"/>
    <n v="51"/>
    <n v="66"/>
    <n v="30.44"/>
    <s v="USA"/>
    <s v="Panama"/>
    <s v="America"/>
    <x v="0"/>
  </r>
  <r>
    <s v="Rwanda Karaba Fair Trade"/>
    <n v="96"/>
    <s v="Medium Light"/>
    <n v="53"/>
    <n v="69"/>
    <n v="9.1"/>
    <s v="USA"/>
    <s v="Rwanda"/>
    <s v="Africa"/>
    <x v="0"/>
  </r>
  <r>
    <s v="Kenya Karogoto"/>
    <n v="96"/>
    <s v="Medium Light"/>
    <n v="52"/>
    <n v="71"/>
    <n v="30.12"/>
    <s v="USA"/>
    <s v="Kenya"/>
    <s v="Africa"/>
    <x v="0"/>
  </r>
  <r>
    <s v="Panama Hacienda La Esmeralda Gesha"/>
    <n v="96"/>
    <s v="Medium"/>
    <n v="51"/>
    <n v="69"/>
    <n v="18.190000000000001"/>
    <s v="USA"/>
    <s v="Panama"/>
    <s v="America"/>
    <x v="0"/>
  </r>
  <r>
    <s v="Panama Esmeralda Especial"/>
    <n v="97"/>
    <s v="Medium"/>
    <n v="51"/>
    <n v="65"/>
    <n v="80.14"/>
    <s v="USA"/>
    <s v="Panama"/>
    <s v="America"/>
    <x v="0"/>
  </r>
  <r>
    <s v="Kenya AA Wagamuga Auction Lot"/>
    <n v="97"/>
    <s v="Medium"/>
    <n v="45"/>
    <n v="70"/>
    <n v="323.33999999999997"/>
    <s v="USA"/>
    <s v="Kenya"/>
    <s v="Africa"/>
    <x v="0"/>
  </r>
  <r>
    <s v="Aricha Selection Seven Ethiopia Yirgacheffe"/>
    <n v="95"/>
    <s v="Light"/>
    <n v="63"/>
    <n v="86"/>
    <n v="52.2"/>
    <s v="USA"/>
    <s v="Ethiopia"/>
    <s v="Africa"/>
    <x v="0"/>
  </r>
  <r>
    <s v="Kenya Peaberry Deep River Estate"/>
    <n v="95"/>
    <s v="Medium"/>
    <n v="44"/>
    <n v="58"/>
    <n v="477.67"/>
    <s v="USA"/>
    <s v="Kenya"/>
    <s v="Africa"/>
    <x v="0"/>
  </r>
  <r>
    <s v="Ethiopia Biloya Special"/>
    <n v="97"/>
    <s v="Medium Light"/>
    <n v="57"/>
    <n v="78"/>
    <n v="57.46"/>
    <s v="USA"/>
    <s v="Ethiopia"/>
    <s v="Africa"/>
    <x v="0"/>
  </r>
  <r>
    <s v="Huila El Palacio Colombia"/>
    <n v="94"/>
    <s v="Medium"/>
    <n v="55"/>
    <n v="66"/>
    <n v="414.95"/>
    <s v="USA"/>
    <s v="Colombia"/>
    <s v="America"/>
    <x v="0"/>
  </r>
  <r>
    <s v="El Salvador Los Planes Cup of Excellence 2006"/>
    <n v="95"/>
    <s v="Medium"/>
    <n v="50"/>
    <n v="62"/>
    <n v="111.72"/>
    <s v="USA"/>
    <s v="El Salvador"/>
    <s v="America"/>
    <x v="0"/>
  </r>
  <r>
    <s v="Natural Decaf Espresso"/>
    <n v="94"/>
    <s v="Dark"/>
    <n v="30"/>
    <n v="44"/>
    <n v="286.60000000000002"/>
    <s v="USA"/>
    <s v="Unknown"/>
    <s v="NULL"/>
    <x v="0"/>
  </r>
  <r>
    <s v="Decaf Organic Caffe Volcan"/>
    <n v="94"/>
    <s v="Medium Dark"/>
    <n v="39"/>
    <n v="57"/>
    <n v="159.26"/>
    <s v="USA"/>
    <s v="Unknown"/>
    <s v="NULL"/>
    <x v="0"/>
  </r>
  <r>
    <s v="Colombia Cauca, Special Micro-Lot Selection Juvenal Penna"/>
    <n v="94"/>
    <s v="Medium"/>
    <n v="46"/>
    <n v="58"/>
    <n v="194.62"/>
    <s v="USA"/>
    <s v="Colombia"/>
    <s v="America"/>
    <x v="0"/>
  </r>
  <r>
    <s v="Colombia El Castillo Micro-Lot Nelson Melo"/>
    <n v="94"/>
    <s v="Medium Dark"/>
    <n v="46"/>
    <n v="53"/>
    <n v="98.84"/>
    <s v="USA"/>
    <s v="Colombia"/>
    <s v="America"/>
    <x v="0"/>
  </r>
  <r>
    <s v="Colombia Hato Viejo Cup of Excellence"/>
    <n v="94"/>
    <s v="Medium"/>
    <n v="49"/>
    <n v="65"/>
    <n v="106.56"/>
    <s v="USA"/>
    <s v="Colombia"/>
    <s v="America"/>
    <x v="0"/>
  </r>
  <r>
    <s v="Colombia Tolima Reynel Perez Micro-Lot"/>
    <n v="96"/>
    <s v="Medium"/>
    <n v="52"/>
    <n v="66"/>
    <n v="13.17"/>
    <s v="USA"/>
    <s v="Colombia"/>
    <s v="America"/>
    <x v="0"/>
  </r>
  <r>
    <s v="Colombia Huila Supremo"/>
    <n v="94"/>
    <s v="Medium Light"/>
    <n v="57"/>
    <n v="68"/>
    <n v="5.63"/>
    <s v="USA"/>
    <s v="Colombia"/>
    <s v="America"/>
    <x v="0"/>
  </r>
  <r>
    <s v="Kenyan AA"/>
    <n v="96"/>
    <s v="Medium Light"/>
    <n v="55"/>
    <n v="72"/>
    <n v="252.88"/>
    <s v="USA"/>
    <s v="Kenya"/>
    <s v="Africa"/>
    <x v="0"/>
  </r>
  <r>
    <s v="El Salvador Los Planes Pacamara"/>
    <n v="96"/>
    <s v="Medium Light"/>
    <n v="58"/>
    <n v="71"/>
    <n v="10.38"/>
    <s v="USA"/>
    <s v="El Salvador"/>
    <s v="America"/>
    <x v="0"/>
  </r>
  <r>
    <s v="El Salvador Pacamara Los Planes"/>
    <n v="95"/>
    <s v="Medium"/>
    <n v="49"/>
    <n v="60"/>
    <n v="3.89"/>
    <s v="USA"/>
    <s v="El Salvador"/>
    <s v="America"/>
    <x v="0"/>
  </r>
  <r>
    <s v="Panama Esmeralda Especial"/>
    <n v="95"/>
    <s v="Medium Light"/>
    <n v="56"/>
    <n v="69"/>
    <n v="7.64"/>
    <s v="USA"/>
    <s v="Panama"/>
    <s v="America"/>
    <x v="0"/>
  </r>
  <r>
    <s v="Nicaragua El Progresso COE Lot #1"/>
    <n v="95"/>
    <s v="Medium Light"/>
    <n v="55"/>
    <n v="71"/>
    <n v="11.13"/>
    <s v="USA"/>
    <s v="Nicaragua"/>
    <s v="America"/>
    <x v="0"/>
  </r>
  <r>
    <s v="Kenya Mamuto Kirinyaga"/>
    <n v="96"/>
    <s v="Medium"/>
    <n v="52"/>
    <n v="65"/>
    <n v="7.39"/>
    <s v="USA"/>
    <s v="Kenya"/>
    <s v="Africa"/>
    <x v="0"/>
  </r>
  <r>
    <s v="Sumatra Lake Tawar"/>
    <n v="94"/>
    <s v="Medium Dark"/>
    <n v="46"/>
    <n v="54"/>
    <n v="134.6"/>
    <s v="USA"/>
    <s v="Indonesia"/>
    <s v="Asia-Pacific"/>
    <x v="0"/>
  </r>
  <r>
    <s v="Sumatra Lake Tawar"/>
    <n v="94"/>
    <s v="Medium Dark"/>
    <n v="42"/>
    <n v="51"/>
    <n v="76.73"/>
    <s v="USA"/>
    <s v="Indonesia"/>
    <s v="Asia-Pacific"/>
    <x v="0"/>
  </r>
  <r>
    <s v="Belle Espresso"/>
    <n v="94"/>
    <s v="Medium Dark"/>
    <n v="43"/>
    <n v="49"/>
    <n v="4.88"/>
    <s v="USA"/>
    <s v="Ethiopia"/>
    <s v="Africa"/>
    <x v="0"/>
  </r>
  <r>
    <s v="Colombia Pitalito Estate"/>
    <n v="94"/>
    <s v="Medium"/>
    <n v="56"/>
    <n v="63"/>
    <n v="7.52"/>
    <s v="USA"/>
    <s v="Colombia"/>
    <s v="America"/>
    <x v="0"/>
  </r>
  <r>
    <s v="Hamma Cooperative Yirgacheffe, Fair-Trade Organic"/>
    <n v="95"/>
    <s v="Medium Light"/>
    <n v="54"/>
    <n v="73"/>
    <n v="51.33"/>
    <s v="USA"/>
    <s v="Ethiopia"/>
    <s v="Africa"/>
    <x v="0"/>
  </r>
  <r>
    <s v="Sumatra Golden Mandheling"/>
    <n v="94"/>
    <s v="Medium"/>
    <n v="51"/>
    <n v="68"/>
    <n v="122.5"/>
    <s v="USA"/>
    <s v="Indonesia"/>
    <s v="Asia-Pacific"/>
    <x v="0"/>
  </r>
  <r>
    <s v="Guatemala Antigua вЂ“ Finca La Tacita"/>
    <n v="94"/>
    <s v="Medium"/>
    <n v="51"/>
    <n v="64"/>
    <n v="75.599999999999994"/>
    <s v="USA"/>
    <s v="Guatemala"/>
    <s v="America"/>
    <x v="0"/>
  </r>
  <r>
    <s v="Kenya AA Nyeri Fine Cup"/>
    <n v="94"/>
    <s v="Dark"/>
    <n v="35"/>
    <n v="43"/>
    <n v="205.91"/>
    <s v="USA"/>
    <s v="Kenya"/>
    <s v="Africa"/>
    <x v="0"/>
  </r>
  <r>
    <s v="El Salvador Montecarlos Tablon Crater"/>
    <n v="94"/>
    <s v="Medium Light"/>
    <n v="55"/>
    <n v="72"/>
    <n v="47.23"/>
    <s v="USA"/>
    <s v="El Salvador"/>
    <s v="America"/>
    <x v="0"/>
  </r>
  <r>
    <s v="El Salvador Montecarlos Peaberry"/>
    <n v="94"/>
    <s v="Medium"/>
    <n v="53"/>
    <n v="64"/>
    <n v="249.35"/>
    <s v="USA"/>
    <s v="El Salvador"/>
    <s v="America"/>
    <x v="0"/>
  </r>
  <r>
    <s v="Nicaragua Maragogipe Organic"/>
    <n v="94"/>
    <s v="Medium Dark"/>
    <n v="46"/>
    <n v="54"/>
    <n v="134.6"/>
    <s v="USA"/>
    <s v="Nicaragua"/>
    <s v="America"/>
    <x v="0"/>
  </r>
  <r>
    <s v="Kenya AA, 2003 Crop"/>
    <n v="95"/>
    <s v="Medium"/>
    <n v="49"/>
    <n v="66"/>
    <n v="10"/>
    <s v="USA"/>
    <s v="Kenya"/>
    <s v="Africa"/>
    <x v="0"/>
  </r>
  <r>
    <s v="Kenya AA"/>
    <n v="94"/>
    <s v="Medium"/>
    <n v="43"/>
    <n v="76"/>
    <n v="180.28"/>
    <s v="USA"/>
    <s v="Kenya"/>
    <s v="Africa"/>
    <x v="0"/>
  </r>
  <r>
    <s v="Kenya"/>
    <n v="94"/>
    <s v="Medium Dark"/>
    <n v="42"/>
    <n v="47"/>
    <n v="106.72"/>
    <s v="USA"/>
    <s v="Kenya"/>
    <s v="Africa"/>
    <x v="0"/>
  </r>
  <r>
    <s v="Fair Trade Organic Guatemala"/>
    <n v="94"/>
    <s v="Very Dark"/>
    <n v="0"/>
    <n v="66"/>
    <n v="184.51"/>
    <s v="USA"/>
    <s v="Guatemala"/>
    <s v="America"/>
    <x v="0"/>
  </r>
  <r>
    <s v="Nicaraguan Maracaturra Light Roast"/>
    <n v="94"/>
    <s v="Medium Light"/>
    <n v="75"/>
    <n v="63"/>
    <n v="224.33"/>
    <s v="USA"/>
    <s v="Nicaragua"/>
    <s v="America"/>
    <x v="0"/>
  </r>
  <r>
    <s v="Elm City House Blend"/>
    <n v="94"/>
    <s v="Dark"/>
    <n v="38"/>
    <n v="43"/>
    <n v="198.56"/>
    <s v="USA"/>
    <s v="Unknown"/>
    <s v="NULL"/>
    <x v="0"/>
  </r>
  <r>
    <s v="Vienna Roast"/>
    <n v="94"/>
    <s v="Medium Dark"/>
    <n v="38"/>
    <n v="44"/>
    <n v="198.57"/>
    <s v="USA"/>
    <s v="Unknown"/>
    <s v="NULL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4420C-52EF-4984-B680-667377D50761}" name="PivotTable4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101:M106" firstHeaderRow="1" firstDataRow="1" firstDataCol="1"/>
  <pivotFields count="1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29868-845B-4B99-A31F-C1763DAC9D99}" name="PivotTable3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77:M8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agtron_roast" fld="4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2018D0-C447-40F8-877E-AB78FD0231C4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K29:L33" firstHeaderRow="1" firstDataRow="1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price_per_100g" fld="5" subtotal="average" baseField="8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28F96-1CE6-490C-8615-6DC254723066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52:L56" firstHeaderRow="1" firstDataRow="1" firstDataCol="1"/>
  <pivotFields count="9"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Average of agtron_ground" fld="3" subtotal="average" baseField="8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1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opLeftCell="C2" zoomScale="73" workbookViewId="0">
      <selection activeCell="K3" sqref="K3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D8B6-456C-4F92-A6B5-3B19B6FF5843}">
  <dimension ref="A1:O2189"/>
  <sheetViews>
    <sheetView tabSelected="1" topLeftCell="E101" zoomScale="101" workbookViewId="0">
      <selection activeCell="O106" sqref="O106"/>
    </sheetView>
  </sheetViews>
  <sheetFormatPr defaultRowHeight="14.4" x14ac:dyDescent="0.3"/>
  <cols>
    <col min="10" max="10" width="28.33203125" customWidth="1"/>
    <col min="11" max="12" width="13" bestFit="1" customWidth="1"/>
    <col min="13" max="13" width="24.88671875" bestFit="1" customWidth="1"/>
  </cols>
  <sheetData>
    <row r="1" spans="1:14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2074</v>
      </c>
      <c r="J1" t="s">
        <v>2075</v>
      </c>
      <c r="M1" s="5" t="s">
        <v>2068</v>
      </c>
      <c r="N1" s="5" t="s">
        <v>2069</v>
      </c>
    </row>
    <row r="2" spans="1:14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  <c r="I2" t="str">
        <f>_xlfn.XLOOKUP(H2, $M$2:$M$50, $N$2:$N$50, "Other")</f>
        <v>America</v>
      </c>
      <c r="J2" t="str">
        <f>_xlfn.XLOOKUP(G2, $M$2:$M$50, $N$2:$N$50, "Other")</f>
        <v>America</v>
      </c>
      <c r="M2" t="str" cm="1">
        <f t="array" ref="M2:M26">_xlfn.UNIQUE(H2:H2189)</f>
        <v>Colombia</v>
      </c>
      <c r="N2" t="s">
        <v>2070</v>
      </c>
    </row>
    <row r="3" spans="1:14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  <c r="I3" t="str">
        <f t="shared" ref="I3:I66" si="0">_xlfn.XLOOKUP(H3, $M$2:$M$50, $N$2:$N$50, "Other")</f>
        <v>America</v>
      </c>
      <c r="J3" t="str">
        <f t="shared" ref="J3:J66" si="1">_xlfn.XLOOKUP(G3, $M$2:$M$50, $N$2:$N$50, "Other")</f>
        <v>America</v>
      </c>
      <c r="M3" t="str">
        <v>Ethiopia</v>
      </c>
      <c r="N3" t="s">
        <v>2071</v>
      </c>
    </row>
    <row r="4" spans="1:14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  <c r="I4" t="str">
        <f t="shared" si="0"/>
        <v>Africa</v>
      </c>
      <c r="J4" t="str">
        <f t="shared" si="1"/>
        <v>America</v>
      </c>
      <c r="M4" t="str">
        <v>Taiwan</v>
      </c>
      <c r="N4" t="s">
        <v>2072</v>
      </c>
    </row>
    <row r="5" spans="1:14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  <c r="I5" t="str">
        <f t="shared" si="0"/>
        <v>Africa</v>
      </c>
      <c r="J5" t="str">
        <f t="shared" si="1"/>
        <v>Asia-Pacific</v>
      </c>
      <c r="M5" t="str">
        <v>Peru</v>
      </c>
      <c r="N5" t="s">
        <v>2070</v>
      </c>
    </row>
    <row r="6" spans="1:14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  <c r="I6" t="str">
        <f t="shared" si="0"/>
        <v>Africa</v>
      </c>
      <c r="J6" t="str">
        <f t="shared" si="1"/>
        <v>Asia-Pacific</v>
      </c>
      <c r="M6" t="str">
        <v>Tanzania</v>
      </c>
      <c r="N6" t="s">
        <v>2071</v>
      </c>
    </row>
    <row r="7" spans="1:14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  <c r="I7" t="str">
        <f t="shared" si="0"/>
        <v>Africa</v>
      </c>
      <c r="J7" t="str">
        <f t="shared" si="1"/>
        <v>Asia-Pacific</v>
      </c>
      <c r="M7" t="str">
        <v>Ecuador</v>
      </c>
      <c r="N7" t="s">
        <v>2070</v>
      </c>
    </row>
    <row r="8" spans="1:14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  <c r="I8" t="str">
        <f t="shared" si="0"/>
        <v>Asia-Pacific</v>
      </c>
      <c r="J8" t="str">
        <f t="shared" si="1"/>
        <v>Asia-Pacific</v>
      </c>
      <c r="M8" t="str">
        <v>Costa Rica</v>
      </c>
      <c r="N8" t="s">
        <v>2070</v>
      </c>
    </row>
    <row r="9" spans="1:14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  <c r="I9" t="str">
        <f t="shared" si="0"/>
        <v>America</v>
      </c>
      <c r="J9" t="str">
        <f t="shared" si="1"/>
        <v>Asia-Pacific</v>
      </c>
      <c r="M9" t="str">
        <v>Brazil</v>
      </c>
      <c r="N9" t="s">
        <v>2070</v>
      </c>
    </row>
    <row r="10" spans="1:14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  <c r="I10" t="str">
        <f t="shared" si="0"/>
        <v>America</v>
      </c>
      <c r="J10" t="str">
        <f t="shared" si="1"/>
        <v>Asia-Pacific</v>
      </c>
      <c r="M10" t="str">
        <v>Kenya</v>
      </c>
      <c r="N10" t="s">
        <v>2071</v>
      </c>
    </row>
    <row r="11" spans="1:14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  <c r="I11" t="str">
        <f t="shared" si="0"/>
        <v>Asia-Pacific</v>
      </c>
      <c r="J11" t="str">
        <f t="shared" si="1"/>
        <v>Asia-Pacific</v>
      </c>
      <c r="M11" t="str">
        <v>USA</v>
      </c>
      <c r="N11" t="s">
        <v>2070</v>
      </c>
    </row>
    <row r="12" spans="1:14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  <c r="I12" t="str">
        <f t="shared" si="0"/>
        <v>Africa</v>
      </c>
      <c r="J12" t="str">
        <f t="shared" si="1"/>
        <v>Asia-Pacific</v>
      </c>
      <c r="M12" t="str">
        <v>Rwanda</v>
      </c>
      <c r="N12" t="s">
        <v>2071</v>
      </c>
    </row>
    <row r="13" spans="1:14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  <c r="I13" t="str">
        <f t="shared" si="0"/>
        <v>America</v>
      </c>
      <c r="J13" t="str">
        <f t="shared" si="1"/>
        <v>America</v>
      </c>
      <c r="M13" t="str">
        <v>Guatemala</v>
      </c>
      <c r="N13" t="s">
        <v>2070</v>
      </c>
    </row>
    <row r="14" spans="1:14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  <c r="I14" t="str">
        <f t="shared" si="0"/>
        <v>America</v>
      </c>
      <c r="J14" t="str">
        <f t="shared" si="1"/>
        <v>America</v>
      </c>
      <c r="M14" t="str">
        <v>Panama</v>
      </c>
      <c r="N14" t="s">
        <v>2070</v>
      </c>
    </row>
    <row r="15" spans="1:14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  <c r="I15" t="str">
        <f t="shared" si="0"/>
        <v>Africa</v>
      </c>
      <c r="J15" t="str">
        <f t="shared" si="1"/>
        <v>America</v>
      </c>
      <c r="M15" t="str">
        <v>Mexico</v>
      </c>
      <c r="N15" t="s">
        <v>2070</v>
      </c>
    </row>
    <row r="16" spans="1:14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  <c r="I16" t="str">
        <f t="shared" si="0"/>
        <v>Africa</v>
      </c>
      <c r="J16" t="str">
        <f t="shared" si="1"/>
        <v>Asia-Pacific</v>
      </c>
      <c r="M16" t="str">
        <v>Yemen</v>
      </c>
      <c r="N16" t="s">
        <v>2071</v>
      </c>
    </row>
    <row r="17" spans="1:14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  <c r="I17" t="str">
        <f t="shared" si="0"/>
        <v>Africa</v>
      </c>
      <c r="J17" t="str">
        <f t="shared" si="1"/>
        <v>Asia-Pacific</v>
      </c>
      <c r="M17" t="str">
        <v>Indonesia</v>
      </c>
      <c r="N17" t="s">
        <v>2072</v>
      </c>
    </row>
    <row r="18" spans="1:14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  <c r="I18" t="str">
        <f t="shared" si="0"/>
        <v>America</v>
      </c>
      <c r="J18" t="str">
        <f t="shared" si="1"/>
        <v>America</v>
      </c>
      <c r="M18" t="str">
        <v>El Salvador</v>
      </c>
      <c r="N18" t="s">
        <v>2070</v>
      </c>
    </row>
    <row r="19" spans="1:14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  <c r="I19" t="str">
        <f t="shared" si="0"/>
        <v>America</v>
      </c>
      <c r="J19" t="str">
        <f t="shared" si="1"/>
        <v>America</v>
      </c>
      <c r="M19" t="str">
        <v>Unknown</v>
      </c>
      <c r="N19" t="s">
        <v>2073</v>
      </c>
    </row>
    <row r="20" spans="1:14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  <c r="I20" t="str">
        <f t="shared" si="0"/>
        <v>Africa</v>
      </c>
      <c r="J20" t="str">
        <f t="shared" si="1"/>
        <v>America</v>
      </c>
      <c r="M20" t="str">
        <v>Honduras</v>
      </c>
      <c r="N20" t="s">
        <v>2070</v>
      </c>
    </row>
    <row r="21" spans="1:14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  <c r="I21" t="str">
        <f t="shared" si="0"/>
        <v>America</v>
      </c>
      <c r="J21" t="str">
        <f t="shared" si="1"/>
        <v>America</v>
      </c>
      <c r="M21" t="str">
        <v>Burundi</v>
      </c>
      <c r="N21" t="s">
        <v>2071</v>
      </c>
    </row>
    <row r="22" spans="1:14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  <c r="I22" t="str">
        <f t="shared" si="0"/>
        <v>Africa</v>
      </c>
      <c r="J22" t="str">
        <f t="shared" si="1"/>
        <v>America</v>
      </c>
      <c r="M22" t="str">
        <v>Papua New Guinea</v>
      </c>
      <c r="N22" t="s">
        <v>2072</v>
      </c>
    </row>
    <row r="23" spans="1:14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  <c r="I23" t="str">
        <f t="shared" si="0"/>
        <v>America</v>
      </c>
      <c r="J23" t="str">
        <f t="shared" si="1"/>
        <v>America</v>
      </c>
      <c r="M23" t="str">
        <v>Nicaragua</v>
      </c>
      <c r="N23" t="s">
        <v>2070</v>
      </c>
    </row>
    <row r="24" spans="1:14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  <c r="I24" t="str">
        <f t="shared" si="0"/>
        <v>America</v>
      </c>
      <c r="J24" t="str">
        <f t="shared" si="1"/>
        <v>Asia-Pacific</v>
      </c>
      <c r="M24" t="str">
        <v>Democratic Republic of the Congo</v>
      </c>
      <c r="N24" t="s">
        <v>2071</v>
      </c>
    </row>
    <row r="25" spans="1:14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  <c r="I25" t="str">
        <f t="shared" si="0"/>
        <v>Africa</v>
      </c>
      <c r="J25" t="str">
        <f t="shared" si="1"/>
        <v>Asia-Pacific</v>
      </c>
      <c r="M25" t="str">
        <v>China</v>
      </c>
      <c r="N25" t="s">
        <v>2072</v>
      </c>
    </row>
    <row r="26" spans="1:14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  <c r="I26" t="str">
        <f t="shared" si="0"/>
        <v>America</v>
      </c>
      <c r="J26" t="str">
        <f t="shared" si="1"/>
        <v>Asia-Pacific</v>
      </c>
      <c r="M26" t="str">
        <v>Bolivia</v>
      </c>
      <c r="N26" t="s">
        <v>2070</v>
      </c>
    </row>
    <row r="27" spans="1:14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  <c r="I27" t="str">
        <f t="shared" si="0"/>
        <v>Africa</v>
      </c>
      <c r="J27" t="str">
        <f t="shared" si="1"/>
        <v>Asia-Pacific</v>
      </c>
      <c r="M27" t="s">
        <v>27</v>
      </c>
      <c r="N27" t="s">
        <v>2072</v>
      </c>
    </row>
    <row r="28" spans="1:14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  <c r="I28" t="str">
        <f t="shared" si="0"/>
        <v>America</v>
      </c>
      <c r="J28" t="str">
        <f t="shared" si="1"/>
        <v>America</v>
      </c>
      <c r="M28" t="s">
        <v>30</v>
      </c>
      <c r="N28" t="s">
        <v>2072</v>
      </c>
    </row>
    <row r="29" spans="1:14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  <c r="I29" t="str">
        <f t="shared" si="0"/>
        <v>America</v>
      </c>
      <c r="J29" t="str">
        <f t="shared" si="1"/>
        <v>America</v>
      </c>
      <c r="K29" s="1" t="s">
        <v>0</v>
      </c>
      <c r="L29" t="s">
        <v>1</v>
      </c>
      <c r="M29" t="s">
        <v>28</v>
      </c>
      <c r="N29" t="s">
        <v>2076</v>
      </c>
    </row>
    <row r="30" spans="1:14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  <c r="I30" t="str">
        <f t="shared" si="0"/>
        <v>America</v>
      </c>
      <c r="J30" t="str">
        <f t="shared" si="1"/>
        <v>America</v>
      </c>
      <c r="K30" s="2" t="s">
        <v>2070</v>
      </c>
      <c r="L30" s="3">
        <v>110.41752360965383</v>
      </c>
      <c r="M30" t="s">
        <v>29</v>
      </c>
      <c r="N30" t="s">
        <v>2072</v>
      </c>
    </row>
    <row r="31" spans="1:14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  <c r="I31" t="str">
        <f t="shared" si="0"/>
        <v>Africa</v>
      </c>
      <c r="J31" t="str">
        <f t="shared" si="1"/>
        <v>America</v>
      </c>
      <c r="K31" s="2" t="s">
        <v>2072</v>
      </c>
      <c r="L31" s="3">
        <v>108.9820560747664</v>
      </c>
      <c r="M31" t="s">
        <v>31</v>
      </c>
      <c r="N31" t="s">
        <v>2070</v>
      </c>
    </row>
    <row r="32" spans="1:14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  <c r="I32" t="str">
        <f t="shared" si="0"/>
        <v>America</v>
      </c>
      <c r="J32" t="str">
        <f t="shared" si="1"/>
        <v>America</v>
      </c>
      <c r="K32" s="2" t="s">
        <v>2071</v>
      </c>
      <c r="L32" s="3">
        <v>90.537767083734266</v>
      </c>
    </row>
    <row r="33" spans="1:12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  <c r="I33" t="str">
        <f t="shared" si="0"/>
        <v>America</v>
      </c>
      <c r="J33" t="str">
        <f t="shared" si="1"/>
        <v>America</v>
      </c>
      <c r="K33" s="2" t="s">
        <v>26</v>
      </c>
      <c r="L33" s="3">
        <v>100.50391615054825</v>
      </c>
    </row>
    <row r="34" spans="1:12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  <c r="I34" t="str">
        <f t="shared" si="0"/>
        <v>Africa</v>
      </c>
      <c r="J34" t="str">
        <f t="shared" si="1"/>
        <v>America</v>
      </c>
    </row>
    <row r="35" spans="1:12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  <c r="I35" t="str">
        <f t="shared" si="0"/>
        <v>Africa</v>
      </c>
      <c r="J35" t="str">
        <f t="shared" si="1"/>
        <v>America</v>
      </c>
    </row>
    <row r="36" spans="1:12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  <c r="I36" t="str">
        <f t="shared" si="0"/>
        <v>America</v>
      </c>
      <c r="J36" t="str">
        <f t="shared" si="1"/>
        <v>America</v>
      </c>
    </row>
    <row r="37" spans="1:12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  <c r="I37" t="str">
        <f t="shared" si="0"/>
        <v>America</v>
      </c>
      <c r="J37" t="str">
        <f t="shared" si="1"/>
        <v>America</v>
      </c>
    </row>
    <row r="38" spans="1:12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  <c r="I38" t="str">
        <f t="shared" si="0"/>
        <v>America</v>
      </c>
      <c r="J38" t="str">
        <f t="shared" si="1"/>
        <v>America</v>
      </c>
    </row>
    <row r="39" spans="1:12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  <c r="I39" t="str">
        <f t="shared" si="0"/>
        <v>America</v>
      </c>
      <c r="J39" t="str">
        <f t="shared" si="1"/>
        <v>America</v>
      </c>
    </row>
    <row r="40" spans="1:12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  <c r="I40" t="str">
        <f t="shared" si="0"/>
        <v>Africa</v>
      </c>
      <c r="J40" t="str">
        <f t="shared" si="1"/>
        <v>America</v>
      </c>
    </row>
    <row r="41" spans="1:12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  <c r="I41" t="str">
        <f t="shared" si="0"/>
        <v>America</v>
      </c>
      <c r="J41" t="str">
        <f t="shared" si="1"/>
        <v>America</v>
      </c>
    </row>
    <row r="42" spans="1:12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  <c r="I42" t="str">
        <f t="shared" si="0"/>
        <v>America</v>
      </c>
      <c r="J42" t="str">
        <f t="shared" si="1"/>
        <v>America</v>
      </c>
    </row>
    <row r="43" spans="1:12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  <c r="I43" t="str">
        <f t="shared" si="0"/>
        <v>America</v>
      </c>
      <c r="J43" t="str">
        <f t="shared" si="1"/>
        <v>America</v>
      </c>
    </row>
    <row r="44" spans="1:12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  <c r="I44" t="str">
        <f t="shared" si="0"/>
        <v>America</v>
      </c>
      <c r="J44" t="str">
        <f t="shared" si="1"/>
        <v>America</v>
      </c>
    </row>
    <row r="45" spans="1:12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  <c r="I45" t="str">
        <f t="shared" si="0"/>
        <v>Africa</v>
      </c>
      <c r="J45" t="str">
        <f t="shared" si="1"/>
        <v>Asia-Pacific</v>
      </c>
    </row>
    <row r="46" spans="1:12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  <c r="I46" t="str">
        <f t="shared" si="0"/>
        <v>Africa</v>
      </c>
      <c r="J46" t="str">
        <f t="shared" si="1"/>
        <v>America</v>
      </c>
    </row>
    <row r="47" spans="1:12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  <c r="I47" t="str">
        <f t="shared" si="0"/>
        <v>America</v>
      </c>
      <c r="J47" t="str">
        <f t="shared" si="1"/>
        <v>America</v>
      </c>
    </row>
    <row r="48" spans="1:12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  <c r="I48" t="str">
        <f t="shared" si="0"/>
        <v>America</v>
      </c>
      <c r="J48" t="str">
        <f t="shared" si="1"/>
        <v>America</v>
      </c>
    </row>
    <row r="49" spans="1:12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  <c r="I49" t="str">
        <f t="shared" si="0"/>
        <v>Africa</v>
      </c>
      <c r="J49" t="str">
        <f t="shared" si="1"/>
        <v>America</v>
      </c>
    </row>
    <row r="50" spans="1:12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  <c r="I50" t="str">
        <f t="shared" si="0"/>
        <v>America</v>
      </c>
      <c r="J50" t="str">
        <f t="shared" si="1"/>
        <v>America</v>
      </c>
    </row>
    <row r="51" spans="1:12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  <c r="I51" t="str">
        <f t="shared" si="0"/>
        <v>America</v>
      </c>
      <c r="J51" t="str">
        <f t="shared" si="1"/>
        <v>America</v>
      </c>
    </row>
    <row r="52" spans="1:12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  <c r="I52" t="str">
        <f t="shared" si="0"/>
        <v>Africa</v>
      </c>
      <c r="J52" t="str">
        <f t="shared" si="1"/>
        <v>Asia-Pacific</v>
      </c>
      <c r="K52" s="1" t="s">
        <v>0</v>
      </c>
      <c r="L52" t="s">
        <v>2051</v>
      </c>
    </row>
    <row r="53" spans="1:12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  <c r="I53" t="str">
        <f t="shared" si="0"/>
        <v>America</v>
      </c>
      <c r="J53" t="str">
        <f t="shared" si="1"/>
        <v>America</v>
      </c>
      <c r="K53" s="2" t="s">
        <v>2070</v>
      </c>
      <c r="L53" s="3">
        <v>58.434417628541446</v>
      </c>
    </row>
    <row r="54" spans="1:12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  <c r="I54" t="str">
        <f t="shared" si="0"/>
        <v>America</v>
      </c>
      <c r="J54" t="str">
        <f t="shared" si="1"/>
        <v>Asia-Pacific</v>
      </c>
      <c r="K54" s="2" t="s">
        <v>2071</v>
      </c>
      <c r="L54" s="3">
        <v>57.269489894128974</v>
      </c>
    </row>
    <row r="55" spans="1:12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  <c r="I55" t="str">
        <f t="shared" si="0"/>
        <v>America</v>
      </c>
      <c r="J55" t="str">
        <f t="shared" si="1"/>
        <v>Asia-Pacific</v>
      </c>
      <c r="K55" s="2" t="s">
        <v>2072</v>
      </c>
      <c r="L55" s="3">
        <v>54.710280373831779</v>
      </c>
    </row>
    <row r="56" spans="1:12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  <c r="I56" t="str">
        <f t="shared" si="0"/>
        <v>America</v>
      </c>
      <c r="J56" t="str">
        <f t="shared" si="1"/>
        <v>Asia-Pacific</v>
      </c>
      <c r="K56" s="2" t="s">
        <v>26</v>
      </c>
      <c r="L56" s="3">
        <v>57.667937112910913</v>
      </c>
    </row>
    <row r="57" spans="1:12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  <c r="I57" t="str">
        <f t="shared" si="0"/>
        <v>America</v>
      </c>
      <c r="J57" t="str">
        <f t="shared" si="1"/>
        <v>America</v>
      </c>
    </row>
    <row r="58" spans="1:12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  <c r="I58" t="str">
        <f t="shared" si="0"/>
        <v>America</v>
      </c>
      <c r="J58" t="str">
        <f t="shared" si="1"/>
        <v>America</v>
      </c>
    </row>
    <row r="59" spans="1:12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  <c r="I59" t="str">
        <f t="shared" si="0"/>
        <v>America</v>
      </c>
      <c r="J59" t="str">
        <f t="shared" si="1"/>
        <v>America</v>
      </c>
    </row>
    <row r="60" spans="1:12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  <c r="I60" t="str">
        <f t="shared" si="0"/>
        <v>Africa</v>
      </c>
      <c r="J60" t="str">
        <f t="shared" si="1"/>
        <v>America</v>
      </c>
    </row>
    <row r="61" spans="1:12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  <c r="I61" t="str">
        <f t="shared" si="0"/>
        <v>Africa</v>
      </c>
      <c r="J61" t="str">
        <f t="shared" si="1"/>
        <v>Asia-Pacific</v>
      </c>
    </row>
    <row r="62" spans="1:12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  <c r="I62" t="str">
        <f t="shared" si="0"/>
        <v>Africa</v>
      </c>
      <c r="J62" t="str">
        <f t="shared" si="1"/>
        <v>Asia-Pacific</v>
      </c>
    </row>
    <row r="63" spans="1:12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  <c r="I63" t="str">
        <f t="shared" si="0"/>
        <v>America</v>
      </c>
      <c r="J63" t="str">
        <f t="shared" si="1"/>
        <v>Asia-Pacific</v>
      </c>
    </row>
    <row r="64" spans="1:12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  <c r="I64" t="str">
        <f t="shared" si="0"/>
        <v>Africa</v>
      </c>
      <c r="J64" t="str">
        <f t="shared" si="1"/>
        <v>Asia-Pacific</v>
      </c>
    </row>
    <row r="65" spans="1:13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  <c r="I65" t="str">
        <f t="shared" si="0"/>
        <v>America</v>
      </c>
      <c r="J65" t="str">
        <f t="shared" si="1"/>
        <v>America</v>
      </c>
    </row>
    <row r="66" spans="1:13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  <c r="I66" t="str">
        <f t="shared" si="0"/>
        <v>America</v>
      </c>
      <c r="J66" t="str">
        <f t="shared" si="1"/>
        <v>America</v>
      </c>
    </row>
    <row r="67" spans="1:13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  <c r="I67" t="str">
        <f t="shared" ref="I67:I130" si="2">_xlfn.XLOOKUP(H67, $M$2:$M$50, $N$2:$N$50, "Other")</f>
        <v>America</v>
      </c>
      <c r="J67" t="str">
        <f t="shared" ref="J67:J130" si="3">_xlfn.XLOOKUP(G67, $M$2:$M$50, $N$2:$N$50, "Other")</f>
        <v>America</v>
      </c>
    </row>
    <row r="68" spans="1:13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  <c r="I68" t="str">
        <f t="shared" si="2"/>
        <v>Africa</v>
      </c>
      <c r="J68" t="str">
        <f t="shared" si="3"/>
        <v>America</v>
      </c>
    </row>
    <row r="69" spans="1:13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  <c r="I69" t="str">
        <f t="shared" si="2"/>
        <v>America</v>
      </c>
      <c r="J69" t="str">
        <f t="shared" si="3"/>
        <v>America</v>
      </c>
    </row>
    <row r="70" spans="1:13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  <c r="I70" t="str">
        <f t="shared" si="2"/>
        <v>America</v>
      </c>
      <c r="J70" t="str">
        <f t="shared" si="3"/>
        <v>America</v>
      </c>
    </row>
    <row r="71" spans="1:13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  <c r="I71" t="str">
        <f t="shared" si="2"/>
        <v>Africa</v>
      </c>
      <c r="J71" t="str">
        <f t="shared" si="3"/>
        <v>America</v>
      </c>
    </row>
    <row r="72" spans="1:13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  <c r="I72" t="str">
        <f t="shared" si="2"/>
        <v>America</v>
      </c>
      <c r="J72" t="str">
        <f t="shared" si="3"/>
        <v>Asia-Pacific</v>
      </c>
    </row>
    <row r="73" spans="1:13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  <c r="I73" t="str">
        <f t="shared" si="2"/>
        <v>America</v>
      </c>
      <c r="J73" t="str">
        <f t="shared" si="3"/>
        <v>Asia-Pacific</v>
      </c>
    </row>
    <row r="74" spans="1:13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  <c r="I74" t="str">
        <f t="shared" si="2"/>
        <v>Asia-Pacific</v>
      </c>
      <c r="J74" t="str">
        <f t="shared" si="3"/>
        <v>Asia-Pacific</v>
      </c>
    </row>
    <row r="75" spans="1:13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  <c r="I75" t="str">
        <f t="shared" si="2"/>
        <v>America</v>
      </c>
      <c r="J75" t="str">
        <f t="shared" si="3"/>
        <v>America</v>
      </c>
    </row>
    <row r="76" spans="1:13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  <c r="I76" t="str">
        <f t="shared" si="2"/>
        <v>Africa</v>
      </c>
      <c r="J76" t="str">
        <f t="shared" si="3"/>
        <v>America</v>
      </c>
    </row>
    <row r="77" spans="1:13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  <c r="I77" t="str">
        <f t="shared" si="2"/>
        <v>Asia-Pacific</v>
      </c>
      <c r="J77" t="str">
        <f t="shared" si="3"/>
        <v>America</v>
      </c>
      <c r="L77" s="1" t="s">
        <v>0</v>
      </c>
      <c r="M77" t="s">
        <v>2050</v>
      </c>
    </row>
    <row r="78" spans="1:13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  <c r="I78" t="str">
        <f t="shared" si="2"/>
        <v>Africa</v>
      </c>
      <c r="J78" t="str">
        <f t="shared" si="3"/>
        <v>Asia-Pacific</v>
      </c>
      <c r="L78" s="2" t="s">
        <v>2072</v>
      </c>
      <c r="M78" s="3">
        <v>78.036308623298027</v>
      </c>
    </row>
    <row r="79" spans="1:13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  <c r="I79" t="str">
        <f t="shared" si="2"/>
        <v>America</v>
      </c>
      <c r="J79" t="str">
        <f t="shared" si="3"/>
        <v>America</v>
      </c>
      <c r="L79" s="2" t="s">
        <v>2076</v>
      </c>
      <c r="M79" s="3">
        <v>77</v>
      </c>
    </row>
    <row r="80" spans="1:13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  <c r="I80" t="str">
        <f t="shared" si="2"/>
        <v>Africa</v>
      </c>
      <c r="J80" t="str">
        <f t="shared" si="3"/>
        <v>Asia-Pacific</v>
      </c>
      <c r="L80" s="2" t="s">
        <v>2070</v>
      </c>
      <c r="M80" s="3">
        <v>76.697704918032784</v>
      </c>
    </row>
    <row r="81" spans="1:13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  <c r="I81" t="str">
        <f t="shared" si="2"/>
        <v>America</v>
      </c>
      <c r="J81" t="str">
        <f t="shared" si="3"/>
        <v>America</v>
      </c>
      <c r="L81" s="2" t="s">
        <v>2071</v>
      </c>
      <c r="M81" s="3">
        <v>76</v>
      </c>
    </row>
    <row r="82" spans="1:13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  <c r="I82" t="str">
        <f t="shared" si="2"/>
        <v>America</v>
      </c>
      <c r="J82" t="str">
        <f t="shared" si="3"/>
        <v>America</v>
      </c>
      <c r="L82" s="2" t="s">
        <v>26</v>
      </c>
      <c r="M82" s="3">
        <v>77.10191956124315</v>
      </c>
    </row>
    <row r="83" spans="1:13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  <c r="I83" t="str">
        <f t="shared" si="2"/>
        <v>Africa</v>
      </c>
      <c r="J83" t="str">
        <f t="shared" si="3"/>
        <v>America</v>
      </c>
    </row>
    <row r="84" spans="1:13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  <c r="I84" t="str">
        <f t="shared" si="2"/>
        <v>Africa</v>
      </c>
      <c r="J84" t="str">
        <f t="shared" si="3"/>
        <v>America</v>
      </c>
    </row>
    <row r="85" spans="1:13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  <c r="I85" t="str">
        <f t="shared" si="2"/>
        <v>Africa</v>
      </c>
      <c r="J85" t="str">
        <f t="shared" si="3"/>
        <v>Asia-Pacific</v>
      </c>
    </row>
    <row r="86" spans="1:13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  <c r="I86" t="str">
        <f t="shared" si="2"/>
        <v>Africa</v>
      </c>
      <c r="J86" t="str">
        <f t="shared" si="3"/>
        <v>Asia-Pacific</v>
      </c>
    </row>
    <row r="87" spans="1:13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  <c r="I87" t="str">
        <f t="shared" si="2"/>
        <v>Africa</v>
      </c>
      <c r="J87" t="str">
        <f t="shared" si="3"/>
        <v>America</v>
      </c>
    </row>
    <row r="88" spans="1:13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  <c r="I88" t="str">
        <f t="shared" si="2"/>
        <v>Africa</v>
      </c>
      <c r="J88" t="str">
        <f t="shared" si="3"/>
        <v>Asia-Pacific</v>
      </c>
    </row>
    <row r="89" spans="1:13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  <c r="I89" t="str">
        <f t="shared" si="2"/>
        <v>Africa</v>
      </c>
      <c r="J89" t="str">
        <f t="shared" si="3"/>
        <v>America</v>
      </c>
    </row>
    <row r="90" spans="1:13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  <c r="I90" t="str">
        <f t="shared" si="2"/>
        <v>America</v>
      </c>
      <c r="J90" t="str">
        <f t="shared" si="3"/>
        <v>America</v>
      </c>
    </row>
    <row r="91" spans="1:13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  <c r="I91" t="str">
        <f t="shared" si="2"/>
        <v>Africa</v>
      </c>
      <c r="J91" t="str">
        <f t="shared" si="3"/>
        <v>America</v>
      </c>
    </row>
    <row r="92" spans="1:13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  <c r="I92" t="str">
        <f t="shared" si="2"/>
        <v>America</v>
      </c>
      <c r="J92" t="str">
        <f t="shared" si="3"/>
        <v>America</v>
      </c>
    </row>
    <row r="93" spans="1:13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  <c r="I93" t="str">
        <f t="shared" si="2"/>
        <v>America</v>
      </c>
      <c r="J93" t="str">
        <f t="shared" si="3"/>
        <v>America</v>
      </c>
    </row>
    <row r="94" spans="1:13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  <c r="I94" t="str">
        <f t="shared" si="2"/>
        <v>America</v>
      </c>
      <c r="J94" t="str">
        <f t="shared" si="3"/>
        <v>America</v>
      </c>
    </row>
    <row r="95" spans="1:13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  <c r="I95" t="str">
        <f t="shared" si="2"/>
        <v>Africa</v>
      </c>
      <c r="J95" t="str">
        <f t="shared" si="3"/>
        <v>America</v>
      </c>
    </row>
    <row r="96" spans="1:13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  <c r="I96" t="str">
        <f t="shared" si="2"/>
        <v>America</v>
      </c>
      <c r="J96" t="str">
        <f t="shared" si="3"/>
        <v>America</v>
      </c>
    </row>
    <row r="97" spans="1:15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  <c r="I97" t="str">
        <f t="shared" si="2"/>
        <v>America</v>
      </c>
      <c r="J97" t="str">
        <f t="shared" si="3"/>
        <v>America</v>
      </c>
    </row>
    <row r="98" spans="1:15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  <c r="I98" t="str">
        <f t="shared" si="2"/>
        <v>Africa</v>
      </c>
      <c r="J98" t="str">
        <f t="shared" si="3"/>
        <v>America</v>
      </c>
    </row>
    <row r="99" spans="1:15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  <c r="I99" t="str">
        <f t="shared" si="2"/>
        <v>Africa</v>
      </c>
      <c r="J99" t="str">
        <f t="shared" si="3"/>
        <v>Asia-Pacific</v>
      </c>
    </row>
    <row r="100" spans="1:15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  <c r="I100" t="str">
        <f t="shared" si="2"/>
        <v>Africa</v>
      </c>
      <c r="J100" t="str">
        <f t="shared" si="3"/>
        <v>Asia-Pacific</v>
      </c>
    </row>
    <row r="101" spans="1:15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  <c r="I101" t="str">
        <f t="shared" si="2"/>
        <v>Africa</v>
      </c>
      <c r="J101" t="str">
        <f t="shared" si="3"/>
        <v>Asia-Pacific</v>
      </c>
      <c r="L101" s="1" t="s">
        <v>0</v>
      </c>
      <c r="M101" t="s">
        <v>1</v>
      </c>
    </row>
    <row r="102" spans="1:15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  <c r="I102" t="str">
        <f t="shared" si="2"/>
        <v>Africa</v>
      </c>
      <c r="J102" t="str">
        <f t="shared" si="3"/>
        <v>Asia-Pacific</v>
      </c>
      <c r="L102" s="2" t="s">
        <v>2072</v>
      </c>
      <c r="M102" s="3">
        <v>270.47111951588505</v>
      </c>
    </row>
    <row r="103" spans="1:15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  <c r="I103" t="str">
        <f t="shared" si="2"/>
        <v>America</v>
      </c>
      <c r="J103" t="str">
        <f t="shared" si="3"/>
        <v>America</v>
      </c>
      <c r="L103" s="2" t="s">
        <v>2076</v>
      </c>
      <c r="M103" s="3">
        <v>66.67</v>
      </c>
    </row>
    <row r="104" spans="1:15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  <c r="I104" t="str">
        <f t="shared" si="2"/>
        <v>Africa</v>
      </c>
      <c r="J104" t="str">
        <f t="shared" si="3"/>
        <v>Asia-Pacific</v>
      </c>
      <c r="L104" s="2" t="s">
        <v>2070</v>
      </c>
      <c r="M104" s="3">
        <v>24.713665573770424</v>
      </c>
    </row>
    <row r="105" spans="1:15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  <c r="I105" t="str">
        <f t="shared" si="2"/>
        <v>Africa</v>
      </c>
      <c r="J105" t="str">
        <f t="shared" si="3"/>
        <v>America</v>
      </c>
      <c r="L105" s="2" t="s">
        <v>2071</v>
      </c>
      <c r="M105" s="3">
        <v>6.91</v>
      </c>
      <c r="O105" t="s">
        <v>2077</v>
      </c>
    </row>
    <row r="106" spans="1:15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  <c r="I106" t="str">
        <f t="shared" si="2"/>
        <v>America</v>
      </c>
      <c r="J106" t="str">
        <f t="shared" si="3"/>
        <v>America</v>
      </c>
      <c r="L106" s="2" t="s">
        <v>26</v>
      </c>
      <c r="M106" s="3">
        <v>98.968615173674536</v>
      </c>
    </row>
    <row r="107" spans="1:15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  <c r="I107" t="str">
        <f t="shared" si="2"/>
        <v>America</v>
      </c>
      <c r="J107" t="str">
        <f t="shared" si="3"/>
        <v>America</v>
      </c>
    </row>
    <row r="108" spans="1:15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  <c r="I108" t="str">
        <f t="shared" si="2"/>
        <v>NULL</v>
      </c>
      <c r="J108" t="str">
        <f t="shared" si="3"/>
        <v>America</v>
      </c>
    </row>
    <row r="109" spans="1:15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  <c r="I109" t="str">
        <f t="shared" si="2"/>
        <v>NULL</v>
      </c>
      <c r="J109" t="str">
        <f t="shared" si="3"/>
        <v>America</v>
      </c>
    </row>
    <row r="110" spans="1:15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  <c r="I110" t="str">
        <f t="shared" si="2"/>
        <v>Africa</v>
      </c>
      <c r="J110" t="str">
        <f t="shared" si="3"/>
        <v>America</v>
      </c>
    </row>
    <row r="111" spans="1:15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  <c r="I111" t="str">
        <f t="shared" si="2"/>
        <v>America</v>
      </c>
      <c r="J111" t="str">
        <f t="shared" si="3"/>
        <v>America</v>
      </c>
    </row>
    <row r="112" spans="1:15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  <c r="I112" t="str">
        <f t="shared" si="2"/>
        <v>America</v>
      </c>
      <c r="J112" t="str">
        <f t="shared" si="3"/>
        <v>America</v>
      </c>
    </row>
    <row r="113" spans="1:10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  <c r="I113" t="str">
        <f t="shared" si="2"/>
        <v>Asia-Pacific</v>
      </c>
      <c r="J113" t="str">
        <f t="shared" si="3"/>
        <v>Asia-Pacific</v>
      </c>
    </row>
    <row r="114" spans="1:10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  <c r="I114" t="str">
        <f t="shared" si="2"/>
        <v>Africa</v>
      </c>
      <c r="J114" t="str">
        <f t="shared" si="3"/>
        <v>America</v>
      </c>
    </row>
    <row r="115" spans="1:10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  <c r="I115" t="str">
        <f t="shared" si="2"/>
        <v>America</v>
      </c>
      <c r="J115" t="str">
        <f t="shared" si="3"/>
        <v>America</v>
      </c>
    </row>
    <row r="116" spans="1:10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  <c r="I116" t="str">
        <f t="shared" si="2"/>
        <v>Africa</v>
      </c>
      <c r="J116" t="str">
        <f t="shared" si="3"/>
        <v>America</v>
      </c>
    </row>
    <row r="117" spans="1:10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  <c r="I117" t="str">
        <f t="shared" si="2"/>
        <v>America</v>
      </c>
      <c r="J117" t="str">
        <f t="shared" si="3"/>
        <v>America</v>
      </c>
    </row>
    <row r="118" spans="1:10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  <c r="I118" t="str">
        <f t="shared" si="2"/>
        <v>America</v>
      </c>
      <c r="J118" t="str">
        <f t="shared" si="3"/>
        <v>America</v>
      </c>
    </row>
    <row r="119" spans="1:10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  <c r="I119" t="str">
        <f t="shared" si="2"/>
        <v>America</v>
      </c>
      <c r="J119" t="str">
        <f t="shared" si="3"/>
        <v>America</v>
      </c>
    </row>
    <row r="120" spans="1:10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  <c r="I120" t="str">
        <f t="shared" si="2"/>
        <v>America</v>
      </c>
      <c r="J120" t="str">
        <f t="shared" si="3"/>
        <v>America</v>
      </c>
    </row>
    <row r="121" spans="1:10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  <c r="I121" t="str">
        <f t="shared" si="2"/>
        <v>America</v>
      </c>
      <c r="J121" t="str">
        <f t="shared" si="3"/>
        <v>America</v>
      </c>
    </row>
    <row r="122" spans="1:10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  <c r="I122" t="str">
        <f t="shared" si="2"/>
        <v>America</v>
      </c>
      <c r="J122" t="str">
        <f t="shared" si="3"/>
        <v>America</v>
      </c>
    </row>
    <row r="123" spans="1:10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  <c r="I123" t="str">
        <f t="shared" si="2"/>
        <v>America</v>
      </c>
      <c r="J123" t="str">
        <f t="shared" si="3"/>
        <v>America</v>
      </c>
    </row>
    <row r="124" spans="1:10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  <c r="I124" t="str">
        <f t="shared" si="2"/>
        <v>Africa</v>
      </c>
      <c r="J124" t="str">
        <f t="shared" si="3"/>
        <v>Asia-Pacific</v>
      </c>
    </row>
    <row r="125" spans="1:10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  <c r="I125" t="str">
        <f t="shared" si="2"/>
        <v>Africa</v>
      </c>
      <c r="J125" t="str">
        <f t="shared" si="3"/>
        <v>Asia-Pacific</v>
      </c>
    </row>
    <row r="126" spans="1:10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  <c r="I126" t="str">
        <f t="shared" si="2"/>
        <v>America</v>
      </c>
      <c r="J126" t="str">
        <f t="shared" si="3"/>
        <v>America</v>
      </c>
    </row>
    <row r="127" spans="1:10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  <c r="I127" t="str">
        <f t="shared" si="2"/>
        <v>America</v>
      </c>
      <c r="J127" t="str">
        <f t="shared" si="3"/>
        <v>America</v>
      </c>
    </row>
    <row r="128" spans="1:10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  <c r="I128" t="str">
        <f t="shared" si="2"/>
        <v>America</v>
      </c>
      <c r="J128" t="str">
        <f t="shared" si="3"/>
        <v>America</v>
      </c>
    </row>
    <row r="129" spans="1:10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  <c r="I129" t="str">
        <f t="shared" si="2"/>
        <v>Africa</v>
      </c>
      <c r="J129" t="str">
        <f t="shared" si="3"/>
        <v>America</v>
      </c>
    </row>
    <row r="130" spans="1:10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  <c r="I130" t="str">
        <f t="shared" si="2"/>
        <v>America</v>
      </c>
      <c r="J130" t="str">
        <f t="shared" si="3"/>
        <v>America</v>
      </c>
    </row>
    <row r="131" spans="1:10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  <c r="I131" t="str">
        <f t="shared" ref="I131:I194" si="4">_xlfn.XLOOKUP(H131, $M$2:$M$50, $N$2:$N$50, "Other")</f>
        <v>America</v>
      </c>
      <c r="J131" t="str">
        <f t="shared" ref="J131:J194" si="5">_xlfn.XLOOKUP(G131, $M$2:$M$50, $N$2:$N$50, "Other")</f>
        <v>America</v>
      </c>
    </row>
    <row r="132" spans="1:10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  <c r="I132" t="str">
        <f t="shared" si="4"/>
        <v>America</v>
      </c>
      <c r="J132" t="str">
        <f t="shared" si="5"/>
        <v>America</v>
      </c>
    </row>
    <row r="133" spans="1:10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  <c r="I133" t="str">
        <f t="shared" si="4"/>
        <v>America</v>
      </c>
      <c r="J133" t="str">
        <f t="shared" si="5"/>
        <v>America</v>
      </c>
    </row>
    <row r="134" spans="1:10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  <c r="I134" t="str">
        <f t="shared" si="4"/>
        <v>Africa</v>
      </c>
      <c r="J134" t="str">
        <f t="shared" si="5"/>
        <v>Asia-Pacific</v>
      </c>
    </row>
    <row r="135" spans="1:10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  <c r="I135" t="str">
        <f t="shared" si="4"/>
        <v>America</v>
      </c>
      <c r="J135" t="str">
        <f t="shared" si="5"/>
        <v>Asia-Pacific</v>
      </c>
    </row>
    <row r="136" spans="1:10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  <c r="I136" t="str">
        <f t="shared" si="4"/>
        <v>America</v>
      </c>
      <c r="J136" t="str">
        <f t="shared" si="5"/>
        <v>Asia-Pacific</v>
      </c>
    </row>
    <row r="137" spans="1:10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  <c r="I137" t="str">
        <f t="shared" si="4"/>
        <v>Africa</v>
      </c>
      <c r="J137" t="str">
        <f t="shared" si="5"/>
        <v>America</v>
      </c>
    </row>
    <row r="138" spans="1:10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  <c r="I138" t="str">
        <f t="shared" si="4"/>
        <v>America</v>
      </c>
      <c r="J138" t="str">
        <f t="shared" si="5"/>
        <v>America</v>
      </c>
    </row>
    <row r="139" spans="1:10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  <c r="I139" t="str">
        <f t="shared" si="4"/>
        <v>America</v>
      </c>
      <c r="J139" t="str">
        <f t="shared" si="5"/>
        <v>America</v>
      </c>
    </row>
    <row r="140" spans="1:10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  <c r="I140" t="str">
        <f t="shared" si="4"/>
        <v>America</v>
      </c>
      <c r="J140" t="str">
        <f t="shared" si="5"/>
        <v>America</v>
      </c>
    </row>
    <row r="141" spans="1:10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  <c r="I141" t="str">
        <f t="shared" si="4"/>
        <v>America</v>
      </c>
      <c r="J141" t="str">
        <f t="shared" si="5"/>
        <v>America</v>
      </c>
    </row>
    <row r="142" spans="1:10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  <c r="I142" t="str">
        <f t="shared" si="4"/>
        <v>America</v>
      </c>
      <c r="J142" t="str">
        <f t="shared" si="5"/>
        <v>America</v>
      </c>
    </row>
    <row r="143" spans="1:10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  <c r="I143" t="str">
        <f t="shared" si="4"/>
        <v>America</v>
      </c>
      <c r="J143" t="str">
        <f t="shared" si="5"/>
        <v>America</v>
      </c>
    </row>
    <row r="144" spans="1:10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  <c r="I144" t="str">
        <f t="shared" si="4"/>
        <v>America</v>
      </c>
      <c r="J144" t="str">
        <f t="shared" si="5"/>
        <v>Asia-Pacific</v>
      </c>
    </row>
    <row r="145" spans="1:10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  <c r="I145" t="str">
        <f t="shared" si="4"/>
        <v>Africa</v>
      </c>
      <c r="J145" t="str">
        <f t="shared" si="5"/>
        <v>America</v>
      </c>
    </row>
    <row r="146" spans="1:10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  <c r="I146" t="str">
        <f t="shared" si="4"/>
        <v>America</v>
      </c>
      <c r="J146" t="str">
        <f t="shared" si="5"/>
        <v>America</v>
      </c>
    </row>
    <row r="147" spans="1:10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  <c r="I147" t="str">
        <f t="shared" si="4"/>
        <v>Africa</v>
      </c>
      <c r="J147" t="str">
        <f t="shared" si="5"/>
        <v>America</v>
      </c>
    </row>
    <row r="148" spans="1:10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  <c r="I148" t="str">
        <f t="shared" si="4"/>
        <v>Africa</v>
      </c>
      <c r="J148" t="str">
        <f t="shared" si="5"/>
        <v>Asia-Pacific</v>
      </c>
    </row>
    <row r="149" spans="1:10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  <c r="I149" t="str">
        <f t="shared" si="4"/>
        <v>Africa</v>
      </c>
      <c r="J149" t="str">
        <f t="shared" si="5"/>
        <v>Asia-Pacific</v>
      </c>
    </row>
    <row r="150" spans="1:10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  <c r="I150" t="str">
        <f t="shared" si="4"/>
        <v>America</v>
      </c>
      <c r="J150" t="str">
        <f t="shared" si="5"/>
        <v>America</v>
      </c>
    </row>
    <row r="151" spans="1:10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  <c r="I151" t="str">
        <f t="shared" si="4"/>
        <v>NULL</v>
      </c>
      <c r="J151" t="str">
        <f t="shared" si="5"/>
        <v>America</v>
      </c>
    </row>
    <row r="152" spans="1:10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  <c r="I152" t="str">
        <f t="shared" si="4"/>
        <v>Africa</v>
      </c>
      <c r="J152" t="str">
        <f t="shared" si="5"/>
        <v>Asia-Pacific</v>
      </c>
    </row>
    <row r="153" spans="1:10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  <c r="I153" t="str">
        <f t="shared" si="4"/>
        <v>America</v>
      </c>
      <c r="J153" t="str">
        <f t="shared" si="5"/>
        <v>America</v>
      </c>
    </row>
    <row r="154" spans="1:10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  <c r="I154" t="str">
        <f t="shared" si="4"/>
        <v>America</v>
      </c>
      <c r="J154" t="str">
        <f t="shared" si="5"/>
        <v>America</v>
      </c>
    </row>
    <row r="155" spans="1:10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  <c r="I155" t="str">
        <f t="shared" si="4"/>
        <v>Africa</v>
      </c>
      <c r="J155" t="str">
        <f t="shared" si="5"/>
        <v>Asia-Pacific</v>
      </c>
    </row>
    <row r="156" spans="1:10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  <c r="I156" t="str">
        <f t="shared" si="4"/>
        <v>Africa</v>
      </c>
      <c r="J156" t="str">
        <f t="shared" si="5"/>
        <v>Asia-Pacific</v>
      </c>
    </row>
    <row r="157" spans="1:10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  <c r="I157" t="str">
        <f t="shared" si="4"/>
        <v>Asia-Pacific</v>
      </c>
      <c r="J157" t="str">
        <f t="shared" si="5"/>
        <v>Asia-Pacific</v>
      </c>
    </row>
    <row r="158" spans="1:10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  <c r="I158" t="str">
        <f t="shared" si="4"/>
        <v>Africa</v>
      </c>
      <c r="J158" t="str">
        <f t="shared" si="5"/>
        <v>Asia-Pacific</v>
      </c>
    </row>
    <row r="159" spans="1:10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  <c r="I159" t="str">
        <f t="shared" si="4"/>
        <v>Africa</v>
      </c>
      <c r="J159" t="str">
        <f t="shared" si="5"/>
        <v>America</v>
      </c>
    </row>
    <row r="160" spans="1:10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  <c r="I160" t="str">
        <f t="shared" si="4"/>
        <v>Africa</v>
      </c>
      <c r="J160" t="str">
        <f t="shared" si="5"/>
        <v>America</v>
      </c>
    </row>
    <row r="161" spans="1:10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  <c r="I161" t="str">
        <f t="shared" si="4"/>
        <v>America</v>
      </c>
      <c r="J161" t="str">
        <f t="shared" si="5"/>
        <v>Asia-Pacific</v>
      </c>
    </row>
    <row r="162" spans="1:10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  <c r="I162" t="str">
        <f t="shared" si="4"/>
        <v>Africa</v>
      </c>
      <c r="J162" t="str">
        <f t="shared" si="5"/>
        <v>Asia-Pacific</v>
      </c>
    </row>
    <row r="163" spans="1:10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  <c r="I163" t="str">
        <f t="shared" si="4"/>
        <v>Africa</v>
      </c>
      <c r="J163" t="str">
        <f t="shared" si="5"/>
        <v>Asia-Pacific</v>
      </c>
    </row>
    <row r="164" spans="1:10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  <c r="I164" t="str">
        <f t="shared" si="4"/>
        <v>Asia-Pacific</v>
      </c>
      <c r="J164" t="str">
        <f t="shared" si="5"/>
        <v>Asia-Pacific</v>
      </c>
    </row>
    <row r="165" spans="1:10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  <c r="I165" t="str">
        <f t="shared" si="4"/>
        <v>America</v>
      </c>
      <c r="J165" t="str">
        <f t="shared" si="5"/>
        <v>America</v>
      </c>
    </row>
    <row r="166" spans="1:10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  <c r="I166" t="str">
        <f t="shared" si="4"/>
        <v>Africa</v>
      </c>
      <c r="J166" t="str">
        <f t="shared" si="5"/>
        <v>America</v>
      </c>
    </row>
    <row r="167" spans="1:10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  <c r="I167" t="str">
        <f t="shared" si="4"/>
        <v>Asia-Pacific</v>
      </c>
      <c r="J167" t="str">
        <f t="shared" si="5"/>
        <v>America</v>
      </c>
    </row>
    <row r="168" spans="1:10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  <c r="I168" t="str">
        <f t="shared" si="4"/>
        <v>Africa</v>
      </c>
      <c r="J168" t="str">
        <f t="shared" si="5"/>
        <v>America</v>
      </c>
    </row>
    <row r="169" spans="1:10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  <c r="I169" t="str">
        <f t="shared" si="4"/>
        <v>Africa</v>
      </c>
      <c r="J169" t="str">
        <f t="shared" si="5"/>
        <v>Asia-Pacific</v>
      </c>
    </row>
    <row r="170" spans="1:10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  <c r="I170" t="str">
        <f t="shared" si="4"/>
        <v>America</v>
      </c>
      <c r="J170" t="str">
        <f t="shared" si="5"/>
        <v>Asia-Pacific</v>
      </c>
    </row>
    <row r="171" spans="1:10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  <c r="I171" t="str">
        <f t="shared" si="4"/>
        <v>Africa</v>
      </c>
      <c r="J171" t="str">
        <f t="shared" si="5"/>
        <v>Asia-Pacific</v>
      </c>
    </row>
    <row r="172" spans="1:10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  <c r="I172" t="str">
        <f t="shared" si="4"/>
        <v>Africa</v>
      </c>
      <c r="J172" t="str">
        <f t="shared" si="5"/>
        <v>America</v>
      </c>
    </row>
    <row r="173" spans="1:10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  <c r="I173" t="str">
        <f t="shared" si="4"/>
        <v>Africa</v>
      </c>
      <c r="J173" t="str">
        <f t="shared" si="5"/>
        <v>Asia-Pacific</v>
      </c>
    </row>
    <row r="174" spans="1:10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  <c r="I174" t="str">
        <f t="shared" si="4"/>
        <v>Africa</v>
      </c>
      <c r="J174" t="str">
        <f t="shared" si="5"/>
        <v>Asia-Pacific</v>
      </c>
    </row>
    <row r="175" spans="1:10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  <c r="I175" t="str">
        <f t="shared" si="4"/>
        <v>Africa</v>
      </c>
      <c r="J175" t="str">
        <f t="shared" si="5"/>
        <v>Asia-Pacific</v>
      </c>
    </row>
    <row r="176" spans="1:10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  <c r="I176" t="str">
        <f t="shared" si="4"/>
        <v>America</v>
      </c>
      <c r="J176" t="str">
        <f t="shared" si="5"/>
        <v>America</v>
      </c>
    </row>
    <row r="177" spans="1:10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  <c r="I177" t="str">
        <f t="shared" si="4"/>
        <v>America</v>
      </c>
      <c r="J177" t="str">
        <f t="shared" si="5"/>
        <v>Asia-Pacific</v>
      </c>
    </row>
    <row r="178" spans="1:10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  <c r="I178" t="str">
        <f t="shared" si="4"/>
        <v>America</v>
      </c>
      <c r="J178" t="str">
        <f t="shared" si="5"/>
        <v>America</v>
      </c>
    </row>
    <row r="179" spans="1:10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  <c r="I179" t="str">
        <f t="shared" si="4"/>
        <v>America</v>
      </c>
      <c r="J179" t="str">
        <f t="shared" si="5"/>
        <v>America</v>
      </c>
    </row>
    <row r="180" spans="1:10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  <c r="I180" t="str">
        <f t="shared" si="4"/>
        <v>Africa</v>
      </c>
      <c r="J180" t="str">
        <f t="shared" si="5"/>
        <v>Asia-Pacific</v>
      </c>
    </row>
    <row r="181" spans="1:10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  <c r="I181" t="str">
        <f t="shared" si="4"/>
        <v>Africa</v>
      </c>
      <c r="J181" t="str">
        <f t="shared" si="5"/>
        <v>Asia-Pacific</v>
      </c>
    </row>
    <row r="182" spans="1:10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  <c r="I182" t="str">
        <f t="shared" si="4"/>
        <v>America</v>
      </c>
      <c r="J182" t="str">
        <f t="shared" si="5"/>
        <v>America</v>
      </c>
    </row>
    <row r="183" spans="1:10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  <c r="I183" t="str">
        <f t="shared" si="4"/>
        <v>America</v>
      </c>
      <c r="J183" t="str">
        <f t="shared" si="5"/>
        <v>America</v>
      </c>
    </row>
    <row r="184" spans="1:10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  <c r="I184" t="str">
        <f t="shared" si="4"/>
        <v>Africa</v>
      </c>
      <c r="J184" t="str">
        <f t="shared" si="5"/>
        <v>America</v>
      </c>
    </row>
    <row r="185" spans="1:10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  <c r="I185" t="str">
        <f t="shared" si="4"/>
        <v>Africa</v>
      </c>
      <c r="J185" t="str">
        <f t="shared" si="5"/>
        <v>America</v>
      </c>
    </row>
    <row r="186" spans="1:10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  <c r="I186" t="str">
        <f t="shared" si="4"/>
        <v>America</v>
      </c>
      <c r="J186" t="str">
        <f t="shared" si="5"/>
        <v>America</v>
      </c>
    </row>
    <row r="187" spans="1:10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  <c r="I187" t="str">
        <f t="shared" si="4"/>
        <v>America</v>
      </c>
      <c r="J187" t="str">
        <f t="shared" si="5"/>
        <v>Asia-Pacific</v>
      </c>
    </row>
    <row r="188" spans="1:10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  <c r="I188" t="str">
        <f t="shared" si="4"/>
        <v>America</v>
      </c>
      <c r="J188" t="str">
        <f t="shared" si="5"/>
        <v>Asia-Pacific</v>
      </c>
    </row>
    <row r="189" spans="1:10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  <c r="I189" t="str">
        <f t="shared" si="4"/>
        <v>America</v>
      </c>
      <c r="J189" t="str">
        <f t="shared" si="5"/>
        <v>Asia-Pacific</v>
      </c>
    </row>
    <row r="190" spans="1:10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  <c r="I190" t="str">
        <f t="shared" si="4"/>
        <v>Africa</v>
      </c>
      <c r="J190" t="str">
        <f t="shared" si="5"/>
        <v>America</v>
      </c>
    </row>
    <row r="191" spans="1:10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  <c r="I191" t="str">
        <f t="shared" si="4"/>
        <v>America</v>
      </c>
      <c r="J191" t="str">
        <f t="shared" si="5"/>
        <v>America</v>
      </c>
    </row>
    <row r="192" spans="1:10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  <c r="I192" t="str">
        <f t="shared" si="4"/>
        <v>Africa</v>
      </c>
      <c r="J192" t="str">
        <f t="shared" si="5"/>
        <v>America</v>
      </c>
    </row>
    <row r="193" spans="1:10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  <c r="I193" t="str">
        <f t="shared" si="4"/>
        <v>Africa</v>
      </c>
      <c r="J193" t="str">
        <f t="shared" si="5"/>
        <v>America</v>
      </c>
    </row>
    <row r="194" spans="1:10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  <c r="I194" t="str">
        <f t="shared" si="4"/>
        <v>Asia-Pacific</v>
      </c>
      <c r="J194" t="str">
        <f t="shared" si="5"/>
        <v>America</v>
      </c>
    </row>
    <row r="195" spans="1:10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  <c r="I195" t="str">
        <f t="shared" ref="I195:I258" si="6">_xlfn.XLOOKUP(H195, $M$2:$M$50, $N$2:$N$50, "Other")</f>
        <v>America</v>
      </c>
      <c r="J195" t="str">
        <f t="shared" ref="J195:J258" si="7">_xlfn.XLOOKUP(G195, $M$2:$M$50, $N$2:$N$50, "Other")</f>
        <v>America</v>
      </c>
    </row>
    <row r="196" spans="1:10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  <c r="I196" t="str">
        <f t="shared" si="6"/>
        <v>Africa</v>
      </c>
      <c r="J196" t="str">
        <f t="shared" si="7"/>
        <v>America</v>
      </c>
    </row>
    <row r="197" spans="1:10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  <c r="I197" t="str">
        <f t="shared" si="6"/>
        <v>Africa</v>
      </c>
      <c r="J197" t="str">
        <f t="shared" si="7"/>
        <v>Asia-Pacific</v>
      </c>
    </row>
    <row r="198" spans="1:10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  <c r="I198" t="str">
        <f t="shared" si="6"/>
        <v>America</v>
      </c>
      <c r="J198" t="str">
        <f t="shared" si="7"/>
        <v>America</v>
      </c>
    </row>
    <row r="199" spans="1:10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  <c r="I199" t="str">
        <f t="shared" si="6"/>
        <v>Africa</v>
      </c>
      <c r="J199" t="str">
        <f t="shared" si="7"/>
        <v>Asia-Pacific</v>
      </c>
    </row>
    <row r="200" spans="1:10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  <c r="I200" t="str">
        <f t="shared" si="6"/>
        <v>Africa</v>
      </c>
      <c r="J200" t="str">
        <f t="shared" si="7"/>
        <v>Asia-Pacific</v>
      </c>
    </row>
    <row r="201" spans="1:10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  <c r="I201" t="str">
        <f t="shared" si="6"/>
        <v>Africa</v>
      </c>
      <c r="J201" t="str">
        <f t="shared" si="7"/>
        <v>Asia-Pacific</v>
      </c>
    </row>
    <row r="202" spans="1:10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  <c r="I202" t="str">
        <f t="shared" si="6"/>
        <v>America</v>
      </c>
      <c r="J202" t="str">
        <f t="shared" si="7"/>
        <v>Asia-Pacific</v>
      </c>
    </row>
    <row r="203" spans="1:10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  <c r="I203" t="str">
        <f t="shared" si="6"/>
        <v>Africa</v>
      </c>
      <c r="J203" t="str">
        <f t="shared" si="7"/>
        <v>Asia-Pacific</v>
      </c>
    </row>
    <row r="204" spans="1:10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  <c r="I204" t="str">
        <f t="shared" si="6"/>
        <v>Africa</v>
      </c>
      <c r="J204" t="str">
        <f t="shared" si="7"/>
        <v>Asia-Pacific</v>
      </c>
    </row>
    <row r="205" spans="1:10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  <c r="I205" t="str">
        <f t="shared" si="6"/>
        <v>Africa</v>
      </c>
      <c r="J205" t="str">
        <f t="shared" si="7"/>
        <v>Asia-Pacific</v>
      </c>
    </row>
    <row r="206" spans="1:10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  <c r="I206" t="str">
        <f t="shared" si="6"/>
        <v>America</v>
      </c>
      <c r="J206" t="str">
        <f t="shared" si="7"/>
        <v>America</v>
      </c>
    </row>
    <row r="207" spans="1:10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  <c r="I207" t="str">
        <f t="shared" si="6"/>
        <v>NULL</v>
      </c>
      <c r="J207" t="str">
        <f t="shared" si="7"/>
        <v>America</v>
      </c>
    </row>
    <row r="208" spans="1:10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  <c r="I208" t="str">
        <f t="shared" si="6"/>
        <v>Africa</v>
      </c>
      <c r="J208" t="str">
        <f t="shared" si="7"/>
        <v>America</v>
      </c>
    </row>
    <row r="209" spans="1:10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  <c r="I209" t="str">
        <f t="shared" si="6"/>
        <v>Africa</v>
      </c>
      <c r="J209" t="str">
        <f t="shared" si="7"/>
        <v>America</v>
      </c>
    </row>
    <row r="210" spans="1:10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  <c r="I210" t="str">
        <f t="shared" si="6"/>
        <v>America</v>
      </c>
      <c r="J210" t="str">
        <f t="shared" si="7"/>
        <v>America</v>
      </c>
    </row>
    <row r="211" spans="1:10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  <c r="I211" t="str">
        <f t="shared" si="6"/>
        <v>Africa</v>
      </c>
      <c r="J211" t="str">
        <f t="shared" si="7"/>
        <v>Asia-Pacific</v>
      </c>
    </row>
    <row r="212" spans="1:10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  <c r="I212" t="str">
        <f t="shared" si="6"/>
        <v>Africa</v>
      </c>
      <c r="J212" t="str">
        <f t="shared" si="7"/>
        <v>Asia-Pacific</v>
      </c>
    </row>
    <row r="213" spans="1:10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  <c r="I213" t="str">
        <f t="shared" si="6"/>
        <v>Africa</v>
      </c>
      <c r="J213" t="str">
        <f t="shared" si="7"/>
        <v>Asia-Pacific</v>
      </c>
    </row>
    <row r="214" spans="1:10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  <c r="I214" t="str">
        <f t="shared" si="6"/>
        <v>Africa</v>
      </c>
      <c r="J214" t="str">
        <f t="shared" si="7"/>
        <v>Asia-Pacific</v>
      </c>
    </row>
    <row r="215" spans="1:10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  <c r="I215" t="str">
        <f t="shared" si="6"/>
        <v>Africa</v>
      </c>
      <c r="J215" t="str">
        <f t="shared" si="7"/>
        <v>America</v>
      </c>
    </row>
    <row r="216" spans="1:10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  <c r="I216" t="str">
        <f t="shared" si="6"/>
        <v>Africa</v>
      </c>
      <c r="J216" t="str">
        <f t="shared" si="7"/>
        <v>America</v>
      </c>
    </row>
    <row r="217" spans="1:10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  <c r="I217" t="str">
        <f t="shared" si="6"/>
        <v>America</v>
      </c>
      <c r="J217" t="str">
        <f t="shared" si="7"/>
        <v>America</v>
      </c>
    </row>
    <row r="218" spans="1:10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  <c r="I218" t="str">
        <f t="shared" si="6"/>
        <v>Africa</v>
      </c>
      <c r="J218" t="str">
        <f t="shared" si="7"/>
        <v>Asia-Pacific</v>
      </c>
    </row>
    <row r="219" spans="1:10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  <c r="I219" t="str">
        <f t="shared" si="6"/>
        <v>America</v>
      </c>
      <c r="J219" t="str">
        <f t="shared" si="7"/>
        <v>America</v>
      </c>
    </row>
    <row r="220" spans="1:10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  <c r="I220" t="str">
        <f t="shared" si="6"/>
        <v>America</v>
      </c>
      <c r="J220" t="str">
        <f t="shared" si="7"/>
        <v>Asia-Pacific</v>
      </c>
    </row>
    <row r="221" spans="1:10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  <c r="I221" t="str">
        <f t="shared" si="6"/>
        <v>America</v>
      </c>
      <c r="J221" t="str">
        <f t="shared" si="7"/>
        <v>America</v>
      </c>
    </row>
    <row r="222" spans="1:10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  <c r="I222" t="str">
        <f t="shared" si="6"/>
        <v>America</v>
      </c>
      <c r="J222" t="str">
        <f t="shared" si="7"/>
        <v>America</v>
      </c>
    </row>
    <row r="223" spans="1:10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  <c r="I223" t="str">
        <f t="shared" si="6"/>
        <v>America</v>
      </c>
      <c r="J223" t="str">
        <f t="shared" si="7"/>
        <v>America</v>
      </c>
    </row>
    <row r="224" spans="1:10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  <c r="I224" t="str">
        <f t="shared" si="6"/>
        <v>America</v>
      </c>
      <c r="J224" t="str">
        <f t="shared" si="7"/>
        <v>America</v>
      </c>
    </row>
    <row r="225" spans="1:10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  <c r="I225" t="str">
        <f t="shared" si="6"/>
        <v>America</v>
      </c>
      <c r="J225" t="str">
        <f t="shared" si="7"/>
        <v>America</v>
      </c>
    </row>
    <row r="226" spans="1:10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  <c r="I226" t="str">
        <f t="shared" si="6"/>
        <v>Africa</v>
      </c>
      <c r="J226" t="str">
        <f t="shared" si="7"/>
        <v>America</v>
      </c>
    </row>
    <row r="227" spans="1:10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  <c r="I227" t="str">
        <f t="shared" si="6"/>
        <v>Africa</v>
      </c>
      <c r="J227" t="str">
        <f t="shared" si="7"/>
        <v>Asia-Pacific</v>
      </c>
    </row>
    <row r="228" spans="1:10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  <c r="I228" t="str">
        <f t="shared" si="6"/>
        <v>Africa</v>
      </c>
      <c r="J228" t="str">
        <f t="shared" si="7"/>
        <v>Asia-Pacific</v>
      </c>
    </row>
    <row r="229" spans="1:10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  <c r="I229" t="str">
        <f t="shared" si="6"/>
        <v>Africa</v>
      </c>
      <c r="J229" t="str">
        <f t="shared" si="7"/>
        <v>Asia-Pacific</v>
      </c>
    </row>
    <row r="230" spans="1:10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  <c r="I230" t="str">
        <f t="shared" si="6"/>
        <v>Africa</v>
      </c>
      <c r="J230" t="str">
        <f t="shared" si="7"/>
        <v>Asia-Pacific</v>
      </c>
    </row>
    <row r="231" spans="1:10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  <c r="I231" t="str">
        <f t="shared" si="6"/>
        <v>Africa</v>
      </c>
      <c r="J231" t="str">
        <f t="shared" si="7"/>
        <v>Asia-Pacific</v>
      </c>
    </row>
    <row r="232" spans="1:10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  <c r="I232" t="str">
        <f t="shared" si="6"/>
        <v>America</v>
      </c>
      <c r="J232" t="str">
        <f t="shared" si="7"/>
        <v>Asia-Pacific</v>
      </c>
    </row>
    <row r="233" spans="1:10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  <c r="I233" t="str">
        <f t="shared" si="6"/>
        <v>America</v>
      </c>
      <c r="J233" t="str">
        <f t="shared" si="7"/>
        <v>Asia-Pacific</v>
      </c>
    </row>
    <row r="234" spans="1:10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  <c r="I234" t="str">
        <f t="shared" si="6"/>
        <v>Africa</v>
      </c>
      <c r="J234" t="str">
        <f t="shared" si="7"/>
        <v>America</v>
      </c>
    </row>
    <row r="235" spans="1:10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  <c r="I235" t="str">
        <f t="shared" si="6"/>
        <v>America</v>
      </c>
      <c r="J235" t="str">
        <f t="shared" si="7"/>
        <v>America</v>
      </c>
    </row>
    <row r="236" spans="1:10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  <c r="I236" t="str">
        <f t="shared" si="6"/>
        <v>Africa</v>
      </c>
      <c r="J236" t="str">
        <f t="shared" si="7"/>
        <v>Asia-Pacific</v>
      </c>
    </row>
    <row r="237" spans="1:10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  <c r="I237" t="str">
        <f t="shared" si="6"/>
        <v>Africa</v>
      </c>
      <c r="J237" t="str">
        <f t="shared" si="7"/>
        <v>Asia-Pacific</v>
      </c>
    </row>
    <row r="238" spans="1:10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  <c r="I238" t="str">
        <f t="shared" si="6"/>
        <v>America</v>
      </c>
      <c r="J238" t="str">
        <f t="shared" si="7"/>
        <v>Asia-Pacific</v>
      </c>
    </row>
    <row r="239" spans="1:10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  <c r="I239" t="str">
        <f t="shared" si="6"/>
        <v>America</v>
      </c>
      <c r="J239" t="str">
        <f t="shared" si="7"/>
        <v>America</v>
      </c>
    </row>
    <row r="240" spans="1:10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  <c r="I240" t="str">
        <f t="shared" si="6"/>
        <v>America</v>
      </c>
      <c r="J240" t="str">
        <f t="shared" si="7"/>
        <v>America</v>
      </c>
    </row>
    <row r="241" spans="1:10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  <c r="I241" t="str">
        <f t="shared" si="6"/>
        <v>America</v>
      </c>
      <c r="J241" t="str">
        <f t="shared" si="7"/>
        <v>America</v>
      </c>
    </row>
    <row r="242" spans="1:10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  <c r="I242" t="str">
        <f t="shared" si="6"/>
        <v>Africa</v>
      </c>
      <c r="J242" t="str">
        <f t="shared" si="7"/>
        <v>Asia-Pacific</v>
      </c>
    </row>
    <row r="243" spans="1:10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  <c r="I243" t="str">
        <f t="shared" si="6"/>
        <v>Africa</v>
      </c>
      <c r="J243" t="str">
        <f t="shared" si="7"/>
        <v>Asia-Pacific</v>
      </c>
    </row>
    <row r="244" spans="1:10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  <c r="I244" t="str">
        <f t="shared" si="6"/>
        <v>Asia-Pacific</v>
      </c>
      <c r="J244" t="str">
        <f t="shared" si="7"/>
        <v>Asia-Pacific</v>
      </c>
    </row>
    <row r="245" spans="1:10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  <c r="I245" t="str">
        <f t="shared" si="6"/>
        <v>America</v>
      </c>
      <c r="J245" t="str">
        <f t="shared" si="7"/>
        <v>America</v>
      </c>
    </row>
    <row r="246" spans="1:10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  <c r="I246" t="str">
        <f t="shared" si="6"/>
        <v>America</v>
      </c>
      <c r="J246" t="str">
        <f t="shared" si="7"/>
        <v>America</v>
      </c>
    </row>
    <row r="247" spans="1:10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  <c r="I247" t="str">
        <f t="shared" si="6"/>
        <v>America</v>
      </c>
      <c r="J247" t="str">
        <f t="shared" si="7"/>
        <v>Asia-Pacific</v>
      </c>
    </row>
    <row r="248" spans="1:10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  <c r="I248" t="str">
        <f t="shared" si="6"/>
        <v>Africa</v>
      </c>
      <c r="J248" t="str">
        <f t="shared" si="7"/>
        <v>Asia-Pacific</v>
      </c>
    </row>
    <row r="249" spans="1:10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  <c r="I249" t="str">
        <f t="shared" si="6"/>
        <v>Africa</v>
      </c>
      <c r="J249" t="str">
        <f t="shared" si="7"/>
        <v>Asia-Pacific</v>
      </c>
    </row>
    <row r="250" spans="1:10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  <c r="I250" t="str">
        <f t="shared" si="6"/>
        <v>America</v>
      </c>
      <c r="J250" t="str">
        <f t="shared" si="7"/>
        <v>America</v>
      </c>
    </row>
    <row r="251" spans="1:10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  <c r="I251" t="str">
        <f t="shared" si="6"/>
        <v>America</v>
      </c>
      <c r="J251" t="str">
        <f t="shared" si="7"/>
        <v>America</v>
      </c>
    </row>
    <row r="252" spans="1:10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  <c r="I252" t="str">
        <f t="shared" si="6"/>
        <v>America</v>
      </c>
      <c r="J252" t="str">
        <f t="shared" si="7"/>
        <v>America</v>
      </c>
    </row>
    <row r="253" spans="1:10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  <c r="I253" t="str">
        <f t="shared" si="6"/>
        <v>America</v>
      </c>
      <c r="J253" t="str">
        <f t="shared" si="7"/>
        <v>America</v>
      </c>
    </row>
    <row r="254" spans="1:10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  <c r="I254" t="str">
        <f t="shared" si="6"/>
        <v>America</v>
      </c>
      <c r="J254" t="str">
        <f t="shared" si="7"/>
        <v>America</v>
      </c>
    </row>
    <row r="255" spans="1:10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  <c r="I255" t="str">
        <f t="shared" si="6"/>
        <v>Africa</v>
      </c>
      <c r="J255" t="str">
        <f t="shared" si="7"/>
        <v>Asia-Pacific</v>
      </c>
    </row>
    <row r="256" spans="1:10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  <c r="I256" t="str">
        <f t="shared" si="6"/>
        <v>Africa</v>
      </c>
      <c r="J256" t="str">
        <f t="shared" si="7"/>
        <v>Asia-Pacific</v>
      </c>
    </row>
    <row r="257" spans="1:10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  <c r="I257" t="str">
        <f t="shared" si="6"/>
        <v>Africa</v>
      </c>
      <c r="J257" t="str">
        <f t="shared" si="7"/>
        <v>Asia-Pacific</v>
      </c>
    </row>
    <row r="258" spans="1:10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  <c r="I258" t="str">
        <f t="shared" si="6"/>
        <v>America</v>
      </c>
      <c r="J258" t="str">
        <f t="shared" si="7"/>
        <v>America</v>
      </c>
    </row>
    <row r="259" spans="1:10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  <c r="I259" t="str">
        <f t="shared" ref="I259:I322" si="8">_xlfn.XLOOKUP(H259, $M$2:$M$50, $N$2:$N$50, "Other")</f>
        <v>America</v>
      </c>
      <c r="J259" t="str">
        <f t="shared" ref="J259:J322" si="9">_xlfn.XLOOKUP(G259, $M$2:$M$50, $N$2:$N$50, "Other")</f>
        <v>America</v>
      </c>
    </row>
    <row r="260" spans="1:10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  <c r="I260" t="str">
        <f t="shared" si="8"/>
        <v>Asia-Pacific</v>
      </c>
      <c r="J260" t="str">
        <f t="shared" si="9"/>
        <v>America</v>
      </c>
    </row>
    <row r="261" spans="1:10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  <c r="I261" t="str">
        <f t="shared" si="8"/>
        <v>America</v>
      </c>
      <c r="J261" t="str">
        <f t="shared" si="9"/>
        <v>America</v>
      </c>
    </row>
    <row r="262" spans="1:10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  <c r="I262" t="str">
        <f t="shared" si="8"/>
        <v>Africa</v>
      </c>
      <c r="J262" t="str">
        <f t="shared" si="9"/>
        <v>America</v>
      </c>
    </row>
    <row r="263" spans="1:10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  <c r="I263" t="str">
        <f t="shared" si="8"/>
        <v>Africa</v>
      </c>
      <c r="J263" t="str">
        <f t="shared" si="9"/>
        <v>Asia-Pacific</v>
      </c>
    </row>
    <row r="264" spans="1:10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  <c r="I264" t="str">
        <f t="shared" si="8"/>
        <v>Africa</v>
      </c>
      <c r="J264" t="str">
        <f t="shared" si="9"/>
        <v>Asia-Pacific</v>
      </c>
    </row>
    <row r="265" spans="1:10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  <c r="I265" t="str">
        <f t="shared" si="8"/>
        <v>America</v>
      </c>
      <c r="J265" t="str">
        <f t="shared" si="9"/>
        <v>Asia-Pacific</v>
      </c>
    </row>
    <row r="266" spans="1:10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  <c r="I266" t="str">
        <f t="shared" si="8"/>
        <v>America</v>
      </c>
      <c r="J266" t="str">
        <f t="shared" si="9"/>
        <v>Asia-Pacific</v>
      </c>
    </row>
    <row r="267" spans="1:10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  <c r="I267" t="str">
        <f t="shared" si="8"/>
        <v>Africa</v>
      </c>
      <c r="J267" t="str">
        <f t="shared" si="9"/>
        <v>Asia-Pacific</v>
      </c>
    </row>
    <row r="268" spans="1:10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  <c r="I268" t="str">
        <f t="shared" si="8"/>
        <v>Africa</v>
      </c>
      <c r="J268" t="str">
        <f t="shared" si="9"/>
        <v>Asia-Pacific</v>
      </c>
    </row>
    <row r="269" spans="1:10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  <c r="I269" t="str">
        <f t="shared" si="8"/>
        <v>America</v>
      </c>
      <c r="J269" t="str">
        <f t="shared" si="9"/>
        <v>Asia-Pacific</v>
      </c>
    </row>
    <row r="270" spans="1:10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  <c r="I270" t="str">
        <f t="shared" si="8"/>
        <v>Africa</v>
      </c>
      <c r="J270" t="str">
        <f t="shared" si="9"/>
        <v>Asia-Pacific</v>
      </c>
    </row>
    <row r="271" spans="1:10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  <c r="I271" t="str">
        <f t="shared" si="8"/>
        <v>America</v>
      </c>
      <c r="J271" t="str">
        <f t="shared" si="9"/>
        <v>America</v>
      </c>
    </row>
    <row r="272" spans="1:10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  <c r="I272" t="str">
        <f t="shared" si="8"/>
        <v>America</v>
      </c>
      <c r="J272" t="str">
        <f t="shared" si="9"/>
        <v>America</v>
      </c>
    </row>
    <row r="273" spans="1:10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  <c r="I273" t="str">
        <f t="shared" si="8"/>
        <v>America</v>
      </c>
      <c r="J273" t="str">
        <f t="shared" si="9"/>
        <v>America</v>
      </c>
    </row>
    <row r="274" spans="1:10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  <c r="I274" t="str">
        <f t="shared" si="8"/>
        <v>Africa</v>
      </c>
      <c r="J274" t="str">
        <f t="shared" si="9"/>
        <v>America</v>
      </c>
    </row>
    <row r="275" spans="1:10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  <c r="I275" t="str">
        <f t="shared" si="8"/>
        <v>Africa</v>
      </c>
      <c r="J275" t="str">
        <f t="shared" si="9"/>
        <v>Asia-Pacific</v>
      </c>
    </row>
    <row r="276" spans="1:10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  <c r="I276" t="str">
        <f t="shared" si="8"/>
        <v>America</v>
      </c>
      <c r="J276" t="str">
        <f t="shared" si="9"/>
        <v>Asia-Pacific</v>
      </c>
    </row>
    <row r="277" spans="1:10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  <c r="I277" t="str">
        <f t="shared" si="8"/>
        <v>America</v>
      </c>
      <c r="J277" t="str">
        <f t="shared" si="9"/>
        <v>America</v>
      </c>
    </row>
    <row r="278" spans="1:10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  <c r="I278" t="str">
        <f t="shared" si="8"/>
        <v>America</v>
      </c>
      <c r="J278" t="str">
        <f t="shared" si="9"/>
        <v>America</v>
      </c>
    </row>
    <row r="279" spans="1:10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  <c r="I279" t="str">
        <f t="shared" si="8"/>
        <v>America</v>
      </c>
      <c r="J279" t="str">
        <f t="shared" si="9"/>
        <v>America</v>
      </c>
    </row>
    <row r="280" spans="1:10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  <c r="I280" t="str">
        <f t="shared" si="8"/>
        <v>America</v>
      </c>
      <c r="J280" t="str">
        <f t="shared" si="9"/>
        <v>America</v>
      </c>
    </row>
    <row r="281" spans="1:10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  <c r="I281" t="str">
        <f t="shared" si="8"/>
        <v>Africa</v>
      </c>
      <c r="J281" t="str">
        <f t="shared" si="9"/>
        <v>America</v>
      </c>
    </row>
    <row r="282" spans="1:10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  <c r="I282" t="str">
        <f t="shared" si="8"/>
        <v>Africa</v>
      </c>
      <c r="J282" t="str">
        <f t="shared" si="9"/>
        <v>Asia-Pacific</v>
      </c>
    </row>
    <row r="283" spans="1:10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  <c r="I283" t="str">
        <f t="shared" si="8"/>
        <v>America</v>
      </c>
      <c r="J283" t="str">
        <f t="shared" si="9"/>
        <v>America</v>
      </c>
    </row>
    <row r="284" spans="1:10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  <c r="I284" t="str">
        <f t="shared" si="8"/>
        <v>America</v>
      </c>
      <c r="J284" t="str">
        <f t="shared" si="9"/>
        <v>America</v>
      </c>
    </row>
    <row r="285" spans="1:10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  <c r="I285" t="str">
        <f t="shared" si="8"/>
        <v>Asia-Pacific</v>
      </c>
      <c r="J285" t="str">
        <f t="shared" si="9"/>
        <v>America</v>
      </c>
    </row>
    <row r="286" spans="1:10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  <c r="I286" t="str">
        <f t="shared" si="8"/>
        <v>Africa</v>
      </c>
      <c r="J286" t="str">
        <f t="shared" si="9"/>
        <v>America</v>
      </c>
    </row>
    <row r="287" spans="1:10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  <c r="I287" t="str">
        <f t="shared" si="8"/>
        <v>America</v>
      </c>
      <c r="J287" t="str">
        <f t="shared" si="9"/>
        <v>America</v>
      </c>
    </row>
    <row r="288" spans="1:10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  <c r="I288" t="str">
        <f t="shared" si="8"/>
        <v>America</v>
      </c>
      <c r="J288" t="str">
        <f t="shared" si="9"/>
        <v>Asia-Pacific</v>
      </c>
    </row>
    <row r="289" spans="1:10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  <c r="I289" t="str">
        <f t="shared" si="8"/>
        <v>America</v>
      </c>
      <c r="J289" t="str">
        <f t="shared" si="9"/>
        <v>America</v>
      </c>
    </row>
    <row r="290" spans="1:10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  <c r="I290" t="str">
        <f t="shared" si="8"/>
        <v>America</v>
      </c>
      <c r="J290" t="str">
        <f t="shared" si="9"/>
        <v>America</v>
      </c>
    </row>
    <row r="291" spans="1:10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  <c r="I291" t="str">
        <f t="shared" si="8"/>
        <v>America</v>
      </c>
      <c r="J291" t="str">
        <f t="shared" si="9"/>
        <v>America</v>
      </c>
    </row>
    <row r="292" spans="1:10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  <c r="I292" t="str">
        <f t="shared" si="8"/>
        <v>America</v>
      </c>
      <c r="J292" t="str">
        <f t="shared" si="9"/>
        <v>America</v>
      </c>
    </row>
    <row r="293" spans="1:10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  <c r="I293" t="str">
        <f t="shared" si="8"/>
        <v>America</v>
      </c>
      <c r="J293" t="str">
        <f t="shared" si="9"/>
        <v>America</v>
      </c>
    </row>
    <row r="294" spans="1:10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  <c r="I294" t="str">
        <f t="shared" si="8"/>
        <v>Africa</v>
      </c>
      <c r="J294" t="str">
        <f t="shared" si="9"/>
        <v>Asia-Pacific</v>
      </c>
    </row>
    <row r="295" spans="1:10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  <c r="I295" t="str">
        <f t="shared" si="8"/>
        <v>America</v>
      </c>
      <c r="J295" t="str">
        <f t="shared" si="9"/>
        <v>Asia-Pacific</v>
      </c>
    </row>
    <row r="296" spans="1:10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  <c r="I296" t="str">
        <f t="shared" si="8"/>
        <v>America</v>
      </c>
      <c r="J296" t="str">
        <f t="shared" si="9"/>
        <v>Asia-Pacific</v>
      </c>
    </row>
    <row r="297" spans="1:10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  <c r="I297" t="str">
        <f t="shared" si="8"/>
        <v>America</v>
      </c>
      <c r="J297" t="str">
        <f t="shared" si="9"/>
        <v>America</v>
      </c>
    </row>
    <row r="298" spans="1:10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  <c r="I298" t="str">
        <f t="shared" si="8"/>
        <v>America</v>
      </c>
      <c r="J298" t="str">
        <f t="shared" si="9"/>
        <v>America</v>
      </c>
    </row>
    <row r="299" spans="1:10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  <c r="I299" t="str">
        <f t="shared" si="8"/>
        <v>Africa</v>
      </c>
      <c r="J299" t="str">
        <f t="shared" si="9"/>
        <v>America</v>
      </c>
    </row>
    <row r="300" spans="1:10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  <c r="I300" t="str">
        <f t="shared" si="8"/>
        <v>Africa</v>
      </c>
      <c r="J300" t="str">
        <f t="shared" si="9"/>
        <v>Asia-Pacific</v>
      </c>
    </row>
    <row r="301" spans="1:10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  <c r="I301" t="str">
        <f t="shared" si="8"/>
        <v>Africa</v>
      </c>
      <c r="J301" t="str">
        <f t="shared" si="9"/>
        <v>America</v>
      </c>
    </row>
    <row r="302" spans="1:10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  <c r="I302" t="str">
        <f t="shared" si="8"/>
        <v>America</v>
      </c>
      <c r="J302" t="str">
        <f t="shared" si="9"/>
        <v>America</v>
      </c>
    </row>
    <row r="303" spans="1:10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  <c r="I303" t="str">
        <f t="shared" si="8"/>
        <v>America</v>
      </c>
      <c r="J303" t="str">
        <f t="shared" si="9"/>
        <v>Asia-Pacific</v>
      </c>
    </row>
    <row r="304" spans="1:10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  <c r="I304" t="str">
        <f t="shared" si="8"/>
        <v>Africa</v>
      </c>
      <c r="J304" t="str">
        <f t="shared" si="9"/>
        <v>Asia-Pacific</v>
      </c>
    </row>
    <row r="305" spans="1:10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  <c r="I305" t="str">
        <f t="shared" si="8"/>
        <v>Africa</v>
      </c>
      <c r="J305" t="str">
        <f t="shared" si="9"/>
        <v>America</v>
      </c>
    </row>
    <row r="306" spans="1:10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  <c r="I306" t="str">
        <f t="shared" si="8"/>
        <v>Africa</v>
      </c>
      <c r="J306" t="str">
        <f t="shared" si="9"/>
        <v>Asia-Pacific</v>
      </c>
    </row>
    <row r="307" spans="1:10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  <c r="I307" t="str">
        <f t="shared" si="8"/>
        <v>Africa</v>
      </c>
      <c r="J307" t="str">
        <f t="shared" si="9"/>
        <v>Asia-Pacific</v>
      </c>
    </row>
    <row r="308" spans="1:10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  <c r="I308" t="str">
        <f t="shared" si="8"/>
        <v>Africa</v>
      </c>
      <c r="J308" t="str">
        <f t="shared" si="9"/>
        <v>Asia-Pacific</v>
      </c>
    </row>
    <row r="309" spans="1:10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  <c r="I309" t="str">
        <f t="shared" si="8"/>
        <v>Africa</v>
      </c>
      <c r="J309" t="str">
        <f t="shared" si="9"/>
        <v>Asia-Pacific</v>
      </c>
    </row>
    <row r="310" spans="1:10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  <c r="I310" t="str">
        <f t="shared" si="8"/>
        <v>America</v>
      </c>
      <c r="J310" t="str">
        <f t="shared" si="9"/>
        <v>Asia-Pacific</v>
      </c>
    </row>
    <row r="311" spans="1:10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  <c r="I311" t="str">
        <f t="shared" si="8"/>
        <v>Africa</v>
      </c>
      <c r="J311" t="str">
        <f t="shared" si="9"/>
        <v>Asia-Pacific</v>
      </c>
    </row>
    <row r="312" spans="1:10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  <c r="I312" t="str">
        <f t="shared" si="8"/>
        <v>America</v>
      </c>
      <c r="J312" t="str">
        <f t="shared" si="9"/>
        <v>America</v>
      </c>
    </row>
    <row r="313" spans="1:10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  <c r="I313" t="str">
        <f t="shared" si="8"/>
        <v>America</v>
      </c>
      <c r="J313" t="str">
        <f t="shared" si="9"/>
        <v>America</v>
      </c>
    </row>
    <row r="314" spans="1:10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  <c r="I314" t="str">
        <f t="shared" si="8"/>
        <v>America</v>
      </c>
      <c r="J314" t="str">
        <f t="shared" si="9"/>
        <v>America</v>
      </c>
    </row>
    <row r="315" spans="1:10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  <c r="I315" t="str">
        <f t="shared" si="8"/>
        <v>America</v>
      </c>
      <c r="J315" t="str">
        <f t="shared" si="9"/>
        <v>Asia-Pacific</v>
      </c>
    </row>
    <row r="316" spans="1:10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  <c r="I316" t="str">
        <f t="shared" si="8"/>
        <v>America</v>
      </c>
      <c r="J316" t="str">
        <f t="shared" si="9"/>
        <v>America</v>
      </c>
    </row>
    <row r="317" spans="1:10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  <c r="I317" t="str">
        <f t="shared" si="8"/>
        <v>Africa</v>
      </c>
      <c r="J317" t="str">
        <f t="shared" si="9"/>
        <v>Asia-Pacific</v>
      </c>
    </row>
    <row r="318" spans="1:10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  <c r="I318" t="str">
        <f t="shared" si="8"/>
        <v>Africa</v>
      </c>
      <c r="J318" t="str">
        <f t="shared" si="9"/>
        <v>Asia-Pacific</v>
      </c>
    </row>
    <row r="319" spans="1:10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  <c r="I319" t="str">
        <f t="shared" si="8"/>
        <v>America</v>
      </c>
      <c r="J319" t="str">
        <f t="shared" si="9"/>
        <v>Asia-Pacific</v>
      </c>
    </row>
    <row r="320" spans="1:10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  <c r="I320" t="str">
        <f t="shared" si="8"/>
        <v>America</v>
      </c>
      <c r="J320" t="str">
        <f t="shared" si="9"/>
        <v>America</v>
      </c>
    </row>
    <row r="321" spans="1:10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  <c r="I321" t="str">
        <f t="shared" si="8"/>
        <v>America</v>
      </c>
      <c r="J321" t="str">
        <f t="shared" si="9"/>
        <v>America</v>
      </c>
    </row>
    <row r="322" spans="1:10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  <c r="I322" t="str">
        <f t="shared" si="8"/>
        <v>America</v>
      </c>
      <c r="J322" t="str">
        <f t="shared" si="9"/>
        <v>Asia-Pacific</v>
      </c>
    </row>
    <row r="323" spans="1:10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  <c r="I323" t="str">
        <f t="shared" ref="I323:I386" si="10">_xlfn.XLOOKUP(H323, $M$2:$M$50, $N$2:$N$50, "Other")</f>
        <v>America</v>
      </c>
      <c r="J323" t="str">
        <f t="shared" ref="J323:J386" si="11">_xlfn.XLOOKUP(G323, $M$2:$M$50, $N$2:$N$50, "Other")</f>
        <v>America</v>
      </c>
    </row>
    <row r="324" spans="1:10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  <c r="I324" t="str">
        <f t="shared" si="10"/>
        <v>Africa</v>
      </c>
      <c r="J324" t="str">
        <f t="shared" si="11"/>
        <v>Asia-Pacific</v>
      </c>
    </row>
    <row r="325" spans="1:10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  <c r="I325" t="str">
        <f t="shared" si="10"/>
        <v>America</v>
      </c>
      <c r="J325" t="str">
        <f t="shared" si="11"/>
        <v>America</v>
      </c>
    </row>
    <row r="326" spans="1:10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  <c r="I326" t="str">
        <f t="shared" si="10"/>
        <v>Africa</v>
      </c>
      <c r="J326" t="str">
        <f t="shared" si="11"/>
        <v>America</v>
      </c>
    </row>
    <row r="327" spans="1:10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  <c r="I327" t="str">
        <f t="shared" si="10"/>
        <v>America</v>
      </c>
      <c r="J327" t="str">
        <f t="shared" si="11"/>
        <v>America</v>
      </c>
    </row>
    <row r="328" spans="1:10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  <c r="I328" t="str">
        <f t="shared" si="10"/>
        <v>Africa</v>
      </c>
      <c r="J328" t="str">
        <f t="shared" si="11"/>
        <v>America</v>
      </c>
    </row>
    <row r="329" spans="1:10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  <c r="I329" t="str">
        <f t="shared" si="10"/>
        <v>America</v>
      </c>
      <c r="J329" t="str">
        <f t="shared" si="11"/>
        <v>America</v>
      </c>
    </row>
    <row r="330" spans="1:10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  <c r="I330" t="str">
        <f t="shared" si="10"/>
        <v>America</v>
      </c>
      <c r="J330" t="str">
        <f t="shared" si="11"/>
        <v>America</v>
      </c>
    </row>
    <row r="331" spans="1:10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  <c r="I331" t="str">
        <f t="shared" si="10"/>
        <v>America</v>
      </c>
      <c r="J331" t="str">
        <f t="shared" si="11"/>
        <v>America</v>
      </c>
    </row>
    <row r="332" spans="1:10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  <c r="I332" t="str">
        <f t="shared" si="10"/>
        <v>Africa</v>
      </c>
      <c r="J332" t="str">
        <f t="shared" si="11"/>
        <v>America</v>
      </c>
    </row>
    <row r="333" spans="1:10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  <c r="I333" t="str">
        <f t="shared" si="10"/>
        <v>America</v>
      </c>
      <c r="J333" t="str">
        <f t="shared" si="11"/>
        <v>America</v>
      </c>
    </row>
    <row r="334" spans="1:10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  <c r="I334" t="str">
        <f t="shared" si="10"/>
        <v>America</v>
      </c>
      <c r="J334" t="str">
        <f t="shared" si="11"/>
        <v>Asia-Pacific</v>
      </c>
    </row>
    <row r="335" spans="1:10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  <c r="I335" t="str">
        <f t="shared" si="10"/>
        <v>Africa</v>
      </c>
      <c r="J335" t="str">
        <f t="shared" si="11"/>
        <v>Asia-Pacific</v>
      </c>
    </row>
    <row r="336" spans="1:10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  <c r="I336" t="str">
        <f t="shared" si="10"/>
        <v>America</v>
      </c>
      <c r="J336" t="str">
        <f t="shared" si="11"/>
        <v>Asia-Pacific</v>
      </c>
    </row>
    <row r="337" spans="1:10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  <c r="I337" t="str">
        <f t="shared" si="10"/>
        <v>Asia-Pacific</v>
      </c>
      <c r="J337" t="str">
        <f t="shared" si="11"/>
        <v>America</v>
      </c>
    </row>
    <row r="338" spans="1:10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  <c r="I338" t="str">
        <f t="shared" si="10"/>
        <v>America</v>
      </c>
      <c r="J338" t="str">
        <f t="shared" si="11"/>
        <v>Asia-Pacific</v>
      </c>
    </row>
    <row r="339" spans="1:10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  <c r="I339" t="str">
        <f t="shared" si="10"/>
        <v>Africa</v>
      </c>
      <c r="J339" t="str">
        <f t="shared" si="11"/>
        <v>Asia-Pacific</v>
      </c>
    </row>
    <row r="340" spans="1:10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  <c r="I340" t="str">
        <f t="shared" si="10"/>
        <v>Asia-Pacific</v>
      </c>
      <c r="J340" t="str">
        <f t="shared" si="11"/>
        <v>America</v>
      </c>
    </row>
    <row r="341" spans="1:10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  <c r="I341" t="str">
        <f t="shared" si="10"/>
        <v>Africa</v>
      </c>
      <c r="J341" t="str">
        <f t="shared" si="11"/>
        <v>Asia-Pacific</v>
      </c>
    </row>
    <row r="342" spans="1:10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  <c r="I342" t="str">
        <f t="shared" si="10"/>
        <v>Africa</v>
      </c>
      <c r="J342" t="str">
        <f t="shared" si="11"/>
        <v>America</v>
      </c>
    </row>
    <row r="343" spans="1:10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  <c r="I343" t="str">
        <f t="shared" si="10"/>
        <v>Africa</v>
      </c>
      <c r="J343" t="str">
        <f t="shared" si="11"/>
        <v>America</v>
      </c>
    </row>
    <row r="344" spans="1:10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  <c r="I344" t="str">
        <f t="shared" si="10"/>
        <v>America</v>
      </c>
      <c r="J344" t="str">
        <f t="shared" si="11"/>
        <v>Asia-Pacific</v>
      </c>
    </row>
    <row r="345" spans="1:10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  <c r="I345" t="str">
        <f t="shared" si="10"/>
        <v>Africa</v>
      </c>
      <c r="J345" t="str">
        <f t="shared" si="11"/>
        <v>Asia-Pacific</v>
      </c>
    </row>
    <row r="346" spans="1:10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  <c r="I346" t="str">
        <f t="shared" si="10"/>
        <v>America</v>
      </c>
      <c r="J346" t="str">
        <f t="shared" si="11"/>
        <v>America</v>
      </c>
    </row>
    <row r="347" spans="1:10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  <c r="I347" t="str">
        <f t="shared" si="10"/>
        <v>America</v>
      </c>
      <c r="J347" t="str">
        <f t="shared" si="11"/>
        <v>America</v>
      </c>
    </row>
    <row r="348" spans="1:10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  <c r="I348" t="str">
        <f t="shared" si="10"/>
        <v>Africa</v>
      </c>
      <c r="J348" t="str">
        <f t="shared" si="11"/>
        <v>Asia-Pacific</v>
      </c>
    </row>
    <row r="349" spans="1:10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  <c r="I349" t="str">
        <f t="shared" si="10"/>
        <v>Africa</v>
      </c>
      <c r="J349" t="str">
        <f t="shared" si="11"/>
        <v>America</v>
      </c>
    </row>
    <row r="350" spans="1:10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  <c r="I350" t="str">
        <f t="shared" si="10"/>
        <v>America</v>
      </c>
      <c r="J350" t="str">
        <f t="shared" si="11"/>
        <v>America</v>
      </c>
    </row>
    <row r="351" spans="1:10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  <c r="I351" t="str">
        <f t="shared" si="10"/>
        <v>Africa</v>
      </c>
      <c r="J351" t="str">
        <f t="shared" si="11"/>
        <v>America</v>
      </c>
    </row>
    <row r="352" spans="1:10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  <c r="I352" t="str">
        <f t="shared" si="10"/>
        <v>America</v>
      </c>
      <c r="J352" t="str">
        <f t="shared" si="11"/>
        <v>America</v>
      </c>
    </row>
    <row r="353" spans="1:10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  <c r="I353" t="str">
        <f t="shared" si="10"/>
        <v>Asia-Pacific</v>
      </c>
      <c r="J353" t="str">
        <f t="shared" si="11"/>
        <v>America</v>
      </c>
    </row>
    <row r="354" spans="1:10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  <c r="I354" t="str">
        <f t="shared" si="10"/>
        <v>America</v>
      </c>
      <c r="J354" t="str">
        <f t="shared" si="11"/>
        <v>America</v>
      </c>
    </row>
    <row r="355" spans="1:10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  <c r="I355" t="str">
        <f t="shared" si="10"/>
        <v>America</v>
      </c>
      <c r="J355" t="str">
        <f t="shared" si="11"/>
        <v>America</v>
      </c>
    </row>
    <row r="356" spans="1:10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  <c r="I356" t="str">
        <f t="shared" si="10"/>
        <v>America</v>
      </c>
      <c r="J356" t="str">
        <f t="shared" si="11"/>
        <v>America</v>
      </c>
    </row>
    <row r="357" spans="1:10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  <c r="I357" t="str">
        <f t="shared" si="10"/>
        <v>Africa</v>
      </c>
      <c r="J357" t="str">
        <f t="shared" si="11"/>
        <v>Asia-Pacific</v>
      </c>
    </row>
    <row r="358" spans="1:10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  <c r="I358" t="str">
        <f t="shared" si="10"/>
        <v>America</v>
      </c>
      <c r="J358" t="str">
        <f t="shared" si="11"/>
        <v>America</v>
      </c>
    </row>
    <row r="359" spans="1:10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  <c r="I359" t="str">
        <f t="shared" si="10"/>
        <v>Africa</v>
      </c>
      <c r="J359" t="str">
        <f t="shared" si="11"/>
        <v>America</v>
      </c>
    </row>
    <row r="360" spans="1:10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  <c r="I360" t="str">
        <f t="shared" si="10"/>
        <v>America</v>
      </c>
      <c r="J360" t="str">
        <f t="shared" si="11"/>
        <v>America</v>
      </c>
    </row>
    <row r="361" spans="1:10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  <c r="I361" t="str">
        <f t="shared" si="10"/>
        <v>NULL</v>
      </c>
      <c r="J361" t="str">
        <f t="shared" si="11"/>
        <v>America</v>
      </c>
    </row>
    <row r="362" spans="1:10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  <c r="I362" t="str">
        <f t="shared" si="10"/>
        <v>America</v>
      </c>
      <c r="J362" t="str">
        <f t="shared" si="11"/>
        <v>America</v>
      </c>
    </row>
    <row r="363" spans="1:10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  <c r="I363" t="str">
        <f t="shared" si="10"/>
        <v>America</v>
      </c>
      <c r="J363" t="str">
        <f t="shared" si="11"/>
        <v>America</v>
      </c>
    </row>
    <row r="364" spans="1:10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  <c r="I364" t="str">
        <f t="shared" si="10"/>
        <v>NULL</v>
      </c>
      <c r="J364" t="str">
        <f t="shared" si="11"/>
        <v>America</v>
      </c>
    </row>
    <row r="365" spans="1:10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  <c r="I365" t="str">
        <f t="shared" si="10"/>
        <v>NULL</v>
      </c>
      <c r="J365" t="str">
        <f t="shared" si="11"/>
        <v>America</v>
      </c>
    </row>
    <row r="366" spans="1:10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  <c r="I366" t="str">
        <f t="shared" si="10"/>
        <v>America</v>
      </c>
      <c r="J366" t="str">
        <f t="shared" si="11"/>
        <v>America</v>
      </c>
    </row>
    <row r="367" spans="1:10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  <c r="I367" t="str">
        <f t="shared" si="10"/>
        <v>America</v>
      </c>
      <c r="J367" t="str">
        <f t="shared" si="11"/>
        <v>America</v>
      </c>
    </row>
    <row r="368" spans="1:10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  <c r="I368" t="str">
        <f t="shared" si="10"/>
        <v>America</v>
      </c>
      <c r="J368" t="str">
        <f t="shared" si="11"/>
        <v>America</v>
      </c>
    </row>
    <row r="369" spans="1:10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  <c r="I369" t="str">
        <f t="shared" si="10"/>
        <v>America</v>
      </c>
      <c r="J369" t="str">
        <f t="shared" si="11"/>
        <v>America</v>
      </c>
    </row>
    <row r="370" spans="1:10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  <c r="I370" t="str">
        <f t="shared" si="10"/>
        <v>Africa</v>
      </c>
      <c r="J370" t="str">
        <f t="shared" si="11"/>
        <v>Asia-Pacific</v>
      </c>
    </row>
    <row r="371" spans="1:10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  <c r="I371" t="str">
        <f t="shared" si="10"/>
        <v>Africa</v>
      </c>
      <c r="J371" t="str">
        <f t="shared" si="11"/>
        <v>America</v>
      </c>
    </row>
    <row r="372" spans="1:10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  <c r="I372" t="str">
        <f t="shared" si="10"/>
        <v>Africa</v>
      </c>
      <c r="J372" t="str">
        <f t="shared" si="11"/>
        <v>America</v>
      </c>
    </row>
    <row r="373" spans="1:10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  <c r="I373" t="str">
        <f t="shared" si="10"/>
        <v>America</v>
      </c>
      <c r="J373" t="str">
        <f t="shared" si="11"/>
        <v>Asia-Pacific</v>
      </c>
    </row>
    <row r="374" spans="1:10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  <c r="I374" t="str">
        <f t="shared" si="10"/>
        <v>Africa</v>
      </c>
      <c r="J374" t="str">
        <f t="shared" si="11"/>
        <v>Asia-Pacific</v>
      </c>
    </row>
    <row r="375" spans="1:10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  <c r="I375" t="str">
        <f t="shared" si="10"/>
        <v>America</v>
      </c>
      <c r="J375" t="str">
        <f t="shared" si="11"/>
        <v>Asia-Pacific</v>
      </c>
    </row>
    <row r="376" spans="1:10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  <c r="I376" t="str">
        <f t="shared" si="10"/>
        <v>Africa</v>
      </c>
      <c r="J376" t="str">
        <f t="shared" si="11"/>
        <v>Asia-Pacific</v>
      </c>
    </row>
    <row r="377" spans="1:10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  <c r="I377" t="str">
        <f t="shared" si="10"/>
        <v>America</v>
      </c>
      <c r="J377" t="str">
        <f t="shared" si="11"/>
        <v>Asia-Pacific</v>
      </c>
    </row>
    <row r="378" spans="1:10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  <c r="I378" t="str">
        <f t="shared" si="10"/>
        <v>America</v>
      </c>
      <c r="J378" t="str">
        <f t="shared" si="11"/>
        <v>America</v>
      </c>
    </row>
    <row r="379" spans="1:10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  <c r="I379" t="str">
        <f t="shared" si="10"/>
        <v>Africa</v>
      </c>
      <c r="J379" t="str">
        <f t="shared" si="11"/>
        <v>Asia-Pacific</v>
      </c>
    </row>
    <row r="380" spans="1:10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  <c r="I380" t="str">
        <f t="shared" si="10"/>
        <v>Africa</v>
      </c>
      <c r="J380" t="str">
        <f t="shared" si="11"/>
        <v>Asia-Pacific</v>
      </c>
    </row>
    <row r="381" spans="1:10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  <c r="I381" t="str">
        <f t="shared" si="10"/>
        <v>America</v>
      </c>
      <c r="J381" t="str">
        <f t="shared" si="11"/>
        <v>Asia-Pacific</v>
      </c>
    </row>
    <row r="382" spans="1:10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  <c r="I382" t="str">
        <f t="shared" si="10"/>
        <v>America</v>
      </c>
      <c r="J382" t="str">
        <f t="shared" si="11"/>
        <v>Asia-Pacific</v>
      </c>
    </row>
    <row r="383" spans="1:10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  <c r="I383" t="str">
        <f t="shared" si="10"/>
        <v>Africa</v>
      </c>
      <c r="J383" t="str">
        <f t="shared" si="11"/>
        <v>Asia-Pacific</v>
      </c>
    </row>
    <row r="384" spans="1:10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  <c r="I384" t="str">
        <f t="shared" si="10"/>
        <v>Africa</v>
      </c>
      <c r="J384" t="str">
        <f t="shared" si="11"/>
        <v>Asia-Pacific</v>
      </c>
    </row>
    <row r="385" spans="1:10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  <c r="I385" t="str">
        <f t="shared" si="10"/>
        <v>America</v>
      </c>
      <c r="J385" t="str">
        <f t="shared" si="11"/>
        <v>Asia-Pacific</v>
      </c>
    </row>
    <row r="386" spans="1:10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  <c r="I386" t="str">
        <f t="shared" si="10"/>
        <v>America</v>
      </c>
      <c r="J386" t="str">
        <f t="shared" si="11"/>
        <v>America</v>
      </c>
    </row>
    <row r="387" spans="1:10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  <c r="I387" t="str">
        <f t="shared" ref="I387:I450" si="12">_xlfn.XLOOKUP(H387, $M$2:$M$50, $N$2:$N$50, "Other")</f>
        <v>America</v>
      </c>
      <c r="J387" t="str">
        <f t="shared" ref="J387:J450" si="13">_xlfn.XLOOKUP(G387, $M$2:$M$50, $N$2:$N$50, "Other")</f>
        <v>America</v>
      </c>
    </row>
    <row r="388" spans="1:10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  <c r="I388" t="str">
        <f t="shared" si="12"/>
        <v>Africa</v>
      </c>
      <c r="J388" t="str">
        <f t="shared" si="13"/>
        <v>America</v>
      </c>
    </row>
    <row r="389" spans="1:10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  <c r="I389" t="str">
        <f t="shared" si="12"/>
        <v>Africa</v>
      </c>
      <c r="J389" t="str">
        <f t="shared" si="13"/>
        <v>Asia-Pacific</v>
      </c>
    </row>
    <row r="390" spans="1:10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  <c r="I390" t="str">
        <f t="shared" si="12"/>
        <v>Africa</v>
      </c>
      <c r="J390" t="str">
        <f t="shared" si="13"/>
        <v>America</v>
      </c>
    </row>
    <row r="391" spans="1:10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  <c r="I391" t="str">
        <f t="shared" si="12"/>
        <v>America</v>
      </c>
      <c r="J391" t="str">
        <f t="shared" si="13"/>
        <v>America</v>
      </c>
    </row>
    <row r="392" spans="1:10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  <c r="I392" t="str">
        <f t="shared" si="12"/>
        <v>Africa</v>
      </c>
      <c r="J392" t="str">
        <f t="shared" si="13"/>
        <v>Asia-Pacific</v>
      </c>
    </row>
    <row r="393" spans="1:10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  <c r="I393" t="str">
        <f t="shared" si="12"/>
        <v>Africa</v>
      </c>
      <c r="J393" t="str">
        <f t="shared" si="13"/>
        <v>Asia-Pacific</v>
      </c>
    </row>
    <row r="394" spans="1:10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  <c r="I394" t="str">
        <f t="shared" si="12"/>
        <v>America</v>
      </c>
      <c r="J394" t="str">
        <f t="shared" si="13"/>
        <v>Asia-Pacific</v>
      </c>
    </row>
    <row r="395" spans="1:10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  <c r="I395" t="str">
        <f t="shared" si="12"/>
        <v>America</v>
      </c>
      <c r="J395" t="str">
        <f t="shared" si="13"/>
        <v>America</v>
      </c>
    </row>
    <row r="396" spans="1:10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  <c r="I396" t="str">
        <f t="shared" si="12"/>
        <v>Africa</v>
      </c>
      <c r="J396" t="str">
        <f t="shared" si="13"/>
        <v>Asia-Pacific</v>
      </c>
    </row>
    <row r="397" spans="1:10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  <c r="I397" t="str">
        <f t="shared" si="12"/>
        <v>America</v>
      </c>
      <c r="J397" t="str">
        <f t="shared" si="13"/>
        <v>Asia-Pacific</v>
      </c>
    </row>
    <row r="398" spans="1:10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  <c r="I398" t="str">
        <f t="shared" si="12"/>
        <v>America</v>
      </c>
      <c r="J398" t="str">
        <f t="shared" si="13"/>
        <v>America</v>
      </c>
    </row>
    <row r="399" spans="1:10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  <c r="I399" t="str">
        <f t="shared" si="12"/>
        <v>America</v>
      </c>
      <c r="J399" t="str">
        <f t="shared" si="13"/>
        <v>America</v>
      </c>
    </row>
    <row r="400" spans="1:10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  <c r="I400" t="str">
        <f t="shared" si="12"/>
        <v>Africa</v>
      </c>
      <c r="J400" t="str">
        <f t="shared" si="13"/>
        <v>Asia-Pacific</v>
      </c>
    </row>
    <row r="401" spans="1:10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  <c r="I401" t="str">
        <f t="shared" si="12"/>
        <v>America</v>
      </c>
      <c r="J401" t="str">
        <f t="shared" si="13"/>
        <v>Asia-Pacific</v>
      </c>
    </row>
    <row r="402" spans="1:10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  <c r="I402" t="str">
        <f t="shared" si="12"/>
        <v>America</v>
      </c>
      <c r="J402" t="str">
        <f t="shared" si="13"/>
        <v>America</v>
      </c>
    </row>
    <row r="403" spans="1:10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  <c r="I403" t="str">
        <f t="shared" si="12"/>
        <v>America</v>
      </c>
      <c r="J403" t="str">
        <f t="shared" si="13"/>
        <v>America</v>
      </c>
    </row>
    <row r="404" spans="1:10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  <c r="I404" t="str">
        <f t="shared" si="12"/>
        <v>America</v>
      </c>
      <c r="J404" t="str">
        <f t="shared" si="13"/>
        <v>America</v>
      </c>
    </row>
    <row r="405" spans="1:10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  <c r="I405" t="str">
        <f t="shared" si="12"/>
        <v>America</v>
      </c>
      <c r="J405" t="str">
        <f t="shared" si="13"/>
        <v>America</v>
      </c>
    </row>
    <row r="406" spans="1:10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  <c r="I406" t="str">
        <f t="shared" si="12"/>
        <v>America</v>
      </c>
      <c r="J406" t="str">
        <f t="shared" si="13"/>
        <v>America</v>
      </c>
    </row>
    <row r="407" spans="1:10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  <c r="I407" t="str">
        <f t="shared" si="12"/>
        <v>America</v>
      </c>
      <c r="J407" t="str">
        <f t="shared" si="13"/>
        <v>America</v>
      </c>
    </row>
    <row r="408" spans="1:10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  <c r="I408" t="str">
        <f t="shared" si="12"/>
        <v>Africa</v>
      </c>
      <c r="J408" t="str">
        <f t="shared" si="13"/>
        <v>America</v>
      </c>
    </row>
    <row r="409" spans="1:10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  <c r="I409" t="str">
        <f t="shared" si="12"/>
        <v>Africa</v>
      </c>
      <c r="J409" t="str">
        <f t="shared" si="13"/>
        <v>America</v>
      </c>
    </row>
    <row r="410" spans="1:10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  <c r="I410" t="str">
        <f t="shared" si="12"/>
        <v>America</v>
      </c>
      <c r="J410" t="str">
        <f t="shared" si="13"/>
        <v>Asia-Pacific</v>
      </c>
    </row>
    <row r="411" spans="1:10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  <c r="I411" t="str">
        <f t="shared" si="12"/>
        <v>America</v>
      </c>
      <c r="J411" t="str">
        <f t="shared" si="13"/>
        <v>America</v>
      </c>
    </row>
    <row r="412" spans="1:10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  <c r="I412" t="str">
        <f t="shared" si="12"/>
        <v>America</v>
      </c>
      <c r="J412" t="str">
        <f t="shared" si="13"/>
        <v>America</v>
      </c>
    </row>
    <row r="413" spans="1:10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  <c r="I413" t="str">
        <f t="shared" si="12"/>
        <v>America</v>
      </c>
      <c r="J413" t="str">
        <f t="shared" si="13"/>
        <v>Asia-Pacific</v>
      </c>
    </row>
    <row r="414" spans="1:10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  <c r="I414" t="str">
        <f t="shared" si="12"/>
        <v>America</v>
      </c>
      <c r="J414" t="str">
        <f t="shared" si="13"/>
        <v>Asia-Pacific</v>
      </c>
    </row>
    <row r="415" spans="1:10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  <c r="I415" t="str">
        <f t="shared" si="12"/>
        <v>Africa</v>
      </c>
      <c r="J415" t="str">
        <f t="shared" si="13"/>
        <v>America</v>
      </c>
    </row>
    <row r="416" spans="1:10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  <c r="I416" t="str">
        <f t="shared" si="12"/>
        <v>America</v>
      </c>
      <c r="J416" t="str">
        <f t="shared" si="13"/>
        <v>Asia-Pacific</v>
      </c>
    </row>
    <row r="417" spans="1:10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  <c r="I417" t="str">
        <f t="shared" si="12"/>
        <v>Africa</v>
      </c>
      <c r="J417" t="str">
        <f t="shared" si="13"/>
        <v>Asia-Pacific</v>
      </c>
    </row>
    <row r="418" spans="1:10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  <c r="I418" t="str">
        <f t="shared" si="12"/>
        <v>Africa</v>
      </c>
      <c r="J418" t="str">
        <f t="shared" si="13"/>
        <v>Asia-Pacific</v>
      </c>
    </row>
    <row r="419" spans="1:10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  <c r="I419" t="str">
        <f t="shared" si="12"/>
        <v>Asia-Pacific</v>
      </c>
      <c r="J419" t="str">
        <f t="shared" si="13"/>
        <v>Asia-Pacific</v>
      </c>
    </row>
    <row r="420" spans="1:10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  <c r="I420" t="str">
        <f t="shared" si="12"/>
        <v>Africa</v>
      </c>
      <c r="J420" t="str">
        <f t="shared" si="13"/>
        <v>Asia-Pacific</v>
      </c>
    </row>
    <row r="421" spans="1:10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  <c r="I421" t="str">
        <f t="shared" si="12"/>
        <v>America</v>
      </c>
      <c r="J421" t="str">
        <f t="shared" si="13"/>
        <v>Asia-Pacific</v>
      </c>
    </row>
    <row r="422" spans="1:10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  <c r="I422" t="str">
        <f t="shared" si="12"/>
        <v>Africa</v>
      </c>
      <c r="J422" t="str">
        <f t="shared" si="13"/>
        <v>Asia-Pacific</v>
      </c>
    </row>
    <row r="423" spans="1:10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  <c r="I423" t="str">
        <f t="shared" si="12"/>
        <v>Africa</v>
      </c>
      <c r="J423" t="str">
        <f t="shared" si="13"/>
        <v>Asia-Pacific</v>
      </c>
    </row>
    <row r="424" spans="1:10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  <c r="I424" t="str">
        <f t="shared" si="12"/>
        <v>America</v>
      </c>
      <c r="J424" t="str">
        <f t="shared" si="13"/>
        <v>America</v>
      </c>
    </row>
    <row r="425" spans="1:10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  <c r="I425" t="str">
        <f t="shared" si="12"/>
        <v>America</v>
      </c>
      <c r="J425" t="str">
        <f t="shared" si="13"/>
        <v>America</v>
      </c>
    </row>
    <row r="426" spans="1:10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  <c r="I426" t="str">
        <f t="shared" si="12"/>
        <v>America</v>
      </c>
      <c r="J426" t="str">
        <f t="shared" si="13"/>
        <v>America</v>
      </c>
    </row>
    <row r="427" spans="1:10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  <c r="I427" t="str">
        <f t="shared" si="12"/>
        <v>America</v>
      </c>
      <c r="J427" t="str">
        <f t="shared" si="13"/>
        <v>America</v>
      </c>
    </row>
    <row r="428" spans="1:10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  <c r="I428" t="str">
        <f t="shared" si="12"/>
        <v>Africa</v>
      </c>
      <c r="J428" t="str">
        <f t="shared" si="13"/>
        <v>Asia-Pacific</v>
      </c>
    </row>
    <row r="429" spans="1:10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  <c r="I429" t="str">
        <f t="shared" si="12"/>
        <v>Africa</v>
      </c>
      <c r="J429" t="str">
        <f t="shared" si="13"/>
        <v>Asia-Pacific</v>
      </c>
    </row>
    <row r="430" spans="1:10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  <c r="I430" t="str">
        <f t="shared" si="12"/>
        <v>America</v>
      </c>
      <c r="J430" t="str">
        <f t="shared" si="13"/>
        <v>Asia-Pacific</v>
      </c>
    </row>
    <row r="431" spans="1:10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  <c r="I431" t="str">
        <f t="shared" si="12"/>
        <v>America</v>
      </c>
      <c r="J431" t="str">
        <f t="shared" si="13"/>
        <v>America</v>
      </c>
    </row>
    <row r="432" spans="1:10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  <c r="I432" t="str">
        <f t="shared" si="12"/>
        <v>America</v>
      </c>
      <c r="J432" t="str">
        <f t="shared" si="13"/>
        <v>America</v>
      </c>
    </row>
    <row r="433" spans="1:10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  <c r="I433" t="str">
        <f t="shared" si="12"/>
        <v>Africa</v>
      </c>
      <c r="J433" t="str">
        <f t="shared" si="13"/>
        <v>Asia-Pacific</v>
      </c>
    </row>
    <row r="434" spans="1:10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  <c r="I434" t="str">
        <f t="shared" si="12"/>
        <v>America</v>
      </c>
      <c r="J434" t="str">
        <f t="shared" si="13"/>
        <v>Asia-Pacific</v>
      </c>
    </row>
    <row r="435" spans="1:10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  <c r="I435" t="str">
        <f t="shared" si="12"/>
        <v>Africa</v>
      </c>
      <c r="J435" t="str">
        <f t="shared" si="13"/>
        <v>America</v>
      </c>
    </row>
    <row r="436" spans="1:10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  <c r="I436" t="str">
        <f t="shared" si="12"/>
        <v>America</v>
      </c>
      <c r="J436" t="str">
        <f t="shared" si="13"/>
        <v>America</v>
      </c>
    </row>
    <row r="437" spans="1:10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  <c r="I437" t="str">
        <f t="shared" si="12"/>
        <v>Africa</v>
      </c>
      <c r="J437" t="str">
        <f t="shared" si="13"/>
        <v>America</v>
      </c>
    </row>
    <row r="438" spans="1:10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  <c r="I438" t="str">
        <f t="shared" si="12"/>
        <v>America</v>
      </c>
      <c r="J438" t="str">
        <f t="shared" si="13"/>
        <v>America</v>
      </c>
    </row>
    <row r="439" spans="1:10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  <c r="I439" t="str">
        <f t="shared" si="12"/>
        <v>America</v>
      </c>
      <c r="J439" t="str">
        <f t="shared" si="13"/>
        <v>America</v>
      </c>
    </row>
    <row r="440" spans="1:10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  <c r="I440" t="str">
        <f t="shared" si="12"/>
        <v>America</v>
      </c>
      <c r="J440" t="str">
        <f t="shared" si="13"/>
        <v>America</v>
      </c>
    </row>
    <row r="441" spans="1:10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  <c r="I441" t="str">
        <f t="shared" si="12"/>
        <v>Africa</v>
      </c>
      <c r="J441" t="str">
        <f t="shared" si="13"/>
        <v>Asia-Pacific</v>
      </c>
    </row>
    <row r="442" spans="1:10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  <c r="I442" t="str">
        <f t="shared" si="12"/>
        <v>America</v>
      </c>
      <c r="J442" t="str">
        <f t="shared" si="13"/>
        <v>America</v>
      </c>
    </row>
    <row r="443" spans="1:10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  <c r="I443" t="str">
        <f t="shared" si="12"/>
        <v>Africa</v>
      </c>
      <c r="J443" t="str">
        <f t="shared" si="13"/>
        <v>Asia-Pacific</v>
      </c>
    </row>
    <row r="444" spans="1:10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  <c r="I444" t="str">
        <f t="shared" si="12"/>
        <v>Africa</v>
      </c>
      <c r="J444" t="str">
        <f t="shared" si="13"/>
        <v>America</v>
      </c>
    </row>
    <row r="445" spans="1:10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  <c r="I445" t="str">
        <f t="shared" si="12"/>
        <v>America</v>
      </c>
      <c r="J445" t="str">
        <f t="shared" si="13"/>
        <v>America</v>
      </c>
    </row>
    <row r="446" spans="1:10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  <c r="I446" t="str">
        <f t="shared" si="12"/>
        <v>America</v>
      </c>
      <c r="J446" t="str">
        <f t="shared" si="13"/>
        <v>America</v>
      </c>
    </row>
    <row r="447" spans="1:10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  <c r="I447" t="str">
        <f t="shared" si="12"/>
        <v>America</v>
      </c>
      <c r="J447" t="str">
        <f t="shared" si="13"/>
        <v>America</v>
      </c>
    </row>
    <row r="448" spans="1:10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  <c r="I448" t="str">
        <f t="shared" si="12"/>
        <v>America</v>
      </c>
      <c r="J448" t="str">
        <f t="shared" si="13"/>
        <v>America</v>
      </c>
    </row>
    <row r="449" spans="1:10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  <c r="I449" t="str">
        <f t="shared" si="12"/>
        <v>America</v>
      </c>
      <c r="J449" t="str">
        <f t="shared" si="13"/>
        <v>Asia-Pacific</v>
      </c>
    </row>
    <row r="450" spans="1:10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  <c r="I450" t="str">
        <f t="shared" si="12"/>
        <v>America</v>
      </c>
      <c r="J450" t="str">
        <f t="shared" si="13"/>
        <v>Asia-Pacific</v>
      </c>
    </row>
    <row r="451" spans="1:10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  <c r="I451" t="str">
        <f t="shared" ref="I451:I514" si="14">_xlfn.XLOOKUP(H451, $M$2:$M$50, $N$2:$N$50, "Other")</f>
        <v>America</v>
      </c>
      <c r="J451" t="str">
        <f t="shared" ref="J451:J514" si="15">_xlfn.XLOOKUP(G451, $M$2:$M$50, $N$2:$N$50, "Other")</f>
        <v>Asia-Pacific</v>
      </c>
    </row>
    <row r="452" spans="1:10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  <c r="I452" t="str">
        <f t="shared" si="14"/>
        <v>America</v>
      </c>
      <c r="J452" t="str">
        <f t="shared" si="15"/>
        <v>America</v>
      </c>
    </row>
    <row r="453" spans="1:10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  <c r="I453" t="str">
        <f t="shared" si="14"/>
        <v>America</v>
      </c>
      <c r="J453" t="str">
        <f t="shared" si="15"/>
        <v>America</v>
      </c>
    </row>
    <row r="454" spans="1:10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  <c r="I454" t="str">
        <f t="shared" si="14"/>
        <v>Africa</v>
      </c>
      <c r="J454" t="str">
        <f t="shared" si="15"/>
        <v>Asia-Pacific</v>
      </c>
    </row>
    <row r="455" spans="1:10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  <c r="I455" t="str">
        <f t="shared" si="14"/>
        <v>America</v>
      </c>
      <c r="J455" t="str">
        <f t="shared" si="15"/>
        <v>America</v>
      </c>
    </row>
    <row r="456" spans="1:10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  <c r="I456" t="str">
        <f t="shared" si="14"/>
        <v>Africa</v>
      </c>
      <c r="J456" t="str">
        <f t="shared" si="15"/>
        <v>Asia-Pacific</v>
      </c>
    </row>
    <row r="457" spans="1:10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  <c r="I457" t="str">
        <f t="shared" si="14"/>
        <v>America</v>
      </c>
      <c r="J457" t="str">
        <f t="shared" si="15"/>
        <v>Asia-Pacific</v>
      </c>
    </row>
    <row r="458" spans="1:10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  <c r="I458" t="str">
        <f t="shared" si="14"/>
        <v>America</v>
      </c>
      <c r="J458" t="str">
        <f t="shared" si="15"/>
        <v>Asia-Pacific</v>
      </c>
    </row>
    <row r="459" spans="1:10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  <c r="I459" t="str">
        <f t="shared" si="14"/>
        <v>America</v>
      </c>
      <c r="J459" t="str">
        <f t="shared" si="15"/>
        <v>America</v>
      </c>
    </row>
    <row r="460" spans="1:10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  <c r="I460" t="str">
        <f t="shared" si="14"/>
        <v>America</v>
      </c>
      <c r="J460" t="str">
        <f t="shared" si="15"/>
        <v>America</v>
      </c>
    </row>
    <row r="461" spans="1:10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  <c r="I461" t="str">
        <f t="shared" si="14"/>
        <v>NULL</v>
      </c>
      <c r="J461" t="str">
        <f t="shared" si="15"/>
        <v>America</v>
      </c>
    </row>
    <row r="462" spans="1:10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  <c r="I462" t="str">
        <f t="shared" si="14"/>
        <v>Africa</v>
      </c>
      <c r="J462" t="str">
        <f t="shared" si="15"/>
        <v>America</v>
      </c>
    </row>
    <row r="463" spans="1:10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  <c r="I463" t="str">
        <f t="shared" si="14"/>
        <v>Africa</v>
      </c>
      <c r="J463" t="str">
        <f t="shared" si="15"/>
        <v>America</v>
      </c>
    </row>
    <row r="464" spans="1:10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  <c r="I464" t="str">
        <f t="shared" si="14"/>
        <v>America</v>
      </c>
      <c r="J464" t="str">
        <f t="shared" si="15"/>
        <v>America</v>
      </c>
    </row>
    <row r="465" spans="1:10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  <c r="I465" t="str">
        <f t="shared" si="14"/>
        <v>Africa</v>
      </c>
      <c r="J465" t="str">
        <f t="shared" si="15"/>
        <v>America</v>
      </c>
    </row>
    <row r="466" spans="1:10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  <c r="I466" t="str">
        <f t="shared" si="14"/>
        <v>Africa</v>
      </c>
      <c r="J466" t="str">
        <f t="shared" si="15"/>
        <v>Asia-Pacific</v>
      </c>
    </row>
    <row r="467" spans="1:10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  <c r="I467" t="str">
        <f t="shared" si="14"/>
        <v>America</v>
      </c>
      <c r="J467" t="str">
        <f t="shared" si="15"/>
        <v>America</v>
      </c>
    </row>
    <row r="468" spans="1:10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  <c r="I468" t="str">
        <f t="shared" si="14"/>
        <v>America</v>
      </c>
      <c r="J468" t="str">
        <f t="shared" si="15"/>
        <v>Asia-Pacific</v>
      </c>
    </row>
    <row r="469" spans="1:10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  <c r="I469" t="str">
        <f t="shared" si="14"/>
        <v>America</v>
      </c>
      <c r="J469" t="str">
        <f t="shared" si="15"/>
        <v>Asia-Pacific</v>
      </c>
    </row>
    <row r="470" spans="1:10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  <c r="I470" t="str">
        <f t="shared" si="14"/>
        <v>America</v>
      </c>
      <c r="J470" t="str">
        <f t="shared" si="15"/>
        <v>America</v>
      </c>
    </row>
    <row r="471" spans="1:10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  <c r="I471" t="str">
        <f t="shared" si="14"/>
        <v>Africa</v>
      </c>
      <c r="J471" t="str">
        <f t="shared" si="15"/>
        <v>Asia-Pacific</v>
      </c>
    </row>
    <row r="472" spans="1:10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  <c r="I472" t="str">
        <f t="shared" si="14"/>
        <v>America</v>
      </c>
      <c r="J472" t="str">
        <f t="shared" si="15"/>
        <v>America</v>
      </c>
    </row>
    <row r="473" spans="1:10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  <c r="I473" t="str">
        <f t="shared" si="14"/>
        <v>Africa</v>
      </c>
      <c r="J473" t="str">
        <f t="shared" si="15"/>
        <v>Asia-Pacific</v>
      </c>
    </row>
    <row r="474" spans="1:10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  <c r="I474" t="str">
        <f t="shared" si="14"/>
        <v>Africa</v>
      </c>
      <c r="J474" t="str">
        <f t="shared" si="15"/>
        <v>Asia-Pacific</v>
      </c>
    </row>
    <row r="475" spans="1:10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  <c r="I475" t="str">
        <f t="shared" si="14"/>
        <v>Africa</v>
      </c>
      <c r="J475" t="str">
        <f t="shared" si="15"/>
        <v>America</v>
      </c>
    </row>
    <row r="476" spans="1:10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  <c r="I476" t="str">
        <f t="shared" si="14"/>
        <v>America</v>
      </c>
      <c r="J476" t="str">
        <f t="shared" si="15"/>
        <v>Asia-Pacific</v>
      </c>
    </row>
    <row r="477" spans="1:10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  <c r="I477" t="str">
        <f t="shared" si="14"/>
        <v>Africa</v>
      </c>
      <c r="J477" t="str">
        <f t="shared" si="15"/>
        <v>Asia-Pacific</v>
      </c>
    </row>
    <row r="478" spans="1:10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  <c r="I478" t="str">
        <f t="shared" si="14"/>
        <v>America</v>
      </c>
      <c r="J478" t="str">
        <f t="shared" si="15"/>
        <v>America</v>
      </c>
    </row>
    <row r="479" spans="1:10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  <c r="I479" t="str">
        <f t="shared" si="14"/>
        <v>America</v>
      </c>
      <c r="J479" t="str">
        <f t="shared" si="15"/>
        <v>Asia-Pacific</v>
      </c>
    </row>
    <row r="480" spans="1:10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  <c r="I480" t="str">
        <f t="shared" si="14"/>
        <v>America</v>
      </c>
      <c r="J480" t="str">
        <f t="shared" si="15"/>
        <v>Asia-Pacific</v>
      </c>
    </row>
    <row r="481" spans="1:10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  <c r="I481" t="str">
        <f t="shared" si="14"/>
        <v>NULL</v>
      </c>
      <c r="J481" t="str">
        <f t="shared" si="15"/>
        <v>America</v>
      </c>
    </row>
    <row r="482" spans="1:10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  <c r="I482" t="str">
        <f t="shared" si="14"/>
        <v>Asia-Pacific</v>
      </c>
      <c r="J482" t="str">
        <f t="shared" si="15"/>
        <v>America</v>
      </c>
    </row>
    <row r="483" spans="1:10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  <c r="I483" t="str">
        <f t="shared" si="14"/>
        <v>America</v>
      </c>
      <c r="J483" t="str">
        <f t="shared" si="15"/>
        <v>Asia-Pacific</v>
      </c>
    </row>
    <row r="484" spans="1:10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  <c r="I484" t="str">
        <f t="shared" si="14"/>
        <v>America</v>
      </c>
      <c r="J484" t="str">
        <f t="shared" si="15"/>
        <v>America</v>
      </c>
    </row>
    <row r="485" spans="1:10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  <c r="I485" t="str">
        <f t="shared" si="14"/>
        <v>Africa</v>
      </c>
      <c r="J485" t="str">
        <f t="shared" si="15"/>
        <v>America</v>
      </c>
    </row>
    <row r="486" spans="1:10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  <c r="I486" t="str">
        <f t="shared" si="14"/>
        <v>America</v>
      </c>
      <c r="J486" t="str">
        <f t="shared" si="15"/>
        <v>America</v>
      </c>
    </row>
    <row r="487" spans="1:10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  <c r="I487" t="str">
        <f t="shared" si="14"/>
        <v>Africa</v>
      </c>
      <c r="J487" t="str">
        <f t="shared" si="15"/>
        <v>America</v>
      </c>
    </row>
    <row r="488" spans="1:10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  <c r="I488" t="str">
        <f t="shared" si="14"/>
        <v>Africa</v>
      </c>
      <c r="J488" t="str">
        <f t="shared" si="15"/>
        <v>Asia-Pacific</v>
      </c>
    </row>
    <row r="489" spans="1:10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  <c r="I489" t="str">
        <f t="shared" si="14"/>
        <v>Africa</v>
      </c>
      <c r="J489" t="str">
        <f t="shared" si="15"/>
        <v>Asia-Pacific</v>
      </c>
    </row>
    <row r="490" spans="1:10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  <c r="I490" t="str">
        <f t="shared" si="14"/>
        <v>America</v>
      </c>
      <c r="J490" t="str">
        <f t="shared" si="15"/>
        <v>America</v>
      </c>
    </row>
    <row r="491" spans="1:10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  <c r="I491" t="str">
        <f t="shared" si="14"/>
        <v>Africa</v>
      </c>
      <c r="J491" t="str">
        <f t="shared" si="15"/>
        <v>America</v>
      </c>
    </row>
    <row r="492" spans="1:10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  <c r="I492" t="str">
        <f t="shared" si="14"/>
        <v>Africa</v>
      </c>
      <c r="J492" t="str">
        <f t="shared" si="15"/>
        <v>Asia-Pacific</v>
      </c>
    </row>
    <row r="493" spans="1:10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  <c r="I493" t="str">
        <f t="shared" si="14"/>
        <v>Africa</v>
      </c>
      <c r="J493" t="str">
        <f t="shared" si="15"/>
        <v>Asia-Pacific</v>
      </c>
    </row>
    <row r="494" spans="1:10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  <c r="I494" t="str">
        <f t="shared" si="14"/>
        <v>America</v>
      </c>
      <c r="J494" t="str">
        <f t="shared" si="15"/>
        <v>Asia-Pacific</v>
      </c>
    </row>
    <row r="495" spans="1:10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  <c r="I495" t="str">
        <f t="shared" si="14"/>
        <v>America</v>
      </c>
      <c r="J495" t="str">
        <f t="shared" si="15"/>
        <v>America</v>
      </c>
    </row>
    <row r="496" spans="1:10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  <c r="I496" t="str">
        <f t="shared" si="14"/>
        <v>America</v>
      </c>
      <c r="J496" t="str">
        <f t="shared" si="15"/>
        <v>America</v>
      </c>
    </row>
    <row r="497" spans="1:10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  <c r="I497" t="str">
        <f t="shared" si="14"/>
        <v>Africa</v>
      </c>
      <c r="J497" t="str">
        <f t="shared" si="15"/>
        <v>America</v>
      </c>
    </row>
    <row r="498" spans="1:10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  <c r="I498" t="str">
        <f t="shared" si="14"/>
        <v>America</v>
      </c>
      <c r="J498" t="str">
        <f t="shared" si="15"/>
        <v>America</v>
      </c>
    </row>
    <row r="499" spans="1:10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  <c r="I499" t="str">
        <f t="shared" si="14"/>
        <v>America</v>
      </c>
      <c r="J499" t="str">
        <f t="shared" si="15"/>
        <v>Asia-Pacific</v>
      </c>
    </row>
    <row r="500" spans="1:10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  <c r="I500" t="str">
        <f t="shared" si="14"/>
        <v>America</v>
      </c>
      <c r="J500" t="str">
        <f t="shared" si="15"/>
        <v>America</v>
      </c>
    </row>
    <row r="501" spans="1:10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  <c r="I501" t="str">
        <f t="shared" si="14"/>
        <v>America</v>
      </c>
      <c r="J501" t="str">
        <f t="shared" si="15"/>
        <v>Asia-Pacific</v>
      </c>
    </row>
    <row r="502" spans="1:10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  <c r="I502" t="str">
        <f t="shared" si="14"/>
        <v>America</v>
      </c>
      <c r="J502" t="str">
        <f t="shared" si="15"/>
        <v>America</v>
      </c>
    </row>
    <row r="503" spans="1:10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  <c r="I503" t="str">
        <f t="shared" si="14"/>
        <v>Africa</v>
      </c>
      <c r="J503" t="str">
        <f t="shared" si="15"/>
        <v>Asia-Pacific</v>
      </c>
    </row>
    <row r="504" spans="1:10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  <c r="I504" t="str">
        <f t="shared" si="14"/>
        <v>Africa</v>
      </c>
      <c r="J504" t="str">
        <f t="shared" si="15"/>
        <v>America</v>
      </c>
    </row>
    <row r="505" spans="1:10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  <c r="I505" t="str">
        <f t="shared" si="14"/>
        <v>America</v>
      </c>
      <c r="J505" t="str">
        <f t="shared" si="15"/>
        <v>America</v>
      </c>
    </row>
    <row r="506" spans="1:10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  <c r="I506" t="str">
        <f t="shared" si="14"/>
        <v>America</v>
      </c>
      <c r="J506" t="str">
        <f t="shared" si="15"/>
        <v>America</v>
      </c>
    </row>
    <row r="507" spans="1:10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  <c r="I507" t="str">
        <f t="shared" si="14"/>
        <v>Africa</v>
      </c>
      <c r="J507" t="str">
        <f t="shared" si="15"/>
        <v>America</v>
      </c>
    </row>
    <row r="508" spans="1:10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  <c r="I508" t="str">
        <f t="shared" si="14"/>
        <v>America</v>
      </c>
      <c r="J508" t="str">
        <f t="shared" si="15"/>
        <v>America</v>
      </c>
    </row>
    <row r="509" spans="1:10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  <c r="I509" t="str">
        <f t="shared" si="14"/>
        <v>Africa</v>
      </c>
      <c r="J509" t="str">
        <f t="shared" si="15"/>
        <v>America</v>
      </c>
    </row>
    <row r="510" spans="1:10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  <c r="I510" t="str">
        <f t="shared" si="14"/>
        <v>Africa</v>
      </c>
      <c r="J510" t="str">
        <f t="shared" si="15"/>
        <v>America</v>
      </c>
    </row>
    <row r="511" spans="1:10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  <c r="I511" t="str">
        <f t="shared" si="14"/>
        <v>Africa</v>
      </c>
      <c r="J511" t="str">
        <f t="shared" si="15"/>
        <v>Asia-Pacific</v>
      </c>
    </row>
    <row r="512" spans="1:10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  <c r="I512" t="str">
        <f t="shared" si="14"/>
        <v>America</v>
      </c>
      <c r="J512" t="str">
        <f t="shared" si="15"/>
        <v>America</v>
      </c>
    </row>
    <row r="513" spans="1:10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  <c r="I513" t="str">
        <f t="shared" si="14"/>
        <v>America</v>
      </c>
      <c r="J513" t="str">
        <f t="shared" si="15"/>
        <v>Asia-Pacific</v>
      </c>
    </row>
    <row r="514" spans="1:10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  <c r="I514" t="str">
        <f t="shared" si="14"/>
        <v>America</v>
      </c>
      <c r="J514" t="str">
        <f t="shared" si="15"/>
        <v>Asia-Pacific</v>
      </c>
    </row>
    <row r="515" spans="1:10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  <c r="I515" t="str">
        <f t="shared" ref="I515:I578" si="16">_xlfn.XLOOKUP(H515, $M$2:$M$50, $N$2:$N$50, "Other")</f>
        <v>Africa</v>
      </c>
      <c r="J515" t="str">
        <f t="shared" ref="J515:J578" si="17">_xlfn.XLOOKUP(G515, $M$2:$M$50, $N$2:$N$50, "Other")</f>
        <v>Asia-Pacific</v>
      </c>
    </row>
    <row r="516" spans="1:10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  <c r="I516" t="str">
        <f t="shared" si="16"/>
        <v>Africa</v>
      </c>
      <c r="J516" t="str">
        <f t="shared" si="17"/>
        <v>Asia-Pacific</v>
      </c>
    </row>
    <row r="517" spans="1:10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  <c r="I517" t="str">
        <f t="shared" si="16"/>
        <v>NULL</v>
      </c>
      <c r="J517" t="str">
        <f t="shared" si="17"/>
        <v>America</v>
      </c>
    </row>
    <row r="518" spans="1:10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  <c r="I518" t="str">
        <f t="shared" si="16"/>
        <v>Africa</v>
      </c>
      <c r="J518" t="str">
        <f t="shared" si="17"/>
        <v>Asia-Pacific</v>
      </c>
    </row>
    <row r="519" spans="1:10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  <c r="I519" t="str">
        <f t="shared" si="16"/>
        <v>Africa</v>
      </c>
      <c r="J519" t="str">
        <f t="shared" si="17"/>
        <v>Asia-Pacific</v>
      </c>
    </row>
    <row r="520" spans="1:10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  <c r="I520" t="str">
        <f t="shared" si="16"/>
        <v>Africa</v>
      </c>
      <c r="J520" t="str">
        <f t="shared" si="17"/>
        <v>Asia-Pacific</v>
      </c>
    </row>
    <row r="521" spans="1:10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  <c r="I521" t="str">
        <f t="shared" si="16"/>
        <v>America</v>
      </c>
      <c r="J521" t="str">
        <f t="shared" si="17"/>
        <v>Asia-Pacific</v>
      </c>
    </row>
    <row r="522" spans="1:10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  <c r="I522" t="str">
        <f t="shared" si="16"/>
        <v>America</v>
      </c>
      <c r="J522" t="str">
        <f t="shared" si="17"/>
        <v>America</v>
      </c>
    </row>
    <row r="523" spans="1:10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  <c r="I523" t="str">
        <f t="shared" si="16"/>
        <v>Africa</v>
      </c>
      <c r="J523" t="str">
        <f t="shared" si="17"/>
        <v>America</v>
      </c>
    </row>
    <row r="524" spans="1:10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  <c r="I524" t="str">
        <f t="shared" si="16"/>
        <v>Africa</v>
      </c>
      <c r="J524" t="str">
        <f t="shared" si="17"/>
        <v>Asia-Pacific</v>
      </c>
    </row>
    <row r="525" spans="1:10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  <c r="I525" t="str">
        <f t="shared" si="16"/>
        <v>America</v>
      </c>
      <c r="J525" t="str">
        <f t="shared" si="17"/>
        <v>America</v>
      </c>
    </row>
    <row r="526" spans="1:10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  <c r="I526" t="str">
        <f t="shared" si="16"/>
        <v>Africa</v>
      </c>
      <c r="J526" t="str">
        <f t="shared" si="17"/>
        <v>Asia-Pacific</v>
      </c>
    </row>
    <row r="527" spans="1:10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  <c r="I527" t="str">
        <f t="shared" si="16"/>
        <v>Africa</v>
      </c>
      <c r="J527" t="str">
        <f t="shared" si="17"/>
        <v>Asia-Pacific</v>
      </c>
    </row>
    <row r="528" spans="1:10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  <c r="I528" t="str">
        <f t="shared" si="16"/>
        <v>Asia-Pacific</v>
      </c>
      <c r="J528" t="str">
        <f t="shared" si="17"/>
        <v>America</v>
      </c>
    </row>
    <row r="529" spans="1:10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  <c r="I529" t="str">
        <f t="shared" si="16"/>
        <v>America</v>
      </c>
      <c r="J529" t="str">
        <f t="shared" si="17"/>
        <v>America</v>
      </c>
    </row>
    <row r="530" spans="1:10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  <c r="I530" t="str">
        <f t="shared" si="16"/>
        <v>America</v>
      </c>
      <c r="J530" t="str">
        <f t="shared" si="17"/>
        <v>America</v>
      </c>
    </row>
    <row r="531" spans="1:10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  <c r="I531" t="str">
        <f t="shared" si="16"/>
        <v>America</v>
      </c>
      <c r="J531" t="str">
        <f t="shared" si="17"/>
        <v>America</v>
      </c>
    </row>
    <row r="532" spans="1:10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  <c r="I532" t="str">
        <f t="shared" si="16"/>
        <v>Africa</v>
      </c>
      <c r="J532" t="str">
        <f t="shared" si="17"/>
        <v>America</v>
      </c>
    </row>
    <row r="533" spans="1:10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  <c r="I533" t="str">
        <f t="shared" si="16"/>
        <v>America</v>
      </c>
      <c r="J533" t="str">
        <f t="shared" si="17"/>
        <v>America</v>
      </c>
    </row>
    <row r="534" spans="1:10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  <c r="I534" t="str">
        <f t="shared" si="16"/>
        <v>Asia-Pacific</v>
      </c>
      <c r="J534" t="str">
        <f t="shared" si="17"/>
        <v>America</v>
      </c>
    </row>
    <row r="535" spans="1:10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  <c r="I535" t="str">
        <f t="shared" si="16"/>
        <v>Africa</v>
      </c>
      <c r="J535" t="str">
        <f t="shared" si="17"/>
        <v>America</v>
      </c>
    </row>
    <row r="536" spans="1:10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  <c r="I536" t="str">
        <f t="shared" si="16"/>
        <v>Africa</v>
      </c>
      <c r="J536" t="str">
        <f t="shared" si="17"/>
        <v>America</v>
      </c>
    </row>
    <row r="537" spans="1:10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  <c r="I537" t="str">
        <f t="shared" si="16"/>
        <v>America</v>
      </c>
      <c r="J537" t="str">
        <f t="shared" si="17"/>
        <v>Asia-Pacific</v>
      </c>
    </row>
    <row r="538" spans="1:10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  <c r="I538" t="str">
        <f t="shared" si="16"/>
        <v>America</v>
      </c>
      <c r="J538" t="str">
        <f t="shared" si="17"/>
        <v>America</v>
      </c>
    </row>
    <row r="539" spans="1:10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  <c r="I539" t="str">
        <f t="shared" si="16"/>
        <v>Africa</v>
      </c>
      <c r="J539" t="str">
        <f t="shared" si="17"/>
        <v>Asia-Pacific</v>
      </c>
    </row>
    <row r="540" spans="1:10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  <c r="I540" t="str">
        <f t="shared" si="16"/>
        <v>America</v>
      </c>
      <c r="J540" t="str">
        <f t="shared" si="17"/>
        <v>America</v>
      </c>
    </row>
    <row r="541" spans="1:10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  <c r="I541" t="str">
        <f t="shared" si="16"/>
        <v>America</v>
      </c>
      <c r="J541" t="str">
        <f t="shared" si="17"/>
        <v>America</v>
      </c>
    </row>
    <row r="542" spans="1:10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  <c r="I542" t="str">
        <f t="shared" si="16"/>
        <v>America</v>
      </c>
      <c r="J542" t="str">
        <f t="shared" si="17"/>
        <v>Asia-Pacific</v>
      </c>
    </row>
    <row r="543" spans="1:10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  <c r="I543" t="str">
        <f t="shared" si="16"/>
        <v>Africa</v>
      </c>
      <c r="J543" t="str">
        <f t="shared" si="17"/>
        <v>America</v>
      </c>
    </row>
    <row r="544" spans="1:10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  <c r="I544" t="str">
        <f t="shared" si="16"/>
        <v>Africa</v>
      </c>
      <c r="J544" t="str">
        <f t="shared" si="17"/>
        <v>America</v>
      </c>
    </row>
    <row r="545" spans="1:10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  <c r="I545" t="str">
        <f t="shared" si="16"/>
        <v>America</v>
      </c>
      <c r="J545" t="str">
        <f t="shared" si="17"/>
        <v>America</v>
      </c>
    </row>
    <row r="546" spans="1:10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  <c r="I546" t="str">
        <f t="shared" si="16"/>
        <v>America</v>
      </c>
      <c r="J546" t="str">
        <f t="shared" si="17"/>
        <v>America</v>
      </c>
    </row>
    <row r="547" spans="1:10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  <c r="I547" t="str">
        <f t="shared" si="16"/>
        <v>America</v>
      </c>
      <c r="J547" t="str">
        <f t="shared" si="17"/>
        <v>America</v>
      </c>
    </row>
    <row r="548" spans="1:10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  <c r="I548" t="str">
        <f t="shared" si="16"/>
        <v>America</v>
      </c>
      <c r="J548" t="str">
        <f t="shared" si="17"/>
        <v>America</v>
      </c>
    </row>
    <row r="549" spans="1:10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  <c r="I549" t="str">
        <f t="shared" si="16"/>
        <v>Africa</v>
      </c>
      <c r="J549" t="str">
        <f t="shared" si="17"/>
        <v>Asia-Pacific</v>
      </c>
    </row>
    <row r="550" spans="1:10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  <c r="I550" t="str">
        <f t="shared" si="16"/>
        <v>Africa</v>
      </c>
      <c r="J550" t="str">
        <f t="shared" si="17"/>
        <v>Asia-Pacific</v>
      </c>
    </row>
    <row r="551" spans="1:10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  <c r="I551" t="str">
        <f t="shared" si="16"/>
        <v>America</v>
      </c>
      <c r="J551" t="str">
        <f t="shared" si="17"/>
        <v>America</v>
      </c>
    </row>
    <row r="552" spans="1:10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  <c r="I552" t="str">
        <f t="shared" si="16"/>
        <v>America</v>
      </c>
      <c r="J552" t="str">
        <f t="shared" si="17"/>
        <v>America</v>
      </c>
    </row>
    <row r="553" spans="1:10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  <c r="I553" t="str">
        <f t="shared" si="16"/>
        <v>Africa</v>
      </c>
      <c r="J553" t="str">
        <f t="shared" si="17"/>
        <v>Asia-Pacific</v>
      </c>
    </row>
    <row r="554" spans="1:10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  <c r="I554" t="str">
        <f t="shared" si="16"/>
        <v>Africa</v>
      </c>
      <c r="J554" t="str">
        <f t="shared" si="17"/>
        <v>Asia-Pacific</v>
      </c>
    </row>
    <row r="555" spans="1:10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  <c r="I555" t="str">
        <f t="shared" si="16"/>
        <v>America</v>
      </c>
      <c r="J555" t="str">
        <f t="shared" si="17"/>
        <v>Asia-Pacific</v>
      </c>
    </row>
    <row r="556" spans="1:10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  <c r="I556" t="str">
        <f t="shared" si="16"/>
        <v>Africa</v>
      </c>
      <c r="J556" t="str">
        <f t="shared" si="17"/>
        <v>America</v>
      </c>
    </row>
    <row r="557" spans="1:10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  <c r="I557" t="str">
        <f t="shared" si="16"/>
        <v>Africa</v>
      </c>
      <c r="J557" t="str">
        <f t="shared" si="17"/>
        <v>Asia-Pacific</v>
      </c>
    </row>
    <row r="558" spans="1:10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  <c r="I558" t="str">
        <f t="shared" si="16"/>
        <v>Africa</v>
      </c>
      <c r="J558" t="str">
        <f t="shared" si="17"/>
        <v>America</v>
      </c>
    </row>
    <row r="559" spans="1:10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  <c r="I559" t="str">
        <f t="shared" si="16"/>
        <v>Africa</v>
      </c>
      <c r="J559" t="str">
        <f t="shared" si="17"/>
        <v>America</v>
      </c>
    </row>
    <row r="560" spans="1:10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  <c r="I560" t="str">
        <f t="shared" si="16"/>
        <v>Africa</v>
      </c>
      <c r="J560" t="str">
        <f t="shared" si="17"/>
        <v>America</v>
      </c>
    </row>
    <row r="561" spans="1:10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  <c r="I561" t="str">
        <f t="shared" si="16"/>
        <v>Africa</v>
      </c>
      <c r="J561" t="str">
        <f t="shared" si="17"/>
        <v>America</v>
      </c>
    </row>
    <row r="562" spans="1:10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  <c r="I562" t="str">
        <f t="shared" si="16"/>
        <v>America</v>
      </c>
      <c r="J562" t="str">
        <f t="shared" si="17"/>
        <v>America</v>
      </c>
    </row>
    <row r="563" spans="1:10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  <c r="I563" t="str">
        <f t="shared" si="16"/>
        <v>America</v>
      </c>
      <c r="J563" t="str">
        <f t="shared" si="17"/>
        <v>America</v>
      </c>
    </row>
    <row r="564" spans="1:10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  <c r="I564" t="str">
        <f t="shared" si="16"/>
        <v>America</v>
      </c>
      <c r="J564" t="str">
        <f t="shared" si="17"/>
        <v>Asia-Pacific</v>
      </c>
    </row>
    <row r="565" spans="1:10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  <c r="I565" t="str">
        <f t="shared" si="16"/>
        <v>America</v>
      </c>
      <c r="J565" t="str">
        <f t="shared" si="17"/>
        <v>America</v>
      </c>
    </row>
    <row r="566" spans="1:10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  <c r="I566" t="str">
        <f t="shared" si="16"/>
        <v>Africa</v>
      </c>
      <c r="J566" t="str">
        <f t="shared" si="17"/>
        <v>Asia-Pacific</v>
      </c>
    </row>
    <row r="567" spans="1:10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  <c r="I567" t="str">
        <f t="shared" si="16"/>
        <v>America</v>
      </c>
      <c r="J567" t="str">
        <f t="shared" si="17"/>
        <v>America</v>
      </c>
    </row>
    <row r="568" spans="1:10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  <c r="I568" t="str">
        <f t="shared" si="16"/>
        <v>America</v>
      </c>
      <c r="J568" t="str">
        <f t="shared" si="17"/>
        <v>Asia-Pacific</v>
      </c>
    </row>
    <row r="569" spans="1:10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  <c r="I569" t="str">
        <f t="shared" si="16"/>
        <v>America</v>
      </c>
      <c r="J569" t="str">
        <f t="shared" si="17"/>
        <v>America</v>
      </c>
    </row>
    <row r="570" spans="1:10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  <c r="I570" t="str">
        <f t="shared" si="16"/>
        <v>America</v>
      </c>
      <c r="J570" t="str">
        <f t="shared" si="17"/>
        <v>America</v>
      </c>
    </row>
    <row r="571" spans="1:10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  <c r="I571" t="str">
        <f t="shared" si="16"/>
        <v>America</v>
      </c>
      <c r="J571" t="str">
        <f t="shared" si="17"/>
        <v>Asia-Pacific</v>
      </c>
    </row>
    <row r="572" spans="1:10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  <c r="I572" t="str">
        <f t="shared" si="16"/>
        <v>America</v>
      </c>
      <c r="J572" t="str">
        <f t="shared" si="17"/>
        <v>America</v>
      </c>
    </row>
    <row r="573" spans="1:10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  <c r="I573" t="str">
        <f t="shared" si="16"/>
        <v>America</v>
      </c>
      <c r="J573" t="str">
        <f t="shared" si="17"/>
        <v>America</v>
      </c>
    </row>
    <row r="574" spans="1:10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  <c r="I574" t="str">
        <f t="shared" si="16"/>
        <v>Africa</v>
      </c>
      <c r="J574" t="str">
        <f t="shared" si="17"/>
        <v>America</v>
      </c>
    </row>
    <row r="575" spans="1:10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  <c r="I575" t="str">
        <f t="shared" si="16"/>
        <v>America</v>
      </c>
      <c r="J575" t="str">
        <f t="shared" si="17"/>
        <v>Asia-Pacific</v>
      </c>
    </row>
    <row r="576" spans="1:10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  <c r="I576" t="str">
        <f t="shared" si="16"/>
        <v>America</v>
      </c>
      <c r="J576" t="str">
        <f t="shared" si="17"/>
        <v>America</v>
      </c>
    </row>
    <row r="577" spans="1:10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  <c r="I577" t="str">
        <f t="shared" si="16"/>
        <v>Africa</v>
      </c>
      <c r="J577" t="str">
        <f t="shared" si="17"/>
        <v>America</v>
      </c>
    </row>
    <row r="578" spans="1:10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  <c r="I578" t="str">
        <f t="shared" si="16"/>
        <v>America</v>
      </c>
      <c r="J578" t="str">
        <f t="shared" si="17"/>
        <v>America</v>
      </c>
    </row>
    <row r="579" spans="1:10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  <c r="I579" t="str">
        <f t="shared" ref="I579:I642" si="18">_xlfn.XLOOKUP(H579, $M$2:$M$50, $N$2:$N$50, "Other")</f>
        <v>Africa</v>
      </c>
      <c r="J579" t="str">
        <f t="shared" ref="J579:J642" si="19">_xlfn.XLOOKUP(G579, $M$2:$M$50, $N$2:$N$50, "Other")</f>
        <v>Asia-Pacific</v>
      </c>
    </row>
    <row r="580" spans="1:10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  <c r="I580" t="str">
        <f t="shared" si="18"/>
        <v>America</v>
      </c>
      <c r="J580" t="str">
        <f t="shared" si="19"/>
        <v>Asia-Pacific</v>
      </c>
    </row>
    <row r="581" spans="1:10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  <c r="I581" t="str">
        <f t="shared" si="18"/>
        <v>Africa</v>
      </c>
      <c r="J581" t="str">
        <f t="shared" si="19"/>
        <v>Asia-Pacific</v>
      </c>
    </row>
    <row r="582" spans="1:10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  <c r="I582" t="str">
        <f t="shared" si="18"/>
        <v>Africa</v>
      </c>
      <c r="J582" t="str">
        <f t="shared" si="19"/>
        <v>America</v>
      </c>
    </row>
    <row r="583" spans="1:10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  <c r="I583" t="str">
        <f t="shared" si="18"/>
        <v>America</v>
      </c>
      <c r="J583" t="str">
        <f t="shared" si="19"/>
        <v>America</v>
      </c>
    </row>
    <row r="584" spans="1:10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  <c r="I584" t="str">
        <f t="shared" si="18"/>
        <v>Africa</v>
      </c>
      <c r="J584" t="str">
        <f t="shared" si="19"/>
        <v>America</v>
      </c>
    </row>
    <row r="585" spans="1:10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  <c r="I585" t="str">
        <f t="shared" si="18"/>
        <v>America</v>
      </c>
      <c r="J585" t="str">
        <f t="shared" si="19"/>
        <v>America</v>
      </c>
    </row>
    <row r="586" spans="1:10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  <c r="I586" t="str">
        <f t="shared" si="18"/>
        <v>Asia-Pacific</v>
      </c>
      <c r="J586" t="str">
        <f t="shared" si="19"/>
        <v>America</v>
      </c>
    </row>
    <row r="587" spans="1:10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  <c r="I587" t="str">
        <f t="shared" si="18"/>
        <v>America</v>
      </c>
      <c r="J587" t="str">
        <f t="shared" si="19"/>
        <v>America</v>
      </c>
    </row>
    <row r="588" spans="1:10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  <c r="I588" t="str">
        <f t="shared" si="18"/>
        <v>Africa</v>
      </c>
      <c r="J588" t="str">
        <f t="shared" si="19"/>
        <v>America</v>
      </c>
    </row>
    <row r="589" spans="1:10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  <c r="I589" t="str">
        <f t="shared" si="18"/>
        <v>America</v>
      </c>
      <c r="J589" t="str">
        <f t="shared" si="19"/>
        <v>America</v>
      </c>
    </row>
    <row r="590" spans="1:10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  <c r="I590" t="str">
        <f t="shared" si="18"/>
        <v>America</v>
      </c>
      <c r="J590" t="str">
        <f t="shared" si="19"/>
        <v>America</v>
      </c>
    </row>
    <row r="591" spans="1:10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  <c r="I591" t="str">
        <f t="shared" si="18"/>
        <v>America</v>
      </c>
      <c r="J591" t="str">
        <f t="shared" si="19"/>
        <v>America</v>
      </c>
    </row>
    <row r="592" spans="1:10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  <c r="I592" t="str">
        <f t="shared" si="18"/>
        <v>Africa</v>
      </c>
      <c r="J592" t="str">
        <f t="shared" si="19"/>
        <v>America</v>
      </c>
    </row>
    <row r="593" spans="1:10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  <c r="I593" t="str">
        <f t="shared" si="18"/>
        <v>America</v>
      </c>
      <c r="J593" t="str">
        <f t="shared" si="19"/>
        <v>America</v>
      </c>
    </row>
    <row r="594" spans="1:10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  <c r="I594" t="str">
        <f t="shared" si="18"/>
        <v>NULL</v>
      </c>
      <c r="J594" t="str">
        <f t="shared" si="19"/>
        <v>America</v>
      </c>
    </row>
    <row r="595" spans="1:10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  <c r="I595" t="str">
        <f t="shared" si="18"/>
        <v>America</v>
      </c>
      <c r="J595" t="str">
        <f t="shared" si="19"/>
        <v>Asia-Pacific</v>
      </c>
    </row>
    <row r="596" spans="1:10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  <c r="I596" t="str">
        <f t="shared" si="18"/>
        <v>America</v>
      </c>
      <c r="J596" t="str">
        <f t="shared" si="19"/>
        <v>Asia-Pacific</v>
      </c>
    </row>
    <row r="597" spans="1:10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  <c r="I597" t="str">
        <f t="shared" si="18"/>
        <v>America</v>
      </c>
      <c r="J597" t="str">
        <f t="shared" si="19"/>
        <v>Asia-Pacific</v>
      </c>
    </row>
    <row r="598" spans="1:10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  <c r="I598" t="str">
        <f t="shared" si="18"/>
        <v>Africa</v>
      </c>
      <c r="J598" t="str">
        <f t="shared" si="19"/>
        <v>Asia-Pacific</v>
      </c>
    </row>
    <row r="599" spans="1:10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  <c r="I599" t="str">
        <f t="shared" si="18"/>
        <v>Africa</v>
      </c>
      <c r="J599" t="str">
        <f t="shared" si="19"/>
        <v>Asia-Pacific</v>
      </c>
    </row>
    <row r="600" spans="1:10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  <c r="I600" t="str">
        <f t="shared" si="18"/>
        <v>Africa</v>
      </c>
      <c r="J600" t="str">
        <f t="shared" si="19"/>
        <v>Asia-Pacific</v>
      </c>
    </row>
    <row r="601" spans="1:10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  <c r="I601" t="str">
        <f t="shared" si="18"/>
        <v>Africa</v>
      </c>
      <c r="J601" t="str">
        <f t="shared" si="19"/>
        <v>Asia-Pacific</v>
      </c>
    </row>
    <row r="602" spans="1:10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  <c r="I602" t="str">
        <f t="shared" si="18"/>
        <v>America</v>
      </c>
      <c r="J602" t="str">
        <f t="shared" si="19"/>
        <v>America</v>
      </c>
    </row>
    <row r="603" spans="1:10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  <c r="I603" t="str">
        <f t="shared" si="18"/>
        <v>America</v>
      </c>
      <c r="J603" t="str">
        <f t="shared" si="19"/>
        <v>America</v>
      </c>
    </row>
    <row r="604" spans="1:10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  <c r="I604" t="str">
        <f t="shared" si="18"/>
        <v>Africa</v>
      </c>
      <c r="J604" t="str">
        <f t="shared" si="19"/>
        <v>America</v>
      </c>
    </row>
    <row r="605" spans="1:10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  <c r="I605" t="str">
        <f t="shared" si="18"/>
        <v>Africa</v>
      </c>
      <c r="J605" t="str">
        <f t="shared" si="19"/>
        <v>Asia-Pacific</v>
      </c>
    </row>
    <row r="606" spans="1:10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  <c r="I606" t="str">
        <f t="shared" si="18"/>
        <v>America</v>
      </c>
      <c r="J606" t="str">
        <f t="shared" si="19"/>
        <v>America</v>
      </c>
    </row>
    <row r="607" spans="1:10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  <c r="I607" t="str">
        <f t="shared" si="18"/>
        <v>America</v>
      </c>
      <c r="J607" t="str">
        <f t="shared" si="19"/>
        <v>Asia-Pacific</v>
      </c>
    </row>
    <row r="608" spans="1:10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  <c r="I608" t="str">
        <f t="shared" si="18"/>
        <v>Africa</v>
      </c>
      <c r="J608" t="str">
        <f t="shared" si="19"/>
        <v>America</v>
      </c>
    </row>
    <row r="609" spans="1:10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  <c r="I609" t="str">
        <f t="shared" si="18"/>
        <v>Africa</v>
      </c>
      <c r="J609" t="str">
        <f t="shared" si="19"/>
        <v>America</v>
      </c>
    </row>
    <row r="610" spans="1:10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  <c r="I610" t="str">
        <f t="shared" si="18"/>
        <v>Africa</v>
      </c>
      <c r="J610" t="str">
        <f t="shared" si="19"/>
        <v>Asia-Pacific</v>
      </c>
    </row>
    <row r="611" spans="1:10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  <c r="I611" t="str">
        <f t="shared" si="18"/>
        <v>Africa</v>
      </c>
      <c r="J611" t="str">
        <f t="shared" si="19"/>
        <v>America</v>
      </c>
    </row>
    <row r="612" spans="1:10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  <c r="I612" t="str">
        <f t="shared" si="18"/>
        <v>America</v>
      </c>
      <c r="J612" t="str">
        <f t="shared" si="19"/>
        <v>America</v>
      </c>
    </row>
    <row r="613" spans="1:10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  <c r="I613" t="str">
        <f t="shared" si="18"/>
        <v>Africa</v>
      </c>
      <c r="J613" t="str">
        <f t="shared" si="19"/>
        <v>Asia-Pacific</v>
      </c>
    </row>
    <row r="614" spans="1:10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  <c r="I614" t="str">
        <f t="shared" si="18"/>
        <v>Africa</v>
      </c>
      <c r="J614" t="str">
        <f t="shared" si="19"/>
        <v>America</v>
      </c>
    </row>
    <row r="615" spans="1:10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  <c r="I615" t="str">
        <f t="shared" si="18"/>
        <v>Africa</v>
      </c>
      <c r="J615" t="str">
        <f t="shared" si="19"/>
        <v>America</v>
      </c>
    </row>
    <row r="616" spans="1:10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  <c r="I616" t="str">
        <f t="shared" si="18"/>
        <v>America</v>
      </c>
      <c r="J616" t="str">
        <f t="shared" si="19"/>
        <v>Asia-Pacific</v>
      </c>
    </row>
    <row r="617" spans="1:10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  <c r="I617" t="str">
        <f t="shared" si="18"/>
        <v>Africa</v>
      </c>
      <c r="J617" t="str">
        <f t="shared" si="19"/>
        <v>America</v>
      </c>
    </row>
    <row r="618" spans="1:10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  <c r="I618" t="str">
        <f t="shared" si="18"/>
        <v>Africa</v>
      </c>
      <c r="J618" t="str">
        <f t="shared" si="19"/>
        <v>America</v>
      </c>
    </row>
    <row r="619" spans="1:10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  <c r="I619" t="str">
        <f t="shared" si="18"/>
        <v>Africa</v>
      </c>
      <c r="J619" t="str">
        <f t="shared" si="19"/>
        <v>Asia-Pacific</v>
      </c>
    </row>
    <row r="620" spans="1:10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  <c r="I620" t="str">
        <f t="shared" si="18"/>
        <v>America</v>
      </c>
      <c r="J620" t="str">
        <f t="shared" si="19"/>
        <v>America</v>
      </c>
    </row>
    <row r="621" spans="1:10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  <c r="I621" t="str">
        <f t="shared" si="18"/>
        <v>America</v>
      </c>
      <c r="J621" t="str">
        <f t="shared" si="19"/>
        <v>Asia-Pacific</v>
      </c>
    </row>
    <row r="622" spans="1:10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  <c r="I622" t="str">
        <f t="shared" si="18"/>
        <v>America</v>
      </c>
      <c r="J622" t="str">
        <f t="shared" si="19"/>
        <v>America</v>
      </c>
    </row>
    <row r="623" spans="1:10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  <c r="I623" t="str">
        <f t="shared" si="18"/>
        <v>Africa</v>
      </c>
      <c r="J623" t="str">
        <f t="shared" si="19"/>
        <v>Asia-Pacific</v>
      </c>
    </row>
    <row r="624" spans="1:10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  <c r="I624" t="str">
        <f t="shared" si="18"/>
        <v>America</v>
      </c>
      <c r="J624" t="str">
        <f t="shared" si="19"/>
        <v>Asia-Pacific</v>
      </c>
    </row>
    <row r="625" spans="1:10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  <c r="I625" t="str">
        <f t="shared" si="18"/>
        <v>America</v>
      </c>
      <c r="J625" t="str">
        <f t="shared" si="19"/>
        <v>America</v>
      </c>
    </row>
    <row r="626" spans="1:10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  <c r="I626" t="str">
        <f t="shared" si="18"/>
        <v>America</v>
      </c>
      <c r="J626" t="str">
        <f t="shared" si="19"/>
        <v>America</v>
      </c>
    </row>
    <row r="627" spans="1:10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  <c r="I627" t="str">
        <f t="shared" si="18"/>
        <v>Africa</v>
      </c>
      <c r="J627" t="str">
        <f t="shared" si="19"/>
        <v>America</v>
      </c>
    </row>
    <row r="628" spans="1:10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  <c r="I628" t="str">
        <f t="shared" si="18"/>
        <v>America</v>
      </c>
      <c r="J628" t="str">
        <f t="shared" si="19"/>
        <v>America</v>
      </c>
    </row>
    <row r="629" spans="1:10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  <c r="I629" t="str">
        <f t="shared" si="18"/>
        <v>America</v>
      </c>
      <c r="J629" t="str">
        <f t="shared" si="19"/>
        <v>America</v>
      </c>
    </row>
    <row r="630" spans="1:10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  <c r="I630" t="str">
        <f t="shared" si="18"/>
        <v>Africa</v>
      </c>
      <c r="J630" t="str">
        <f t="shared" si="19"/>
        <v>America</v>
      </c>
    </row>
    <row r="631" spans="1:10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  <c r="I631" t="str">
        <f t="shared" si="18"/>
        <v>Africa</v>
      </c>
      <c r="J631" t="str">
        <f t="shared" si="19"/>
        <v>America</v>
      </c>
    </row>
    <row r="632" spans="1:10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  <c r="I632" t="str">
        <f t="shared" si="18"/>
        <v>America</v>
      </c>
      <c r="J632" t="str">
        <f t="shared" si="19"/>
        <v>America</v>
      </c>
    </row>
    <row r="633" spans="1:10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  <c r="I633" t="str">
        <f t="shared" si="18"/>
        <v>Africa</v>
      </c>
      <c r="J633" t="str">
        <f t="shared" si="19"/>
        <v>America</v>
      </c>
    </row>
    <row r="634" spans="1:10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  <c r="I634" t="str">
        <f t="shared" si="18"/>
        <v>Africa</v>
      </c>
      <c r="J634" t="str">
        <f t="shared" si="19"/>
        <v>America</v>
      </c>
    </row>
    <row r="635" spans="1:10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  <c r="I635" t="str">
        <f t="shared" si="18"/>
        <v>Africa</v>
      </c>
      <c r="J635" t="str">
        <f t="shared" si="19"/>
        <v>America</v>
      </c>
    </row>
    <row r="636" spans="1:10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  <c r="I636" t="str">
        <f t="shared" si="18"/>
        <v>Africa</v>
      </c>
      <c r="J636" t="str">
        <f t="shared" si="19"/>
        <v>America</v>
      </c>
    </row>
    <row r="637" spans="1:10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  <c r="I637" t="str">
        <f t="shared" si="18"/>
        <v>Africa</v>
      </c>
      <c r="J637" t="str">
        <f t="shared" si="19"/>
        <v>America</v>
      </c>
    </row>
    <row r="638" spans="1:10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  <c r="I638" t="str">
        <f t="shared" si="18"/>
        <v>Africa</v>
      </c>
      <c r="J638" t="str">
        <f t="shared" si="19"/>
        <v>America</v>
      </c>
    </row>
    <row r="639" spans="1:10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  <c r="I639" t="str">
        <f t="shared" si="18"/>
        <v>Africa</v>
      </c>
      <c r="J639" t="str">
        <f t="shared" si="19"/>
        <v>Asia-Pacific</v>
      </c>
    </row>
    <row r="640" spans="1:10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  <c r="I640" t="str">
        <f t="shared" si="18"/>
        <v>America</v>
      </c>
      <c r="J640" t="str">
        <f t="shared" si="19"/>
        <v>America</v>
      </c>
    </row>
    <row r="641" spans="1:10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  <c r="I641" t="str">
        <f t="shared" si="18"/>
        <v>Africa</v>
      </c>
      <c r="J641" t="str">
        <f t="shared" si="19"/>
        <v>Asia-Pacific</v>
      </c>
    </row>
    <row r="642" spans="1:10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  <c r="I642" t="str">
        <f t="shared" si="18"/>
        <v>Africa</v>
      </c>
      <c r="J642" t="str">
        <f t="shared" si="19"/>
        <v>Asia-Pacific</v>
      </c>
    </row>
    <row r="643" spans="1:10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  <c r="I643" t="str">
        <f t="shared" ref="I643:I706" si="20">_xlfn.XLOOKUP(H643, $M$2:$M$50, $N$2:$N$50, "Other")</f>
        <v>Africa</v>
      </c>
      <c r="J643" t="str">
        <f t="shared" ref="J643:J706" si="21">_xlfn.XLOOKUP(G643, $M$2:$M$50, $N$2:$N$50, "Other")</f>
        <v>Asia-Pacific</v>
      </c>
    </row>
    <row r="644" spans="1:10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  <c r="I644" t="str">
        <f t="shared" si="20"/>
        <v>Africa</v>
      </c>
      <c r="J644" t="str">
        <f t="shared" si="21"/>
        <v>Asia-Pacific</v>
      </c>
    </row>
    <row r="645" spans="1:10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  <c r="I645" t="str">
        <f t="shared" si="20"/>
        <v>Africa</v>
      </c>
      <c r="J645" t="str">
        <f t="shared" si="21"/>
        <v>Asia-Pacific</v>
      </c>
    </row>
    <row r="646" spans="1:10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  <c r="I646" t="str">
        <f t="shared" si="20"/>
        <v>Africa</v>
      </c>
      <c r="J646" t="str">
        <f t="shared" si="21"/>
        <v>America</v>
      </c>
    </row>
    <row r="647" spans="1:10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  <c r="I647" t="str">
        <f t="shared" si="20"/>
        <v>America</v>
      </c>
      <c r="J647" t="str">
        <f t="shared" si="21"/>
        <v>America</v>
      </c>
    </row>
    <row r="648" spans="1:10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  <c r="I648" t="str">
        <f t="shared" si="20"/>
        <v>America</v>
      </c>
      <c r="J648" t="str">
        <f t="shared" si="21"/>
        <v>America</v>
      </c>
    </row>
    <row r="649" spans="1:10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  <c r="I649" t="str">
        <f t="shared" si="20"/>
        <v>America</v>
      </c>
      <c r="J649" t="str">
        <f t="shared" si="21"/>
        <v>America</v>
      </c>
    </row>
    <row r="650" spans="1:10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  <c r="I650" t="str">
        <f t="shared" si="20"/>
        <v>Africa</v>
      </c>
      <c r="J650" t="str">
        <f t="shared" si="21"/>
        <v>America</v>
      </c>
    </row>
    <row r="651" spans="1:10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  <c r="I651" t="str">
        <f t="shared" si="20"/>
        <v>America</v>
      </c>
      <c r="J651" t="str">
        <f t="shared" si="21"/>
        <v>America</v>
      </c>
    </row>
    <row r="652" spans="1:10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  <c r="I652" t="str">
        <f t="shared" si="20"/>
        <v>America</v>
      </c>
      <c r="J652" t="str">
        <f t="shared" si="21"/>
        <v>America</v>
      </c>
    </row>
    <row r="653" spans="1:10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  <c r="I653" t="str">
        <f t="shared" si="20"/>
        <v>America</v>
      </c>
      <c r="J653" t="str">
        <f t="shared" si="21"/>
        <v>America</v>
      </c>
    </row>
    <row r="654" spans="1:10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  <c r="I654" t="str">
        <f t="shared" si="20"/>
        <v>America</v>
      </c>
      <c r="J654" t="str">
        <f t="shared" si="21"/>
        <v>America</v>
      </c>
    </row>
    <row r="655" spans="1:10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  <c r="I655" t="str">
        <f t="shared" si="20"/>
        <v>America</v>
      </c>
      <c r="J655" t="str">
        <f t="shared" si="21"/>
        <v>America</v>
      </c>
    </row>
    <row r="656" spans="1:10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  <c r="I656" t="str">
        <f t="shared" si="20"/>
        <v>America</v>
      </c>
      <c r="J656" t="str">
        <f t="shared" si="21"/>
        <v>Asia-Pacific</v>
      </c>
    </row>
    <row r="657" spans="1:10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  <c r="I657" t="str">
        <f t="shared" si="20"/>
        <v>Africa</v>
      </c>
      <c r="J657" t="str">
        <f t="shared" si="21"/>
        <v>Asia-Pacific</v>
      </c>
    </row>
    <row r="658" spans="1:10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  <c r="I658" t="str">
        <f t="shared" si="20"/>
        <v>America</v>
      </c>
      <c r="J658" t="str">
        <f t="shared" si="21"/>
        <v>Asia-Pacific</v>
      </c>
    </row>
    <row r="659" spans="1:10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  <c r="I659" t="str">
        <f t="shared" si="20"/>
        <v>America</v>
      </c>
      <c r="J659" t="str">
        <f t="shared" si="21"/>
        <v>America</v>
      </c>
    </row>
    <row r="660" spans="1:10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  <c r="I660" t="str">
        <f t="shared" si="20"/>
        <v>America</v>
      </c>
      <c r="J660" t="str">
        <f t="shared" si="21"/>
        <v>America</v>
      </c>
    </row>
    <row r="661" spans="1:10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  <c r="I661" t="str">
        <f t="shared" si="20"/>
        <v>America</v>
      </c>
      <c r="J661" t="str">
        <f t="shared" si="21"/>
        <v>Asia-Pacific</v>
      </c>
    </row>
    <row r="662" spans="1:10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  <c r="I662" t="str">
        <f t="shared" si="20"/>
        <v>Africa</v>
      </c>
      <c r="J662" t="str">
        <f t="shared" si="21"/>
        <v>Asia-Pacific</v>
      </c>
    </row>
    <row r="663" spans="1:10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  <c r="I663" t="str">
        <f t="shared" si="20"/>
        <v>Africa</v>
      </c>
      <c r="J663" t="str">
        <f t="shared" si="21"/>
        <v>Asia-Pacific</v>
      </c>
    </row>
    <row r="664" spans="1:10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  <c r="I664" t="str">
        <f t="shared" si="20"/>
        <v>Asia-Pacific</v>
      </c>
      <c r="J664" t="str">
        <f t="shared" si="21"/>
        <v>Asia-Pacific</v>
      </c>
    </row>
    <row r="665" spans="1:10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  <c r="I665" t="str">
        <f t="shared" si="20"/>
        <v>Africa</v>
      </c>
      <c r="J665" t="str">
        <f t="shared" si="21"/>
        <v>Asia-Pacific</v>
      </c>
    </row>
    <row r="666" spans="1:10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  <c r="I666" t="str">
        <f t="shared" si="20"/>
        <v>America</v>
      </c>
      <c r="J666" t="str">
        <f t="shared" si="21"/>
        <v>Asia-Pacific</v>
      </c>
    </row>
    <row r="667" spans="1:10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  <c r="I667" t="str">
        <f t="shared" si="20"/>
        <v>Africa</v>
      </c>
      <c r="J667" t="str">
        <f t="shared" si="21"/>
        <v>America</v>
      </c>
    </row>
    <row r="668" spans="1:10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  <c r="I668" t="str">
        <f t="shared" si="20"/>
        <v>America</v>
      </c>
      <c r="J668" t="str">
        <f t="shared" si="21"/>
        <v>Asia-Pacific</v>
      </c>
    </row>
    <row r="669" spans="1:10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  <c r="I669" t="str">
        <f t="shared" si="20"/>
        <v>America</v>
      </c>
      <c r="J669" t="str">
        <f t="shared" si="21"/>
        <v>America</v>
      </c>
    </row>
    <row r="670" spans="1:10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  <c r="I670" t="str">
        <f t="shared" si="20"/>
        <v>America</v>
      </c>
      <c r="J670" t="str">
        <f t="shared" si="21"/>
        <v>Asia-Pacific</v>
      </c>
    </row>
    <row r="671" spans="1:10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  <c r="I671" t="str">
        <f t="shared" si="20"/>
        <v>Asia-Pacific</v>
      </c>
      <c r="J671" t="str">
        <f t="shared" si="21"/>
        <v>Asia-Pacific</v>
      </c>
    </row>
    <row r="672" spans="1:10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  <c r="I672" t="str">
        <f t="shared" si="20"/>
        <v>Africa</v>
      </c>
      <c r="J672" t="str">
        <f t="shared" si="21"/>
        <v>Asia-Pacific</v>
      </c>
    </row>
    <row r="673" spans="1:10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  <c r="I673" t="str">
        <f t="shared" si="20"/>
        <v>Africa</v>
      </c>
      <c r="J673" t="str">
        <f t="shared" si="21"/>
        <v>America</v>
      </c>
    </row>
    <row r="674" spans="1:10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  <c r="I674" t="str">
        <f t="shared" si="20"/>
        <v>Africa</v>
      </c>
      <c r="J674" t="str">
        <f t="shared" si="21"/>
        <v>Asia-Pacific</v>
      </c>
    </row>
    <row r="675" spans="1:10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  <c r="I675" t="str">
        <f t="shared" si="20"/>
        <v>America</v>
      </c>
      <c r="J675" t="str">
        <f t="shared" si="21"/>
        <v>America</v>
      </c>
    </row>
    <row r="676" spans="1:10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  <c r="I676" t="str">
        <f t="shared" si="20"/>
        <v>America</v>
      </c>
      <c r="J676" t="str">
        <f t="shared" si="21"/>
        <v>America</v>
      </c>
    </row>
    <row r="677" spans="1:10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  <c r="I677" t="str">
        <f t="shared" si="20"/>
        <v>America</v>
      </c>
      <c r="J677" t="str">
        <f t="shared" si="21"/>
        <v>America</v>
      </c>
    </row>
    <row r="678" spans="1:10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  <c r="I678" t="str">
        <f t="shared" si="20"/>
        <v>America</v>
      </c>
      <c r="J678" t="str">
        <f t="shared" si="21"/>
        <v>America</v>
      </c>
    </row>
    <row r="679" spans="1:10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  <c r="I679" t="str">
        <f t="shared" si="20"/>
        <v>Africa</v>
      </c>
      <c r="J679" t="str">
        <f t="shared" si="21"/>
        <v>Asia-Pacific</v>
      </c>
    </row>
    <row r="680" spans="1:10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  <c r="I680" t="str">
        <f t="shared" si="20"/>
        <v>Africa</v>
      </c>
      <c r="J680" t="str">
        <f t="shared" si="21"/>
        <v>Asia-Pacific</v>
      </c>
    </row>
    <row r="681" spans="1:10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  <c r="I681" t="str">
        <f t="shared" si="20"/>
        <v>Africa</v>
      </c>
      <c r="J681" t="str">
        <f t="shared" si="21"/>
        <v>America</v>
      </c>
    </row>
    <row r="682" spans="1:10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  <c r="I682" t="str">
        <f t="shared" si="20"/>
        <v>Africa</v>
      </c>
      <c r="J682" t="str">
        <f t="shared" si="21"/>
        <v>Asia-Pacific</v>
      </c>
    </row>
    <row r="683" spans="1:10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  <c r="I683" t="str">
        <f t="shared" si="20"/>
        <v>NULL</v>
      </c>
      <c r="J683" t="str">
        <f t="shared" si="21"/>
        <v>America</v>
      </c>
    </row>
    <row r="684" spans="1:10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  <c r="I684" t="str">
        <f t="shared" si="20"/>
        <v>Africa</v>
      </c>
      <c r="J684" t="str">
        <f t="shared" si="21"/>
        <v>America</v>
      </c>
    </row>
    <row r="685" spans="1:10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  <c r="I685" t="str">
        <f t="shared" si="20"/>
        <v>Asia-Pacific</v>
      </c>
      <c r="J685" t="str">
        <f t="shared" si="21"/>
        <v>Asia-Pacific</v>
      </c>
    </row>
    <row r="686" spans="1:10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  <c r="I686" t="str">
        <f t="shared" si="20"/>
        <v>Africa</v>
      </c>
      <c r="J686" t="str">
        <f t="shared" si="21"/>
        <v>America</v>
      </c>
    </row>
    <row r="687" spans="1:10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  <c r="I687" t="str">
        <f t="shared" si="20"/>
        <v>Africa</v>
      </c>
      <c r="J687" t="str">
        <f t="shared" si="21"/>
        <v>America</v>
      </c>
    </row>
    <row r="688" spans="1:10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  <c r="I688" t="str">
        <f t="shared" si="20"/>
        <v>Africa</v>
      </c>
      <c r="J688" t="str">
        <f t="shared" si="21"/>
        <v>Asia-Pacific</v>
      </c>
    </row>
    <row r="689" spans="1:10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  <c r="I689" t="str">
        <f t="shared" si="20"/>
        <v>America</v>
      </c>
      <c r="J689" t="str">
        <f t="shared" si="21"/>
        <v>America</v>
      </c>
    </row>
    <row r="690" spans="1:10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  <c r="I690" t="str">
        <f t="shared" si="20"/>
        <v>America</v>
      </c>
      <c r="J690" t="str">
        <f t="shared" si="21"/>
        <v>America</v>
      </c>
    </row>
    <row r="691" spans="1:10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  <c r="I691" t="str">
        <f t="shared" si="20"/>
        <v>Africa</v>
      </c>
      <c r="J691" t="str">
        <f t="shared" si="21"/>
        <v>Asia-Pacific</v>
      </c>
    </row>
    <row r="692" spans="1:10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  <c r="I692" t="str">
        <f t="shared" si="20"/>
        <v>Africa</v>
      </c>
      <c r="J692" t="str">
        <f t="shared" si="21"/>
        <v>America</v>
      </c>
    </row>
    <row r="693" spans="1:10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  <c r="I693" t="str">
        <f t="shared" si="20"/>
        <v>Africa</v>
      </c>
      <c r="J693" t="str">
        <f t="shared" si="21"/>
        <v>Asia-Pacific</v>
      </c>
    </row>
    <row r="694" spans="1:10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  <c r="I694" t="str">
        <f t="shared" si="20"/>
        <v>Africa</v>
      </c>
      <c r="J694" t="str">
        <f t="shared" si="21"/>
        <v>Asia-Pacific</v>
      </c>
    </row>
    <row r="695" spans="1:10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  <c r="I695" t="str">
        <f t="shared" si="20"/>
        <v>Africa</v>
      </c>
      <c r="J695" t="str">
        <f t="shared" si="21"/>
        <v>America</v>
      </c>
    </row>
    <row r="696" spans="1:10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  <c r="I696" t="str">
        <f t="shared" si="20"/>
        <v>America</v>
      </c>
      <c r="J696" t="str">
        <f t="shared" si="21"/>
        <v>Asia-Pacific</v>
      </c>
    </row>
    <row r="697" spans="1:10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  <c r="I697" t="str">
        <f t="shared" si="20"/>
        <v>America</v>
      </c>
      <c r="J697" t="str">
        <f t="shared" si="21"/>
        <v>Asia-Pacific</v>
      </c>
    </row>
    <row r="698" spans="1:10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  <c r="I698" t="str">
        <f t="shared" si="20"/>
        <v>America</v>
      </c>
      <c r="J698" t="str">
        <f t="shared" si="21"/>
        <v>America</v>
      </c>
    </row>
    <row r="699" spans="1:10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  <c r="I699" t="str">
        <f t="shared" si="20"/>
        <v>Africa</v>
      </c>
      <c r="J699" t="str">
        <f t="shared" si="21"/>
        <v>America</v>
      </c>
    </row>
    <row r="700" spans="1:10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  <c r="I700" t="str">
        <f t="shared" si="20"/>
        <v>America</v>
      </c>
      <c r="J700" t="str">
        <f t="shared" si="21"/>
        <v>America</v>
      </c>
    </row>
    <row r="701" spans="1:10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  <c r="I701" t="str">
        <f t="shared" si="20"/>
        <v>America</v>
      </c>
      <c r="J701" t="str">
        <f t="shared" si="21"/>
        <v>America</v>
      </c>
    </row>
    <row r="702" spans="1:10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  <c r="I702" t="str">
        <f t="shared" si="20"/>
        <v>America</v>
      </c>
      <c r="J702" t="str">
        <f t="shared" si="21"/>
        <v>America</v>
      </c>
    </row>
    <row r="703" spans="1:10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  <c r="I703" t="str">
        <f t="shared" si="20"/>
        <v>Africa</v>
      </c>
      <c r="J703" t="str">
        <f t="shared" si="21"/>
        <v>Asia-Pacific</v>
      </c>
    </row>
    <row r="704" spans="1:10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  <c r="I704" t="str">
        <f t="shared" si="20"/>
        <v>America</v>
      </c>
      <c r="J704" t="str">
        <f t="shared" si="21"/>
        <v>America</v>
      </c>
    </row>
    <row r="705" spans="1:10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  <c r="I705" t="str">
        <f t="shared" si="20"/>
        <v>Africa</v>
      </c>
      <c r="J705" t="str">
        <f t="shared" si="21"/>
        <v>America</v>
      </c>
    </row>
    <row r="706" spans="1:10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  <c r="I706" t="str">
        <f t="shared" si="20"/>
        <v>Africa</v>
      </c>
      <c r="J706" t="str">
        <f t="shared" si="21"/>
        <v>Asia-Pacific</v>
      </c>
    </row>
    <row r="707" spans="1:10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  <c r="I707" t="str">
        <f t="shared" ref="I707:I770" si="22">_xlfn.XLOOKUP(H707, $M$2:$M$50, $N$2:$N$50, "Other")</f>
        <v>America</v>
      </c>
      <c r="J707" t="str">
        <f t="shared" ref="J707:J770" si="23">_xlfn.XLOOKUP(G707, $M$2:$M$50, $N$2:$N$50, "Other")</f>
        <v>America</v>
      </c>
    </row>
    <row r="708" spans="1:10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  <c r="I708" t="str">
        <f t="shared" si="22"/>
        <v>Africa</v>
      </c>
      <c r="J708" t="str">
        <f t="shared" si="23"/>
        <v>America</v>
      </c>
    </row>
    <row r="709" spans="1:10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  <c r="I709" t="str">
        <f t="shared" si="22"/>
        <v>America</v>
      </c>
      <c r="J709" t="str">
        <f t="shared" si="23"/>
        <v>America</v>
      </c>
    </row>
    <row r="710" spans="1:10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  <c r="I710" t="str">
        <f t="shared" si="22"/>
        <v>America</v>
      </c>
      <c r="J710" t="str">
        <f t="shared" si="23"/>
        <v>America</v>
      </c>
    </row>
    <row r="711" spans="1:10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  <c r="I711" t="str">
        <f t="shared" si="22"/>
        <v>America</v>
      </c>
      <c r="J711" t="str">
        <f t="shared" si="23"/>
        <v>America</v>
      </c>
    </row>
    <row r="712" spans="1:10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  <c r="I712" t="str">
        <f t="shared" si="22"/>
        <v>Africa</v>
      </c>
      <c r="J712" t="str">
        <f t="shared" si="23"/>
        <v>America</v>
      </c>
    </row>
    <row r="713" spans="1:10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  <c r="I713" t="str">
        <f t="shared" si="22"/>
        <v>Asia-Pacific</v>
      </c>
      <c r="J713" t="str">
        <f t="shared" si="23"/>
        <v>America</v>
      </c>
    </row>
    <row r="714" spans="1:10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  <c r="I714" t="str">
        <f t="shared" si="22"/>
        <v>Asia-Pacific</v>
      </c>
      <c r="J714" t="str">
        <f t="shared" si="23"/>
        <v>America</v>
      </c>
    </row>
    <row r="715" spans="1:10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  <c r="I715" t="str">
        <f t="shared" si="22"/>
        <v>Africa</v>
      </c>
      <c r="J715" t="str">
        <f t="shared" si="23"/>
        <v>America</v>
      </c>
    </row>
    <row r="716" spans="1:10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  <c r="I716" t="str">
        <f t="shared" si="22"/>
        <v>America</v>
      </c>
      <c r="J716" t="str">
        <f t="shared" si="23"/>
        <v>America</v>
      </c>
    </row>
    <row r="717" spans="1:10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  <c r="I717" t="str">
        <f t="shared" si="22"/>
        <v>America</v>
      </c>
      <c r="J717" t="str">
        <f t="shared" si="23"/>
        <v>America</v>
      </c>
    </row>
    <row r="718" spans="1:10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  <c r="I718" t="str">
        <f t="shared" si="22"/>
        <v>America</v>
      </c>
      <c r="J718" t="str">
        <f t="shared" si="23"/>
        <v>America</v>
      </c>
    </row>
    <row r="719" spans="1:10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  <c r="I719" t="str">
        <f t="shared" si="22"/>
        <v>America</v>
      </c>
      <c r="J719" t="str">
        <f t="shared" si="23"/>
        <v>America</v>
      </c>
    </row>
    <row r="720" spans="1:10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  <c r="I720" t="str">
        <f t="shared" si="22"/>
        <v>America</v>
      </c>
      <c r="J720" t="str">
        <f t="shared" si="23"/>
        <v>America</v>
      </c>
    </row>
    <row r="721" spans="1:10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  <c r="I721" t="str">
        <f t="shared" si="22"/>
        <v>America</v>
      </c>
      <c r="J721" t="str">
        <f t="shared" si="23"/>
        <v>Asia-Pacific</v>
      </c>
    </row>
    <row r="722" spans="1:10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  <c r="I722" t="str">
        <f t="shared" si="22"/>
        <v>America</v>
      </c>
      <c r="J722" t="str">
        <f t="shared" si="23"/>
        <v>Asia-Pacific</v>
      </c>
    </row>
    <row r="723" spans="1:10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  <c r="I723" t="str">
        <f t="shared" si="22"/>
        <v>America</v>
      </c>
      <c r="J723" t="str">
        <f t="shared" si="23"/>
        <v>Asia-Pacific</v>
      </c>
    </row>
    <row r="724" spans="1:10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  <c r="I724" t="str">
        <f t="shared" si="22"/>
        <v>Africa</v>
      </c>
      <c r="J724" t="str">
        <f t="shared" si="23"/>
        <v>Asia-Pacific</v>
      </c>
    </row>
    <row r="725" spans="1:10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  <c r="I725" t="str">
        <f t="shared" si="22"/>
        <v>Africa</v>
      </c>
      <c r="J725" t="str">
        <f t="shared" si="23"/>
        <v>Asia-Pacific</v>
      </c>
    </row>
    <row r="726" spans="1:10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  <c r="I726" t="str">
        <f t="shared" si="22"/>
        <v>Asia-Pacific</v>
      </c>
      <c r="J726" t="str">
        <f t="shared" si="23"/>
        <v>Asia-Pacific</v>
      </c>
    </row>
    <row r="727" spans="1:10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  <c r="I727" t="str">
        <f t="shared" si="22"/>
        <v>America</v>
      </c>
      <c r="J727" t="str">
        <f t="shared" si="23"/>
        <v>America</v>
      </c>
    </row>
    <row r="728" spans="1:10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  <c r="I728" t="str">
        <f t="shared" si="22"/>
        <v>Africa</v>
      </c>
      <c r="J728" t="str">
        <f t="shared" si="23"/>
        <v>America</v>
      </c>
    </row>
    <row r="729" spans="1:10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  <c r="I729" t="str">
        <f t="shared" si="22"/>
        <v>America</v>
      </c>
      <c r="J729" t="str">
        <f t="shared" si="23"/>
        <v>America</v>
      </c>
    </row>
    <row r="730" spans="1:10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  <c r="I730" t="str">
        <f t="shared" si="22"/>
        <v>America</v>
      </c>
      <c r="J730" t="str">
        <f t="shared" si="23"/>
        <v>America</v>
      </c>
    </row>
    <row r="731" spans="1:10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  <c r="I731" t="str">
        <f t="shared" si="22"/>
        <v>America</v>
      </c>
      <c r="J731" t="str">
        <f t="shared" si="23"/>
        <v>America</v>
      </c>
    </row>
    <row r="732" spans="1:10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  <c r="I732" t="str">
        <f t="shared" si="22"/>
        <v>America</v>
      </c>
      <c r="J732" t="str">
        <f t="shared" si="23"/>
        <v>America</v>
      </c>
    </row>
    <row r="733" spans="1:10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  <c r="I733" t="str">
        <f t="shared" si="22"/>
        <v>Africa</v>
      </c>
      <c r="J733" t="str">
        <f t="shared" si="23"/>
        <v>America</v>
      </c>
    </row>
    <row r="734" spans="1:10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  <c r="I734" t="str">
        <f t="shared" si="22"/>
        <v>America</v>
      </c>
      <c r="J734" t="str">
        <f t="shared" si="23"/>
        <v>America</v>
      </c>
    </row>
    <row r="735" spans="1:10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  <c r="I735" t="str">
        <f t="shared" si="22"/>
        <v>America</v>
      </c>
      <c r="J735" t="str">
        <f t="shared" si="23"/>
        <v>America</v>
      </c>
    </row>
    <row r="736" spans="1:10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  <c r="I736" t="str">
        <f t="shared" si="22"/>
        <v>America</v>
      </c>
      <c r="J736" t="str">
        <f t="shared" si="23"/>
        <v>Asia-Pacific</v>
      </c>
    </row>
    <row r="737" spans="1:10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  <c r="I737" t="str">
        <f t="shared" si="22"/>
        <v>America</v>
      </c>
      <c r="J737" t="str">
        <f t="shared" si="23"/>
        <v>Asia-Pacific</v>
      </c>
    </row>
    <row r="738" spans="1:10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  <c r="I738" t="str">
        <f t="shared" si="22"/>
        <v>Africa</v>
      </c>
      <c r="J738" t="str">
        <f t="shared" si="23"/>
        <v>America</v>
      </c>
    </row>
    <row r="739" spans="1:10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  <c r="I739" t="str">
        <f t="shared" si="22"/>
        <v>America</v>
      </c>
      <c r="J739" t="str">
        <f t="shared" si="23"/>
        <v>America</v>
      </c>
    </row>
    <row r="740" spans="1:10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  <c r="I740" t="str">
        <f t="shared" si="22"/>
        <v>America</v>
      </c>
      <c r="J740" t="str">
        <f t="shared" si="23"/>
        <v>America</v>
      </c>
    </row>
    <row r="741" spans="1:10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  <c r="I741" t="str">
        <f t="shared" si="22"/>
        <v>America</v>
      </c>
      <c r="J741" t="str">
        <f t="shared" si="23"/>
        <v>America</v>
      </c>
    </row>
    <row r="742" spans="1:10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  <c r="I742" t="str">
        <f t="shared" si="22"/>
        <v>Africa</v>
      </c>
      <c r="J742" t="str">
        <f t="shared" si="23"/>
        <v>America</v>
      </c>
    </row>
    <row r="743" spans="1:10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  <c r="I743" t="str">
        <f t="shared" si="22"/>
        <v>Africa</v>
      </c>
      <c r="J743" t="str">
        <f t="shared" si="23"/>
        <v>America</v>
      </c>
    </row>
    <row r="744" spans="1:10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  <c r="I744" t="str">
        <f t="shared" si="22"/>
        <v>America</v>
      </c>
      <c r="J744" t="str">
        <f t="shared" si="23"/>
        <v>America</v>
      </c>
    </row>
    <row r="745" spans="1:10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  <c r="I745" t="str">
        <f t="shared" si="22"/>
        <v>America</v>
      </c>
      <c r="J745" t="str">
        <f t="shared" si="23"/>
        <v>America</v>
      </c>
    </row>
    <row r="746" spans="1:10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  <c r="I746" t="str">
        <f t="shared" si="22"/>
        <v>Africa</v>
      </c>
      <c r="J746" t="str">
        <f t="shared" si="23"/>
        <v>Asia-Pacific</v>
      </c>
    </row>
    <row r="747" spans="1:10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  <c r="I747" t="str">
        <f t="shared" si="22"/>
        <v>America</v>
      </c>
      <c r="J747" t="str">
        <f t="shared" si="23"/>
        <v>America</v>
      </c>
    </row>
    <row r="748" spans="1:10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  <c r="I748" t="str">
        <f t="shared" si="22"/>
        <v>America</v>
      </c>
      <c r="J748" t="str">
        <f t="shared" si="23"/>
        <v>America</v>
      </c>
    </row>
    <row r="749" spans="1:10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  <c r="I749" t="str">
        <f t="shared" si="22"/>
        <v>Africa</v>
      </c>
      <c r="J749" t="str">
        <f t="shared" si="23"/>
        <v>Asia-Pacific</v>
      </c>
    </row>
    <row r="750" spans="1:10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  <c r="I750" t="str">
        <f t="shared" si="22"/>
        <v>Africa</v>
      </c>
      <c r="J750" t="str">
        <f t="shared" si="23"/>
        <v>America</v>
      </c>
    </row>
    <row r="751" spans="1:10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  <c r="I751" t="str">
        <f t="shared" si="22"/>
        <v>Africa</v>
      </c>
      <c r="J751" t="str">
        <f t="shared" si="23"/>
        <v>America</v>
      </c>
    </row>
    <row r="752" spans="1:10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  <c r="I752" t="str">
        <f t="shared" si="22"/>
        <v>Africa</v>
      </c>
      <c r="J752" t="str">
        <f t="shared" si="23"/>
        <v>Asia-Pacific</v>
      </c>
    </row>
    <row r="753" spans="1:10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  <c r="I753" t="str">
        <f t="shared" si="22"/>
        <v>Africa</v>
      </c>
      <c r="J753" t="str">
        <f t="shared" si="23"/>
        <v>Asia-Pacific</v>
      </c>
    </row>
    <row r="754" spans="1:10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  <c r="I754" t="str">
        <f t="shared" si="22"/>
        <v>America</v>
      </c>
      <c r="J754" t="str">
        <f t="shared" si="23"/>
        <v>Asia-Pacific</v>
      </c>
    </row>
    <row r="755" spans="1:10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  <c r="I755" t="str">
        <f t="shared" si="22"/>
        <v>America</v>
      </c>
      <c r="J755" t="str">
        <f t="shared" si="23"/>
        <v>America</v>
      </c>
    </row>
    <row r="756" spans="1:10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  <c r="I756" t="str">
        <f t="shared" si="22"/>
        <v>America</v>
      </c>
      <c r="J756" t="str">
        <f t="shared" si="23"/>
        <v>America</v>
      </c>
    </row>
    <row r="757" spans="1:10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  <c r="I757" t="str">
        <f t="shared" si="22"/>
        <v>America</v>
      </c>
      <c r="J757" t="str">
        <f t="shared" si="23"/>
        <v>Asia-Pacific</v>
      </c>
    </row>
    <row r="758" spans="1:10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  <c r="I758" t="str">
        <f t="shared" si="22"/>
        <v>America</v>
      </c>
      <c r="J758" t="str">
        <f t="shared" si="23"/>
        <v>Asia-Pacific</v>
      </c>
    </row>
    <row r="759" spans="1:10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  <c r="I759" t="str">
        <f t="shared" si="22"/>
        <v>Africa</v>
      </c>
      <c r="J759" t="str">
        <f t="shared" si="23"/>
        <v>Asia-Pacific</v>
      </c>
    </row>
    <row r="760" spans="1:10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  <c r="I760" t="str">
        <f t="shared" si="22"/>
        <v>Africa</v>
      </c>
      <c r="J760" t="str">
        <f t="shared" si="23"/>
        <v>America</v>
      </c>
    </row>
    <row r="761" spans="1:10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  <c r="I761" t="str">
        <f t="shared" si="22"/>
        <v>Africa</v>
      </c>
      <c r="J761" t="str">
        <f t="shared" si="23"/>
        <v>Asia-Pacific</v>
      </c>
    </row>
    <row r="762" spans="1:10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  <c r="I762" t="str">
        <f t="shared" si="22"/>
        <v>America</v>
      </c>
      <c r="J762" t="str">
        <f t="shared" si="23"/>
        <v>America</v>
      </c>
    </row>
    <row r="763" spans="1:10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  <c r="I763" t="str">
        <f t="shared" si="22"/>
        <v>America</v>
      </c>
      <c r="J763" t="str">
        <f t="shared" si="23"/>
        <v>America</v>
      </c>
    </row>
    <row r="764" spans="1:10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  <c r="I764" t="str">
        <f t="shared" si="22"/>
        <v>America</v>
      </c>
      <c r="J764" t="str">
        <f t="shared" si="23"/>
        <v>America</v>
      </c>
    </row>
    <row r="765" spans="1:10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  <c r="I765" t="str">
        <f t="shared" si="22"/>
        <v>America</v>
      </c>
      <c r="J765" t="str">
        <f t="shared" si="23"/>
        <v>America</v>
      </c>
    </row>
    <row r="766" spans="1:10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  <c r="I766" t="str">
        <f t="shared" si="22"/>
        <v>America</v>
      </c>
      <c r="J766" t="str">
        <f t="shared" si="23"/>
        <v>America</v>
      </c>
    </row>
    <row r="767" spans="1:10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  <c r="I767" t="str">
        <f t="shared" si="22"/>
        <v>America</v>
      </c>
      <c r="J767" t="str">
        <f t="shared" si="23"/>
        <v>Asia-Pacific</v>
      </c>
    </row>
    <row r="768" spans="1:10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  <c r="I768" t="str">
        <f t="shared" si="22"/>
        <v>America</v>
      </c>
      <c r="J768" t="str">
        <f t="shared" si="23"/>
        <v>Asia-Pacific</v>
      </c>
    </row>
    <row r="769" spans="1:10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  <c r="I769" t="str">
        <f t="shared" si="22"/>
        <v>America</v>
      </c>
      <c r="J769" t="str">
        <f t="shared" si="23"/>
        <v>America</v>
      </c>
    </row>
    <row r="770" spans="1:10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  <c r="I770" t="str">
        <f t="shared" si="22"/>
        <v>Africa</v>
      </c>
      <c r="J770" t="str">
        <f t="shared" si="23"/>
        <v>Asia-Pacific</v>
      </c>
    </row>
    <row r="771" spans="1:10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  <c r="I771" t="str">
        <f t="shared" ref="I771:I834" si="24">_xlfn.XLOOKUP(H771, $M$2:$M$50, $N$2:$N$50, "Other")</f>
        <v>Africa</v>
      </c>
      <c r="J771" t="str">
        <f t="shared" ref="J771:J834" si="25">_xlfn.XLOOKUP(G771, $M$2:$M$50, $N$2:$N$50, "Other")</f>
        <v>Asia-Pacific</v>
      </c>
    </row>
    <row r="772" spans="1:10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  <c r="I772" t="str">
        <f t="shared" si="24"/>
        <v>America</v>
      </c>
      <c r="J772" t="str">
        <f t="shared" si="25"/>
        <v>Asia-Pacific</v>
      </c>
    </row>
    <row r="773" spans="1:10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  <c r="I773" t="str">
        <f t="shared" si="24"/>
        <v>Africa</v>
      </c>
      <c r="J773" t="str">
        <f t="shared" si="25"/>
        <v>America</v>
      </c>
    </row>
    <row r="774" spans="1:10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  <c r="I774" t="str">
        <f t="shared" si="24"/>
        <v>America</v>
      </c>
      <c r="J774" t="str">
        <f t="shared" si="25"/>
        <v>America</v>
      </c>
    </row>
    <row r="775" spans="1:10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  <c r="I775" t="str">
        <f t="shared" si="24"/>
        <v>Africa</v>
      </c>
      <c r="J775" t="str">
        <f t="shared" si="25"/>
        <v>Asia-Pacific</v>
      </c>
    </row>
    <row r="776" spans="1:10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  <c r="I776" t="str">
        <f t="shared" si="24"/>
        <v>Africa</v>
      </c>
      <c r="J776" t="str">
        <f t="shared" si="25"/>
        <v>America</v>
      </c>
    </row>
    <row r="777" spans="1:10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  <c r="I777" t="str">
        <f t="shared" si="24"/>
        <v>America</v>
      </c>
      <c r="J777" t="str">
        <f t="shared" si="25"/>
        <v>Asia-Pacific</v>
      </c>
    </row>
    <row r="778" spans="1:10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  <c r="I778" t="str">
        <f t="shared" si="24"/>
        <v>America</v>
      </c>
      <c r="J778" t="str">
        <f t="shared" si="25"/>
        <v>Asia-Pacific</v>
      </c>
    </row>
    <row r="779" spans="1:10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  <c r="I779" t="str">
        <f t="shared" si="24"/>
        <v>America</v>
      </c>
      <c r="J779" t="str">
        <f t="shared" si="25"/>
        <v>Asia-Pacific</v>
      </c>
    </row>
    <row r="780" spans="1:10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  <c r="I780" t="str">
        <f t="shared" si="24"/>
        <v>Africa</v>
      </c>
      <c r="J780" t="str">
        <f t="shared" si="25"/>
        <v>America</v>
      </c>
    </row>
    <row r="781" spans="1:10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  <c r="I781" t="str">
        <f t="shared" si="24"/>
        <v>Asia-Pacific</v>
      </c>
      <c r="J781" t="str">
        <f t="shared" si="25"/>
        <v>America</v>
      </c>
    </row>
    <row r="782" spans="1:10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  <c r="I782" t="str">
        <f t="shared" si="24"/>
        <v>America</v>
      </c>
      <c r="J782" t="str">
        <f t="shared" si="25"/>
        <v>America</v>
      </c>
    </row>
    <row r="783" spans="1:10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  <c r="I783" t="str">
        <f t="shared" si="24"/>
        <v>Africa</v>
      </c>
      <c r="J783" t="str">
        <f t="shared" si="25"/>
        <v>Asia-Pacific</v>
      </c>
    </row>
    <row r="784" spans="1:10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  <c r="I784" t="str">
        <f t="shared" si="24"/>
        <v>Africa</v>
      </c>
      <c r="J784" t="str">
        <f t="shared" si="25"/>
        <v>America</v>
      </c>
    </row>
    <row r="785" spans="1:10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  <c r="I785" t="str">
        <f t="shared" si="24"/>
        <v>America</v>
      </c>
      <c r="J785" t="str">
        <f t="shared" si="25"/>
        <v>America</v>
      </c>
    </row>
    <row r="786" spans="1:10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  <c r="I786" t="str">
        <f t="shared" si="24"/>
        <v>Africa</v>
      </c>
      <c r="J786" t="str">
        <f t="shared" si="25"/>
        <v>America</v>
      </c>
    </row>
    <row r="787" spans="1:10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  <c r="I787" t="str">
        <f t="shared" si="24"/>
        <v>America</v>
      </c>
      <c r="J787" t="str">
        <f t="shared" si="25"/>
        <v>America</v>
      </c>
    </row>
    <row r="788" spans="1:10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  <c r="I788" t="str">
        <f t="shared" si="24"/>
        <v>America</v>
      </c>
      <c r="J788" t="str">
        <f t="shared" si="25"/>
        <v>America</v>
      </c>
    </row>
    <row r="789" spans="1:10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  <c r="I789" t="str">
        <f t="shared" si="24"/>
        <v>Africa</v>
      </c>
      <c r="J789" t="str">
        <f t="shared" si="25"/>
        <v>Asia-Pacific</v>
      </c>
    </row>
    <row r="790" spans="1:10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  <c r="I790" t="str">
        <f t="shared" si="24"/>
        <v>Africa</v>
      </c>
      <c r="J790" t="str">
        <f t="shared" si="25"/>
        <v>Asia-Pacific</v>
      </c>
    </row>
    <row r="791" spans="1:10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  <c r="I791" t="str">
        <f t="shared" si="24"/>
        <v>America</v>
      </c>
      <c r="J791" t="str">
        <f t="shared" si="25"/>
        <v>Asia-Pacific</v>
      </c>
    </row>
    <row r="792" spans="1:10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  <c r="I792" t="str">
        <f t="shared" si="24"/>
        <v>Africa</v>
      </c>
      <c r="J792" t="str">
        <f t="shared" si="25"/>
        <v>Asia-Pacific</v>
      </c>
    </row>
    <row r="793" spans="1:10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  <c r="I793" t="str">
        <f t="shared" si="24"/>
        <v>America</v>
      </c>
      <c r="J793" t="str">
        <f t="shared" si="25"/>
        <v>Asia-Pacific</v>
      </c>
    </row>
    <row r="794" spans="1:10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  <c r="I794" t="str">
        <f t="shared" si="24"/>
        <v>Asia-Pacific</v>
      </c>
      <c r="J794" t="str">
        <f t="shared" si="25"/>
        <v>Asia-Pacific</v>
      </c>
    </row>
    <row r="795" spans="1:10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  <c r="I795" t="str">
        <f t="shared" si="24"/>
        <v>Africa</v>
      </c>
      <c r="J795" t="str">
        <f t="shared" si="25"/>
        <v>America</v>
      </c>
    </row>
    <row r="796" spans="1:10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  <c r="I796" t="str">
        <f t="shared" si="24"/>
        <v>Africa</v>
      </c>
      <c r="J796" t="str">
        <f t="shared" si="25"/>
        <v>America</v>
      </c>
    </row>
    <row r="797" spans="1:10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  <c r="I797" t="str">
        <f t="shared" si="24"/>
        <v>Africa</v>
      </c>
      <c r="J797" t="str">
        <f t="shared" si="25"/>
        <v>America</v>
      </c>
    </row>
    <row r="798" spans="1:10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  <c r="I798" t="str">
        <f t="shared" si="24"/>
        <v>America</v>
      </c>
      <c r="J798" t="str">
        <f t="shared" si="25"/>
        <v>America</v>
      </c>
    </row>
    <row r="799" spans="1:10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  <c r="I799" t="str">
        <f t="shared" si="24"/>
        <v>America</v>
      </c>
      <c r="J799" t="str">
        <f t="shared" si="25"/>
        <v>America</v>
      </c>
    </row>
    <row r="800" spans="1:10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  <c r="I800" t="str">
        <f t="shared" si="24"/>
        <v>Africa</v>
      </c>
      <c r="J800" t="str">
        <f t="shared" si="25"/>
        <v>Africa</v>
      </c>
    </row>
    <row r="801" spans="1:10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  <c r="I801" t="str">
        <f t="shared" si="24"/>
        <v>America</v>
      </c>
      <c r="J801" t="str">
        <f t="shared" si="25"/>
        <v>America</v>
      </c>
    </row>
    <row r="802" spans="1:10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  <c r="I802" t="str">
        <f t="shared" si="24"/>
        <v>America</v>
      </c>
      <c r="J802" t="str">
        <f t="shared" si="25"/>
        <v>America</v>
      </c>
    </row>
    <row r="803" spans="1:10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  <c r="I803" t="str">
        <f t="shared" si="24"/>
        <v>America</v>
      </c>
      <c r="J803" t="str">
        <f t="shared" si="25"/>
        <v>Asia-Pacific</v>
      </c>
    </row>
    <row r="804" spans="1:10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  <c r="I804" t="str">
        <f t="shared" si="24"/>
        <v>America</v>
      </c>
      <c r="J804" t="str">
        <f t="shared" si="25"/>
        <v>Asia-Pacific</v>
      </c>
    </row>
    <row r="805" spans="1:10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  <c r="I805" t="str">
        <f t="shared" si="24"/>
        <v>NULL</v>
      </c>
      <c r="J805" t="str">
        <f t="shared" si="25"/>
        <v>America</v>
      </c>
    </row>
    <row r="806" spans="1:10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  <c r="I806" t="str">
        <f t="shared" si="24"/>
        <v>America</v>
      </c>
      <c r="J806" t="str">
        <f t="shared" si="25"/>
        <v>Asia-Pacific</v>
      </c>
    </row>
    <row r="807" spans="1:10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  <c r="I807" t="str">
        <f t="shared" si="24"/>
        <v>Asia-Pacific</v>
      </c>
      <c r="J807" t="str">
        <f t="shared" si="25"/>
        <v>America</v>
      </c>
    </row>
    <row r="808" spans="1:10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  <c r="I808" t="str">
        <f t="shared" si="24"/>
        <v>Asia-Pacific</v>
      </c>
      <c r="J808" t="str">
        <f t="shared" si="25"/>
        <v>America</v>
      </c>
    </row>
    <row r="809" spans="1:10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  <c r="I809" t="str">
        <f t="shared" si="24"/>
        <v>America</v>
      </c>
      <c r="J809" t="str">
        <f t="shared" si="25"/>
        <v>America</v>
      </c>
    </row>
    <row r="810" spans="1:10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  <c r="I810" t="str">
        <f t="shared" si="24"/>
        <v>Asia-Pacific</v>
      </c>
      <c r="J810" t="str">
        <f t="shared" si="25"/>
        <v>America</v>
      </c>
    </row>
    <row r="811" spans="1:10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  <c r="I811" t="str">
        <f t="shared" si="24"/>
        <v>Asia-Pacific</v>
      </c>
      <c r="J811" t="str">
        <f t="shared" si="25"/>
        <v>America</v>
      </c>
    </row>
    <row r="812" spans="1:10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  <c r="I812" t="str">
        <f t="shared" si="24"/>
        <v>America</v>
      </c>
      <c r="J812" t="str">
        <f t="shared" si="25"/>
        <v>America</v>
      </c>
    </row>
    <row r="813" spans="1:10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  <c r="I813" t="str">
        <f t="shared" si="24"/>
        <v>Africa</v>
      </c>
      <c r="J813" t="str">
        <f t="shared" si="25"/>
        <v>Asia-Pacific</v>
      </c>
    </row>
    <row r="814" spans="1:10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  <c r="I814" t="str">
        <f t="shared" si="24"/>
        <v>Africa</v>
      </c>
      <c r="J814" t="str">
        <f t="shared" si="25"/>
        <v>America</v>
      </c>
    </row>
    <row r="815" spans="1:10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  <c r="I815" t="str">
        <f t="shared" si="24"/>
        <v>Africa</v>
      </c>
      <c r="J815" t="str">
        <f t="shared" si="25"/>
        <v>America</v>
      </c>
    </row>
    <row r="816" spans="1:10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  <c r="I816" t="str">
        <f t="shared" si="24"/>
        <v>Africa</v>
      </c>
      <c r="J816" t="str">
        <f t="shared" si="25"/>
        <v>America</v>
      </c>
    </row>
    <row r="817" spans="1:10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  <c r="I817" t="str">
        <f t="shared" si="24"/>
        <v>Africa</v>
      </c>
      <c r="J817" t="str">
        <f t="shared" si="25"/>
        <v>America</v>
      </c>
    </row>
    <row r="818" spans="1:10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  <c r="I818" t="str">
        <f t="shared" si="24"/>
        <v>Asia-Pacific</v>
      </c>
      <c r="J818" t="str">
        <f t="shared" si="25"/>
        <v>Asia-Pacific</v>
      </c>
    </row>
    <row r="819" spans="1:10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  <c r="I819" t="str">
        <f t="shared" si="24"/>
        <v>Africa</v>
      </c>
      <c r="J819" t="str">
        <f t="shared" si="25"/>
        <v>Asia-Pacific</v>
      </c>
    </row>
    <row r="820" spans="1:10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  <c r="I820" t="str">
        <f t="shared" si="24"/>
        <v>Africa</v>
      </c>
      <c r="J820" t="str">
        <f t="shared" si="25"/>
        <v>Asia-Pacific</v>
      </c>
    </row>
    <row r="821" spans="1:10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  <c r="I821" t="str">
        <f t="shared" si="24"/>
        <v>America</v>
      </c>
      <c r="J821" t="str">
        <f t="shared" si="25"/>
        <v>America</v>
      </c>
    </row>
    <row r="822" spans="1:10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  <c r="I822" t="str">
        <f t="shared" si="24"/>
        <v>America</v>
      </c>
      <c r="J822" t="str">
        <f t="shared" si="25"/>
        <v>America</v>
      </c>
    </row>
    <row r="823" spans="1:10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  <c r="I823" t="str">
        <f t="shared" si="24"/>
        <v>America</v>
      </c>
      <c r="J823" t="str">
        <f t="shared" si="25"/>
        <v>America</v>
      </c>
    </row>
    <row r="824" spans="1:10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  <c r="I824" t="str">
        <f t="shared" si="24"/>
        <v>Africa</v>
      </c>
      <c r="J824" t="str">
        <f t="shared" si="25"/>
        <v>America</v>
      </c>
    </row>
    <row r="825" spans="1:10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  <c r="I825" t="str">
        <f t="shared" si="24"/>
        <v>America</v>
      </c>
      <c r="J825" t="str">
        <f t="shared" si="25"/>
        <v>America</v>
      </c>
    </row>
    <row r="826" spans="1:10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  <c r="I826" t="str">
        <f t="shared" si="24"/>
        <v>America</v>
      </c>
      <c r="J826" t="str">
        <f t="shared" si="25"/>
        <v>America</v>
      </c>
    </row>
    <row r="827" spans="1:10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  <c r="I827" t="str">
        <f t="shared" si="24"/>
        <v>America</v>
      </c>
      <c r="J827" t="str">
        <f t="shared" si="25"/>
        <v>America</v>
      </c>
    </row>
    <row r="828" spans="1:10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  <c r="I828" t="str">
        <f t="shared" si="24"/>
        <v>NULL</v>
      </c>
      <c r="J828" t="str">
        <f t="shared" si="25"/>
        <v>America</v>
      </c>
    </row>
    <row r="829" spans="1:10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  <c r="I829" t="str">
        <f t="shared" si="24"/>
        <v>America</v>
      </c>
      <c r="J829" t="str">
        <f t="shared" si="25"/>
        <v>America</v>
      </c>
    </row>
    <row r="830" spans="1:10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  <c r="I830" t="str">
        <f t="shared" si="24"/>
        <v>America</v>
      </c>
      <c r="J830" t="str">
        <f t="shared" si="25"/>
        <v>America</v>
      </c>
    </row>
    <row r="831" spans="1:10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  <c r="I831" t="str">
        <f t="shared" si="24"/>
        <v>America</v>
      </c>
      <c r="J831" t="str">
        <f t="shared" si="25"/>
        <v>America</v>
      </c>
    </row>
    <row r="832" spans="1:10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  <c r="I832" t="str">
        <f t="shared" si="24"/>
        <v>Africa</v>
      </c>
      <c r="J832" t="str">
        <f t="shared" si="25"/>
        <v>America</v>
      </c>
    </row>
    <row r="833" spans="1:10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  <c r="I833" t="str">
        <f t="shared" si="24"/>
        <v>America</v>
      </c>
      <c r="J833" t="str">
        <f t="shared" si="25"/>
        <v>America</v>
      </c>
    </row>
    <row r="834" spans="1:10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  <c r="I834" t="str">
        <f t="shared" si="24"/>
        <v>America</v>
      </c>
      <c r="J834" t="str">
        <f t="shared" si="25"/>
        <v>Asia-Pacific</v>
      </c>
    </row>
    <row r="835" spans="1:10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  <c r="I835" t="str">
        <f t="shared" ref="I835:I898" si="26">_xlfn.XLOOKUP(H835, $M$2:$M$50, $N$2:$N$50, "Other")</f>
        <v>America</v>
      </c>
      <c r="J835" t="str">
        <f t="shared" ref="J835:J898" si="27">_xlfn.XLOOKUP(G835, $M$2:$M$50, $N$2:$N$50, "Other")</f>
        <v>America</v>
      </c>
    </row>
    <row r="836" spans="1:10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  <c r="I836" t="str">
        <f t="shared" si="26"/>
        <v>America</v>
      </c>
      <c r="J836" t="str">
        <f t="shared" si="27"/>
        <v>America</v>
      </c>
    </row>
    <row r="837" spans="1:10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  <c r="I837" t="str">
        <f t="shared" si="26"/>
        <v>America</v>
      </c>
      <c r="J837" t="str">
        <f t="shared" si="27"/>
        <v>America</v>
      </c>
    </row>
    <row r="838" spans="1:10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  <c r="I838" t="str">
        <f t="shared" si="26"/>
        <v>America</v>
      </c>
      <c r="J838" t="str">
        <f t="shared" si="27"/>
        <v>Asia-Pacific</v>
      </c>
    </row>
    <row r="839" spans="1:10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  <c r="I839" t="str">
        <f t="shared" si="26"/>
        <v>Africa</v>
      </c>
      <c r="J839" t="str">
        <f t="shared" si="27"/>
        <v>Asia-Pacific</v>
      </c>
    </row>
    <row r="840" spans="1:10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  <c r="I840" t="str">
        <f t="shared" si="26"/>
        <v>NULL</v>
      </c>
      <c r="J840" t="str">
        <f t="shared" si="27"/>
        <v>America</v>
      </c>
    </row>
    <row r="841" spans="1:10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  <c r="I841" t="str">
        <f t="shared" si="26"/>
        <v>Africa</v>
      </c>
      <c r="J841" t="str">
        <f t="shared" si="27"/>
        <v>America</v>
      </c>
    </row>
    <row r="842" spans="1:10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  <c r="I842" t="str">
        <f t="shared" si="26"/>
        <v>America</v>
      </c>
      <c r="J842" t="str">
        <f t="shared" si="27"/>
        <v>Asia-Pacific</v>
      </c>
    </row>
    <row r="843" spans="1:10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  <c r="I843" t="str">
        <f t="shared" si="26"/>
        <v>Africa</v>
      </c>
      <c r="J843" t="str">
        <f t="shared" si="27"/>
        <v>America</v>
      </c>
    </row>
    <row r="844" spans="1:10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  <c r="I844" t="str">
        <f t="shared" si="26"/>
        <v>America</v>
      </c>
      <c r="J844" t="str">
        <f t="shared" si="27"/>
        <v>America</v>
      </c>
    </row>
    <row r="845" spans="1:10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  <c r="I845" t="str">
        <f t="shared" si="26"/>
        <v>America</v>
      </c>
      <c r="J845" t="str">
        <f t="shared" si="27"/>
        <v>America</v>
      </c>
    </row>
    <row r="846" spans="1:10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  <c r="I846" t="str">
        <f t="shared" si="26"/>
        <v>America</v>
      </c>
      <c r="J846" t="str">
        <f t="shared" si="27"/>
        <v>America</v>
      </c>
    </row>
    <row r="847" spans="1:10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  <c r="I847" t="str">
        <f t="shared" si="26"/>
        <v>Asia-Pacific</v>
      </c>
      <c r="J847" t="str">
        <f t="shared" si="27"/>
        <v>America</v>
      </c>
    </row>
    <row r="848" spans="1:10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  <c r="I848" t="str">
        <f t="shared" si="26"/>
        <v>Africa</v>
      </c>
      <c r="J848" t="str">
        <f t="shared" si="27"/>
        <v>Asia-Pacific</v>
      </c>
    </row>
    <row r="849" spans="1:10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  <c r="I849" t="str">
        <f t="shared" si="26"/>
        <v>NULL</v>
      </c>
      <c r="J849" t="str">
        <f t="shared" si="27"/>
        <v>America</v>
      </c>
    </row>
    <row r="850" spans="1:10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  <c r="I850" t="str">
        <f t="shared" si="26"/>
        <v>Africa</v>
      </c>
      <c r="J850" t="str">
        <f t="shared" si="27"/>
        <v>Asia-Pacific</v>
      </c>
    </row>
    <row r="851" spans="1:10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  <c r="I851" t="str">
        <f t="shared" si="26"/>
        <v>America</v>
      </c>
      <c r="J851" t="str">
        <f t="shared" si="27"/>
        <v>America</v>
      </c>
    </row>
    <row r="852" spans="1:10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  <c r="I852" t="str">
        <f t="shared" si="26"/>
        <v>Africa</v>
      </c>
      <c r="J852" t="str">
        <f t="shared" si="27"/>
        <v>Asia-Pacific</v>
      </c>
    </row>
    <row r="853" spans="1:10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  <c r="I853" t="str">
        <f t="shared" si="26"/>
        <v>Asia-Pacific</v>
      </c>
      <c r="J853" t="str">
        <f t="shared" si="27"/>
        <v>America</v>
      </c>
    </row>
    <row r="854" spans="1:10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  <c r="I854" t="str">
        <f t="shared" si="26"/>
        <v>Africa</v>
      </c>
      <c r="J854" t="str">
        <f t="shared" si="27"/>
        <v>America</v>
      </c>
    </row>
    <row r="855" spans="1:10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  <c r="I855" t="str">
        <f t="shared" si="26"/>
        <v>Africa</v>
      </c>
      <c r="J855" t="str">
        <f t="shared" si="27"/>
        <v>America</v>
      </c>
    </row>
    <row r="856" spans="1:10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  <c r="I856" t="str">
        <f t="shared" si="26"/>
        <v>America</v>
      </c>
      <c r="J856" t="str">
        <f t="shared" si="27"/>
        <v>America</v>
      </c>
    </row>
    <row r="857" spans="1:10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  <c r="I857" t="str">
        <f t="shared" si="26"/>
        <v>Africa</v>
      </c>
      <c r="J857" t="str">
        <f t="shared" si="27"/>
        <v>America</v>
      </c>
    </row>
    <row r="858" spans="1:10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  <c r="I858" t="str">
        <f t="shared" si="26"/>
        <v>Africa</v>
      </c>
      <c r="J858" t="str">
        <f t="shared" si="27"/>
        <v>America</v>
      </c>
    </row>
    <row r="859" spans="1:10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  <c r="I859" t="str">
        <f t="shared" si="26"/>
        <v>America</v>
      </c>
      <c r="J859" t="str">
        <f t="shared" si="27"/>
        <v>Asia-Pacific</v>
      </c>
    </row>
    <row r="860" spans="1:10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  <c r="I860" t="str">
        <f t="shared" si="26"/>
        <v>Africa</v>
      </c>
      <c r="J860" t="str">
        <f t="shared" si="27"/>
        <v>Asia-Pacific</v>
      </c>
    </row>
    <row r="861" spans="1:10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  <c r="I861" t="str">
        <f t="shared" si="26"/>
        <v>Africa</v>
      </c>
      <c r="J861" t="str">
        <f t="shared" si="27"/>
        <v>Asia-Pacific</v>
      </c>
    </row>
    <row r="862" spans="1:10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  <c r="I862" t="str">
        <f t="shared" si="26"/>
        <v>America</v>
      </c>
      <c r="J862" t="str">
        <f t="shared" si="27"/>
        <v>America</v>
      </c>
    </row>
    <row r="863" spans="1:10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  <c r="I863" t="str">
        <f t="shared" si="26"/>
        <v>America</v>
      </c>
      <c r="J863" t="str">
        <f t="shared" si="27"/>
        <v>America</v>
      </c>
    </row>
    <row r="864" spans="1:10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  <c r="I864" t="str">
        <f t="shared" si="26"/>
        <v>America</v>
      </c>
      <c r="J864" t="str">
        <f t="shared" si="27"/>
        <v>America</v>
      </c>
    </row>
    <row r="865" spans="1:10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  <c r="I865" t="str">
        <f t="shared" si="26"/>
        <v>America</v>
      </c>
      <c r="J865" t="str">
        <f t="shared" si="27"/>
        <v>America</v>
      </c>
    </row>
    <row r="866" spans="1:10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  <c r="I866" t="str">
        <f t="shared" si="26"/>
        <v>Africa</v>
      </c>
      <c r="J866" t="str">
        <f t="shared" si="27"/>
        <v>America</v>
      </c>
    </row>
    <row r="867" spans="1:10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  <c r="I867" t="str">
        <f t="shared" si="26"/>
        <v>America</v>
      </c>
      <c r="J867" t="str">
        <f t="shared" si="27"/>
        <v>America</v>
      </c>
    </row>
    <row r="868" spans="1:10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  <c r="I868" t="str">
        <f t="shared" si="26"/>
        <v>America</v>
      </c>
      <c r="J868" t="str">
        <f t="shared" si="27"/>
        <v>America</v>
      </c>
    </row>
    <row r="869" spans="1:10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  <c r="I869" t="str">
        <f t="shared" si="26"/>
        <v>Africa</v>
      </c>
      <c r="J869" t="str">
        <f t="shared" si="27"/>
        <v>Asia-Pacific</v>
      </c>
    </row>
    <row r="870" spans="1:10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  <c r="I870" t="str">
        <f t="shared" si="26"/>
        <v>America</v>
      </c>
      <c r="J870" t="str">
        <f t="shared" si="27"/>
        <v>Europe</v>
      </c>
    </row>
    <row r="871" spans="1:10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  <c r="I871" t="str">
        <f t="shared" si="26"/>
        <v>Africa</v>
      </c>
      <c r="J871" t="str">
        <f t="shared" si="27"/>
        <v>America</v>
      </c>
    </row>
    <row r="872" spans="1:10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  <c r="I872" t="str">
        <f t="shared" si="26"/>
        <v>Africa</v>
      </c>
      <c r="J872" t="str">
        <f t="shared" si="27"/>
        <v>Asia-Pacific</v>
      </c>
    </row>
    <row r="873" spans="1:10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  <c r="I873" t="str">
        <f t="shared" si="26"/>
        <v>America</v>
      </c>
      <c r="J873" t="str">
        <f t="shared" si="27"/>
        <v>America</v>
      </c>
    </row>
    <row r="874" spans="1:10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  <c r="I874" t="str">
        <f t="shared" si="26"/>
        <v>America</v>
      </c>
      <c r="J874" t="str">
        <f t="shared" si="27"/>
        <v>America</v>
      </c>
    </row>
    <row r="875" spans="1:10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  <c r="I875" t="str">
        <f t="shared" si="26"/>
        <v>America</v>
      </c>
      <c r="J875" t="str">
        <f t="shared" si="27"/>
        <v>America</v>
      </c>
    </row>
    <row r="876" spans="1:10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  <c r="I876" t="str">
        <f t="shared" si="26"/>
        <v>Africa</v>
      </c>
      <c r="J876" t="str">
        <f t="shared" si="27"/>
        <v>America</v>
      </c>
    </row>
    <row r="877" spans="1:10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  <c r="I877" t="str">
        <f t="shared" si="26"/>
        <v>Africa</v>
      </c>
      <c r="J877" t="str">
        <f t="shared" si="27"/>
        <v>America</v>
      </c>
    </row>
    <row r="878" spans="1:10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  <c r="I878" t="str">
        <f t="shared" si="26"/>
        <v>Africa</v>
      </c>
      <c r="J878" t="str">
        <f t="shared" si="27"/>
        <v>Asia-Pacific</v>
      </c>
    </row>
    <row r="879" spans="1:10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  <c r="I879" t="str">
        <f t="shared" si="26"/>
        <v>America</v>
      </c>
      <c r="J879" t="str">
        <f t="shared" si="27"/>
        <v>America</v>
      </c>
    </row>
    <row r="880" spans="1:10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  <c r="I880" t="str">
        <f t="shared" si="26"/>
        <v>America</v>
      </c>
      <c r="J880" t="str">
        <f t="shared" si="27"/>
        <v>Asia-Pacific</v>
      </c>
    </row>
    <row r="881" spans="1:10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  <c r="I881" t="str">
        <f t="shared" si="26"/>
        <v>America</v>
      </c>
      <c r="J881" t="str">
        <f t="shared" si="27"/>
        <v>Asia-Pacific</v>
      </c>
    </row>
    <row r="882" spans="1:10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  <c r="I882" t="str">
        <f t="shared" si="26"/>
        <v>America</v>
      </c>
      <c r="J882" t="str">
        <f t="shared" si="27"/>
        <v>Asia-Pacific</v>
      </c>
    </row>
    <row r="883" spans="1:10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  <c r="I883" t="str">
        <f t="shared" si="26"/>
        <v>America</v>
      </c>
      <c r="J883" t="str">
        <f t="shared" si="27"/>
        <v>Asia-Pacific</v>
      </c>
    </row>
    <row r="884" spans="1:10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  <c r="I884" t="str">
        <f t="shared" si="26"/>
        <v>America</v>
      </c>
      <c r="J884" t="str">
        <f t="shared" si="27"/>
        <v>Asia-Pacific</v>
      </c>
    </row>
    <row r="885" spans="1:10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  <c r="I885" t="str">
        <f t="shared" si="26"/>
        <v>NULL</v>
      </c>
      <c r="J885" t="str">
        <f t="shared" si="27"/>
        <v>America</v>
      </c>
    </row>
    <row r="886" spans="1:10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  <c r="I886" t="str">
        <f t="shared" si="26"/>
        <v>Africa</v>
      </c>
      <c r="J886" t="str">
        <f t="shared" si="27"/>
        <v>America</v>
      </c>
    </row>
    <row r="887" spans="1:10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  <c r="I887" t="str">
        <f t="shared" si="26"/>
        <v>America</v>
      </c>
      <c r="J887" t="str">
        <f t="shared" si="27"/>
        <v>America</v>
      </c>
    </row>
    <row r="888" spans="1:10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  <c r="I888" t="str">
        <f t="shared" si="26"/>
        <v>America</v>
      </c>
      <c r="J888" t="str">
        <f t="shared" si="27"/>
        <v>America</v>
      </c>
    </row>
    <row r="889" spans="1:10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  <c r="I889" t="str">
        <f t="shared" si="26"/>
        <v>Africa</v>
      </c>
      <c r="J889" t="str">
        <f t="shared" si="27"/>
        <v>America</v>
      </c>
    </row>
    <row r="890" spans="1:10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  <c r="I890" t="str">
        <f t="shared" si="26"/>
        <v>Africa</v>
      </c>
      <c r="J890" t="str">
        <f t="shared" si="27"/>
        <v>Asia-Pacific</v>
      </c>
    </row>
    <row r="891" spans="1:10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  <c r="I891" t="str">
        <f t="shared" si="26"/>
        <v>Africa</v>
      </c>
      <c r="J891" t="str">
        <f t="shared" si="27"/>
        <v>Asia-Pacific</v>
      </c>
    </row>
    <row r="892" spans="1:10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  <c r="I892" t="str">
        <f t="shared" si="26"/>
        <v>America</v>
      </c>
      <c r="J892" t="str">
        <f t="shared" si="27"/>
        <v>Asia-Pacific</v>
      </c>
    </row>
    <row r="893" spans="1:10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  <c r="I893" t="str">
        <f t="shared" si="26"/>
        <v>NULL</v>
      </c>
      <c r="J893" t="str">
        <f t="shared" si="27"/>
        <v>America</v>
      </c>
    </row>
    <row r="894" spans="1:10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  <c r="I894" t="str">
        <f t="shared" si="26"/>
        <v>America</v>
      </c>
      <c r="J894" t="str">
        <f t="shared" si="27"/>
        <v>America</v>
      </c>
    </row>
    <row r="895" spans="1:10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  <c r="I895" t="str">
        <f t="shared" si="26"/>
        <v>Africa</v>
      </c>
      <c r="J895" t="str">
        <f t="shared" si="27"/>
        <v>America</v>
      </c>
    </row>
    <row r="896" spans="1:10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  <c r="I896" t="str">
        <f t="shared" si="26"/>
        <v>NULL</v>
      </c>
      <c r="J896" t="str">
        <f t="shared" si="27"/>
        <v>America</v>
      </c>
    </row>
    <row r="897" spans="1:10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  <c r="I897" t="str">
        <f t="shared" si="26"/>
        <v>Africa</v>
      </c>
      <c r="J897" t="str">
        <f t="shared" si="27"/>
        <v>America</v>
      </c>
    </row>
    <row r="898" spans="1:10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  <c r="I898" t="str">
        <f t="shared" si="26"/>
        <v>NULL</v>
      </c>
      <c r="J898" t="str">
        <f t="shared" si="27"/>
        <v>America</v>
      </c>
    </row>
    <row r="899" spans="1:10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  <c r="I899" t="str">
        <f t="shared" ref="I899:I962" si="28">_xlfn.XLOOKUP(H899, $M$2:$M$50, $N$2:$N$50, "Other")</f>
        <v>America</v>
      </c>
      <c r="J899" t="str">
        <f t="shared" ref="J899:J962" si="29">_xlfn.XLOOKUP(G899, $M$2:$M$50, $N$2:$N$50, "Other")</f>
        <v>America</v>
      </c>
    </row>
    <row r="900" spans="1:10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  <c r="I900" t="str">
        <f t="shared" si="28"/>
        <v>America</v>
      </c>
      <c r="J900" t="str">
        <f t="shared" si="29"/>
        <v>America</v>
      </c>
    </row>
    <row r="901" spans="1:10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  <c r="I901" t="str">
        <f t="shared" si="28"/>
        <v>Africa</v>
      </c>
      <c r="J901" t="str">
        <f t="shared" si="29"/>
        <v>America</v>
      </c>
    </row>
    <row r="902" spans="1:10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  <c r="I902" t="str">
        <f t="shared" si="28"/>
        <v>Africa</v>
      </c>
      <c r="J902" t="str">
        <f t="shared" si="29"/>
        <v>America</v>
      </c>
    </row>
    <row r="903" spans="1:10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  <c r="I903" t="str">
        <f t="shared" si="28"/>
        <v>Africa</v>
      </c>
      <c r="J903" t="str">
        <f t="shared" si="29"/>
        <v>America</v>
      </c>
    </row>
    <row r="904" spans="1:10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  <c r="I904" t="str">
        <f t="shared" si="28"/>
        <v>Africa</v>
      </c>
      <c r="J904" t="str">
        <f t="shared" si="29"/>
        <v>America</v>
      </c>
    </row>
    <row r="905" spans="1:10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  <c r="I905" t="str">
        <f t="shared" si="28"/>
        <v>America</v>
      </c>
      <c r="J905" t="str">
        <f t="shared" si="29"/>
        <v>Asia-Pacific</v>
      </c>
    </row>
    <row r="906" spans="1:10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  <c r="I906" t="str">
        <f t="shared" si="28"/>
        <v>America</v>
      </c>
      <c r="J906" t="str">
        <f t="shared" si="29"/>
        <v>America</v>
      </c>
    </row>
    <row r="907" spans="1:10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  <c r="I907" t="str">
        <f t="shared" si="28"/>
        <v>America</v>
      </c>
      <c r="J907" t="str">
        <f t="shared" si="29"/>
        <v>America</v>
      </c>
    </row>
    <row r="908" spans="1:10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  <c r="I908" t="str">
        <f t="shared" si="28"/>
        <v>America</v>
      </c>
      <c r="J908" t="str">
        <f t="shared" si="29"/>
        <v>Asia-Pacific</v>
      </c>
    </row>
    <row r="909" spans="1:10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  <c r="I909" t="str">
        <f t="shared" si="28"/>
        <v>America</v>
      </c>
      <c r="J909" t="str">
        <f t="shared" si="29"/>
        <v>America</v>
      </c>
    </row>
    <row r="910" spans="1:10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  <c r="I910" t="str">
        <f t="shared" si="28"/>
        <v>Africa</v>
      </c>
      <c r="J910" t="str">
        <f t="shared" si="29"/>
        <v>America</v>
      </c>
    </row>
    <row r="911" spans="1:10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  <c r="I911" t="str">
        <f t="shared" si="28"/>
        <v>America</v>
      </c>
      <c r="J911" t="str">
        <f t="shared" si="29"/>
        <v>America</v>
      </c>
    </row>
    <row r="912" spans="1:10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  <c r="I912" t="str">
        <f t="shared" si="28"/>
        <v>America</v>
      </c>
      <c r="J912" t="str">
        <f t="shared" si="29"/>
        <v>Asia-Pacific</v>
      </c>
    </row>
    <row r="913" spans="1:10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  <c r="I913" t="str">
        <f t="shared" si="28"/>
        <v>America</v>
      </c>
      <c r="J913" t="str">
        <f t="shared" si="29"/>
        <v>Asia-Pacific</v>
      </c>
    </row>
    <row r="914" spans="1:10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  <c r="I914" t="str">
        <f t="shared" si="28"/>
        <v>America</v>
      </c>
      <c r="J914" t="str">
        <f t="shared" si="29"/>
        <v>America</v>
      </c>
    </row>
    <row r="915" spans="1:10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  <c r="I915" t="str">
        <f t="shared" si="28"/>
        <v>Africa</v>
      </c>
      <c r="J915" t="str">
        <f t="shared" si="29"/>
        <v>America</v>
      </c>
    </row>
    <row r="916" spans="1:10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  <c r="I916" t="str">
        <f t="shared" si="28"/>
        <v>America</v>
      </c>
      <c r="J916" t="str">
        <f t="shared" si="29"/>
        <v>America</v>
      </c>
    </row>
    <row r="917" spans="1:10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  <c r="I917" t="str">
        <f t="shared" si="28"/>
        <v>Africa</v>
      </c>
      <c r="J917" t="str">
        <f t="shared" si="29"/>
        <v>America</v>
      </c>
    </row>
    <row r="918" spans="1:10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  <c r="I918" t="str">
        <f t="shared" si="28"/>
        <v>Africa</v>
      </c>
      <c r="J918" t="str">
        <f t="shared" si="29"/>
        <v>America</v>
      </c>
    </row>
    <row r="919" spans="1:10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  <c r="I919" t="str">
        <f t="shared" si="28"/>
        <v>America</v>
      </c>
      <c r="J919" t="str">
        <f t="shared" si="29"/>
        <v>America</v>
      </c>
    </row>
    <row r="920" spans="1:10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  <c r="I920" t="str">
        <f t="shared" si="28"/>
        <v>Africa</v>
      </c>
      <c r="J920" t="str">
        <f t="shared" si="29"/>
        <v>America</v>
      </c>
    </row>
    <row r="921" spans="1:10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  <c r="I921" t="str">
        <f t="shared" si="28"/>
        <v>Africa</v>
      </c>
      <c r="J921" t="str">
        <f t="shared" si="29"/>
        <v>Asia-Pacific</v>
      </c>
    </row>
    <row r="922" spans="1:10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  <c r="I922" t="str">
        <f t="shared" si="28"/>
        <v>Africa</v>
      </c>
      <c r="J922" t="str">
        <f t="shared" si="29"/>
        <v>Asia-Pacific</v>
      </c>
    </row>
    <row r="923" spans="1:10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  <c r="I923" t="str">
        <f t="shared" si="28"/>
        <v>America</v>
      </c>
      <c r="J923" t="str">
        <f t="shared" si="29"/>
        <v>Asia-Pacific</v>
      </c>
    </row>
    <row r="924" spans="1:10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  <c r="I924" t="str">
        <f t="shared" si="28"/>
        <v>America</v>
      </c>
      <c r="J924" t="str">
        <f t="shared" si="29"/>
        <v>Asia-Pacific</v>
      </c>
    </row>
    <row r="925" spans="1:10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  <c r="I925" t="str">
        <f t="shared" si="28"/>
        <v>Africa</v>
      </c>
      <c r="J925" t="str">
        <f t="shared" si="29"/>
        <v>Asia-Pacific</v>
      </c>
    </row>
    <row r="926" spans="1:10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  <c r="I926" t="str">
        <f t="shared" si="28"/>
        <v>Africa</v>
      </c>
      <c r="J926" t="str">
        <f t="shared" si="29"/>
        <v>Asia-Pacific</v>
      </c>
    </row>
    <row r="927" spans="1:10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  <c r="I927" t="str">
        <f t="shared" si="28"/>
        <v>America</v>
      </c>
      <c r="J927" t="str">
        <f t="shared" si="29"/>
        <v>Asia-Pacific</v>
      </c>
    </row>
    <row r="928" spans="1:10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  <c r="I928" t="str">
        <f t="shared" si="28"/>
        <v>America</v>
      </c>
      <c r="J928" t="str">
        <f t="shared" si="29"/>
        <v>Asia-Pacific</v>
      </c>
    </row>
    <row r="929" spans="1:10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  <c r="I929" t="str">
        <f t="shared" si="28"/>
        <v>Africa</v>
      </c>
      <c r="J929" t="str">
        <f t="shared" si="29"/>
        <v>America</v>
      </c>
    </row>
    <row r="930" spans="1:10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  <c r="I930" t="str">
        <f t="shared" si="28"/>
        <v>Africa</v>
      </c>
      <c r="J930" t="str">
        <f t="shared" si="29"/>
        <v>America</v>
      </c>
    </row>
    <row r="931" spans="1:10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  <c r="I931" t="str">
        <f t="shared" si="28"/>
        <v>Africa</v>
      </c>
      <c r="J931" t="str">
        <f t="shared" si="29"/>
        <v>America</v>
      </c>
    </row>
    <row r="932" spans="1:10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  <c r="I932" t="str">
        <f t="shared" si="28"/>
        <v>Africa</v>
      </c>
      <c r="J932" t="str">
        <f t="shared" si="29"/>
        <v>Asia-Pacific</v>
      </c>
    </row>
    <row r="933" spans="1:10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  <c r="I933" t="str">
        <f t="shared" si="28"/>
        <v>America</v>
      </c>
      <c r="J933" t="str">
        <f t="shared" si="29"/>
        <v>America</v>
      </c>
    </row>
    <row r="934" spans="1:10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  <c r="I934" t="str">
        <f t="shared" si="28"/>
        <v>Africa</v>
      </c>
      <c r="J934" t="str">
        <f t="shared" si="29"/>
        <v>America</v>
      </c>
    </row>
    <row r="935" spans="1:10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  <c r="I935" t="str">
        <f t="shared" si="28"/>
        <v>Africa</v>
      </c>
      <c r="J935" t="str">
        <f t="shared" si="29"/>
        <v>America</v>
      </c>
    </row>
    <row r="936" spans="1:10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  <c r="I936" t="str">
        <f t="shared" si="28"/>
        <v>Africa</v>
      </c>
      <c r="J936" t="str">
        <f t="shared" si="29"/>
        <v>Asia-Pacific</v>
      </c>
    </row>
    <row r="937" spans="1:10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  <c r="I937" t="str">
        <f t="shared" si="28"/>
        <v>America</v>
      </c>
      <c r="J937" t="str">
        <f t="shared" si="29"/>
        <v>America</v>
      </c>
    </row>
    <row r="938" spans="1:10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  <c r="I938" t="str">
        <f t="shared" si="28"/>
        <v>America</v>
      </c>
      <c r="J938" t="str">
        <f t="shared" si="29"/>
        <v>America</v>
      </c>
    </row>
    <row r="939" spans="1:10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  <c r="I939" t="str">
        <f t="shared" si="28"/>
        <v>Africa</v>
      </c>
      <c r="J939" t="str">
        <f t="shared" si="29"/>
        <v>Asia-Pacific</v>
      </c>
    </row>
    <row r="940" spans="1:10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  <c r="I940" t="str">
        <f t="shared" si="28"/>
        <v>Africa</v>
      </c>
      <c r="J940" t="str">
        <f t="shared" si="29"/>
        <v>America</v>
      </c>
    </row>
    <row r="941" spans="1:10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  <c r="I941" t="str">
        <f t="shared" si="28"/>
        <v>America</v>
      </c>
      <c r="J941" t="str">
        <f t="shared" si="29"/>
        <v>America</v>
      </c>
    </row>
    <row r="942" spans="1:10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  <c r="I942" t="str">
        <f t="shared" si="28"/>
        <v>America</v>
      </c>
      <c r="J942" t="str">
        <f t="shared" si="29"/>
        <v>America</v>
      </c>
    </row>
    <row r="943" spans="1:10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  <c r="I943" t="str">
        <f t="shared" si="28"/>
        <v>Africa</v>
      </c>
      <c r="J943" t="str">
        <f t="shared" si="29"/>
        <v>America</v>
      </c>
    </row>
    <row r="944" spans="1:10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  <c r="I944" t="str">
        <f t="shared" si="28"/>
        <v>America</v>
      </c>
      <c r="J944" t="str">
        <f t="shared" si="29"/>
        <v>America</v>
      </c>
    </row>
    <row r="945" spans="1:10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  <c r="I945" t="str">
        <f t="shared" si="28"/>
        <v>America</v>
      </c>
      <c r="J945" t="str">
        <f t="shared" si="29"/>
        <v>America</v>
      </c>
    </row>
    <row r="946" spans="1:10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  <c r="I946" t="str">
        <f t="shared" si="28"/>
        <v>Africa</v>
      </c>
      <c r="J946" t="str">
        <f t="shared" si="29"/>
        <v>America</v>
      </c>
    </row>
    <row r="947" spans="1:10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  <c r="I947" t="str">
        <f t="shared" si="28"/>
        <v>Africa</v>
      </c>
      <c r="J947" t="str">
        <f t="shared" si="29"/>
        <v>America</v>
      </c>
    </row>
    <row r="948" spans="1:10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  <c r="I948" t="str">
        <f t="shared" si="28"/>
        <v>America</v>
      </c>
      <c r="J948" t="str">
        <f t="shared" si="29"/>
        <v>America</v>
      </c>
    </row>
    <row r="949" spans="1:10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  <c r="I949" t="str">
        <f t="shared" si="28"/>
        <v>Africa</v>
      </c>
      <c r="J949" t="str">
        <f t="shared" si="29"/>
        <v>America</v>
      </c>
    </row>
    <row r="950" spans="1:10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  <c r="I950" t="str">
        <f t="shared" si="28"/>
        <v>Africa</v>
      </c>
      <c r="J950" t="str">
        <f t="shared" si="29"/>
        <v>America</v>
      </c>
    </row>
    <row r="951" spans="1:10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  <c r="I951" t="str">
        <f t="shared" si="28"/>
        <v>America</v>
      </c>
      <c r="J951" t="str">
        <f t="shared" si="29"/>
        <v>America</v>
      </c>
    </row>
    <row r="952" spans="1:10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  <c r="I952" t="str">
        <f t="shared" si="28"/>
        <v>Africa</v>
      </c>
      <c r="J952" t="str">
        <f t="shared" si="29"/>
        <v>America</v>
      </c>
    </row>
    <row r="953" spans="1:10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  <c r="I953" t="str">
        <f t="shared" si="28"/>
        <v>America</v>
      </c>
      <c r="J953" t="str">
        <f t="shared" si="29"/>
        <v>America</v>
      </c>
    </row>
    <row r="954" spans="1:10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  <c r="I954" t="str">
        <f t="shared" si="28"/>
        <v>America</v>
      </c>
      <c r="J954" t="str">
        <f t="shared" si="29"/>
        <v>Asia-Pacific</v>
      </c>
    </row>
    <row r="955" spans="1:10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  <c r="I955" t="str">
        <f t="shared" si="28"/>
        <v>America</v>
      </c>
      <c r="J955" t="str">
        <f t="shared" si="29"/>
        <v>Asia-Pacific</v>
      </c>
    </row>
    <row r="956" spans="1:10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  <c r="I956" t="str">
        <f t="shared" si="28"/>
        <v>America</v>
      </c>
      <c r="J956" t="str">
        <f t="shared" si="29"/>
        <v>America</v>
      </c>
    </row>
    <row r="957" spans="1:10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  <c r="I957" t="str">
        <f t="shared" si="28"/>
        <v>America</v>
      </c>
      <c r="J957" t="str">
        <f t="shared" si="29"/>
        <v>Asia-Pacific</v>
      </c>
    </row>
    <row r="958" spans="1:10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  <c r="I958" t="str">
        <f t="shared" si="28"/>
        <v>Africa</v>
      </c>
      <c r="J958" t="str">
        <f t="shared" si="29"/>
        <v>America</v>
      </c>
    </row>
    <row r="959" spans="1:10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  <c r="I959" t="str">
        <f t="shared" si="28"/>
        <v>America</v>
      </c>
      <c r="J959" t="str">
        <f t="shared" si="29"/>
        <v>America</v>
      </c>
    </row>
    <row r="960" spans="1:10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  <c r="I960" t="str">
        <f t="shared" si="28"/>
        <v>Africa</v>
      </c>
      <c r="J960" t="str">
        <f t="shared" si="29"/>
        <v>America</v>
      </c>
    </row>
    <row r="961" spans="1:10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  <c r="I961" t="str">
        <f t="shared" si="28"/>
        <v>America</v>
      </c>
      <c r="J961" t="str">
        <f t="shared" si="29"/>
        <v>America</v>
      </c>
    </row>
    <row r="962" spans="1:10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  <c r="I962" t="str">
        <f t="shared" si="28"/>
        <v>America</v>
      </c>
      <c r="J962" t="str">
        <f t="shared" si="29"/>
        <v>America</v>
      </c>
    </row>
    <row r="963" spans="1:10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  <c r="I963" t="str">
        <f t="shared" ref="I963:I1026" si="30">_xlfn.XLOOKUP(H963, $M$2:$M$50, $N$2:$N$50, "Other")</f>
        <v>Africa</v>
      </c>
      <c r="J963" t="str">
        <f t="shared" ref="J963:J1026" si="31">_xlfn.XLOOKUP(G963, $M$2:$M$50, $N$2:$N$50, "Other")</f>
        <v>America</v>
      </c>
    </row>
    <row r="964" spans="1:10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  <c r="I964" t="str">
        <f t="shared" si="30"/>
        <v>Africa</v>
      </c>
      <c r="J964" t="str">
        <f t="shared" si="31"/>
        <v>Asia-Pacific</v>
      </c>
    </row>
    <row r="965" spans="1:10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  <c r="I965" t="str">
        <f t="shared" si="30"/>
        <v>Africa</v>
      </c>
      <c r="J965" t="str">
        <f t="shared" si="31"/>
        <v>Asia-Pacific</v>
      </c>
    </row>
    <row r="966" spans="1:10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  <c r="I966" t="str">
        <f t="shared" si="30"/>
        <v>America</v>
      </c>
      <c r="J966" t="str">
        <f t="shared" si="31"/>
        <v>America</v>
      </c>
    </row>
    <row r="967" spans="1:10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  <c r="I967" t="str">
        <f t="shared" si="30"/>
        <v>Africa</v>
      </c>
      <c r="J967" t="str">
        <f t="shared" si="31"/>
        <v>America</v>
      </c>
    </row>
    <row r="968" spans="1:10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  <c r="I968" t="str">
        <f t="shared" si="30"/>
        <v>America</v>
      </c>
      <c r="J968" t="str">
        <f t="shared" si="31"/>
        <v>America</v>
      </c>
    </row>
    <row r="969" spans="1:10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  <c r="I969" t="str">
        <f t="shared" si="30"/>
        <v>Africa</v>
      </c>
      <c r="J969" t="str">
        <f t="shared" si="31"/>
        <v>America</v>
      </c>
    </row>
    <row r="970" spans="1:10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  <c r="I970" t="str">
        <f t="shared" si="30"/>
        <v>NULL</v>
      </c>
      <c r="J970" t="str">
        <f t="shared" si="31"/>
        <v>Asia-Pacific</v>
      </c>
    </row>
    <row r="971" spans="1:10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  <c r="I971" t="str">
        <f t="shared" si="30"/>
        <v>America</v>
      </c>
      <c r="J971" t="str">
        <f t="shared" si="31"/>
        <v>Asia-Pacific</v>
      </c>
    </row>
    <row r="972" spans="1:10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  <c r="I972" t="str">
        <f t="shared" si="30"/>
        <v>America</v>
      </c>
      <c r="J972" t="str">
        <f t="shared" si="31"/>
        <v>Asia-Pacific</v>
      </c>
    </row>
    <row r="973" spans="1:10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  <c r="I973" t="str">
        <f t="shared" si="30"/>
        <v>Africa</v>
      </c>
      <c r="J973" t="str">
        <f t="shared" si="31"/>
        <v>Asia-Pacific</v>
      </c>
    </row>
    <row r="974" spans="1:10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  <c r="I974" t="str">
        <f t="shared" si="30"/>
        <v>Africa</v>
      </c>
      <c r="J974" t="str">
        <f t="shared" si="31"/>
        <v>Asia-Pacific</v>
      </c>
    </row>
    <row r="975" spans="1:10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  <c r="I975" t="str">
        <f t="shared" si="30"/>
        <v>Africa</v>
      </c>
      <c r="J975" t="str">
        <f t="shared" si="31"/>
        <v>America</v>
      </c>
    </row>
    <row r="976" spans="1:10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  <c r="I976" t="str">
        <f t="shared" si="30"/>
        <v>Africa</v>
      </c>
      <c r="J976" t="str">
        <f t="shared" si="31"/>
        <v>Asia-Pacific</v>
      </c>
    </row>
    <row r="977" spans="1:10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  <c r="I977" t="str">
        <f t="shared" si="30"/>
        <v>Africa</v>
      </c>
      <c r="J977" t="str">
        <f t="shared" si="31"/>
        <v>Asia-Pacific</v>
      </c>
    </row>
    <row r="978" spans="1:10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  <c r="I978" t="str">
        <f t="shared" si="30"/>
        <v>America</v>
      </c>
      <c r="J978" t="str">
        <f t="shared" si="31"/>
        <v>Asia-Pacific</v>
      </c>
    </row>
    <row r="979" spans="1:10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  <c r="I979" t="str">
        <f t="shared" si="30"/>
        <v>Africa</v>
      </c>
      <c r="J979" t="str">
        <f t="shared" si="31"/>
        <v>Asia-Pacific</v>
      </c>
    </row>
    <row r="980" spans="1:10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  <c r="I980" t="str">
        <f t="shared" si="30"/>
        <v>Africa</v>
      </c>
      <c r="J980" t="str">
        <f t="shared" si="31"/>
        <v>Asia-Pacific</v>
      </c>
    </row>
    <row r="981" spans="1:10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  <c r="I981" t="str">
        <f t="shared" si="30"/>
        <v>America</v>
      </c>
      <c r="J981" t="str">
        <f t="shared" si="31"/>
        <v>Asia-Pacific</v>
      </c>
    </row>
    <row r="982" spans="1:10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  <c r="I982" t="str">
        <f t="shared" si="30"/>
        <v>Africa</v>
      </c>
      <c r="J982" t="str">
        <f t="shared" si="31"/>
        <v>Asia-Pacific</v>
      </c>
    </row>
    <row r="983" spans="1:10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  <c r="I983" t="str">
        <f t="shared" si="30"/>
        <v>Africa</v>
      </c>
      <c r="J983" t="str">
        <f t="shared" si="31"/>
        <v>Asia-Pacific</v>
      </c>
    </row>
    <row r="984" spans="1:10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  <c r="I984" t="str">
        <f t="shared" si="30"/>
        <v>America</v>
      </c>
      <c r="J984" t="str">
        <f t="shared" si="31"/>
        <v>America</v>
      </c>
    </row>
    <row r="985" spans="1:10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  <c r="I985" t="str">
        <f t="shared" si="30"/>
        <v>Asia-Pacific</v>
      </c>
      <c r="J985" t="str">
        <f t="shared" si="31"/>
        <v>America</v>
      </c>
    </row>
    <row r="986" spans="1:10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  <c r="I986" t="str">
        <f t="shared" si="30"/>
        <v>Africa</v>
      </c>
      <c r="J986" t="str">
        <f t="shared" si="31"/>
        <v>Asia-Pacific</v>
      </c>
    </row>
    <row r="987" spans="1:10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  <c r="I987" t="str">
        <f t="shared" si="30"/>
        <v>America</v>
      </c>
      <c r="J987" t="str">
        <f t="shared" si="31"/>
        <v>America</v>
      </c>
    </row>
    <row r="988" spans="1:10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  <c r="I988" t="str">
        <f t="shared" si="30"/>
        <v>Africa</v>
      </c>
      <c r="J988" t="str">
        <f t="shared" si="31"/>
        <v>America</v>
      </c>
    </row>
    <row r="989" spans="1:10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  <c r="I989" t="str">
        <f t="shared" si="30"/>
        <v>America</v>
      </c>
      <c r="J989" t="str">
        <f t="shared" si="31"/>
        <v>Asia-Pacific</v>
      </c>
    </row>
    <row r="990" spans="1:10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  <c r="I990" t="str">
        <f t="shared" si="30"/>
        <v>America</v>
      </c>
      <c r="J990" t="str">
        <f t="shared" si="31"/>
        <v>America</v>
      </c>
    </row>
    <row r="991" spans="1:10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  <c r="I991" t="str">
        <f t="shared" si="30"/>
        <v>America</v>
      </c>
      <c r="J991" t="str">
        <f t="shared" si="31"/>
        <v>Asia-Pacific</v>
      </c>
    </row>
    <row r="992" spans="1:10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  <c r="I992" t="str">
        <f t="shared" si="30"/>
        <v>Africa</v>
      </c>
      <c r="J992" t="str">
        <f t="shared" si="31"/>
        <v>Asia-Pacific</v>
      </c>
    </row>
    <row r="993" spans="1:10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  <c r="I993" t="str">
        <f t="shared" si="30"/>
        <v>Africa</v>
      </c>
      <c r="J993" t="str">
        <f t="shared" si="31"/>
        <v>America</v>
      </c>
    </row>
    <row r="994" spans="1:10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  <c r="I994" t="str">
        <f t="shared" si="30"/>
        <v>America</v>
      </c>
      <c r="J994" t="str">
        <f t="shared" si="31"/>
        <v>America</v>
      </c>
    </row>
    <row r="995" spans="1:10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  <c r="I995" t="str">
        <f t="shared" si="30"/>
        <v>America</v>
      </c>
      <c r="J995" t="str">
        <f t="shared" si="31"/>
        <v>America</v>
      </c>
    </row>
    <row r="996" spans="1:10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  <c r="I996" t="str">
        <f t="shared" si="30"/>
        <v>America</v>
      </c>
      <c r="J996" t="str">
        <f t="shared" si="31"/>
        <v>America</v>
      </c>
    </row>
    <row r="997" spans="1:10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  <c r="I997" t="str">
        <f t="shared" si="30"/>
        <v>America</v>
      </c>
      <c r="J997" t="str">
        <f t="shared" si="31"/>
        <v>America</v>
      </c>
    </row>
    <row r="998" spans="1:10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  <c r="I998" t="str">
        <f t="shared" si="30"/>
        <v>America</v>
      </c>
      <c r="J998" t="str">
        <f t="shared" si="31"/>
        <v>America</v>
      </c>
    </row>
    <row r="999" spans="1:10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  <c r="I999" t="str">
        <f t="shared" si="30"/>
        <v>Africa</v>
      </c>
      <c r="J999" t="str">
        <f t="shared" si="31"/>
        <v>America</v>
      </c>
    </row>
    <row r="1000" spans="1:10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  <c r="I1000" t="str">
        <f t="shared" si="30"/>
        <v>America</v>
      </c>
      <c r="J1000" t="str">
        <f t="shared" si="31"/>
        <v>America</v>
      </c>
    </row>
    <row r="1001" spans="1:10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  <c r="I1001" t="str">
        <f t="shared" si="30"/>
        <v>Asia-Pacific</v>
      </c>
      <c r="J1001" t="str">
        <f t="shared" si="31"/>
        <v>America</v>
      </c>
    </row>
    <row r="1002" spans="1:10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  <c r="I1002" t="str">
        <f t="shared" si="30"/>
        <v>America</v>
      </c>
      <c r="J1002" t="str">
        <f t="shared" si="31"/>
        <v>America</v>
      </c>
    </row>
    <row r="1003" spans="1:10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  <c r="I1003" t="str">
        <f t="shared" si="30"/>
        <v>America</v>
      </c>
      <c r="J1003" t="str">
        <f t="shared" si="31"/>
        <v>America</v>
      </c>
    </row>
    <row r="1004" spans="1:10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  <c r="I1004" t="str">
        <f t="shared" si="30"/>
        <v>Africa</v>
      </c>
      <c r="J1004" t="str">
        <f t="shared" si="31"/>
        <v>Asia-Pacific</v>
      </c>
    </row>
    <row r="1005" spans="1:10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  <c r="I1005" t="str">
        <f t="shared" si="30"/>
        <v>Africa</v>
      </c>
      <c r="J1005" t="str">
        <f t="shared" si="31"/>
        <v>Asia-Pacific</v>
      </c>
    </row>
    <row r="1006" spans="1:10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  <c r="I1006" t="str">
        <f t="shared" si="30"/>
        <v>Africa</v>
      </c>
      <c r="J1006" t="str">
        <f t="shared" si="31"/>
        <v>America</v>
      </c>
    </row>
    <row r="1007" spans="1:10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  <c r="I1007" t="str">
        <f t="shared" si="30"/>
        <v>Africa</v>
      </c>
      <c r="J1007" t="str">
        <f t="shared" si="31"/>
        <v>America</v>
      </c>
    </row>
    <row r="1008" spans="1:10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  <c r="I1008" t="str">
        <f t="shared" si="30"/>
        <v>Africa</v>
      </c>
      <c r="J1008" t="str">
        <f t="shared" si="31"/>
        <v>America</v>
      </c>
    </row>
    <row r="1009" spans="1:10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  <c r="I1009" t="str">
        <f t="shared" si="30"/>
        <v>Africa</v>
      </c>
      <c r="J1009" t="str">
        <f t="shared" si="31"/>
        <v>America</v>
      </c>
    </row>
    <row r="1010" spans="1:10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  <c r="I1010" t="str">
        <f t="shared" si="30"/>
        <v>Africa</v>
      </c>
      <c r="J1010" t="str">
        <f t="shared" si="31"/>
        <v>America</v>
      </c>
    </row>
    <row r="1011" spans="1:10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  <c r="I1011" t="str">
        <f t="shared" si="30"/>
        <v>Africa</v>
      </c>
      <c r="J1011" t="str">
        <f t="shared" si="31"/>
        <v>America</v>
      </c>
    </row>
    <row r="1012" spans="1:10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  <c r="I1012" t="str">
        <f t="shared" si="30"/>
        <v>Africa</v>
      </c>
      <c r="J1012" t="str">
        <f t="shared" si="31"/>
        <v>Asia-Pacific</v>
      </c>
    </row>
    <row r="1013" spans="1:10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  <c r="I1013" t="str">
        <f t="shared" si="30"/>
        <v>Africa</v>
      </c>
      <c r="J1013" t="str">
        <f t="shared" si="31"/>
        <v>America</v>
      </c>
    </row>
    <row r="1014" spans="1:10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  <c r="I1014" t="str">
        <f t="shared" si="30"/>
        <v>Asia-Pacific</v>
      </c>
      <c r="J1014" t="str">
        <f t="shared" si="31"/>
        <v>Asia-Pacific</v>
      </c>
    </row>
    <row r="1015" spans="1:10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  <c r="I1015" t="str">
        <f t="shared" si="30"/>
        <v>Africa</v>
      </c>
      <c r="J1015" t="str">
        <f t="shared" si="31"/>
        <v>Asia-Pacific</v>
      </c>
    </row>
    <row r="1016" spans="1:10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  <c r="I1016" t="str">
        <f t="shared" si="30"/>
        <v>Africa</v>
      </c>
      <c r="J1016" t="str">
        <f t="shared" si="31"/>
        <v>Asia-Pacific</v>
      </c>
    </row>
    <row r="1017" spans="1:10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  <c r="I1017" t="str">
        <f t="shared" si="30"/>
        <v>Africa</v>
      </c>
      <c r="J1017" t="str">
        <f t="shared" si="31"/>
        <v>Asia-Pacific</v>
      </c>
    </row>
    <row r="1018" spans="1:10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  <c r="I1018" t="str">
        <f t="shared" si="30"/>
        <v>Africa</v>
      </c>
      <c r="J1018" t="str">
        <f t="shared" si="31"/>
        <v>Asia-Pacific</v>
      </c>
    </row>
    <row r="1019" spans="1:10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  <c r="I1019" t="str">
        <f t="shared" si="30"/>
        <v>Africa</v>
      </c>
      <c r="J1019" t="str">
        <f t="shared" si="31"/>
        <v>Asia-Pacific</v>
      </c>
    </row>
    <row r="1020" spans="1:10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  <c r="I1020" t="str">
        <f t="shared" si="30"/>
        <v>Africa</v>
      </c>
      <c r="J1020" t="str">
        <f t="shared" si="31"/>
        <v>America</v>
      </c>
    </row>
    <row r="1021" spans="1:10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  <c r="I1021" t="str">
        <f t="shared" si="30"/>
        <v>Africa</v>
      </c>
      <c r="J1021" t="str">
        <f t="shared" si="31"/>
        <v>America</v>
      </c>
    </row>
    <row r="1022" spans="1:10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  <c r="I1022" t="str">
        <f t="shared" si="30"/>
        <v>Africa</v>
      </c>
      <c r="J1022" t="str">
        <f t="shared" si="31"/>
        <v>America</v>
      </c>
    </row>
    <row r="1023" spans="1:10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  <c r="I1023" t="str">
        <f t="shared" si="30"/>
        <v>America</v>
      </c>
      <c r="J1023" t="str">
        <f t="shared" si="31"/>
        <v>America</v>
      </c>
    </row>
    <row r="1024" spans="1:10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  <c r="I1024" t="str">
        <f t="shared" si="30"/>
        <v>Africa</v>
      </c>
      <c r="J1024" t="str">
        <f t="shared" si="31"/>
        <v>America</v>
      </c>
    </row>
    <row r="1025" spans="1:10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  <c r="I1025" t="str">
        <f t="shared" si="30"/>
        <v>America</v>
      </c>
      <c r="J1025" t="str">
        <f t="shared" si="31"/>
        <v>America</v>
      </c>
    </row>
    <row r="1026" spans="1:10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  <c r="I1026" t="str">
        <f t="shared" si="30"/>
        <v>America</v>
      </c>
      <c r="J1026" t="str">
        <f t="shared" si="31"/>
        <v>America</v>
      </c>
    </row>
    <row r="1027" spans="1:10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  <c r="I1027" t="str">
        <f t="shared" ref="I1027:I1090" si="32">_xlfn.XLOOKUP(H1027, $M$2:$M$50, $N$2:$N$50, "Other")</f>
        <v>America</v>
      </c>
      <c r="J1027" t="str">
        <f t="shared" ref="J1027:J1090" si="33">_xlfn.XLOOKUP(G1027, $M$2:$M$50, $N$2:$N$50, "Other")</f>
        <v>America</v>
      </c>
    </row>
    <row r="1028" spans="1:10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  <c r="I1028" t="str">
        <f t="shared" si="32"/>
        <v>America</v>
      </c>
      <c r="J1028" t="str">
        <f t="shared" si="33"/>
        <v>Asia-Pacific</v>
      </c>
    </row>
    <row r="1029" spans="1:10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  <c r="I1029" t="str">
        <f t="shared" si="32"/>
        <v>America</v>
      </c>
      <c r="J1029" t="str">
        <f t="shared" si="33"/>
        <v>Asia-Pacific</v>
      </c>
    </row>
    <row r="1030" spans="1:10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  <c r="I1030" t="str">
        <f t="shared" si="32"/>
        <v>Africa</v>
      </c>
      <c r="J1030" t="str">
        <f t="shared" si="33"/>
        <v>Asia-Pacific</v>
      </c>
    </row>
    <row r="1031" spans="1:10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  <c r="I1031" t="str">
        <f t="shared" si="32"/>
        <v>America</v>
      </c>
      <c r="J1031" t="str">
        <f t="shared" si="33"/>
        <v>America</v>
      </c>
    </row>
    <row r="1032" spans="1:10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  <c r="I1032" t="str">
        <f t="shared" si="32"/>
        <v>Africa</v>
      </c>
      <c r="J1032" t="str">
        <f t="shared" si="33"/>
        <v>Asia-Pacific</v>
      </c>
    </row>
    <row r="1033" spans="1:10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  <c r="I1033" t="str">
        <f t="shared" si="32"/>
        <v>Africa</v>
      </c>
      <c r="J1033" t="str">
        <f t="shared" si="33"/>
        <v>America</v>
      </c>
    </row>
    <row r="1034" spans="1:10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  <c r="I1034" t="str">
        <f t="shared" si="32"/>
        <v>America</v>
      </c>
      <c r="J1034" t="str">
        <f t="shared" si="33"/>
        <v>America</v>
      </c>
    </row>
    <row r="1035" spans="1:10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  <c r="I1035" t="str">
        <f t="shared" si="32"/>
        <v>America</v>
      </c>
      <c r="J1035" t="str">
        <f t="shared" si="33"/>
        <v>America</v>
      </c>
    </row>
    <row r="1036" spans="1:10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  <c r="I1036" t="str">
        <f t="shared" si="32"/>
        <v>Africa</v>
      </c>
      <c r="J1036" t="str">
        <f t="shared" si="33"/>
        <v>Asia-Pacific</v>
      </c>
    </row>
    <row r="1037" spans="1:10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  <c r="I1037" t="str">
        <f t="shared" si="32"/>
        <v>America</v>
      </c>
      <c r="J1037" t="str">
        <f t="shared" si="33"/>
        <v>America</v>
      </c>
    </row>
    <row r="1038" spans="1:10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  <c r="I1038" t="str">
        <f t="shared" si="32"/>
        <v>America</v>
      </c>
      <c r="J1038" t="str">
        <f t="shared" si="33"/>
        <v>America</v>
      </c>
    </row>
    <row r="1039" spans="1:10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  <c r="I1039" t="str">
        <f t="shared" si="32"/>
        <v>Africa</v>
      </c>
      <c r="J1039" t="str">
        <f t="shared" si="33"/>
        <v>Asia-Pacific</v>
      </c>
    </row>
    <row r="1040" spans="1:10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  <c r="I1040" t="str">
        <f t="shared" si="32"/>
        <v>Africa</v>
      </c>
      <c r="J1040" t="str">
        <f t="shared" si="33"/>
        <v>Asia-Pacific</v>
      </c>
    </row>
    <row r="1041" spans="1:10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  <c r="I1041" t="str">
        <f t="shared" si="32"/>
        <v>Africa</v>
      </c>
      <c r="J1041" t="str">
        <f t="shared" si="33"/>
        <v>Asia-Pacific</v>
      </c>
    </row>
    <row r="1042" spans="1:10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  <c r="I1042" t="str">
        <f t="shared" si="32"/>
        <v>Africa</v>
      </c>
      <c r="J1042" t="str">
        <f t="shared" si="33"/>
        <v>Asia-Pacific</v>
      </c>
    </row>
    <row r="1043" spans="1:10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  <c r="I1043" t="str">
        <f t="shared" si="32"/>
        <v>America</v>
      </c>
      <c r="J1043" t="str">
        <f t="shared" si="33"/>
        <v>Asia-Pacific</v>
      </c>
    </row>
    <row r="1044" spans="1:10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  <c r="I1044" t="str">
        <f t="shared" si="32"/>
        <v>Africa</v>
      </c>
      <c r="J1044" t="str">
        <f t="shared" si="33"/>
        <v>Asia-Pacific</v>
      </c>
    </row>
    <row r="1045" spans="1:10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  <c r="I1045" t="str">
        <f t="shared" si="32"/>
        <v>Africa</v>
      </c>
      <c r="J1045" t="str">
        <f t="shared" si="33"/>
        <v>Asia-Pacific</v>
      </c>
    </row>
    <row r="1046" spans="1:10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  <c r="I1046" t="str">
        <f t="shared" si="32"/>
        <v>America</v>
      </c>
      <c r="J1046" t="str">
        <f t="shared" si="33"/>
        <v>America</v>
      </c>
    </row>
    <row r="1047" spans="1:10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  <c r="I1047" t="str">
        <f t="shared" si="32"/>
        <v>Africa</v>
      </c>
      <c r="J1047" t="str">
        <f t="shared" si="33"/>
        <v>America</v>
      </c>
    </row>
    <row r="1048" spans="1:10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  <c r="I1048" t="str">
        <f t="shared" si="32"/>
        <v>America</v>
      </c>
      <c r="J1048" t="str">
        <f t="shared" si="33"/>
        <v>America</v>
      </c>
    </row>
    <row r="1049" spans="1:10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  <c r="I1049" t="str">
        <f t="shared" si="32"/>
        <v>America</v>
      </c>
      <c r="J1049" t="str">
        <f t="shared" si="33"/>
        <v>America</v>
      </c>
    </row>
    <row r="1050" spans="1:10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  <c r="I1050" t="str">
        <f t="shared" si="32"/>
        <v>Africa</v>
      </c>
      <c r="J1050" t="str">
        <f t="shared" si="33"/>
        <v>America</v>
      </c>
    </row>
    <row r="1051" spans="1:10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  <c r="I1051" t="str">
        <f t="shared" si="32"/>
        <v>America</v>
      </c>
      <c r="J1051" t="str">
        <f t="shared" si="33"/>
        <v>America</v>
      </c>
    </row>
    <row r="1052" spans="1:10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  <c r="I1052" t="str">
        <f t="shared" si="32"/>
        <v>America</v>
      </c>
      <c r="J1052" t="str">
        <f t="shared" si="33"/>
        <v>America</v>
      </c>
    </row>
    <row r="1053" spans="1:10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  <c r="I1053" t="str">
        <f t="shared" si="32"/>
        <v>America</v>
      </c>
      <c r="J1053" t="str">
        <f t="shared" si="33"/>
        <v>America</v>
      </c>
    </row>
    <row r="1054" spans="1:10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  <c r="I1054" t="str">
        <f t="shared" si="32"/>
        <v>America</v>
      </c>
      <c r="J1054" t="str">
        <f t="shared" si="33"/>
        <v>America</v>
      </c>
    </row>
    <row r="1055" spans="1:10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  <c r="I1055" t="str">
        <f t="shared" si="32"/>
        <v>NULL</v>
      </c>
      <c r="J1055" t="str">
        <f t="shared" si="33"/>
        <v>America</v>
      </c>
    </row>
    <row r="1056" spans="1:10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  <c r="I1056" t="str">
        <f t="shared" si="32"/>
        <v>NULL</v>
      </c>
      <c r="J1056" t="str">
        <f t="shared" si="33"/>
        <v>America</v>
      </c>
    </row>
    <row r="1057" spans="1:10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  <c r="I1057" t="str">
        <f t="shared" si="32"/>
        <v>Africa</v>
      </c>
      <c r="J1057" t="str">
        <f t="shared" si="33"/>
        <v>Asia-Pacific</v>
      </c>
    </row>
    <row r="1058" spans="1:10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  <c r="I1058" t="str">
        <f t="shared" si="32"/>
        <v>Africa</v>
      </c>
      <c r="J1058" t="str">
        <f t="shared" si="33"/>
        <v>America</v>
      </c>
    </row>
    <row r="1059" spans="1:10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  <c r="I1059" t="str">
        <f t="shared" si="32"/>
        <v>NULL</v>
      </c>
      <c r="J1059" t="str">
        <f t="shared" si="33"/>
        <v>America</v>
      </c>
    </row>
    <row r="1060" spans="1:10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  <c r="I1060" t="str">
        <f t="shared" si="32"/>
        <v>America</v>
      </c>
      <c r="J1060" t="str">
        <f t="shared" si="33"/>
        <v>Asia-Pacific</v>
      </c>
    </row>
    <row r="1061" spans="1:10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  <c r="I1061" t="str">
        <f t="shared" si="32"/>
        <v>Africa</v>
      </c>
      <c r="J1061" t="str">
        <f t="shared" si="33"/>
        <v>America</v>
      </c>
    </row>
    <row r="1062" spans="1:10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  <c r="I1062" t="str">
        <f t="shared" si="32"/>
        <v>America</v>
      </c>
      <c r="J1062" t="str">
        <f t="shared" si="33"/>
        <v>America</v>
      </c>
    </row>
    <row r="1063" spans="1:10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  <c r="I1063" t="str">
        <f t="shared" si="32"/>
        <v>Africa</v>
      </c>
      <c r="J1063" t="str">
        <f t="shared" si="33"/>
        <v>Asia-Pacific</v>
      </c>
    </row>
    <row r="1064" spans="1:10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  <c r="I1064" t="str">
        <f t="shared" si="32"/>
        <v>America</v>
      </c>
      <c r="J1064" t="str">
        <f t="shared" si="33"/>
        <v>Asia-Pacific</v>
      </c>
    </row>
    <row r="1065" spans="1:10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  <c r="I1065" t="str">
        <f t="shared" si="32"/>
        <v>NULL</v>
      </c>
      <c r="J1065" t="str">
        <f t="shared" si="33"/>
        <v>America</v>
      </c>
    </row>
    <row r="1066" spans="1:10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  <c r="I1066" t="str">
        <f t="shared" si="32"/>
        <v>Asia-Pacific</v>
      </c>
      <c r="J1066" t="str">
        <f t="shared" si="33"/>
        <v>America</v>
      </c>
    </row>
    <row r="1067" spans="1:10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  <c r="I1067" t="str">
        <f t="shared" si="32"/>
        <v>America</v>
      </c>
      <c r="J1067" t="str">
        <f t="shared" si="33"/>
        <v>America</v>
      </c>
    </row>
    <row r="1068" spans="1:10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  <c r="I1068" t="str">
        <f t="shared" si="32"/>
        <v>America</v>
      </c>
      <c r="J1068" t="str">
        <f t="shared" si="33"/>
        <v>America</v>
      </c>
    </row>
    <row r="1069" spans="1:10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  <c r="I1069" t="str">
        <f t="shared" si="32"/>
        <v>Africa</v>
      </c>
      <c r="J1069" t="str">
        <f t="shared" si="33"/>
        <v>America</v>
      </c>
    </row>
    <row r="1070" spans="1:10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  <c r="I1070" t="str">
        <f t="shared" si="32"/>
        <v>America</v>
      </c>
      <c r="J1070" t="str">
        <f t="shared" si="33"/>
        <v>America</v>
      </c>
    </row>
    <row r="1071" spans="1:10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  <c r="I1071" t="str">
        <f t="shared" si="32"/>
        <v>America</v>
      </c>
      <c r="J1071" t="str">
        <f t="shared" si="33"/>
        <v>America</v>
      </c>
    </row>
    <row r="1072" spans="1:10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  <c r="I1072" t="str">
        <f t="shared" si="32"/>
        <v>America</v>
      </c>
      <c r="J1072" t="str">
        <f t="shared" si="33"/>
        <v>Asia-Pacific</v>
      </c>
    </row>
    <row r="1073" spans="1:10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  <c r="I1073" t="str">
        <f t="shared" si="32"/>
        <v>Africa</v>
      </c>
      <c r="J1073" t="str">
        <f t="shared" si="33"/>
        <v>America</v>
      </c>
    </row>
    <row r="1074" spans="1:10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  <c r="I1074" t="str">
        <f t="shared" si="32"/>
        <v>America</v>
      </c>
      <c r="J1074" t="str">
        <f t="shared" si="33"/>
        <v>Asia-Pacific</v>
      </c>
    </row>
    <row r="1075" spans="1:10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  <c r="I1075" t="str">
        <f t="shared" si="32"/>
        <v>Asia-Pacific</v>
      </c>
      <c r="J1075" t="str">
        <f t="shared" si="33"/>
        <v>Asia-Pacific</v>
      </c>
    </row>
    <row r="1076" spans="1:10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  <c r="I1076" t="str">
        <f t="shared" si="32"/>
        <v>Africa</v>
      </c>
      <c r="J1076" t="str">
        <f t="shared" si="33"/>
        <v>Asia-Pacific</v>
      </c>
    </row>
    <row r="1077" spans="1:10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  <c r="I1077" t="str">
        <f t="shared" si="32"/>
        <v>Africa</v>
      </c>
      <c r="J1077" t="str">
        <f t="shared" si="33"/>
        <v>America</v>
      </c>
    </row>
    <row r="1078" spans="1:10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  <c r="I1078" t="str">
        <f t="shared" si="32"/>
        <v>Asia-Pacific</v>
      </c>
      <c r="J1078" t="str">
        <f t="shared" si="33"/>
        <v>America</v>
      </c>
    </row>
    <row r="1079" spans="1:10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  <c r="I1079" t="str">
        <f t="shared" si="32"/>
        <v>Africa</v>
      </c>
      <c r="J1079" t="str">
        <f t="shared" si="33"/>
        <v>Asia-Pacific</v>
      </c>
    </row>
    <row r="1080" spans="1:10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  <c r="I1080" t="str">
        <f t="shared" si="32"/>
        <v>Africa</v>
      </c>
      <c r="J1080" t="str">
        <f t="shared" si="33"/>
        <v>Asia-Pacific</v>
      </c>
    </row>
    <row r="1081" spans="1:10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  <c r="I1081" t="str">
        <f t="shared" si="32"/>
        <v>Asia-Pacific</v>
      </c>
      <c r="J1081" t="str">
        <f t="shared" si="33"/>
        <v>Asia-Pacific</v>
      </c>
    </row>
    <row r="1082" spans="1:10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  <c r="I1082" t="str">
        <f t="shared" si="32"/>
        <v>Africa</v>
      </c>
      <c r="J1082" t="str">
        <f t="shared" si="33"/>
        <v>America</v>
      </c>
    </row>
    <row r="1083" spans="1:10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  <c r="I1083" t="str">
        <f t="shared" si="32"/>
        <v>Africa</v>
      </c>
      <c r="J1083" t="str">
        <f t="shared" si="33"/>
        <v>America</v>
      </c>
    </row>
    <row r="1084" spans="1:10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  <c r="I1084" t="str">
        <f t="shared" si="32"/>
        <v>Africa</v>
      </c>
      <c r="J1084" t="str">
        <f t="shared" si="33"/>
        <v>America</v>
      </c>
    </row>
    <row r="1085" spans="1:10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  <c r="I1085" t="str">
        <f t="shared" si="32"/>
        <v>America</v>
      </c>
      <c r="J1085" t="str">
        <f t="shared" si="33"/>
        <v>America</v>
      </c>
    </row>
    <row r="1086" spans="1:10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  <c r="I1086" t="str">
        <f t="shared" si="32"/>
        <v>America</v>
      </c>
      <c r="J1086" t="str">
        <f t="shared" si="33"/>
        <v>America</v>
      </c>
    </row>
    <row r="1087" spans="1:10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  <c r="I1087" t="str">
        <f t="shared" si="32"/>
        <v>America</v>
      </c>
      <c r="J1087" t="str">
        <f t="shared" si="33"/>
        <v>America</v>
      </c>
    </row>
    <row r="1088" spans="1:10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  <c r="I1088" t="str">
        <f t="shared" si="32"/>
        <v>Asia-Pacific</v>
      </c>
      <c r="J1088" t="str">
        <f t="shared" si="33"/>
        <v>Asia-Pacific</v>
      </c>
    </row>
    <row r="1089" spans="1:10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  <c r="I1089" t="str">
        <f t="shared" si="32"/>
        <v>Africa</v>
      </c>
      <c r="J1089" t="str">
        <f t="shared" si="33"/>
        <v>Asia-Pacific</v>
      </c>
    </row>
    <row r="1090" spans="1:10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  <c r="I1090" t="str">
        <f t="shared" si="32"/>
        <v>Africa</v>
      </c>
      <c r="J1090" t="str">
        <f t="shared" si="33"/>
        <v>Asia-Pacific</v>
      </c>
    </row>
    <row r="1091" spans="1:10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  <c r="I1091" t="str">
        <f t="shared" ref="I1091:I1154" si="34">_xlfn.XLOOKUP(H1091, $M$2:$M$50, $N$2:$N$50, "Other")</f>
        <v>Africa</v>
      </c>
      <c r="J1091" t="str">
        <f t="shared" ref="J1091:J1154" si="35">_xlfn.XLOOKUP(G1091, $M$2:$M$50, $N$2:$N$50, "Other")</f>
        <v>America</v>
      </c>
    </row>
    <row r="1092" spans="1:10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  <c r="I1092" t="str">
        <f t="shared" si="34"/>
        <v>America</v>
      </c>
      <c r="J1092" t="str">
        <f t="shared" si="35"/>
        <v>America</v>
      </c>
    </row>
    <row r="1093" spans="1:10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  <c r="I1093" t="str">
        <f t="shared" si="34"/>
        <v>America</v>
      </c>
      <c r="J1093" t="str">
        <f t="shared" si="35"/>
        <v>America</v>
      </c>
    </row>
    <row r="1094" spans="1:10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  <c r="I1094" t="str">
        <f t="shared" si="34"/>
        <v>America</v>
      </c>
      <c r="J1094" t="str">
        <f t="shared" si="35"/>
        <v>Asia-Pacific</v>
      </c>
    </row>
    <row r="1095" spans="1:10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  <c r="I1095" t="str">
        <f t="shared" si="34"/>
        <v>America</v>
      </c>
      <c r="J1095" t="str">
        <f t="shared" si="35"/>
        <v>Asia-Pacific</v>
      </c>
    </row>
    <row r="1096" spans="1:10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  <c r="I1096" t="str">
        <f t="shared" si="34"/>
        <v>America</v>
      </c>
      <c r="J1096" t="str">
        <f t="shared" si="35"/>
        <v>Asia-Pacific</v>
      </c>
    </row>
    <row r="1097" spans="1:10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  <c r="I1097" t="str">
        <f t="shared" si="34"/>
        <v>America</v>
      </c>
      <c r="J1097" t="str">
        <f t="shared" si="35"/>
        <v>America</v>
      </c>
    </row>
    <row r="1098" spans="1:10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  <c r="I1098" t="str">
        <f t="shared" si="34"/>
        <v>America</v>
      </c>
      <c r="J1098" t="str">
        <f t="shared" si="35"/>
        <v>Asia-Pacific</v>
      </c>
    </row>
    <row r="1099" spans="1:10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  <c r="I1099" t="str">
        <f t="shared" si="34"/>
        <v>America</v>
      </c>
      <c r="J1099" t="str">
        <f t="shared" si="35"/>
        <v>America</v>
      </c>
    </row>
    <row r="1100" spans="1:10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  <c r="I1100" t="str">
        <f t="shared" si="34"/>
        <v>Africa</v>
      </c>
      <c r="J1100" t="str">
        <f t="shared" si="35"/>
        <v>Asia-Pacific</v>
      </c>
    </row>
    <row r="1101" spans="1:10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  <c r="I1101" t="str">
        <f t="shared" si="34"/>
        <v>America</v>
      </c>
      <c r="J1101" t="str">
        <f t="shared" si="35"/>
        <v>America</v>
      </c>
    </row>
    <row r="1102" spans="1:10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  <c r="I1102" t="str">
        <f t="shared" si="34"/>
        <v>Africa</v>
      </c>
      <c r="J1102" t="str">
        <f t="shared" si="35"/>
        <v>America</v>
      </c>
    </row>
    <row r="1103" spans="1:10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  <c r="I1103" t="str">
        <f t="shared" si="34"/>
        <v>Africa</v>
      </c>
      <c r="J1103" t="str">
        <f t="shared" si="35"/>
        <v>Asia-Pacific</v>
      </c>
    </row>
    <row r="1104" spans="1:10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  <c r="I1104" t="str">
        <f t="shared" si="34"/>
        <v>America</v>
      </c>
      <c r="J1104" t="str">
        <f t="shared" si="35"/>
        <v>America</v>
      </c>
    </row>
    <row r="1105" spans="1:10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  <c r="I1105" t="str">
        <f t="shared" si="34"/>
        <v>Africa</v>
      </c>
      <c r="J1105" t="str">
        <f t="shared" si="35"/>
        <v>Asia-Pacific</v>
      </c>
    </row>
    <row r="1106" spans="1:10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  <c r="I1106" t="str">
        <f t="shared" si="34"/>
        <v>Africa</v>
      </c>
      <c r="J1106" t="str">
        <f t="shared" si="35"/>
        <v>America</v>
      </c>
    </row>
    <row r="1107" spans="1:10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  <c r="I1107" t="str">
        <f t="shared" si="34"/>
        <v>Africa</v>
      </c>
      <c r="J1107" t="str">
        <f t="shared" si="35"/>
        <v>Asia-Pacific</v>
      </c>
    </row>
    <row r="1108" spans="1:10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  <c r="I1108" t="str">
        <f t="shared" si="34"/>
        <v>Africa</v>
      </c>
      <c r="J1108" t="str">
        <f t="shared" si="35"/>
        <v>Asia-Pacific</v>
      </c>
    </row>
    <row r="1109" spans="1:10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  <c r="I1109" t="str">
        <f t="shared" si="34"/>
        <v>Africa</v>
      </c>
      <c r="J1109" t="str">
        <f t="shared" si="35"/>
        <v>Asia-Pacific</v>
      </c>
    </row>
    <row r="1110" spans="1:10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  <c r="I1110" t="str">
        <f t="shared" si="34"/>
        <v>Africa</v>
      </c>
      <c r="J1110" t="str">
        <f t="shared" si="35"/>
        <v>Asia-Pacific</v>
      </c>
    </row>
    <row r="1111" spans="1:10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  <c r="I1111" t="str">
        <f t="shared" si="34"/>
        <v>Africa</v>
      </c>
      <c r="J1111" t="str">
        <f t="shared" si="35"/>
        <v>America</v>
      </c>
    </row>
    <row r="1112" spans="1:10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  <c r="I1112" t="str">
        <f t="shared" si="34"/>
        <v>America</v>
      </c>
      <c r="J1112" t="str">
        <f t="shared" si="35"/>
        <v>Asia-Pacific</v>
      </c>
    </row>
    <row r="1113" spans="1:10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  <c r="I1113" t="str">
        <f t="shared" si="34"/>
        <v>America</v>
      </c>
      <c r="J1113" t="str">
        <f t="shared" si="35"/>
        <v>America</v>
      </c>
    </row>
    <row r="1114" spans="1:10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  <c r="I1114" t="str">
        <f t="shared" si="34"/>
        <v>Africa</v>
      </c>
      <c r="J1114" t="str">
        <f t="shared" si="35"/>
        <v>Asia-Pacific</v>
      </c>
    </row>
    <row r="1115" spans="1:10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  <c r="I1115" t="str">
        <f t="shared" si="34"/>
        <v>Africa</v>
      </c>
      <c r="J1115" t="str">
        <f t="shared" si="35"/>
        <v>Asia-Pacific</v>
      </c>
    </row>
    <row r="1116" spans="1:10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  <c r="I1116" t="str">
        <f t="shared" si="34"/>
        <v>America</v>
      </c>
      <c r="J1116" t="str">
        <f t="shared" si="35"/>
        <v>America</v>
      </c>
    </row>
    <row r="1117" spans="1:10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  <c r="I1117" t="str">
        <f t="shared" si="34"/>
        <v>Africa</v>
      </c>
      <c r="J1117" t="str">
        <f t="shared" si="35"/>
        <v>America</v>
      </c>
    </row>
    <row r="1118" spans="1:10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  <c r="I1118" t="str">
        <f t="shared" si="34"/>
        <v>Africa</v>
      </c>
      <c r="J1118" t="str">
        <f t="shared" si="35"/>
        <v>America</v>
      </c>
    </row>
    <row r="1119" spans="1:10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  <c r="I1119" t="str">
        <f t="shared" si="34"/>
        <v>Africa</v>
      </c>
      <c r="J1119" t="str">
        <f t="shared" si="35"/>
        <v>America</v>
      </c>
    </row>
    <row r="1120" spans="1:10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  <c r="I1120" t="str">
        <f t="shared" si="34"/>
        <v>Africa</v>
      </c>
      <c r="J1120" t="str">
        <f t="shared" si="35"/>
        <v>Asia-Pacific</v>
      </c>
    </row>
    <row r="1121" spans="1:10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  <c r="I1121" t="str">
        <f t="shared" si="34"/>
        <v>Africa</v>
      </c>
      <c r="J1121" t="str">
        <f t="shared" si="35"/>
        <v>America</v>
      </c>
    </row>
    <row r="1122" spans="1:10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  <c r="I1122" t="str">
        <f t="shared" si="34"/>
        <v>Africa</v>
      </c>
      <c r="J1122" t="str">
        <f t="shared" si="35"/>
        <v>Asia-Pacific</v>
      </c>
    </row>
    <row r="1123" spans="1:10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  <c r="I1123" t="str">
        <f t="shared" si="34"/>
        <v>Asia-Pacific</v>
      </c>
      <c r="J1123" t="str">
        <f t="shared" si="35"/>
        <v>Asia-Pacific</v>
      </c>
    </row>
    <row r="1124" spans="1:10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  <c r="I1124" t="str">
        <f t="shared" si="34"/>
        <v>Africa</v>
      </c>
      <c r="J1124" t="str">
        <f t="shared" si="35"/>
        <v>America</v>
      </c>
    </row>
    <row r="1125" spans="1:10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  <c r="I1125" t="str">
        <f t="shared" si="34"/>
        <v>America</v>
      </c>
      <c r="J1125" t="str">
        <f t="shared" si="35"/>
        <v>America</v>
      </c>
    </row>
    <row r="1126" spans="1:10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  <c r="I1126" t="str">
        <f t="shared" si="34"/>
        <v>America</v>
      </c>
      <c r="J1126" t="str">
        <f t="shared" si="35"/>
        <v>Asia-Pacific</v>
      </c>
    </row>
    <row r="1127" spans="1:10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  <c r="I1127" t="str">
        <f t="shared" si="34"/>
        <v>Africa</v>
      </c>
      <c r="J1127" t="str">
        <f t="shared" si="35"/>
        <v>Asia-Pacific</v>
      </c>
    </row>
    <row r="1128" spans="1:10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  <c r="I1128" t="str">
        <f t="shared" si="34"/>
        <v>Africa</v>
      </c>
      <c r="J1128" t="str">
        <f t="shared" si="35"/>
        <v>Asia-Pacific</v>
      </c>
    </row>
    <row r="1129" spans="1:10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  <c r="I1129" t="str">
        <f t="shared" si="34"/>
        <v>America</v>
      </c>
      <c r="J1129" t="str">
        <f t="shared" si="35"/>
        <v>America</v>
      </c>
    </row>
    <row r="1130" spans="1:10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  <c r="I1130" t="str">
        <f t="shared" si="34"/>
        <v>Africa</v>
      </c>
      <c r="J1130" t="str">
        <f t="shared" si="35"/>
        <v>America</v>
      </c>
    </row>
    <row r="1131" spans="1:10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  <c r="I1131" t="str">
        <f t="shared" si="34"/>
        <v>NULL</v>
      </c>
      <c r="J1131" t="str">
        <f t="shared" si="35"/>
        <v>America</v>
      </c>
    </row>
    <row r="1132" spans="1:10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  <c r="I1132" t="str">
        <f t="shared" si="34"/>
        <v>NULL</v>
      </c>
      <c r="J1132" t="str">
        <f t="shared" si="35"/>
        <v>America</v>
      </c>
    </row>
    <row r="1133" spans="1:10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  <c r="I1133" t="str">
        <f t="shared" si="34"/>
        <v>America</v>
      </c>
      <c r="J1133" t="str">
        <f t="shared" si="35"/>
        <v>Asia-Pacific</v>
      </c>
    </row>
    <row r="1134" spans="1:10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  <c r="I1134" t="str">
        <f t="shared" si="34"/>
        <v>Africa</v>
      </c>
      <c r="J1134" t="str">
        <f t="shared" si="35"/>
        <v>America</v>
      </c>
    </row>
    <row r="1135" spans="1:10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  <c r="I1135" t="str">
        <f t="shared" si="34"/>
        <v>America</v>
      </c>
      <c r="J1135" t="str">
        <f t="shared" si="35"/>
        <v>Asia-Pacific</v>
      </c>
    </row>
    <row r="1136" spans="1:10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  <c r="I1136" t="str">
        <f t="shared" si="34"/>
        <v>Africa</v>
      </c>
      <c r="J1136" t="str">
        <f t="shared" si="35"/>
        <v>America</v>
      </c>
    </row>
    <row r="1137" spans="1:10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  <c r="I1137" t="str">
        <f t="shared" si="34"/>
        <v>Africa</v>
      </c>
      <c r="J1137" t="str">
        <f t="shared" si="35"/>
        <v>Asia-Pacific</v>
      </c>
    </row>
    <row r="1138" spans="1:10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  <c r="I1138" t="str">
        <f t="shared" si="34"/>
        <v>Africa</v>
      </c>
      <c r="J1138" t="str">
        <f t="shared" si="35"/>
        <v>Asia-Pacific</v>
      </c>
    </row>
    <row r="1139" spans="1:10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  <c r="I1139" t="str">
        <f t="shared" si="34"/>
        <v>Africa</v>
      </c>
      <c r="J1139" t="str">
        <f t="shared" si="35"/>
        <v>Asia-Pacific</v>
      </c>
    </row>
    <row r="1140" spans="1:10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  <c r="I1140" t="str">
        <f t="shared" si="34"/>
        <v>Africa</v>
      </c>
      <c r="J1140" t="str">
        <f t="shared" si="35"/>
        <v>Asia-Pacific</v>
      </c>
    </row>
    <row r="1141" spans="1:10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  <c r="I1141" t="str">
        <f t="shared" si="34"/>
        <v>America</v>
      </c>
      <c r="J1141" t="str">
        <f t="shared" si="35"/>
        <v>America</v>
      </c>
    </row>
    <row r="1142" spans="1:10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  <c r="I1142" t="str">
        <f t="shared" si="34"/>
        <v>America</v>
      </c>
      <c r="J1142" t="str">
        <f t="shared" si="35"/>
        <v>America</v>
      </c>
    </row>
    <row r="1143" spans="1:10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  <c r="I1143" t="str">
        <f t="shared" si="34"/>
        <v>Africa</v>
      </c>
      <c r="J1143" t="str">
        <f t="shared" si="35"/>
        <v>America</v>
      </c>
    </row>
    <row r="1144" spans="1:10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  <c r="I1144" t="str">
        <f t="shared" si="34"/>
        <v>Africa</v>
      </c>
      <c r="J1144" t="str">
        <f t="shared" si="35"/>
        <v>Asia-Pacific</v>
      </c>
    </row>
    <row r="1145" spans="1:10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  <c r="I1145" t="str">
        <f t="shared" si="34"/>
        <v>Africa</v>
      </c>
      <c r="J1145" t="str">
        <f t="shared" si="35"/>
        <v>America</v>
      </c>
    </row>
    <row r="1146" spans="1:10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  <c r="I1146" t="str">
        <f t="shared" si="34"/>
        <v>America</v>
      </c>
      <c r="J1146" t="str">
        <f t="shared" si="35"/>
        <v>America</v>
      </c>
    </row>
    <row r="1147" spans="1:10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  <c r="I1147" t="str">
        <f t="shared" si="34"/>
        <v>NULL</v>
      </c>
      <c r="J1147" t="str">
        <f t="shared" si="35"/>
        <v>America</v>
      </c>
    </row>
    <row r="1148" spans="1:10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  <c r="I1148" t="str">
        <f t="shared" si="34"/>
        <v>Africa</v>
      </c>
      <c r="J1148" t="str">
        <f t="shared" si="35"/>
        <v>America</v>
      </c>
    </row>
    <row r="1149" spans="1:10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  <c r="I1149" t="str">
        <f t="shared" si="34"/>
        <v>Africa</v>
      </c>
      <c r="J1149" t="str">
        <f t="shared" si="35"/>
        <v>Asia-Pacific</v>
      </c>
    </row>
    <row r="1150" spans="1:10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  <c r="I1150" t="str">
        <f t="shared" si="34"/>
        <v>America</v>
      </c>
      <c r="J1150" t="str">
        <f t="shared" si="35"/>
        <v>Asia-Pacific</v>
      </c>
    </row>
    <row r="1151" spans="1:10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  <c r="I1151" t="str">
        <f t="shared" si="34"/>
        <v>America</v>
      </c>
      <c r="J1151" t="str">
        <f t="shared" si="35"/>
        <v>America</v>
      </c>
    </row>
    <row r="1152" spans="1:10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  <c r="I1152" t="str">
        <f t="shared" si="34"/>
        <v>Asia-Pacific</v>
      </c>
      <c r="J1152" t="str">
        <f t="shared" si="35"/>
        <v>America</v>
      </c>
    </row>
    <row r="1153" spans="1:10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  <c r="I1153" t="str">
        <f t="shared" si="34"/>
        <v>America</v>
      </c>
      <c r="J1153" t="str">
        <f t="shared" si="35"/>
        <v>America</v>
      </c>
    </row>
    <row r="1154" spans="1:10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  <c r="I1154" t="str">
        <f t="shared" si="34"/>
        <v>America</v>
      </c>
      <c r="J1154" t="str">
        <f t="shared" si="35"/>
        <v>America</v>
      </c>
    </row>
    <row r="1155" spans="1:10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  <c r="I1155" t="str">
        <f t="shared" ref="I1155:I1218" si="36">_xlfn.XLOOKUP(H1155, $M$2:$M$50, $N$2:$N$50, "Other")</f>
        <v>Africa</v>
      </c>
      <c r="J1155" t="str">
        <f t="shared" ref="J1155:J1218" si="37">_xlfn.XLOOKUP(G1155, $M$2:$M$50, $N$2:$N$50, "Other")</f>
        <v>Asia-Pacific</v>
      </c>
    </row>
    <row r="1156" spans="1:10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  <c r="I1156" t="str">
        <f t="shared" si="36"/>
        <v>Africa</v>
      </c>
      <c r="J1156" t="str">
        <f t="shared" si="37"/>
        <v>Asia-Pacific</v>
      </c>
    </row>
    <row r="1157" spans="1:10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  <c r="I1157" t="str">
        <f t="shared" si="36"/>
        <v>America</v>
      </c>
      <c r="J1157" t="str">
        <f t="shared" si="37"/>
        <v>America</v>
      </c>
    </row>
    <row r="1158" spans="1:10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  <c r="I1158" t="str">
        <f t="shared" si="36"/>
        <v>America</v>
      </c>
      <c r="J1158" t="str">
        <f t="shared" si="37"/>
        <v>America</v>
      </c>
    </row>
    <row r="1159" spans="1:10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  <c r="I1159" t="str">
        <f t="shared" si="36"/>
        <v>Africa</v>
      </c>
      <c r="J1159" t="str">
        <f t="shared" si="37"/>
        <v>Asia-Pacific</v>
      </c>
    </row>
    <row r="1160" spans="1:10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  <c r="I1160" t="str">
        <f t="shared" si="36"/>
        <v>America</v>
      </c>
      <c r="J1160" t="str">
        <f t="shared" si="37"/>
        <v>Asia-Pacific</v>
      </c>
    </row>
    <row r="1161" spans="1:10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  <c r="I1161" t="str">
        <f t="shared" si="36"/>
        <v>America</v>
      </c>
      <c r="J1161" t="str">
        <f t="shared" si="37"/>
        <v>America</v>
      </c>
    </row>
    <row r="1162" spans="1:10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  <c r="I1162" t="str">
        <f t="shared" si="36"/>
        <v>Africa</v>
      </c>
      <c r="J1162" t="str">
        <f t="shared" si="37"/>
        <v>America</v>
      </c>
    </row>
    <row r="1163" spans="1:10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  <c r="I1163" t="str">
        <f t="shared" si="36"/>
        <v>Africa</v>
      </c>
      <c r="J1163" t="str">
        <f t="shared" si="37"/>
        <v>America</v>
      </c>
    </row>
    <row r="1164" spans="1:10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  <c r="I1164" t="str">
        <f t="shared" si="36"/>
        <v>America</v>
      </c>
      <c r="J1164" t="str">
        <f t="shared" si="37"/>
        <v>America</v>
      </c>
    </row>
    <row r="1165" spans="1:10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  <c r="I1165" t="str">
        <f t="shared" si="36"/>
        <v>America</v>
      </c>
      <c r="J1165" t="str">
        <f t="shared" si="37"/>
        <v>America</v>
      </c>
    </row>
    <row r="1166" spans="1:10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  <c r="I1166" t="str">
        <f t="shared" si="36"/>
        <v>America</v>
      </c>
      <c r="J1166" t="str">
        <f t="shared" si="37"/>
        <v>America</v>
      </c>
    </row>
    <row r="1167" spans="1:10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  <c r="I1167" t="str">
        <f t="shared" si="36"/>
        <v>Africa</v>
      </c>
      <c r="J1167" t="str">
        <f t="shared" si="37"/>
        <v>Asia-Pacific</v>
      </c>
    </row>
    <row r="1168" spans="1:10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  <c r="I1168" t="str">
        <f t="shared" si="36"/>
        <v>America</v>
      </c>
      <c r="J1168" t="str">
        <f t="shared" si="37"/>
        <v>Asia-Pacific</v>
      </c>
    </row>
    <row r="1169" spans="1:10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  <c r="I1169" t="str">
        <f t="shared" si="36"/>
        <v>America</v>
      </c>
      <c r="J1169" t="str">
        <f t="shared" si="37"/>
        <v>America</v>
      </c>
    </row>
    <row r="1170" spans="1:10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  <c r="I1170" t="str">
        <f t="shared" si="36"/>
        <v>Africa</v>
      </c>
      <c r="J1170" t="str">
        <f t="shared" si="37"/>
        <v>America</v>
      </c>
    </row>
    <row r="1171" spans="1:10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  <c r="I1171" t="str">
        <f t="shared" si="36"/>
        <v>America</v>
      </c>
      <c r="J1171" t="str">
        <f t="shared" si="37"/>
        <v>America</v>
      </c>
    </row>
    <row r="1172" spans="1:10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  <c r="I1172" t="str">
        <f t="shared" si="36"/>
        <v>Africa</v>
      </c>
      <c r="J1172" t="str">
        <f t="shared" si="37"/>
        <v>America</v>
      </c>
    </row>
    <row r="1173" spans="1:10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  <c r="I1173" t="str">
        <f t="shared" si="36"/>
        <v>Africa</v>
      </c>
      <c r="J1173" t="str">
        <f t="shared" si="37"/>
        <v>America</v>
      </c>
    </row>
    <row r="1174" spans="1:10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  <c r="I1174" t="str">
        <f t="shared" si="36"/>
        <v>Africa</v>
      </c>
      <c r="J1174" t="str">
        <f t="shared" si="37"/>
        <v>Asia-Pacific</v>
      </c>
    </row>
    <row r="1175" spans="1:10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  <c r="I1175" t="str">
        <f t="shared" si="36"/>
        <v>Africa</v>
      </c>
      <c r="J1175" t="str">
        <f t="shared" si="37"/>
        <v>Asia-Pacific</v>
      </c>
    </row>
    <row r="1176" spans="1:10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  <c r="I1176" t="str">
        <f t="shared" si="36"/>
        <v>Africa</v>
      </c>
      <c r="J1176" t="str">
        <f t="shared" si="37"/>
        <v>Asia-Pacific</v>
      </c>
    </row>
    <row r="1177" spans="1:10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  <c r="I1177" t="str">
        <f t="shared" si="36"/>
        <v>Africa</v>
      </c>
      <c r="J1177" t="str">
        <f t="shared" si="37"/>
        <v>Asia-Pacific</v>
      </c>
    </row>
    <row r="1178" spans="1:10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  <c r="I1178" t="str">
        <f t="shared" si="36"/>
        <v>Africa</v>
      </c>
      <c r="J1178" t="str">
        <f t="shared" si="37"/>
        <v>America</v>
      </c>
    </row>
    <row r="1179" spans="1:10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  <c r="I1179" t="str">
        <f t="shared" si="36"/>
        <v>Africa</v>
      </c>
      <c r="J1179" t="str">
        <f t="shared" si="37"/>
        <v>America</v>
      </c>
    </row>
    <row r="1180" spans="1:10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  <c r="I1180" t="str">
        <f t="shared" si="36"/>
        <v>Africa</v>
      </c>
      <c r="J1180" t="str">
        <f t="shared" si="37"/>
        <v>Asia-Pacific</v>
      </c>
    </row>
    <row r="1181" spans="1:10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  <c r="I1181" t="str">
        <f t="shared" si="36"/>
        <v>Africa</v>
      </c>
      <c r="J1181" t="str">
        <f t="shared" si="37"/>
        <v>America</v>
      </c>
    </row>
    <row r="1182" spans="1:10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  <c r="I1182" t="str">
        <f t="shared" si="36"/>
        <v>Africa</v>
      </c>
      <c r="J1182" t="str">
        <f t="shared" si="37"/>
        <v>America</v>
      </c>
    </row>
    <row r="1183" spans="1:10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  <c r="I1183" t="str">
        <f t="shared" si="36"/>
        <v>Africa</v>
      </c>
      <c r="J1183" t="str">
        <f t="shared" si="37"/>
        <v>America</v>
      </c>
    </row>
    <row r="1184" spans="1:10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  <c r="I1184" t="str">
        <f t="shared" si="36"/>
        <v>Africa</v>
      </c>
      <c r="J1184" t="str">
        <f t="shared" si="37"/>
        <v>America</v>
      </c>
    </row>
    <row r="1185" spans="1:10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  <c r="I1185" t="str">
        <f t="shared" si="36"/>
        <v>Africa</v>
      </c>
      <c r="J1185" t="str">
        <f t="shared" si="37"/>
        <v>America</v>
      </c>
    </row>
    <row r="1186" spans="1:10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  <c r="I1186" t="str">
        <f t="shared" si="36"/>
        <v>Africa</v>
      </c>
      <c r="J1186" t="str">
        <f t="shared" si="37"/>
        <v>America</v>
      </c>
    </row>
    <row r="1187" spans="1:10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  <c r="I1187" t="str">
        <f t="shared" si="36"/>
        <v>America</v>
      </c>
      <c r="J1187" t="str">
        <f t="shared" si="37"/>
        <v>Asia-Pacific</v>
      </c>
    </row>
    <row r="1188" spans="1:10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  <c r="I1188" t="str">
        <f t="shared" si="36"/>
        <v>NULL</v>
      </c>
      <c r="J1188" t="str">
        <f t="shared" si="37"/>
        <v>America</v>
      </c>
    </row>
    <row r="1189" spans="1:10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  <c r="I1189" t="str">
        <f t="shared" si="36"/>
        <v>Africa</v>
      </c>
      <c r="J1189" t="str">
        <f t="shared" si="37"/>
        <v>America</v>
      </c>
    </row>
    <row r="1190" spans="1:10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  <c r="I1190" t="str">
        <f t="shared" si="36"/>
        <v>America</v>
      </c>
      <c r="J1190" t="str">
        <f t="shared" si="37"/>
        <v>America</v>
      </c>
    </row>
    <row r="1191" spans="1:10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  <c r="I1191" t="str">
        <f t="shared" si="36"/>
        <v>Africa</v>
      </c>
      <c r="J1191" t="str">
        <f t="shared" si="37"/>
        <v>Asia-Pacific</v>
      </c>
    </row>
    <row r="1192" spans="1:10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  <c r="I1192" t="str">
        <f t="shared" si="36"/>
        <v>America</v>
      </c>
      <c r="J1192" t="str">
        <f t="shared" si="37"/>
        <v>Asia-Pacific</v>
      </c>
    </row>
    <row r="1193" spans="1:10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  <c r="I1193" t="str">
        <f t="shared" si="36"/>
        <v>NULL</v>
      </c>
      <c r="J1193" t="str">
        <f t="shared" si="37"/>
        <v>America</v>
      </c>
    </row>
    <row r="1194" spans="1:10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  <c r="I1194" t="str">
        <f t="shared" si="36"/>
        <v>America</v>
      </c>
      <c r="J1194" t="str">
        <f t="shared" si="37"/>
        <v>America</v>
      </c>
    </row>
    <row r="1195" spans="1:10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  <c r="I1195" t="str">
        <f t="shared" si="36"/>
        <v>America</v>
      </c>
      <c r="J1195" t="str">
        <f t="shared" si="37"/>
        <v>America</v>
      </c>
    </row>
    <row r="1196" spans="1:10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  <c r="I1196" t="str">
        <f t="shared" si="36"/>
        <v>Africa</v>
      </c>
      <c r="J1196" t="str">
        <f t="shared" si="37"/>
        <v>America</v>
      </c>
    </row>
    <row r="1197" spans="1:10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  <c r="I1197" t="str">
        <f t="shared" si="36"/>
        <v>Africa</v>
      </c>
      <c r="J1197" t="str">
        <f t="shared" si="37"/>
        <v>America</v>
      </c>
    </row>
    <row r="1198" spans="1:10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  <c r="I1198" t="str">
        <f t="shared" si="36"/>
        <v>America</v>
      </c>
      <c r="J1198" t="str">
        <f t="shared" si="37"/>
        <v>Asia-Pacific</v>
      </c>
    </row>
    <row r="1199" spans="1:10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  <c r="I1199" t="str">
        <f t="shared" si="36"/>
        <v>Africa</v>
      </c>
      <c r="J1199" t="str">
        <f t="shared" si="37"/>
        <v>America</v>
      </c>
    </row>
    <row r="1200" spans="1:10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  <c r="I1200" t="str">
        <f t="shared" si="36"/>
        <v>Africa</v>
      </c>
      <c r="J1200" t="str">
        <f t="shared" si="37"/>
        <v>Asia-Pacific</v>
      </c>
    </row>
    <row r="1201" spans="1:10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  <c r="I1201" t="str">
        <f t="shared" si="36"/>
        <v>Asia-Pacific</v>
      </c>
      <c r="J1201" t="str">
        <f t="shared" si="37"/>
        <v>Asia-Pacific</v>
      </c>
    </row>
    <row r="1202" spans="1:10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  <c r="I1202" t="str">
        <f t="shared" si="36"/>
        <v>Africa</v>
      </c>
      <c r="J1202" t="str">
        <f t="shared" si="37"/>
        <v>America</v>
      </c>
    </row>
    <row r="1203" spans="1:10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  <c r="I1203" t="str">
        <f t="shared" si="36"/>
        <v>Africa</v>
      </c>
      <c r="J1203" t="str">
        <f t="shared" si="37"/>
        <v>America</v>
      </c>
    </row>
    <row r="1204" spans="1:10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  <c r="I1204" t="str">
        <f t="shared" si="36"/>
        <v>America</v>
      </c>
      <c r="J1204" t="str">
        <f t="shared" si="37"/>
        <v>America</v>
      </c>
    </row>
    <row r="1205" spans="1:10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  <c r="I1205" t="str">
        <f t="shared" si="36"/>
        <v>Africa</v>
      </c>
      <c r="J1205" t="str">
        <f t="shared" si="37"/>
        <v>America</v>
      </c>
    </row>
    <row r="1206" spans="1:10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  <c r="I1206" t="str">
        <f t="shared" si="36"/>
        <v>America</v>
      </c>
      <c r="J1206" t="str">
        <f t="shared" si="37"/>
        <v>America</v>
      </c>
    </row>
    <row r="1207" spans="1:10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  <c r="I1207" t="str">
        <f t="shared" si="36"/>
        <v>Africa</v>
      </c>
      <c r="J1207" t="str">
        <f t="shared" si="37"/>
        <v>America</v>
      </c>
    </row>
    <row r="1208" spans="1:10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  <c r="I1208" t="str">
        <f t="shared" si="36"/>
        <v>Africa</v>
      </c>
      <c r="J1208" t="str">
        <f t="shared" si="37"/>
        <v>America</v>
      </c>
    </row>
    <row r="1209" spans="1:10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  <c r="I1209" t="str">
        <f t="shared" si="36"/>
        <v>Africa</v>
      </c>
      <c r="J1209" t="str">
        <f t="shared" si="37"/>
        <v>America</v>
      </c>
    </row>
    <row r="1210" spans="1:10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  <c r="I1210" t="str">
        <f t="shared" si="36"/>
        <v>Africa</v>
      </c>
      <c r="J1210" t="str">
        <f t="shared" si="37"/>
        <v>America</v>
      </c>
    </row>
    <row r="1211" spans="1:10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  <c r="I1211" t="str">
        <f t="shared" si="36"/>
        <v>Africa</v>
      </c>
      <c r="J1211" t="str">
        <f t="shared" si="37"/>
        <v>America</v>
      </c>
    </row>
    <row r="1212" spans="1:10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  <c r="I1212" t="str">
        <f t="shared" si="36"/>
        <v>Africa</v>
      </c>
      <c r="J1212" t="str">
        <f t="shared" si="37"/>
        <v>America</v>
      </c>
    </row>
    <row r="1213" spans="1:10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  <c r="I1213" t="str">
        <f t="shared" si="36"/>
        <v>Africa</v>
      </c>
      <c r="J1213" t="str">
        <f t="shared" si="37"/>
        <v>Asia-Pacific</v>
      </c>
    </row>
    <row r="1214" spans="1:10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  <c r="I1214" t="str">
        <f t="shared" si="36"/>
        <v>Africa</v>
      </c>
      <c r="J1214" t="str">
        <f t="shared" si="37"/>
        <v>Asia-Pacific</v>
      </c>
    </row>
    <row r="1215" spans="1:10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  <c r="I1215" t="str">
        <f t="shared" si="36"/>
        <v>Africa</v>
      </c>
      <c r="J1215" t="str">
        <f t="shared" si="37"/>
        <v>America</v>
      </c>
    </row>
    <row r="1216" spans="1:10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  <c r="I1216" t="str">
        <f t="shared" si="36"/>
        <v>America</v>
      </c>
      <c r="J1216" t="str">
        <f t="shared" si="37"/>
        <v>America</v>
      </c>
    </row>
    <row r="1217" spans="1:10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  <c r="I1217" t="str">
        <f t="shared" si="36"/>
        <v>Africa</v>
      </c>
      <c r="J1217" t="str">
        <f t="shared" si="37"/>
        <v>America</v>
      </c>
    </row>
    <row r="1218" spans="1:10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  <c r="I1218" t="str">
        <f t="shared" si="36"/>
        <v>Africa</v>
      </c>
      <c r="J1218" t="str">
        <f t="shared" si="37"/>
        <v>America</v>
      </c>
    </row>
    <row r="1219" spans="1:10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  <c r="I1219" t="str">
        <f t="shared" ref="I1219:I1282" si="38">_xlfn.XLOOKUP(H1219, $M$2:$M$50, $N$2:$N$50, "Other")</f>
        <v>Africa</v>
      </c>
      <c r="J1219" t="str">
        <f t="shared" ref="J1219:J1282" si="39">_xlfn.XLOOKUP(G1219, $M$2:$M$50, $N$2:$N$50, "Other")</f>
        <v>America</v>
      </c>
    </row>
    <row r="1220" spans="1:10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  <c r="I1220" t="str">
        <f t="shared" si="38"/>
        <v>Africa</v>
      </c>
      <c r="J1220" t="str">
        <f t="shared" si="39"/>
        <v>America</v>
      </c>
    </row>
    <row r="1221" spans="1:10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  <c r="I1221" t="str">
        <f t="shared" si="38"/>
        <v>America</v>
      </c>
      <c r="J1221" t="str">
        <f t="shared" si="39"/>
        <v>America</v>
      </c>
    </row>
    <row r="1222" spans="1:10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  <c r="I1222" t="str">
        <f t="shared" si="38"/>
        <v>Africa</v>
      </c>
      <c r="J1222" t="str">
        <f t="shared" si="39"/>
        <v>America</v>
      </c>
    </row>
    <row r="1223" spans="1:10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  <c r="I1223" t="str">
        <f t="shared" si="38"/>
        <v>America</v>
      </c>
      <c r="J1223" t="str">
        <f t="shared" si="39"/>
        <v>America</v>
      </c>
    </row>
    <row r="1224" spans="1:10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  <c r="I1224" t="str">
        <f t="shared" si="38"/>
        <v>America</v>
      </c>
      <c r="J1224" t="str">
        <f t="shared" si="39"/>
        <v>America</v>
      </c>
    </row>
    <row r="1225" spans="1:10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  <c r="I1225" t="str">
        <f t="shared" si="38"/>
        <v>Africa</v>
      </c>
      <c r="J1225" t="str">
        <f t="shared" si="39"/>
        <v>America</v>
      </c>
    </row>
    <row r="1226" spans="1:10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  <c r="I1226" t="str">
        <f t="shared" si="38"/>
        <v>NULL</v>
      </c>
      <c r="J1226" t="str">
        <f t="shared" si="39"/>
        <v>America</v>
      </c>
    </row>
    <row r="1227" spans="1:10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  <c r="I1227" t="str">
        <f t="shared" si="38"/>
        <v>America</v>
      </c>
      <c r="J1227" t="str">
        <f t="shared" si="39"/>
        <v>America</v>
      </c>
    </row>
    <row r="1228" spans="1:10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  <c r="I1228" t="str">
        <f t="shared" si="38"/>
        <v>America</v>
      </c>
      <c r="J1228" t="str">
        <f t="shared" si="39"/>
        <v>America</v>
      </c>
    </row>
    <row r="1229" spans="1:10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  <c r="I1229" t="str">
        <f t="shared" si="38"/>
        <v>Africa</v>
      </c>
      <c r="J1229" t="str">
        <f t="shared" si="39"/>
        <v>Asia-Pacific</v>
      </c>
    </row>
    <row r="1230" spans="1:10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  <c r="I1230" t="str">
        <f t="shared" si="38"/>
        <v>Africa</v>
      </c>
      <c r="J1230" t="str">
        <f t="shared" si="39"/>
        <v>Asia-Pacific</v>
      </c>
    </row>
    <row r="1231" spans="1:10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  <c r="I1231" t="str">
        <f t="shared" si="38"/>
        <v>America</v>
      </c>
      <c r="J1231" t="str">
        <f t="shared" si="39"/>
        <v>Asia-Pacific</v>
      </c>
    </row>
    <row r="1232" spans="1:10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  <c r="I1232" t="str">
        <f t="shared" si="38"/>
        <v>Africa</v>
      </c>
      <c r="J1232" t="str">
        <f t="shared" si="39"/>
        <v>America</v>
      </c>
    </row>
    <row r="1233" spans="1:10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  <c r="I1233" t="str">
        <f t="shared" si="38"/>
        <v>Africa</v>
      </c>
      <c r="J1233" t="str">
        <f t="shared" si="39"/>
        <v>America</v>
      </c>
    </row>
    <row r="1234" spans="1:10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  <c r="I1234" t="str">
        <f t="shared" si="38"/>
        <v>America</v>
      </c>
      <c r="J1234" t="str">
        <f t="shared" si="39"/>
        <v>America</v>
      </c>
    </row>
    <row r="1235" spans="1:10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  <c r="I1235" t="str">
        <f t="shared" si="38"/>
        <v>Africa</v>
      </c>
      <c r="J1235" t="str">
        <f t="shared" si="39"/>
        <v>America</v>
      </c>
    </row>
    <row r="1236" spans="1:10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  <c r="I1236" t="str">
        <f t="shared" si="38"/>
        <v>America</v>
      </c>
      <c r="J1236" t="str">
        <f t="shared" si="39"/>
        <v>America</v>
      </c>
    </row>
    <row r="1237" spans="1:10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  <c r="I1237" t="str">
        <f t="shared" si="38"/>
        <v>America</v>
      </c>
      <c r="J1237" t="str">
        <f t="shared" si="39"/>
        <v>America</v>
      </c>
    </row>
    <row r="1238" spans="1:10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  <c r="I1238" t="str">
        <f t="shared" si="38"/>
        <v>Africa</v>
      </c>
      <c r="J1238" t="str">
        <f t="shared" si="39"/>
        <v>Asia-Pacific</v>
      </c>
    </row>
    <row r="1239" spans="1:10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  <c r="I1239" t="str">
        <f t="shared" si="38"/>
        <v>Asia-Pacific</v>
      </c>
      <c r="J1239" t="str">
        <f t="shared" si="39"/>
        <v>Asia-Pacific</v>
      </c>
    </row>
    <row r="1240" spans="1:10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  <c r="I1240" t="str">
        <f t="shared" si="38"/>
        <v>Africa</v>
      </c>
      <c r="J1240" t="str">
        <f t="shared" si="39"/>
        <v>America</v>
      </c>
    </row>
    <row r="1241" spans="1:10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  <c r="I1241" t="str">
        <f t="shared" si="38"/>
        <v>America</v>
      </c>
      <c r="J1241" t="str">
        <f t="shared" si="39"/>
        <v>Asia-Pacific</v>
      </c>
    </row>
    <row r="1242" spans="1:10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  <c r="I1242" t="str">
        <f t="shared" si="38"/>
        <v>America</v>
      </c>
      <c r="J1242" t="str">
        <f t="shared" si="39"/>
        <v>America</v>
      </c>
    </row>
    <row r="1243" spans="1:10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  <c r="I1243" t="str">
        <f t="shared" si="38"/>
        <v>Africa</v>
      </c>
      <c r="J1243" t="str">
        <f t="shared" si="39"/>
        <v>America</v>
      </c>
    </row>
    <row r="1244" spans="1:10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  <c r="I1244" t="str">
        <f t="shared" si="38"/>
        <v>America</v>
      </c>
      <c r="J1244" t="str">
        <f t="shared" si="39"/>
        <v>America</v>
      </c>
    </row>
    <row r="1245" spans="1:10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  <c r="I1245" t="str">
        <f t="shared" si="38"/>
        <v>Africa</v>
      </c>
      <c r="J1245" t="str">
        <f t="shared" si="39"/>
        <v>America</v>
      </c>
    </row>
    <row r="1246" spans="1:10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  <c r="I1246" t="str">
        <f t="shared" si="38"/>
        <v>Asia-Pacific</v>
      </c>
      <c r="J1246" t="str">
        <f t="shared" si="39"/>
        <v>America</v>
      </c>
    </row>
    <row r="1247" spans="1:10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  <c r="I1247" t="str">
        <f t="shared" si="38"/>
        <v>America</v>
      </c>
      <c r="J1247" t="str">
        <f t="shared" si="39"/>
        <v>America</v>
      </c>
    </row>
    <row r="1248" spans="1:10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  <c r="I1248" t="str">
        <f t="shared" si="38"/>
        <v>Africa</v>
      </c>
      <c r="J1248" t="str">
        <f t="shared" si="39"/>
        <v>America</v>
      </c>
    </row>
    <row r="1249" spans="1:10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  <c r="I1249" t="str">
        <f t="shared" si="38"/>
        <v>America</v>
      </c>
      <c r="J1249" t="str">
        <f t="shared" si="39"/>
        <v>America</v>
      </c>
    </row>
    <row r="1250" spans="1:10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  <c r="I1250" t="str">
        <f t="shared" si="38"/>
        <v>Asia-Pacific</v>
      </c>
      <c r="J1250" t="str">
        <f t="shared" si="39"/>
        <v>America</v>
      </c>
    </row>
    <row r="1251" spans="1:10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  <c r="I1251" t="str">
        <f t="shared" si="38"/>
        <v>Asia-Pacific</v>
      </c>
      <c r="J1251" t="str">
        <f t="shared" si="39"/>
        <v>Asia-Pacific</v>
      </c>
    </row>
    <row r="1252" spans="1:10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  <c r="I1252" t="str">
        <f t="shared" si="38"/>
        <v>Africa</v>
      </c>
      <c r="J1252" t="str">
        <f t="shared" si="39"/>
        <v>America</v>
      </c>
    </row>
    <row r="1253" spans="1:10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  <c r="I1253" t="str">
        <f t="shared" si="38"/>
        <v>America</v>
      </c>
      <c r="J1253" t="str">
        <f t="shared" si="39"/>
        <v>America</v>
      </c>
    </row>
    <row r="1254" spans="1:10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  <c r="I1254" t="str">
        <f t="shared" si="38"/>
        <v>America</v>
      </c>
      <c r="J1254" t="str">
        <f t="shared" si="39"/>
        <v>America</v>
      </c>
    </row>
    <row r="1255" spans="1:10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  <c r="I1255" t="str">
        <f t="shared" si="38"/>
        <v>Africa</v>
      </c>
      <c r="J1255" t="str">
        <f t="shared" si="39"/>
        <v>America</v>
      </c>
    </row>
    <row r="1256" spans="1:10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  <c r="I1256" t="str">
        <f t="shared" si="38"/>
        <v>Asia-Pacific</v>
      </c>
      <c r="J1256" t="str">
        <f t="shared" si="39"/>
        <v>America</v>
      </c>
    </row>
    <row r="1257" spans="1:10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  <c r="I1257" t="str">
        <f t="shared" si="38"/>
        <v>Africa</v>
      </c>
      <c r="J1257" t="str">
        <f t="shared" si="39"/>
        <v>Asia-Pacific</v>
      </c>
    </row>
    <row r="1258" spans="1:10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  <c r="I1258" t="str">
        <f t="shared" si="38"/>
        <v>America</v>
      </c>
      <c r="J1258" t="str">
        <f t="shared" si="39"/>
        <v>America</v>
      </c>
    </row>
    <row r="1259" spans="1:10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  <c r="I1259" t="str">
        <f t="shared" si="38"/>
        <v>Africa</v>
      </c>
      <c r="J1259" t="str">
        <f t="shared" si="39"/>
        <v>America</v>
      </c>
    </row>
    <row r="1260" spans="1:10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  <c r="I1260" t="str">
        <f t="shared" si="38"/>
        <v>Africa</v>
      </c>
      <c r="J1260" t="str">
        <f t="shared" si="39"/>
        <v>America</v>
      </c>
    </row>
    <row r="1261" spans="1:10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  <c r="I1261" t="str">
        <f t="shared" si="38"/>
        <v>Africa</v>
      </c>
      <c r="J1261" t="str">
        <f t="shared" si="39"/>
        <v>America</v>
      </c>
    </row>
    <row r="1262" spans="1:10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  <c r="I1262" t="str">
        <f t="shared" si="38"/>
        <v>Africa</v>
      </c>
      <c r="J1262" t="str">
        <f t="shared" si="39"/>
        <v>Asia-Pacific</v>
      </c>
    </row>
    <row r="1263" spans="1:10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  <c r="I1263" t="str">
        <f t="shared" si="38"/>
        <v>America</v>
      </c>
      <c r="J1263" t="str">
        <f t="shared" si="39"/>
        <v>America</v>
      </c>
    </row>
    <row r="1264" spans="1:10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  <c r="I1264" t="str">
        <f t="shared" si="38"/>
        <v>America</v>
      </c>
      <c r="J1264" t="str">
        <f t="shared" si="39"/>
        <v>America</v>
      </c>
    </row>
    <row r="1265" spans="1:10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  <c r="I1265" t="str">
        <f t="shared" si="38"/>
        <v>America</v>
      </c>
      <c r="J1265" t="str">
        <f t="shared" si="39"/>
        <v>America</v>
      </c>
    </row>
    <row r="1266" spans="1:10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  <c r="I1266" t="str">
        <f t="shared" si="38"/>
        <v>America</v>
      </c>
      <c r="J1266" t="str">
        <f t="shared" si="39"/>
        <v>America</v>
      </c>
    </row>
    <row r="1267" spans="1:10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  <c r="I1267" t="str">
        <f t="shared" si="38"/>
        <v>Africa</v>
      </c>
      <c r="J1267" t="str">
        <f t="shared" si="39"/>
        <v>Asia-Pacific</v>
      </c>
    </row>
    <row r="1268" spans="1:10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  <c r="I1268" t="str">
        <f t="shared" si="38"/>
        <v>America</v>
      </c>
      <c r="J1268" t="str">
        <f t="shared" si="39"/>
        <v>America</v>
      </c>
    </row>
    <row r="1269" spans="1:10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  <c r="I1269" t="str">
        <f t="shared" si="38"/>
        <v>America</v>
      </c>
      <c r="J1269" t="str">
        <f t="shared" si="39"/>
        <v>America</v>
      </c>
    </row>
    <row r="1270" spans="1:10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  <c r="I1270" t="str">
        <f t="shared" si="38"/>
        <v>NULL</v>
      </c>
      <c r="J1270" t="str">
        <f t="shared" si="39"/>
        <v>America</v>
      </c>
    </row>
    <row r="1271" spans="1:10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  <c r="I1271" t="str">
        <f t="shared" si="38"/>
        <v>Africa</v>
      </c>
      <c r="J1271" t="str">
        <f t="shared" si="39"/>
        <v>America</v>
      </c>
    </row>
    <row r="1272" spans="1:10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  <c r="I1272" t="str">
        <f t="shared" si="38"/>
        <v>America</v>
      </c>
      <c r="J1272" t="str">
        <f t="shared" si="39"/>
        <v>America</v>
      </c>
    </row>
    <row r="1273" spans="1:10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  <c r="I1273" t="str">
        <f t="shared" si="38"/>
        <v>Africa</v>
      </c>
      <c r="J1273" t="str">
        <f t="shared" si="39"/>
        <v>Asia-Pacific</v>
      </c>
    </row>
    <row r="1274" spans="1:10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  <c r="I1274" t="str">
        <f t="shared" si="38"/>
        <v>Africa</v>
      </c>
      <c r="J1274" t="str">
        <f t="shared" si="39"/>
        <v>America</v>
      </c>
    </row>
    <row r="1275" spans="1:10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  <c r="I1275" t="str">
        <f t="shared" si="38"/>
        <v>Africa</v>
      </c>
      <c r="J1275" t="str">
        <f t="shared" si="39"/>
        <v>America</v>
      </c>
    </row>
    <row r="1276" spans="1:10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  <c r="I1276" t="str">
        <f t="shared" si="38"/>
        <v>America</v>
      </c>
      <c r="J1276" t="str">
        <f t="shared" si="39"/>
        <v>America</v>
      </c>
    </row>
    <row r="1277" spans="1:10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  <c r="I1277" t="str">
        <f t="shared" si="38"/>
        <v>America</v>
      </c>
      <c r="J1277" t="str">
        <f t="shared" si="39"/>
        <v>America</v>
      </c>
    </row>
    <row r="1278" spans="1:10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  <c r="I1278" t="str">
        <f t="shared" si="38"/>
        <v>America</v>
      </c>
      <c r="J1278" t="str">
        <f t="shared" si="39"/>
        <v>America</v>
      </c>
    </row>
    <row r="1279" spans="1:10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  <c r="I1279" t="str">
        <f t="shared" si="38"/>
        <v>Africa</v>
      </c>
      <c r="J1279" t="str">
        <f t="shared" si="39"/>
        <v>Asia-Pacific</v>
      </c>
    </row>
    <row r="1280" spans="1:10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  <c r="I1280" t="str">
        <f t="shared" si="38"/>
        <v>America</v>
      </c>
      <c r="J1280" t="str">
        <f t="shared" si="39"/>
        <v>America</v>
      </c>
    </row>
    <row r="1281" spans="1:10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  <c r="I1281" t="str">
        <f t="shared" si="38"/>
        <v>America</v>
      </c>
      <c r="J1281" t="str">
        <f t="shared" si="39"/>
        <v>America</v>
      </c>
    </row>
    <row r="1282" spans="1:10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  <c r="I1282" t="str">
        <f t="shared" si="38"/>
        <v>America</v>
      </c>
      <c r="J1282" t="str">
        <f t="shared" si="39"/>
        <v>Asia-Pacific</v>
      </c>
    </row>
    <row r="1283" spans="1:10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  <c r="I1283" t="str">
        <f t="shared" ref="I1283:I1346" si="40">_xlfn.XLOOKUP(H1283, $M$2:$M$50, $N$2:$N$50, "Other")</f>
        <v>Africa</v>
      </c>
      <c r="J1283" t="str">
        <f t="shared" ref="J1283:J1346" si="41">_xlfn.XLOOKUP(G1283, $M$2:$M$50, $N$2:$N$50, "Other")</f>
        <v>America</v>
      </c>
    </row>
    <row r="1284" spans="1:10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  <c r="I1284" t="str">
        <f t="shared" si="40"/>
        <v>Africa</v>
      </c>
      <c r="J1284" t="str">
        <f t="shared" si="41"/>
        <v>America</v>
      </c>
    </row>
    <row r="1285" spans="1:10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  <c r="I1285" t="str">
        <f t="shared" si="40"/>
        <v>Africa</v>
      </c>
      <c r="J1285" t="str">
        <f t="shared" si="41"/>
        <v>America</v>
      </c>
    </row>
    <row r="1286" spans="1:10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  <c r="I1286" t="str">
        <f t="shared" si="40"/>
        <v>Africa</v>
      </c>
      <c r="J1286" t="str">
        <f t="shared" si="41"/>
        <v>Asia-Pacific</v>
      </c>
    </row>
    <row r="1287" spans="1:10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  <c r="I1287" t="str">
        <f t="shared" si="40"/>
        <v>Africa</v>
      </c>
      <c r="J1287" t="str">
        <f t="shared" si="41"/>
        <v>Asia-Pacific</v>
      </c>
    </row>
    <row r="1288" spans="1:10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  <c r="I1288" t="str">
        <f t="shared" si="40"/>
        <v>America</v>
      </c>
      <c r="J1288" t="str">
        <f t="shared" si="41"/>
        <v>Asia-Pacific</v>
      </c>
    </row>
    <row r="1289" spans="1:10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  <c r="I1289" t="str">
        <f t="shared" si="40"/>
        <v>America</v>
      </c>
      <c r="J1289" t="str">
        <f t="shared" si="41"/>
        <v>America</v>
      </c>
    </row>
    <row r="1290" spans="1:10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  <c r="I1290" t="str">
        <f t="shared" si="40"/>
        <v>America</v>
      </c>
      <c r="J1290" t="str">
        <f t="shared" si="41"/>
        <v>Asia-Pacific</v>
      </c>
    </row>
    <row r="1291" spans="1:10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  <c r="I1291" t="str">
        <f t="shared" si="40"/>
        <v>America</v>
      </c>
      <c r="J1291" t="str">
        <f t="shared" si="41"/>
        <v>America</v>
      </c>
    </row>
    <row r="1292" spans="1:10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  <c r="I1292" t="str">
        <f t="shared" si="40"/>
        <v>Africa</v>
      </c>
      <c r="J1292" t="str">
        <f t="shared" si="41"/>
        <v>America</v>
      </c>
    </row>
    <row r="1293" spans="1:10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  <c r="I1293" t="str">
        <f t="shared" si="40"/>
        <v>NULL</v>
      </c>
      <c r="J1293" t="str">
        <f t="shared" si="41"/>
        <v>America</v>
      </c>
    </row>
    <row r="1294" spans="1:10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  <c r="I1294" t="str">
        <f t="shared" si="40"/>
        <v>Africa</v>
      </c>
      <c r="J1294" t="str">
        <f t="shared" si="41"/>
        <v>Asia-Pacific</v>
      </c>
    </row>
    <row r="1295" spans="1:10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  <c r="I1295" t="str">
        <f t="shared" si="40"/>
        <v>Africa</v>
      </c>
      <c r="J1295" t="str">
        <f t="shared" si="41"/>
        <v>Asia-Pacific</v>
      </c>
    </row>
    <row r="1296" spans="1:10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  <c r="I1296" t="str">
        <f t="shared" si="40"/>
        <v>America</v>
      </c>
      <c r="J1296" t="str">
        <f t="shared" si="41"/>
        <v>America</v>
      </c>
    </row>
    <row r="1297" spans="1:10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  <c r="I1297" t="str">
        <f t="shared" si="40"/>
        <v>America</v>
      </c>
      <c r="J1297" t="str">
        <f t="shared" si="41"/>
        <v>America</v>
      </c>
    </row>
    <row r="1298" spans="1:10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  <c r="I1298" t="str">
        <f t="shared" si="40"/>
        <v>Africa</v>
      </c>
      <c r="J1298" t="str">
        <f t="shared" si="41"/>
        <v>America</v>
      </c>
    </row>
    <row r="1299" spans="1:10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  <c r="I1299" t="str">
        <f t="shared" si="40"/>
        <v>Africa</v>
      </c>
      <c r="J1299" t="str">
        <f t="shared" si="41"/>
        <v>Asia-Pacific</v>
      </c>
    </row>
    <row r="1300" spans="1:10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  <c r="I1300" t="str">
        <f t="shared" si="40"/>
        <v>Asia-Pacific</v>
      </c>
      <c r="J1300" t="str">
        <f t="shared" si="41"/>
        <v>Asia-Pacific</v>
      </c>
    </row>
    <row r="1301" spans="1:10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  <c r="I1301" t="str">
        <f t="shared" si="40"/>
        <v>Asia-Pacific</v>
      </c>
      <c r="J1301" t="str">
        <f t="shared" si="41"/>
        <v>Asia-Pacific</v>
      </c>
    </row>
    <row r="1302" spans="1:10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  <c r="I1302" t="str">
        <f t="shared" si="40"/>
        <v>Africa</v>
      </c>
      <c r="J1302" t="str">
        <f t="shared" si="41"/>
        <v>Asia-Pacific</v>
      </c>
    </row>
    <row r="1303" spans="1:10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  <c r="I1303" t="str">
        <f t="shared" si="40"/>
        <v>America</v>
      </c>
      <c r="J1303" t="str">
        <f t="shared" si="41"/>
        <v>America</v>
      </c>
    </row>
    <row r="1304" spans="1:10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  <c r="I1304" t="str">
        <f t="shared" si="40"/>
        <v>Africa</v>
      </c>
      <c r="J1304" t="str">
        <f t="shared" si="41"/>
        <v>Asia-Pacific</v>
      </c>
    </row>
    <row r="1305" spans="1:10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  <c r="I1305" t="str">
        <f t="shared" si="40"/>
        <v>Asia-Pacific</v>
      </c>
      <c r="J1305" t="str">
        <f t="shared" si="41"/>
        <v>Asia-Pacific</v>
      </c>
    </row>
    <row r="1306" spans="1:10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  <c r="I1306" t="str">
        <f t="shared" si="40"/>
        <v>America</v>
      </c>
      <c r="J1306" t="str">
        <f t="shared" si="41"/>
        <v>America</v>
      </c>
    </row>
    <row r="1307" spans="1:10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  <c r="I1307" t="str">
        <f t="shared" si="40"/>
        <v>Africa</v>
      </c>
      <c r="J1307" t="str">
        <f t="shared" si="41"/>
        <v>Asia-Pacific</v>
      </c>
    </row>
    <row r="1308" spans="1:10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  <c r="I1308" t="str">
        <f t="shared" si="40"/>
        <v>Africa</v>
      </c>
      <c r="J1308" t="str">
        <f t="shared" si="41"/>
        <v>Asia-Pacific</v>
      </c>
    </row>
    <row r="1309" spans="1:10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  <c r="I1309" t="str">
        <f t="shared" si="40"/>
        <v>Africa</v>
      </c>
      <c r="J1309" t="str">
        <f t="shared" si="41"/>
        <v>Asia-Pacific</v>
      </c>
    </row>
    <row r="1310" spans="1:10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  <c r="I1310" t="str">
        <f t="shared" si="40"/>
        <v>Africa</v>
      </c>
      <c r="J1310" t="str">
        <f t="shared" si="41"/>
        <v>America</v>
      </c>
    </row>
    <row r="1311" spans="1:10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  <c r="I1311" t="str">
        <f t="shared" si="40"/>
        <v>America</v>
      </c>
      <c r="J1311" t="str">
        <f t="shared" si="41"/>
        <v>America</v>
      </c>
    </row>
    <row r="1312" spans="1:10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  <c r="I1312" t="str">
        <f t="shared" si="40"/>
        <v>Africa</v>
      </c>
      <c r="J1312" t="str">
        <f t="shared" si="41"/>
        <v>Asia-Pacific</v>
      </c>
    </row>
    <row r="1313" spans="1:10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  <c r="I1313" t="str">
        <f t="shared" si="40"/>
        <v>America</v>
      </c>
      <c r="J1313" t="str">
        <f t="shared" si="41"/>
        <v>America</v>
      </c>
    </row>
    <row r="1314" spans="1:10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  <c r="I1314" t="str">
        <f t="shared" si="40"/>
        <v>Africa</v>
      </c>
      <c r="J1314" t="str">
        <f t="shared" si="41"/>
        <v>Asia-Pacific</v>
      </c>
    </row>
    <row r="1315" spans="1:10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  <c r="I1315" t="str">
        <f t="shared" si="40"/>
        <v>Asia-Pacific</v>
      </c>
      <c r="J1315" t="str">
        <f t="shared" si="41"/>
        <v>America</v>
      </c>
    </row>
    <row r="1316" spans="1:10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  <c r="I1316" t="str">
        <f t="shared" si="40"/>
        <v>Africa</v>
      </c>
      <c r="J1316" t="str">
        <f t="shared" si="41"/>
        <v>America</v>
      </c>
    </row>
    <row r="1317" spans="1:10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  <c r="I1317" t="str">
        <f t="shared" si="40"/>
        <v>Africa</v>
      </c>
      <c r="J1317" t="str">
        <f t="shared" si="41"/>
        <v>Asia-Pacific</v>
      </c>
    </row>
    <row r="1318" spans="1:10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  <c r="I1318" t="str">
        <f t="shared" si="40"/>
        <v>America</v>
      </c>
      <c r="J1318" t="str">
        <f t="shared" si="41"/>
        <v>Asia-Pacific</v>
      </c>
    </row>
    <row r="1319" spans="1:10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  <c r="I1319" t="str">
        <f t="shared" si="40"/>
        <v>America</v>
      </c>
      <c r="J1319" t="str">
        <f t="shared" si="41"/>
        <v>America</v>
      </c>
    </row>
    <row r="1320" spans="1:10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  <c r="I1320" t="str">
        <f t="shared" si="40"/>
        <v>America</v>
      </c>
      <c r="J1320" t="str">
        <f t="shared" si="41"/>
        <v>America</v>
      </c>
    </row>
    <row r="1321" spans="1:10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  <c r="I1321" t="str">
        <f t="shared" si="40"/>
        <v>America</v>
      </c>
      <c r="J1321" t="str">
        <f t="shared" si="41"/>
        <v>America</v>
      </c>
    </row>
    <row r="1322" spans="1:10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  <c r="I1322" t="str">
        <f t="shared" si="40"/>
        <v>Africa</v>
      </c>
      <c r="J1322" t="str">
        <f t="shared" si="41"/>
        <v>Asia-Pacific</v>
      </c>
    </row>
    <row r="1323" spans="1:10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  <c r="I1323" t="str">
        <f t="shared" si="40"/>
        <v>America</v>
      </c>
      <c r="J1323" t="str">
        <f t="shared" si="41"/>
        <v>Asia-Pacific</v>
      </c>
    </row>
    <row r="1324" spans="1:10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  <c r="I1324" t="str">
        <f t="shared" si="40"/>
        <v>Africa</v>
      </c>
      <c r="J1324" t="str">
        <f t="shared" si="41"/>
        <v>America</v>
      </c>
    </row>
    <row r="1325" spans="1:10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  <c r="I1325" t="str">
        <f t="shared" si="40"/>
        <v>Africa</v>
      </c>
      <c r="J1325" t="str">
        <f t="shared" si="41"/>
        <v>America</v>
      </c>
    </row>
    <row r="1326" spans="1:10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  <c r="I1326" t="str">
        <f t="shared" si="40"/>
        <v>Africa</v>
      </c>
      <c r="J1326" t="str">
        <f t="shared" si="41"/>
        <v>America</v>
      </c>
    </row>
    <row r="1327" spans="1:10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  <c r="I1327" t="str">
        <f t="shared" si="40"/>
        <v>Africa</v>
      </c>
      <c r="J1327" t="str">
        <f t="shared" si="41"/>
        <v>Asia-Pacific</v>
      </c>
    </row>
    <row r="1328" spans="1:10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  <c r="I1328" t="str">
        <f t="shared" si="40"/>
        <v>Asia-Pacific</v>
      </c>
      <c r="J1328" t="str">
        <f t="shared" si="41"/>
        <v>Asia-Pacific</v>
      </c>
    </row>
    <row r="1329" spans="1:10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  <c r="I1329" t="str">
        <f t="shared" si="40"/>
        <v>Africa</v>
      </c>
      <c r="J1329" t="str">
        <f t="shared" si="41"/>
        <v>America</v>
      </c>
    </row>
    <row r="1330" spans="1:10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  <c r="I1330" t="str">
        <f t="shared" si="40"/>
        <v>America</v>
      </c>
      <c r="J1330" t="str">
        <f t="shared" si="41"/>
        <v>America</v>
      </c>
    </row>
    <row r="1331" spans="1:10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  <c r="I1331" t="str">
        <f t="shared" si="40"/>
        <v>America</v>
      </c>
      <c r="J1331" t="str">
        <f t="shared" si="41"/>
        <v>America</v>
      </c>
    </row>
    <row r="1332" spans="1:10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  <c r="I1332" t="str">
        <f t="shared" si="40"/>
        <v>America</v>
      </c>
      <c r="J1332" t="str">
        <f t="shared" si="41"/>
        <v>America</v>
      </c>
    </row>
    <row r="1333" spans="1:10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  <c r="I1333" t="str">
        <f t="shared" si="40"/>
        <v>America</v>
      </c>
      <c r="J1333" t="str">
        <f t="shared" si="41"/>
        <v>Asia-Pacific</v>
      </c>
    </row>
    <row r="1334" spans="1:10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  <c r="I1334" t="str">
        <f t="shared" si="40"/>
        <v>America</v>
      </c>
      <c r="J1334" t="str">
        <f t="shared" si="41"/>
        <v>America</v>
      </c>
    </row>
    <row r="1335" spans="1:10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  <c r="I1335" t="str">
        <f t="shared" si="40"/>
        <v>America</v>
      </c>
      <c r="J1335" t="str">
        <f t="shared" si="41"/>
        <v>America</v>
      </c>
    </row>
    <row r="1336" spans="1:10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  <c r="I1336" t="str">
        <f t="shared" si="40"/>
        <v>America</v>
      </c>
      <c r="J1336" t="str">
        <f t="shared" si="41"/>
        <v>Asia-Pacific</v>
      </c>
    </row>
    <row r="1337" spans="1:10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  <c r="I1337" t="str">
        <f t="shared" si="40"/>
        <v>Africa</v>
      </c>
      <c r="J1337" t="str">
        <f t="shared" si="41"/>
        <v>Asia-Pacific</v>
      </c>
    </row>
    <row r="1338" spans="1:10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  <c r="I1338" t="str">
        <f t="shared" si="40"/>
        <v>Africa</v>
      </c>
      <c r="J1338" t="str">
        <f t="shared" si="41"/>
        <v>America</v>
      </c>
    </row>
    <row r="1339" spans="1:10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  <c r="I1339" t="str">
        <f t="shared" si="40"/>
        <v>Africa</v>
      </c>
      <c r="J1339" t="str">
        <f t="shared" si="41"/>
        <v>America</v>
      </c>
    </row>
    <row r="1340" spans="1:10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  <c r="I1340" t="str">
        <f t="shared" si="40"/>
        <v>Africa</v>
      </c>
      <c r="J1340" t="str">
        <f t="shared" si="41"/>
        <v>America</v>
      </c>
    </row>
    <row r="1341" spans="1:10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  <c r="I1341" t="str">
        <f t="shared" si="40"/>
        <v>America</v>
      </c>
      <c r="J1341" t="str">
        <f t="shared" si="41"/>
        <v>America</v>
      </c>
    </row>
    <row r="1342" spans="1:10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  <c r="I1342" t="str">
        <f t="shared" si="40"/>
        <v>Africa</v>
      </c>
      <c r="J1342" t="str">
        <f t="shared" si="41"/>
        <v>Asia-Pacific</v>
      </c>
    </row>
    <row r="1343" spans="1:10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  <c r="I1343" t="str">
        <f t="shared" si="40"/>
        <v>Africa</v>
      </c>
      <c r="J1343" t="str">
        <f t="shared" si="41"/>
        <v>Asia-Pacific</v>
      </c>
    </row>
    <row r="1344" spans="1:10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  <c r="I1344" t="str">
        <f t="shared" si="40"/>
        <v>Africa</v>
      </c>
      <c r="J1344" t="str">
        <f t="shared" si="41"/>
        <v>Asia-Pacific</v>
      </c>
    </row>
    <row r="1345" spans="1:10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  <c r="I1345" t="str">
        <f t="shared" si="40"/>
        <v>Africa</v>
      </c>
      <c r="J1345" t="str">
        <f t="shared" si="41"/>
        <v>Asia-Pacific</v>
      </c>
    </row>
    <row r="1346" spans="1:10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  <c r="I1346" t="str">
        <f t="shared" si="40"/>
        <v>America</v>
      </c>
      <c r="J1346" t="str">
        <f t="shared" si="41"/>
        <v>Asia-Pacific</v>
      </c>
    </row>
    <row r="1347" spans="1:10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  <c r="I1347" t="str">
        <f t="shared" ref="I1347:I1410" si="42">_xlfn.XLOOKUP(H1347, $M$2:$M$50, $N$2:$N$50, "Other")</f>
        <v>Africa</v>
      </c>
      <c r="J1347" t="str">
        <f t="shared" ref="J1347:J1410" si="43">_xlfn.XLOOKUP(G1347, $M$2:$M$50, $N$2:$N$50, "Other")</f>
        <v>America</v>
      </c>
    </row>
    <row r="1348" spans="1:10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  <c r="I1348" t="str">
        <f t="shared" si="42"/>
        <v>Africa</v>
      </c>
      <c r="J1348" t="str">
        <f t="shared" si="43"/>
        <v>Asia-Pacific</v>
      </c>
    </row>
    <row r="1349" spans="1:10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  <c r="I1349" t="str">
        <f t="shared" si="42"/>
        <v>Africa</v>
      </c>
      <c r="J1349" t="str">
        <f t="shared" si="43"/>
        <v>America</v>
      </c>
    </row>
    <row r="1350" spans="1:10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  <c r="I1350" t="str">
        <f t="shared" si="42"/>
        <v>Africa</v>
      </c>
      <c r="J1350" t="str">
        <f t="shared" si="43"/>
        <v>America</v>
      </c>
    </row>
    <row r="1351" spans="1:10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  <c r="I1351" t="str">
        <f t="shared" si="42"/>
        <v>Africa</v>
      </c>
      <c r="J1351" t="str">
        <f t="shared" si="43"/>
        <v>America</v>
      </c>
    </row>
    <row r="1352" spans="1:10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  <c r="I1352" t="str">
        <f t="shared" si="42"/>
        <v>Africa</v>
      </c>
      <c r="J1352" t="str">
        <f t="shared" si="43"/>
        <v>America</v>
      </c>
    </row>
    <row r="1353" spans="1:10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  <c r="I1353" t="str">
        <f t="shared" si="42"/>
        <v>America</v>
      </c>
      <c r="J1353" t="str">
        <f t="shared" si="43"/>
        <v>America</v>
      </c>
    </row>
    <row r="1354" spans="1:10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  <c r="I1354" t="str">
        <f t="shared" si="42"/>
        <v>America</v>
      </c>
      <c r="J1354" t="str">
        <f t="shared" si="43"/>
        <v>America</v>
      </c>
    </row>
    <row r="1355" spans="1:10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  <c r="I1355" t="str">
        <f t="shared" si="42"/>
        <v>Africa</v>
      </c>
      <c r="J1355" t="str">
        <f t="shared" si="43"/>
        <v>America</v>
      </c>
    </row>
    <row r="1356" spans="1:10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  <c r="I1356" t="str">
        <f t="shared" si="42"/>
        <v>Africa</v>
      </c>
      <c r="J1356" t="str">
        <f t="shared" si="43"/>
        <v>America</v>
      </c>
    </row>
    <row r="1357" spans="1:10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  <c r="I1357" t="str">
        <f t="shared" si="42"/>
        <v>Africa</v>
      </c>
      <c r="J1357" t="str">
        <f t="shared" si="43"/>
        <v>America</v>
      </c>
    </row>
    <row r="1358" spans="1:10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  <c r="I1358" t="str">
        <f t="shared" si="42"/>
        <v>NULL</v>
      </c>
      <c r="J1358" t="str">
        <f t="shared" si="43"/>
        <v>America</v>
      </c>
    </row>
    <row r="1359" spans="1:10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  <c r="I1359" t="str">
        <f t="shared" si="42"/>
        <v>Africa</v>
      </c>
      <c r="J1359" t="str">
        <f t="shared" si="43"/>
        <v>America</v>
      </c>
    </row>
    <row r="1360" spans="1:10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  <c r="I1360" t="str">
        <f t="shared" si="42"/>
        <v>America</v>
      </c>
      <c r="J1360" t="str">
        <f t="shared" si="43"/>
        <v>America</v>
      </c>
    </row>
    <row r="1361" spans="1:10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  <c r="I1361" t="str">
        <f t="shared" si="42"/>
        <v>Africa</v>
      </c>
      <c r="J1361" t="str">
        <f t="shared" si="43"/>
        <v>Asia-Pacific</v>
      </c>
    </row>
    <row r="1362" spans="1:10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  <c r="I1362" t="str">
        <f t="shared" si="42"/>
        <v>America</v>
      </c>
      <c r="J1362" t="str">
        <f t="shared" si="43"/>
        <v>America</v>
      </c>
    </row>
    <row r="1363" spans="1:10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  <c r="I1363" t="str">
        <f t="shared" si="42"/>
        <v>America</v>
      </c>
      <c r="J1363" t="str">
        <f t="shared" si="43"/>
        <v>America</v>
      </c>
    </row>
    <row r="1364" spans="1:10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  <c r="I1364" t="str">
        <f t="shared" si="42"/>
        <v>America</v>
      </c>
      <c r="J1364" t="str">
        <f t="shared" si="43"/>
        <v>America</v>
      </c>
    </row>
    <row r="1365" spans="1:10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  <c r="I1365" t="str">
        <f t="shared" si="42"/>
        <v>Africa</v>
      </c>
      <c r="J1365" t="str">
        <f t="shared" si="43"/>
        <v>Asia-Pacific</v>
      </c>
    </row>
    <row r="1366" spans="1:10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  <c r="I1366" t="str">
        <f t="shared" si="42"/>
        <v>America</v>
      </c>
      <c r="J1366" t="str">
        <f t="shared" si="43"/>
        <v>America</v>
      </c>
    </row>
    <row r="1367" spans="1:10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  <c r="I1367" t="str">
        <f t="shared" si="42"/>
        <v>America</v>
      </c>
      <c r="J1367" t="str">
        <f t="shared" si="43"/>
        <v>America</v>
      </c>
    </row>
    <row r="1368" spans="1:10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  <c r="I1368" t="str">
        <f t="shared" si="42"/>
        <v>America</v>
      </c>
      <c r="J1368" t="str">
        <f t="shared" si="43"/>
        <v>America</v>
      </c>
    </row>
    <row r="1369" spans="1:10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  <c r="I1369" t="str">
        <f t="shared" si="42"/>
        <v>NULL</v>
      </c>
      <c r="J1369" t="str">
        <f t="shared" si="43"/>
        <v>America</v>
      </c>
    </row>
    <row r="1370" spans="1:10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  <c r="I1370" t="str">
        <f t="shared" si="42"/>
        <v>Africa</v>
      </c>
      <c r="J1370" t="str">
        <f t="shared" si="43"/>
        <v>Asia-Pacific</v>
      </c>
    </row>
    <row r="1371" spans="1:10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  <c r="I1371" t="str">
        <f t="shared" si="42"/>
        <v>America</v>
      </c>
      <c r="J1371" t="str">
        <f t="shared" si="43"/>
        <v>Asia-Pacific</v>
      </c>
    </row>
    <row r="1372" spans="1:10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  <c r="I1372" t="str">
        <f t="shared" si="42"/>
        <v>Africa</v>
      </c>
      <c r="J1372" t="str">
        <f t="shared" si="43"/>
        <v>Asia-Pacific</v>
      </c>
    </row>
    <row r="1373" spans="1:10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  <c r="I1373" t="str">
        <f t="shared" si="42"/>
        <v>Africa</v>
      </c>
      <c r="J1373" t="str">
        <f t="shared" si="43"/>
        <v>Asia-Pacific</v>
      </c>
    </row>
    <row r="1374" spans="1:10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  <c r="I1374" t="str">
        <f t="shared" si="42"/>
        <v>Africa</v>
      </c>
      <c r="J1374" t="str">
        <f t="shared" si="43"/>
        <v>America</v>
      </c>
    </row>
    <row r="1375" spans="1:10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  <c r="I1375" t="str">
        <f t="shared" si="42"/>
        <v>Africa</v>
      </c>
      <c r="J1375" t="str">
        <f t="shared" si="43"/>
        <v>Asia-Pacific</v>
      </c>
    </row>
    <row r="1376" spans="1:10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  <c r="I1376" t="str">
        <f t="shared" si="42"/>
        <v>America</v>
      </c>
      <c r="J1376" t="str">
        <f t="shared" si="43"/>
        <v>America</v>
      </c>
    </row>
    <row r="1377" spans="1:10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  <c r="I1377" t="str">
        <f t="shared" si="42"/>
        <v>Asia-Pacific</v>
      </c>
      <c r="J1377" t="str">
        <f t="shared" si="43"/>
        <v>America</v>
      </c>
    </row>
    <row r="1378" spans="1:10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  <c r="I1378" t="str">
        <f t="shared" si="42"/>
        <v>Asia-Pacific</v>
      </c>
      <c r="J1378" t="str">
        <f t="shared" si="43"/>
        <v>America</v>
      </c>
    </row>
    <row r="1379" spans="1:10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  <c r="I1379" t="str">
        <f t="shared" si="42"/>
        <v>Asia-Pacific</v>
      </c>
      <c r="J1379" t="str">
        <f t="shared" si="43"/>
        <v>America</v>
      </c>
    </row>
    <row r="1380" spans="1:10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  <c r="I1380" t="str">
        <f t="shared" si="42"/>
        <v>Africa</v>
      </c>
      <c r="J1380" t="str">
        <f t="shared" si="43"/>
        <v>Asia-Pacific</v>
      </c>
    </row>
    <row r="1381" spans="1:10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  <c r="I1381" t="str">
        <f t="shared" si="42"/>
        <v>Africa</v>
      </c>
      <c r="J1381" t="str">
        <f t="shared" si="43"/>
        <v>America</v>
      </c>
    </row>
    <row r="1382" spans="1:10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  <c r="I1382" t="str">
        <f t="shared" si="42"/>
        <v>America</v>
      </c>
      <c r="J1382" t="str">
        <f t="shared" si="43"/>
        <v>Asia-Pacific</v>
      </c>
    </row>
    <row r="1383" spans="1:10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  <c r="I1383" t="str">
        <f t="shared" si="42"/>
        <v>America</v>
      </c>
      <c r="J1383" t="str">
        <f t="shared" si="43"/>
        <v>Asia-Pacific</v>
      </c>
    </row>
    <row r="1384" spans="1:10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  <c r="I1384" t="str">
        <f t="shared" si="42"/>
        <v>Africa</v>
      </c>
      <c r="J1384" t="str">
        <f t="shared" si="43"/>
        <v>America</v>
      </c>
    </row>
    <row r="1385" spans="1:10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  <c r="I1385" t="str">
        <f t="shared" si="42"/>
        <v>Africa</v>
      </c>
      <c r="J1385" t="str">
        <f t="shared" si="43"/>
        <v>America</v>
      </c>
    </row>
    <row r="1386" spans="1:10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  <c r="I1386" t="str">
        <f t="shared" si="42"/>
        <v>Africa</v>
      </c>
      <c r="J1386" t="str">
        <f t="shared" si="43"/>
        <v>America</v>
      </c>
    </row>
    <row r="1387" spans="1:10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  <c r="I1387" t="str">
        <f t="shared" si="42"/>
        <v>Africa</v>
      </c>
      <c r="J1387" t="str">
        <f t="shared" si="43"/>
        <v>Asia-Pacific</v>
      </c>
    </row>
    <row r="1388" spans="1:10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  <c r="I1388" t="str">
        <f t="shared" si="42"/>
        <v>Africa</v>
      </c>
      <c r="J1388" t="str">
        <f t="shared" si="43"/>
        <v>America</v>
      </c>
    </row>
    <row r="1389" spans="1:10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  <c r="I1389" t="str">
        <f t="shared" si="42"/>
        <v>Africa</v>
      </c>
      <c r="J1389" t="str">
        <f t="shared" si="43"/>
        <v>America</v>
      </c>
    </row>
    <row r="1390" spans="1:10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  <c r="I1390" t="str">
        <f t="shared" si="42"/>
        <v>Africa</v>
      </c>
      <c r="J1390" t="str">
        <f t="shared" si="43"/>
        <v>America</v>
      </c>
    </row>
    <row r="1391" spans="1:10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  <c r="I1391" t="str">
        <f t="shared" si="42"/>
        <v>Africa</v>
      </c>
      <c r="J1391" t="str">
        <f t="shared" si="43"/>
        <v>America</v>
      </c>
    </row>
    <row r="1392" spans="1:10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  <c r="I1392" t="str">
        <f t="shared" si="42"/>
        <v>Asia-Pacific</v>
      </c>
      <c r="J1392" t="str">
        <f t="shared" si="43"/>
        <v>America</v>
      </c>
    </row>
    <row r="1393" spans="1:10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  <c r="I1393" t="str">
        <f t="shared" si="42"/>
        <v>Africa</v>
      </c>
      <c r="J1393" t="str">
        <f t="shared" si="43"/>
        <v>America</v>
      </c>
    </row>
    <row r="1394" spans="1:10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  <c r="I1394" t="str">
        <f t="shared" si="42"/>
        <v>Africa</v>
      </c>
      <c r="J1394" t="str">
        <f t="shared" si="43"/>
        <v>America</v>
      </c>
    </row>
    <row r="1395" spans="1:10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  <c r="I1395" t="str">
        <f t="shared" si="42"/>
        <v>Africa</v>
      </c>
      <c r="J1395" t="str">
        <f t="shared" si="43"/>
        <v>America</v>
      </c>
    </row>
    <row r="1396" spans="1:10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  <c r="I1396" t="str">
        <f t="shared" si="42"/>
        <v>Africa</v>
      </c>
      <c r="J1396" t="str">
        <f t="shared" si="43"/>
        <v>America</v>
      </c>
    </row>
    <row r="1397" spans="1:10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  <c r="I1397" t="str">
        <f t="shared" si="42"/>
        <v>America</v>
      </c>
      <c r="J1397" t="str">
        <f t="shared" si="43"/>
        <v>America</v>
      </c>
    </row>
    <row r="1398" spans="1:10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  <c r="I1398" t="str">
        <f t="shared" si="42"/>
        <v>Africa</v>
      </c>
      <c r="J1398" t="str">
        <f t="shared" si="43"/>
        <v>America</v>
      </c>
    </row>
    <row r="1399" spans="1:10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  <c r="I1399" t="str">
        <f t="shared" si="42"/>
        <v>Africa</v>
      </c>
      <c r="J1399" t="str">
        <f t="shared" si="43"/>
        <v>America</v>
      </c>
    </row>
    <row r="1400" spans="1:10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  <c r="I1400" t="str">
        <f t="shared" si="42"/>
        <v>Africa</v>
      </c>
      <c r="J1400" t="str">
        <f t="shared" si="43"/>
        <v>America</v>
      </c>
    </row>
    <row r="1401" spans="1:10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  <c r="I1401" t="str">
        <f t="shared" si="42"/>
        <v>America</v>
      </c>
      <c r="J1401" t="str">
        <f t="shared" si="43"/>
        <v>America</v>
      </c>
    </row>
    <row r="1402" spans="1:10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  <c r="I1402" t="str">
        <f t="shared" si="42"/>
        <v>Africa</v>
      </c>
      <c r="J1402" t="str">
        <f t="shared" si="43"/>
        <v>America</v>
      </c>
    </row>
    <row r="1403" spans="1:10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  <c r="I1403" t="str">
        <f t="shared" si="42"/>
        <v>America</v>
      </c>
      <c r="J1403" t="str">
        <f t="shared" si="43"/>
        <v>America</v>
      </c>
    </row>
    <row r="1404" spans="1:10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  <c r="I1404" t="str">
        <f t="shared" si="42"/>
        <v>America</v>
      </c>
      <c r="J1404" t="str">
        <f t="shared" si="43"/>
        <v>Asia-Pacific</v>
      </c>
    </row>
    <row r="1405" spans="1:10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  <c r="I1405" t="str">
        <f t="shared" si="42"/>
        <v>America</v>
      </c>
      <c r="J1405" t="str">
        <f t="shared" si="43"/>
        <v>America</v>
      </c>
    </row>
    <row r="1406" spans="1:10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  <c r="I1406" t="str">
        <f t="shared" si="42"/>
        <v>Africa</v>
      </c>
      <c r="J1406" t="str">
        <f t="shared" si="43"/>
        <v>Asia-Pacific</v>
      </c>
    </row>
    <row r="1407" spans="1:10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  <c r="I1407" t="str">
        <f t="shared" si="42"/>
        <v>Africa</v>
      </c>
      <c r="J1407" t="str">
        <f t="shared" si="43"/>
        <v>America</v>
      </c>
    </row>
    <row r="1408" spans="1:10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  <c r="I1408" t="str">
        <f t="shared" si="42"/>
        <v>Africa</v>
      </c>
      <c r="J1408" t="str">
        <f t="shared" si="43"/>
        <v>America</v>
      </c>
    </row>
    <row r="1409" spans="1:10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  <c r="I1409" t="str">
        <f t="shared" si="42"/>
        <v>Africa</v>
      </c>
      <c r="J1409" t="str">
        <f t="shared" si="43"/>
        <v>America</v>
      </c>
    </row>
    <row r="1410" spans="1:10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  <c r="I1410" t="str">
        <f t="shared" si="42"/>
        <v>Africa</v>
      </c>
      <c r="J1410" t="str">
        <f t="shared" si="43"/>
        <v>Asia-Pacific</v>
      </c>
    </row>
    <row r="1411" spans="1:10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  <c r="I1411" t="str">
        <f t="shared" ref="I1411:I1474" si="44">_xlfn.XLOOKUP(H1411, $M$2:$M$50, $N$2:$N$50, "Other")</f>
        <v>Africa</v>
      </c>
      <c r="J1411" t="str">
        <f t="shared" ref="J1411:J1474" si="45">_xlfn.XLOOKUP(G1411, $M$2:$M$50, $N$2:$N$50, "Other")</f>
        <v>Asia-Pacific</v>
      </c>
    </row>
    <row r="1412" spans="1:10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  <c r="I1412" t="str">
        <f t="shared" si="44"/>
        <v>Africa</v>
      </c>
      <c r="J1412" t="str">
        <f t="shared" si="45"/>
        <v>Asia-Pacific</v>
      </c>
    </row>
    <row r="1413" spans="1:10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  <c r="I1413" t="str">
        <f t="shared" si="44"/>
        <v>America</v>
      </c>
      <c r="J1413" t="str">
        <f t="shared" si="45"/>
        <v>America</v>
      </c>
    </row>
    <row r="1414" spans="1:10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  <c r="I1414" t="str">
        <f t="shared" si="44"/>
        <v>America</v>
      </c>
      <c r="J1414" t="str">
        <f t="shared" si="45"/>
        <v>America</v>
      </c>
    </row>
    <row r="1415" spans="1:10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  <c r="I1415" t="str">
        <f t="shared" si="44"/>
        <v>Africa</v>
      </c>
      <c r="J1415" t="str">
        <f t="shared" si="45"/>
        <v>Asia-Pacific</v>
      </c>
    </row>
    <row r="1416" spans="1:10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  <c r="I1416" t="str">
        <f t="shared" si="44"/>
        <v>America</v>
      </c>
      <c r="J1416" t="str">
        <f t="shared" si="45"/>
        <v>America</v>
      </c>
    </row>
    <row r="1417" spans="1:10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  <c r="I1417" t="str">
        <f t="shared" si="44"/>
        <v>America</v>
      </c>
      <c r="J1417" t="str">
        <f t="shared" si="45"/>
        <v>America</v>
      </c>
    </row>
    <row r="1418" spans="1:10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  <c r="I1418" t="str">
        <f t="shared" si="44"/>
        <v>America</v>
      </c>
      <c r="J1418" t="str">
        <f t="shared" si="45"/>
        <v>America</v>
      </c>
    </row>
    <row r="1419" spans="1:10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  <c r="I1419" t="str">
        <f t="shared" si="44"/>
        <v>Africa</v>
      </c>
      <c r="J1419" t="str">
        <f t="shared" si="45"/>
        <v>Asia-Pacific</v>
      </c>
    </row>
    <row r="1420" spans="1:10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  <c r="I1420" t="str">
        <f t="shared" si="44"/>
        <v>Africa</v>
      </c>
      <c r="J1420" t="str">
        <f t="shared" si="45"/>
        <v>America</v>
      </c>
    </row>
    <row r="1421" spans="1:10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  <c r="I1421" t="str">
        <f t="shared" si="44"/>
        <v>America</v>
      </c>
      <c r="J1421" t="str">
        <f t="shared" si="45"/>
        <v>America</v>
      </c>
    </row>
    <row r="1422" spans="1:10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  <c r="I1422" t="str">
        <f t="shared" si="44"/>
        <v>Africa</v>
      </c>
      <c r="J1422" t="str">
        <f t="shared" si="45"/>
        <v>America</v>
      </c>
    </row>
    <row r="1423" spans="1:10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  <c r="I1423" t="str">
        <f t="shared" si="44"/>
        <v>NULL</v>
      </c>
      <c r="J1423" t="str">
        <f t="shared" si="45"/>
        <v>Asia-Pacific</v>
      </c>
    </row>
    <row r="1424" spans="1:10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  <c r="I1424" t="str">
        <f t="shared" si="44"/>
        <v>Africa</v>
      </c>
      <c r="J1424" t="str">
        <f t="shared" si="45"/>
        <v>America</v>
      </c>
    </row>
    <row r="1425" spans="1:10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  <c r="I1425" t="str">
        <f t="shared" si="44"/>
        <v>America</v>
      </c>
      <c r="J1425" t="str">
        <f t="shared" si="45"/>
        <v>America</v>
      </c>
    </row>
    <row r="1426" spans="1:10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  <c r="I1426" t="str">
        <f t="shared" si="44"/>
        <v>America</v>
      </c>
      <c r="J1426" t="str">
        <f t="shared" si="45"/>
        <v>America</v>
      </c>
    </row>
    <row r="1427" spans="1:10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  <c r="I1427" t="str">
        <f t="shared" si="44"/>
        <v>America</v>
      </c>
      <c r="J1427" t="str">
        <f t="shared" si="45"/>
        <v>Asia-Pacific</v>
      </c>
    </row>
    <row r="1428" spans="1:10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  <c r="I1428" t="str">
        <f t="shared" si="44"/>
        <v>America</v>
      </c>
      <c r="J1428" t="str">
        <f t="shared" si="45"/>
        <v>America</v>
      </c>
    </row>
    <row r="1429" spans="1:10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  <c r="I1429" t="str">
        <f t="shared" si="44"/>
        <v>Africa</v>
      </c>
      <c r="J1429" t="str">
        <f t="shared" si="45"/>
        <v>America</v>
      </c>
    </row>
    <row r="1430" spans="1:10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  <c r="I1430" t="str">
        <f t="shared" si="44"/>
        <v>Africa</v>
      </c>
      <c r="J1430" t="str">
        <f t="shared" si="45"/>
        <v>America</v>
      </c>
    </row>
    <row r="1431" spans="1:10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  <c r="I1431" t="str">
        <f t="shared" si="44"/>
        <v>America</v>
      </c>
      <c r="J1431" t="str">
        <f t="shared" si="45"/>
        <v>America</v>
      </c>
    </row>
    <row r="1432" spans="1:10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  <c r="I1432" t="str">
        <f t="shared" si="44"/>
        <v>America</v>
      </c>
      <c r="J1432" t="str">
        <f t="shared" si="45"/>
        <v>America</v>
      </c>
    </row>
    <row r="1433" spans="1:10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  <c r="I1433" t="str">
        <f t="shared" si="44"/>
        <v>America</v>
      </c>
      <c r="J1433" t="str">
        <f t="shared" si="45"/>
        <v>America</v>
      </c>
    </row>
    <row r="1434" spans="1:10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  <c r="I1434" t="str">
        <f t="shared" si="44"/>
        <v>Africa</v>
      </c>
      <c r="J1434" t="str">
        <f t="shared" si="45"/>
        <v>America</v>
      </c>
    </row>
    <row r="1435" spans="1:10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  <c r="I1435" t="str">
        <f t="shared" si="44"/>
        <v>Africa</v>
      </c>
      <c r="J1435" t="str">
        <f t="shared" si="45"/>
        <v>America</v>
      </c>
    </row>
    <row r="1436" spans="1:10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  <c r="I1436" t="str">
        <f t="shared" si="44"/>
        <v>Africa</v>
      </c>
      <c r="J1436" t="str">
        <f t="shared" si="45"/>
        <v>America</v>
      </c>
    </row>
    <row r="1437" spans="1:10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  <c r="I1437" t="str">
        <f t="shared" si="44"/>
        <v>America</v>
      </c>
      <c r="J1437" t="str">
        <f t="shared" si="45"/>
        <v>America</v>
      </c>
    </row>
    <row r="1438" spans="1:10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  <c r="I1438" t="str">
        <f t="shared" si="44"/>
        <v>Africa</v>
      </c>
      <c r="J1438" t="str">
        <f t="shared" si="45"/>
        <v>America</v>
      </c>
    </row>
    <row r="1439" spans="1:10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  <c r="I1439" t="str">
        <f t="shared" si="44"/>
        <v>Africa</v>
      </c>
      <c r="J1439" t="str">
        <f t="shared" si="45"/>
        <v>Asia-Pacific</v>
      </c>
    </row>
    <row r="1440" spans="1:10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  <c r="I1440" t="str">
        <f t="shared" si="44"/>
        <v>Africa</v>
      </c>
      <c r="J1440" t="str">
        <f t="shared" si="45"/>
        <v>Asia-Pacific</v>
      </c>
    </row>
    <row r="1441" spans="1:10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  <c r="I1441" t="str">
        <f t="shared" si="44"/>
        <v>Africa</v>
      </c>
      <c r="J1441" t="str">
        <f t="shared" si="45"/>
        <v>Asia-Pacific</v>
      </c>
    </row>
    <row r="1442" spans="1:10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  <c r="I1442" t="str">
        <f t="shared" si="44"/>
        <v>Africa</v>
      </c>
      <c r="J1442" t="str">
        <f t="shared" si="45"/>
        <v>Asia-Pacific</v>
      </c>
    </row>
    <row r="1443" spans="1:10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  <c r="I1443" t="str">
        <f t="shared" si="44"/>
        <v>Africa</v>
      </c>
      <c r="J1443" t="str">
        <f t="shared" si="45"/>
        <v>America</v>
      </c>
    </row>
    <row r="1444" spans="1:10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  <c r="I1444" t="str">
        <f t="shared" si="44"/>
        <v>Africa</v>
      </c>
      <c r="J1444" t="str">
        <f t="shared" si="45"/>
        <v>America</v>
      </c>
    </row>
    <row r="1445" spans="1:10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  <c r="I1445" t="str">
        <f t="shared" si="44"/>
        <v>Africa</v>
      </c>
      <c r="J1445" t="str">
        <f t="shared" si="45"/>
        <v>America</v>
      </c>
    </row>
    <row r="1446" spans="1:10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  <c r="I1446" t="str">
        <f t="shared" si="44"/>
        <v>Africa</v>
      </c>
      <c r="J1446" t="str">
        <f t="shared" si="45"/>
        <v>America</v>
      </c>
    </row>
    <row r="1447" spans="1:10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  <c r="I1447" t="str">
        <f t="shared" si="44"/>
        <v>Africa</v>
      </c>
      <c r="J1447" t="str">
        <f t="shared" si="45"/>
        <v>America</v>
      </c>
    </row>
    <row r="1448" spans="1:10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  <c r="I1448" t="str">
        <f t="shared" si="44"/>
        <v>America</v>
      </c>
      <c r="J1448" t="str">
        <f t="shared" si="45"/>
        <v>America</v>
      </c>
    </row>
    <row r="1449" spans="1:10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  <c r="I1449" t="str">
        <f t="shared" si="44"/>
        <v>Africa</v>
      </c>
      <c r="J1449" t="str">
        <f t="shared" si="45"/>
        <v>America</v>
      </c>
    </row>
    <row r="1450" spans="1:10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  <c r="I1450" t="str">
        <f t="shared" si="44"/>
        <v>Africa</v>
      </c>
      <c r="J1450" t="str">
        <f t="shared" si="45"/>
        <v>America</v>
      </c>
    </row>
    <row r="1451" spans="1:10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  <c r="I1451" t="str">
        <f t="shared" si="44"/>
        <v>Africa</v>
      </c>
      <c r="J1451" t="str">
        <f t="shared" si="45"/>
        <v>America</v>
      </c>
    </row>
    <row r="1452" spans="1:10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  <c r="I1452" t="str">
        <f t="shared" si="44"/>
        <v>America</v>
      </c>
      <c r="J1452" t="str">
        <f t="shared" si="45"/>
        <v>Asia-Pacific</v>
      </c>
    </row>
    <row r="1453" spans="1:10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  <c r="I1453" t="str">
        <f t="shared" si="44"/>
        <v>NULL</v>
      </c>
      <c r="J1453" t="str">
        <f t="shared" si="45"/>
        <v>Asia-Pacific</v>
      </c>
    </row>
    <row r="1454" spans="1:10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  <c r="I1454" t="str">
        <f t="shared" si="44"/>
        <v>America</v>
      </c>
      <c r="J1454" t="str">
        <f t="shared" si="45"/>
        <v>America</v>
      </c>
    </row>
    <row r="1455" spans="1:10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  <c r="I1455" t="str">
        <f t="shared" si="44"/>
        <v>Africa</v>
      </c>
      <c r="J1455" t="str">
        <f t="shared" si="45"/>
        <v>Asia-Pacific</v>
      </c>
    </row>
    <row r="1456" spans="1:10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  <c r="I1456" t="str">
        <f t="shared" si="44"/>
        <v>Africa</v>
      </c>
      <c r="J1456" t="str">
        <f t="shared" si="45"/>
        <v>Asia-Pacific</v>
      </c>
    </row>
    <row r="1457" spans="1:10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  <c r="I1457" t="str">
        <f t="shared" si="44"/>
        <v>Africa</v>
      </c>
      <c r="J1457" t="str">
        <f t="shared" si="45"/>
        <v>Asia-Pacific</v>
      </c>
    </row>
    <row r="1458" spans="1:10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  <c r="I1458" t="str">
        <f t="shared" si="44"/>
        <v>Africa</v>
      </c>
      <c r="J1458" t="str">
        <f t="shared" si="45"/>
        <v>America</v>
      </c>
    </row>
    <row r="1459" spans="1:10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  <c r="I1459" t="str">
        <f t="shared" si="44"/>
        <v>Africa</v>
      </c>
      <c r="J1459" t="str">
        <f t="shared" si="45"/>
        <v>America</v>
      </c>
    </row>
    <row r="1460" spans="1:10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  <c r="I1460" t="str">
        <f t="shared" si="44"/>
        <v>Africa</v>
      </c>
      <c r="J1460" t="str">
        <f t="shared" si="45"/>
        <v>America</v>
      </c>
    </row>
    <row r="1461" spans="1:10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  <c r="I1461" t="str">
        <f t="shared" si="44"/>
        <v>America</v>
      </c>
      <c r="J1461" t="str">
        <f t="shared" si="45"/>
        <v>America</v>
      </c>
    </row>
    <row r="1462" spans="1:10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  <c r="I1462" t="str">
        <f t="shared" si="44"/>
        <v>Africa</v>
      </c>
      <c r="J1462" t="str">
        <f t="shared" si="45"/>
        <v>Asia-Pacific</v>
      </c>
    </row>
    <row r="1463" spans="1:10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  <c r="I1463" t="str">
        <f t="shared" si="44"/>
        <v>Africa</v>
      </c>
      <c r="J1463" t="str">
        <f t="shared" si="45"/>
        <v>America</v>
      </c>
    </row>
    <row r="1464" spans="1:10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  <c r="I1464" t="str">
        <f t="shared" si="44"/>
        <v>Africa</v>
      </c>
      <c r="J1464" t="str">
        <f t="shared" si="45"/>
        <v>Asia-Pacific</v>
      </c>
    </row>
    <row r="1465" spans="1:10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  <c r="I1465" t="str">
        <f t="shared" si="44"/>
        <v>Africa</v>
      </c>
      <c r="J1465" t="str">
        <f t="shared" si="45"/>
        <v>Asia-Pacific</v>
      </c>
    </row>
    <row r="1466" spans="1:10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  <c r="I1466" t="str">
        <f t="shared" si="44"/>
        <v>America</v>
      </c>
      <c r="J1466" t="str">
        <f t="shared" si="45"/>
        <v>America</v>
      </c>
    </row>
    <row r="1467" spans="1:10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  <c r="I1467" t="str">
        <f t="shared" si="44"/>
        <v>Africa</v>
      </c>
      <c r="J1467" t="str">
        <f t="shared" si="45"/>
        <v>America</v>
      </c>
    </row>
    <row r="1468" spans="1:10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  <c r="I1468" t="str">
        <f t="shared" si="44"/>
        <v>Africa</v>
      </c>
      <c r="J1468" t="str">
        <f t="shared" si="45"/>
        <v>America</v>
      </c>
    </row>
    <row r="1469" spans="1:10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  <c r="I1469" t="str">
        <f t="shared" si="44"/>
        <v>Asia-Pacific</v>
      </c>
      <c r="J1469" t="str">
        <f t="shared" si="45"/>
        <v>America</v>
      </c>
    </row>
    <row r="1470" spans="1:10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  <c r="I1470" t="str">
        <f t="shared" si="44"/>
        <v>America</v>
      </c>
      <c r="J1470" t="str">
        <f t="shared" si="45"/>
        <v>Asia-Pacific</v>
      </c>
    </row>
    <row r="1471" spans="1:10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  <c r="I1471" t="str">
        <f t="shared" si="44"/>
        <v>Africa</v>
      </c>
      <c r="J1471" t="str">
        <f t="shared" si="45"/>
        <v>Asia-Pacific</v>
      </c>
    </row>
    <row r="1472" spans="1:10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  <c r="I1472" t="str">
        <f t="shared" si="44"/>
        <v>Africa</v>
      </c>
      <c r="J1472" t="str">
        <f t="shared" si="45"/>
        <v>America</v>
      </c>
    </row>
    <row r="1473" spans="1:10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  <c r="I1473" t="str">
        <f t="shared" si="44"/>
        <v>Africa</v>
      </c>
      <c r="J1473" t="str">
        <f t="shared" si="45"/>
        <v>America</v>
      </c>
    </row>
    <row r="1474" spans="1:10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  <c r="I1474" t="str">
        <f t="shared" si="44"/>
        <v>NULL</v>
      </c>
      <c r="J1474" t="str">
        <f t="shared" si="45"/>
        <v>America</v>
      </c>
    </row>
    <row r="1475" spans="1:10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  <c r="I1475" t="str">
        <f t="shared" ref="I1475:I1538" si="46">_xlfn.XLOOKUP(H1475, $M$2:$M$50, $N$2:$N$50, "Other")</f>
        <v>America</v>
      </c>
      <c r="J1475" t="str">
        <f t="shared" ref="J1475:J1538" si="47">_xlfn.XLOOKUP(G1475, $M$2:$M$50, $N$2:$N$50, "Other")</f>
        <v>America</v>
      </c>
    </row>
    <row r="1476" spans="1:10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  <c r="I1476" t="str">
        <f t="shared" si="46"/>
        <v>Asia-Pacific</v>
      </c>
      <c r="J1476" t="str">
        <f t="shared" si="47"/>
        <v>Asia-Pacific</v>
      </c>
    </row>
    <row r="1477" spans="1:10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  <c r="I1477" t="str">
        <f t="shared" si="46"/>
        <v>Africa</v>
      </c>
      <c r="J1477" t="str">
        <f t="shared" si="47"/>
        <v>Asia-Pacific</v>
      </c>
    </row>
    <row r="1478" spans="1:10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  <c r="I1478" t="str">
        <f t="shared" si="46"/>
        <v>Africa</v>
      </c>
      <c r="J1478" t="str">
        <f t="shared" si="47"/>
        <v>America</v>
      </c>
    </row>
    <row r="1479" spans="1:10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  <c r="I1479" t="str">
        <f t="shared" si="46"/>
        <v>America</v>
      </c>
      <c r="J1479" t="str">
        <f t="shared" si="47"/>
        <v>America</v>
      </c>
    </row>
    <row r="1480" spans="1:10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  <c r="I1480" t="str">
        <f t="shared" si="46"/>
        <v>America</v>
      </c>
      <c r="J1480" t="str">
        <f t="shared" si="47"/>
        <v>America</v>
      </c>
    </row>
    <row r="1481" spans="1:10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  <c r="I1481" t="str">
        <f t="shared" si="46"/>
        <v>America</v>
      </c>
      <c r="J1481" t="str">
        <f t="shared" si="47"/>
        <v>America</v>
      </c>
    </row>
    <row r="1482" spans="1:10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  <c r="I1482" t="str">
        <f t="shared" si="46"/>
        <v>Africa</v>
      </c>
      <c r="J1482" t="str">
        <f t="shared" si="47"/>
        <v>America</v>
      </c>
    </row>
    <row r="1483" spans="1:10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  <c r="I1483" t="str">
        <f t="shared" si="46"/>
        <v>Africa</v>
      </c>
      <c r="J1483" t="str">
        <f t="shared" si="47"/>
        <v>Asia-Pacific</v>
      </c>
    </row>
    <row r="1484" spans="1:10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  <c r="I1484" t="str">
        <f t="shared" si="46"/>
        <v>Asia-Pacific</v>
      </c>
      <c r="J1484" t="str">
        <f t="shared" si="47"/>
        <v>America</v>
      </c>
    </row>
    <row r="1485" spans="1:10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  <c r="I1485" t="str">
        <f t="shared" si="46"/>
        <v>Asia-Pacific</v>
      </c>
      <c r="J1485" t="str">
        <f t="shared" si="47"/>
        <v>America</v>
      </c>
    </row>
    <row r="1486" spans="1:10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  <c r="I1486" t="str">
        <f t="shared" si="46"/>
        <v>Africa</v>
      </c>
      <c r="J1486" t="str">
        <f t="shared" si="47"/>
        <v>America</v>
      </c>
    </row>
    <row r="1487" spans="1:10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  <c r="I1487" t="str">
        <f t="shared" si="46"/>
        <v>America</v>
      </c>
      <c r="J1487" t="str">
        <f t="shared" si="47"/>
        <v>America</v>
      </c>
    </row>
    <row r="1488" spans="1:10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  <c r="I1488" t="str">
        <f t="shared" si="46"/>
        <v>Africa</v>
      </c>
      <c r="J1488" t="str">
        <f t="shared" si="47"/>
        <v>Asia-Pacific</v>
      </c>
    </row>
    <row r="1489" spans="1:10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  <c r="I1489" t="str">
        <f t="shared" si="46"/>
        <v>America</v>
      </c>
      <c r="J1489" t="str">
        <f t="shared" si="47"/>
        <v>America</v>
      </c>
    </row>
    <row r="1490" spans="1:10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  <c r="I1490" t="str">
        <f t="shared" si="46"/>
        <v>Africa</v>
      </c>
      <c r="J1490" t="str">
        <f t="shared" si="47"/>
        <v>America</v>
      </c>
    </row>
    <row r="1491" spans="1:10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  <c r="I1491" t="str">
        <f t="shared" si="46"/>
        <v>America</v>
      </c>
      <c r="J1491" t="str">
        <f t="shared" si="47"/>
        <v>Asia-Pacific</v>
      </c>
    </row>
    <row r="1492" spans="1:10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  <c r="I1492" t="str">
        <f t="shared" si="46"/>
        <v>America</v>
      </c>
      <c r="J1492" t="str">
        <f t="shared" si="47"/>
        <v>Asia-Pacific</v>
      </c>
    </row>
    <row r="1493" spans="1:10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  <c r="I1493" t="str">
        <f t="shared" si="46"/>
        <v>Africa</v>
      </c>
      <c r="J1493" t="str">
        <f t="shared" si="47"/>
        <v>America</v>
      </c>
    </row>
    <row r="1494" spans="1:10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  <c r="I1494" t="str">
        <f t="shared" si="46"/>
        <v>Africa</v>
      </c>
      <c r="J1494" t="str">
        <f t="shared" si="47"/>
        <v>America</v>
      </c>
    </row>
    <row r="1495" spans="1:10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  <c r="I1495" t="str">
        <f t="shared" si="46"/>
        <v>Africa</v>
      </c>
      <c r="J1495" t="str">
        <f t="shared" si="47"/>
        <v>Asia-Pacific</v>
      </c>
    </row>
    <row r="1496" spans="1:10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  <c r="I1496" t="str">
        <f t="shared" si="46"/>
        <v>Africa</v>
      </c>
      <c r="J1496" t="str">
        <f t="shared" si="47"/>
        <v>America</v>
      </c>
    </row>
    <row r="1497" spans="1:10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  <c r="I1497" t="str">
        <f t="shared" si="46"/>
        <v>Asia-Pacific</v>
      </c>
      <c r="J1497" t="str">
        <f t="shared" si="47"/>
        <v>America</v>
      </c>
    </row>
    <row r="1498" spans="1:10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  <c r="I1498" t="str">
        <f t="shared" si="46"/>
        <v>Africa</v>
      </c>
      <c r="J1498" t="str">
        <f t="shared" si="47"/>
        <v>America</v>
      </c>
    </row>
    <row r="1499" spans="1:10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  <c r="I1499" t="str">
        <f t="shared" si="46"/>
        <v>Africa</v>
      </c>
      <c r="J1499" t="str">
        <f t="shared" si="47"/>
        <v>America</v>
      </c>
    </row>
    <row r="1500" spans="1:10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  <c r="I1500" t="str">
        <f t="shared" si="46"/>
        <v>America</v>
      </c>
      <c r="J1500" t="str">
        <f t="shared" si="47"/>
        <v>America</v>
      </c>
    </row>
    <row r="1501" spans="1:10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  <c r="I1501" t="str">
        <f t="shared" si="46"/>
        <v>Africa</v>
      </c>
      <c r="J1501" t="str">
        <f t="shared" si="47"/>
        <v>America</v>
      </c>
    </row>
    <row r="1502" spans="1:10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  <c r="I1502" t="str">
        <f t="shared" si="46"/>
        <v>Africa</v>
      </c>
      <c r="J1502" t="str">
        <f t="shared" si="47"/>
        <v>Asia-Pacific</v>
      </c>
    </row>
    <row r="1503" spans="1:10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  <c r="I1503" t="str">
        <f t="shared" si="46"/>
        <v>Africa</v>
      </c>
      <c r="J1503" t="str">
        <f t="shared" si="47"/>
        <v>Asia-Pacific</v>
      </c>
    </row>
    <row r="1504" spans="1:10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  <c r="I1504" t="str">
        <f t="shared" si="46"/>
        <v>Asia-Pacific</v>
      </c>
      <c r="J1504" t="str">
        <f t="shared" si="47"/>
        <v>America</v>
      </c>
    </row>
    <row r="1505" spans="1:10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  <c r="I1505" t="str">
        <f t="shared" si="46"/>
        <v>America</v>
      </c>
      <c r="J1505" t="str">
        <f t="shared" si="47"/>
        <v>America</v>
      </c>
    </row>
    <row r="1506" spans="1:10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  <c r="I1506" t="str">
        <f t="shared" si="46"/>
        <v>Africa</v>
      </c>
      <c r="J1506" t="str">
        <f t="shared" si="47"/>
        <v>Asia-Pacific</v>
      </c>
    </row>
    <row r="1507" spans="1:10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  <c r="I1507" t="str">
        <f t="shared" si="46"/>
        <v>Africa</v>
      </c>
      <c r="J1507" t="str">
        <f t="shared" si="47"/>
        <v>America</v>
      </c>
    </row>
    <row r="1508" spans="1:10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  <c r="I1508" t="str">
        <f t="shared" si="46"/>
        <v>Africa</v>
      </c>
      <c r="J1508" t="str">
        <f t="shared" si="47"/>
        <v>Asia-Pacific</v>
      </c>
    </row>
    <row r="1509" spans="1:10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  <c r="I1509" t="str">
        <f t="shared" si="46"/>
        <v>Africa</v>
      </c>
      <c r="J1509" t="str">
        <f t="shared" si="47"/>
        <v>America</v>
      </c>
    </row>
    <row r="1510" spans="1:10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  <c r="I1510" t="str">
        <f t="shared" si="46"/>
        <v>America</v>
      </c>
      <c r="J1510" t="str">
        <f t="shared" si="47"/>
        <v>America</v>
      </c>
    </row>
    <row r="1511" spans="1:10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  <c r="I1511" t="str">
        <f t="shared" si="46"/>
        <v>America</v>
      </c>
      <c r="J1511" t="str">
        <f t="shared" si="47"/>
        <v>America</v>
      </c>
    </row>
    <row r="1512" spans="1:10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  <c r="I1512" t="str">
        <f t="shared" si="46"/>
        <v>Africa</v>
      </c>
      <c r="J1512" t="str">
        <f t="shared" si="47"/>
        <v>Asia-Pacific</v>
      </c>
    </row>
    <row r="1513" spans="1:10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  <c r="I1513" t="str">
        <f t="shared" si="46"/>
        <v>NULL</v>
      </c>
      <c r="J1513" t="str">
        <f t="shared" si="47"/>
        <v>America</v>
      </c>
    </row>
    <row r="1514" spans="1:10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  <c r="I1514" t="str">
        <f t="shared" si="46"/>
        <v>Asia-Pacific</v>
      </c>
      <c r="J1514" t="str">
        <f t="shared" si="47"/>
        <v>America</v>
      </c>
    </row>
    <row r="1515" spans="1:10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  <c r="I1515" t="str">
        <f t="shared" si="46"/>
        <v>America</v>
      </c>
      <c r="J1515" t="str">
        <f t="shared" si="47"/>
        <v>America</v>
      </c>
    </row>
    <row r="1516" spans="1:10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  <c r="I1516" t="str">
        <f t="shared" si="46"/>
        <v>Africa</v>
      </c>
      <c r="J1516" t="str">
        <f t="shared" si="47"/>
        <v>America</v>
      </c>
    </row>
    <row r="1517" spans="1:10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  <c r="I1517" t="str">
        <f t="shared" si="46"/>
        <v>America</v>
      </c>
      <c r="J1517" t="str">
        <f t="shared" si="47"/>
        <v>America</v>
      </c>
    </row>
    <row r="1518" spans="1:10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  <c r="I1518" t="str">
        <f t="shared" si="46"/>
        <v>Africa</v>
      </c>
      <c r="J1518" t="str">
        <f t="shared" si="47"/>
        <v>America</v>
      </c>
    </row>
    <row r="1519" spans="1:10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  <c r="I1519" t="str">
        <f t="shared" si="46"/>
        <v>Africa</v>
      </c>
      <c r="J1519" t="str">
        <f t="shared" si="47"/>
        <v>America</v>
      </c>
    </row>
    <row r="1520" spans="1:10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  <c r="I1520" t="str">
        <f t="shared" si="46"/>
        <v>Africa</v>
      </c>
      <c r="J1520" t="str">
        <f t="shared" si="47"/>
        <v>America</v>
      </c>
    </row>
    <row r="1521" spans="1:10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  <c r="I1521" t="str">
        <f t="shared" si="46"/>
        <v>Africa</v>
      </c>
      <c r="J1521" t="str">
        <f t="shared" si="47"/>
        <v>America</v>
      </c>
    </row>
    <row r="1522" spans="1:10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  <c r="I1522" t="str">
        <f t="shared" si="46"/>
        <v>Africa</v>
      </c>
      <c r="J1522" t="str">
        <f t="shared" si="47"/>
        <v>Asia-Pacific</v>
      </c>
    </row>
    <row r="1523" spans="1:10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  <c r="I1523" t="str">
        <f t="shared" si="46"/>
        <v>America</v>
      </c>
      <c r="J1523" t="str">
        <f t="shared" si="47"/>
        <v>America</v>
      </c>
    </row>
    <row r="1524" spans="1:10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  <c r="I1524" t="str">
        <f t="shared" si="46"/>
        <v>America</v>
      </c>
      <c r="J1524" t="str">
        <f t="shared" si="47"/>
        <v>America</v>
      </c>
    </row>
    <row r="1525" spans="1:10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  <c r="I1525" t="str">
        <f t="shared" si="46"/>
        <v>America</v>
      </c>
      <c r="J1525" t="str">
        <f t="shared" si="47"/>
        <v>America</v>
      </c>
    </row>
    <row r="1526" spans="1:10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  <c r="I1526" t="str">
        <f t="shared" si="46"/>
        <v>Africa</v>
      </c>
      <c r="J1526" t="str">
        <f t="shared" si="47"/>
        <v>America</v>
      </c>
    </row>
    <row r="1527" spans="1:10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  <c r="I1527" t="str">
        <f t="shared" si="46"/>
        <v>America</v>
      </c>
      <c r="J1527" t="str">
        <f t="shared" si="47"/>
        <v>America</v>
      </c>
    </row>
    <row r="1528" spans="1:10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  <c r="I1528" t="str">
        <f t="shared" si="46"/>
        <v>America</v>
      </c>
      <c r="J1528" t="str">
        <f t="shared" si="47"/>
        <v>America</v>
      </c>
    </row>
    <row r="1529" spans="1:10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  <c r="I1529" t="str">
        <f t="shared" si="46"/>
        <v>Africa</v>
      </c>
      <c r="J1529" t="str">
        <f t="shared" si="47"/>
        <v>America</v>
      </c>
    </row>
    <row r="1530" spans="1:10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  <c r="I1530" t="str">
        <f t="shared" si="46"/>
        <v>America</v>
      </c>
      <c r="J1530" t="str">
        <f t="shared" si="47"/>
        <v>Asia-Pacific</v>
      </c>
    </row>
    <row r="1531" spans="1:10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  <c r="I1531" t="str">
        <f t="shared" si="46"/>
        <v>America</v>
      </c>
      <c r="J1531" t="str">
        <f t="shared" si="47"/>
        <v>America</v>
      </c>
    </row>
    <row r="1532" spans="1:10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  <c r="I1532" t="str">
        <f t="shared" si="46"/>
        <v>Africa</v>
      </c>
      <c r="J1532" t="str">
        <f t="shared" si="47"/>
        <v>Asia-Pacific</v>
      </c>
    </row>
    <row r="1533" spans="1:10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  <c r="I1533" t="str">
        <f t="shared" si="46"/>
        <v>Africa</v>
      </c>
      <c r="J1533" t="str">
        <f t="shared" si="47"/>
        <v>Asia-Pacific</v>
      </c>
    </row>
    <row r="1534" spans="1:10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  <c r="I1534" t="str">
        <f t="shared" si="46"/>
        <v>Africa</v>
      </c>
      <c r="J1534" t="str">
        <f t="shared" si="47"/>
        <v>America</v>
      </c>
    </row>
    <row r="1535" spans="1:10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  <c r="I1535" t="str">
        <f t="shared" si="46"/>
        <v>Africa</v>
      </c>
      <c r="J1535" t="str">
        <f t="shared" si="47"/>
        <v>America</v>
      </c>
    </row>
    <row r="1536" spans="1:10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  <c r="I1536" t="str">
        <f t="shared" si="46"/>
        <v>Africa</v>
      </c>
      <c r="J1536" t="str">
        <f t="shared" si="47"/>
        <v>America</v>
      </c>
    </row>
    <row r="1537" spans="1:10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  <c r="I1537" t="str">
        <f t="shared" si="46"/>
        <v>Africa</v>
      </c>
      <c r="J1537" t="str">
        <f t="shared" si="47"/>
        <v>America</v>
      </c>
    </row>
    <row r="1538" spans="1:10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  <c r="I1538" t="str">
        <f t="shared" si="46"/>
        <v>Africa</v>
      </c>
      <c r="J1538" t="str">
        <f t="shared" si="47"/>
        <v>America</v>
      </c>
    </row>
    <row r="1539" spans="1:10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  <c r="I1539" t="str">
        <f t="shared" ref="I1539:I1602" si="48">_xlfn.XLOOKUP(H1539, $M$2:$M$50, $N$2:$N$50, "Other")</f>
        <v>NULL</v>
      </c>
      <c r="J1539" t="str">
        <f t="shared" ref="J1539:J1602" si="49">_xlfn.XLOOKUP(G1539, $M$2:$M$50, $N$2:$N$50, "Other")</f>
        <v>Asia-Pacific</v>
      </c>
    </row>
    <row r="1540" spans="1:10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  <c r="I1540" t="str">
        <f t="shared" si="48"/>
        <v>Africa</v>
      </c>
      <c r="J1540" t="str">
        <f t="shared" si="49"/>
        <v>Asia-Pacific</v>
      </c>
    </row>
    <row r="1541" spans="1:10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  <c r="I1541" t="str">
        <f t="shared" si="48"/>
        <v>Asia-Pacific</v>
      </c>
      <c r="J1541" t="str">
        <f t="shared" si="49"/>
        <v>Asia-Pacific</v>
      </c>
    </row>
    <row r="1542" spans="1:10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  <c r="I1542" t="str">
        <f t="shared" si="48"/>
        <v>America</v>
      </c>
      <c r="J1542" t="str">
        <f t="shared" si="49"/>
        <v>America</v>
      </c>
    </row>
    <row r="1543" spans="1:10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  <c r="I1543" t="str">
        <f t="shared" si="48"/>
        <v>America</v>
      </c>
      <c r="J1543" t="str">
        <f t="shared" si="49"/>
        <v>America</v>
      </c>
    </row>
    <row r="1544" spans="1:10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  <c r="I1544" t="str">
        <f t="shared" si="48"/>
        <v>Africa</v>
      </c>
      <c r="J1544" t="str">
        <f t="shared" si="49"/>
        <v>America</v>
      </c>
    </row>
    <row r="1545" spans="1:10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  <c r="I1545" t="str">
        <f t="shared" si="48"/>
        <v>Africa</v>
      </c>
      <c r="J1545" t="str">
        <f t="shared" si="49"/>
        <v>America</v>
      </c>
    </row>
    <row r="1546" spans="1:10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  <c r="I1546" t="str">
        <f t="shared" si="48"/>
        <v>Africa</v>
      </c>
      <c r="J1546" t="str">
        <f t="shared" si="49"/>
        <v>Asia-Pacific</v>
      </c>
    </row>
    <row r="1547" spans="1:10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  <c r="I1547" t="str">
        <f t="shared" si="48"/>
        <v>Africa</v>
      </c>
      <c r="J1547" t="str">
        <f t="shared" si="49"/>
        <v>America</v>
      </c>
    </row>
    <row r="1548" spans="1:10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  <c r="I1548" t="str">
        <f t="shared" si="48"/>
        <v>America</v>
      </c>
      <c r="J1548" t="str">
        <f t="shared" si="49"/>
        <v>America</v>
      </c>
    </row>
    <row r="1549" spans="1:10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  <c r="I1549" t="str">
        <f t="shared" si="48"/>
        <v>America</v>
      </c>
      <c r="J1549" t="str">
        <f t="shared" si="49"/>
        <v>America</v>
      </c>
    </row>
    <row r="1550" spans="1:10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  <c r="I1550" t="str">
        <f t="shared" si="48"/>
        <v>Africa</v>
      </c>
      <c r="J1550" t="str">
        <f t="shared" si="49"/>
        <v>America</v>
      </c>
    </row>
    <row r="1551" spans="1:10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  <c r="I1551" t="str">
        <f t="shared" si="48"/>
        <v>Africa</v>
      </c>
      <c r="J1551" t="str">
        <f t="shared" si="49"/>
        <v>America</v>
      </c>
    </row>
    <row r="1552" spans="1:10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  <c r="I1552" t="str">
        <f t="shared" si="48"/>
        <v>Africa</v>
      </c>
      <c r="J1552" t="str">
        <f t="shared" si="49"/>
        <v>America</v>
      </c>
    </row>
    <row r="1553" spans="1:10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  <c r="I1553" t="str">
        <f t="shared" si="48"/>
        <v>Africa</v>
      </c>
      <c r="J1553" t="str">
        <f t="shared" si="49"/>
        <v>America</v>
      </c>
    </row>
    <row r="1554" spans="1:10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  <c r="I1554" t="str">
        <f t="shared" si="48"/>
        <v>America</v>
      </c>
      <c r="J1554" t="str">
        <f t="shared" si="49"/>
        <v>America</v>
      </c>
    </row>
    <row r="1555" spans="1:10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  <c r="I1555" t="str">
        <f t="shared" si="48"/>
        <v>America</v>
      </c>
      <c r="J1555" t="str">
        <f t="shared" si="49"/>
        <v>Asia-Pacific</v>
      </c>
    </row>
    <row r="1556" spans="1:10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  <c r="I1556" t="str">
        <f t="shared" si="48"/>
        <v>Africa</v>
      </c>
      <c r="J1556" t="str">
        <f t="shared" si="49"/>
        <v>Asia-Pacific</v>
      </c>
    </row>
    <row r="1557" spans="1:10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  <c r="I1557" t="str">
        <f t="shared" si="48"/>
        <v>America</v>
      </c>
      <c r="J1557" t="str">
        <f t="shared" si="49"/>
        <v>Asia-Pacific</v>
      </c>
    </row>
    <row r="1558" spans="1:10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  <c r="I1558" t="str">
        <f t="shared" si="48"/>
        <v>Africa</v>
      </c>
      <c r="J1558" t="str">
        <f t="shared" si="49"/>
        <v>Asia-Pacific</v>
      </c>
    </row>
    <row r="1559" spans="1:10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  <c r="I1559" t="str">
        <f t="shared" si="48"/>
        <v>Africa</v>
      </c>
      <c r="J1559" t="str">
        <f t="shared" si="49"/>
        <v>America</v>
      </c>
    </row>
    <row r="1560" spans="1:10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  <c r="I1560" t="str">
        <f t="shared" si="48"/>
        <v>America</v>
      </c>
      <c r="J1560" t="str">
        <f t="shared" si="49"/>
        <v>America</v>
      </c>
    </row>
    <row r="1561" spans="1:10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  <c r="I1561" t="str">
        <f t="shared" si="48"/>
        <v>Africa</v>
      </c>
      <c r="J1561" t="str">
        <f t="shared" si="49"/>
        <v>America</v>
      </c>
    </row>
    <row r="1562" spans="1:10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  <c r="I1562" t="str">
        <f t="shared" si="48"/>
        <v>America</v>
      </c>
      <c r="J1562" t="str">
        <f t="shared" si="49"/>
        <v>America</v>
      </c>
    </row>
    <row r="1563" spans="1:10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  <c r="I1563" t="str">
        <f t="shared" si="48"/>
        <v>America</v>
      </c>
      <c r="J1563" t="str">
        <f t="shared" si="49"/>
        <v>America</v>
      </c>
    </row>
    <row r="1564" spans="1:10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  <c r="I1564" t="str">
        <f t="shared" si="48"/>
        <v>Africa</v>
      </c>
      <c r="J1564" t="str">
        <f t="shared" si="49"/>
        <v>America</v>
      </c>
    </row>
    <row r="1565" spans="1:10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  <c r="I1565" t="str">
        <f t="shared" si="48"/>
        <v>Africa</v>
      </c>
      <c r="J1565" t="str">
        <f t="shared" si="49"/>
        <v>Asia-Pacific</v>
      </c>
    </row>
    <row r="1566" spans="1:10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  <c r="I1566" t="str">
        <f t="shared" si="48"/>
        <v>Africa</v>
      </c>
      <c r="J1566" t="str">
        <f t="shared" si="49"/>
        <v>Asia-Pacific</v>
      </c>
    </row>
    <row r="1567" spans="1:10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  <c r="I1567" t="str">
        <f t="shared" si="48"/>
        <v>Africa</v>
      </c>
      <c r="J1567" t="str">
        <f t="shared" si="49"/>
        <v>America</v>
      </c>
    </row>
    <row r="1568" spans="1:10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  <c r="I1568" t="str">
        <f t="shared" si="48"/>
        <v>America</v>
      </c>
      <c r="J1568" t="str">
        <f t="shared" si="49"/>
        <v>America</v>
      </c>
    </row>
    <row r="1569" spans="1:10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  <c r="I1569" t="str">
        <f t="shared" si="48"/>
        <v>Africa</v>
      </c>
      <c r="J1569" t="str">
        <f t="shared" si="49"/>
        <v>America</v>
      </c>
    </row>
    <row r="1570" spans="1:10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  <c r="I1570" t="str">
        <f t="shared" si="48"/>
        <v>Africa</v>
      </c>
      <c r="J1570" t="str">
        <f t="shared" si="49"/>
        <v>America</v>
      </c>
    </row>
    <row r="1571" spans="1:10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  <c r="I1571" t="str">
        <f t="shared" si="48"/>
        <v>Africa</v>
      </c>
      <c r="J1571" t="str">
        <f t="shared" si="49"/>
        <v>America</v>
      </c>
    </row>
    <row r="1572" spans="1:10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  <c r="I1572" t="str">
        <f t="shared" si="48"/>
        <v>America</v>
      </c>
      <c r="J1572" t="str">
        <f t="shared" si="49"/>
        <v>America</v>
      </c>
    </row>
    <row r="1573" spans="1:10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  <c r="I1573" t="str">
        <f t="shared" si="48"/>
        <v>Africa</v>
      </c>
      <c r="J1573" t="str">
        <f t="shared" si="49"/>
        <v>Asia-Pacific</v>
      </c>
    </row>
    <row r="1574" spans="1:10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  <c r="I1574" t="str">
        <f t="shared" si="48"/>
        <v>Africa</v>
      </c>
      <c r="J1574" t="str">
        <f t="shared" si="49"/>
        <v>Asia-Pacific</v>
      </c>
    </row>
    <row r="1575" spans="1:10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  <c r="I1575" t="str">
        <f t="shared" si="48"/>
        <v>Asia-Pacific</v>
      </c>
      <c r="J1575" t="str">
        <f t="shared" si="49"/>
        <v>America</v>
      </c>
    </row>
    <row r="1576" spans="1:10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  <c r="I1576" t="str">
        <f t="shared" si="48"/>
        <v>Africa</v>
      </c>
      <c r="J1576" t="str">
        <f t="shared" si="49"/>
        <v>America</v>
      </c>
    </row>
    <row r="1577" spans="1:10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  <c r="I1577" t="str">
        <f t="shared" si="48"/>
        <v>Africa</v>
      </c>
      <c r="J1577" t="str">
        <f t="shared" si="49"/>
        <v>Asia-Pacific</v>
      </c>
    </row>
    <row r="1578" spans="1:10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  <c r="I1578" t="str">
        <f t="shared" si="48"/>
        <v>America</v>
      </c>
      <c r="J1578" t="str">
        <f t="shared" si="49"/>
        <v>America</v>
      </c>
    </row>
    <row r="1579" spans="1:10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  <c r="I1579" t="str">
        <f t="shared" si="48"/>
        <v>Asia-Pacific</v>
      </c>
      <c r="J1579" t="str">
        <f t="shared" si="49"/>
        <v>America</v>
      </c>
    </row>
    <row r="1580" spans="1:10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  <c r="I1580" t="str">
        <f t="shared" si="48"/>
        <v>Africa</v>
      </c>
      <c r="J1580" t="str">
        <f t="shared" si="49"/>
        <v>America</v>
      </c>
    </row>
    <row r="1581" spans="1:10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  <c r="I1581" t="str">
        <f t="shared" si="48"/>
        <v>America</v>
      </c>
      <c r="J1581" t="str">
        <f t="shared" si="49"/>
        <v>America</v>
      </c>
    </row>
    <row r="1582" spans="1:10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  <c r="I1582" t="str">
        <f t="shared" si="48"/>
        <v>Africa</v>
      </c>
      <c r="J1582" t="str">
        <f t="shared" si="49"/>
        <v>America</v>
      </c>
    </row>
    <row r="1583" spans="1:10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  <c r="I1583" t="str">
        <f t="shared" si="48"/>
        <v>America</v>
      </c>
      <c r="J1583" t="str">
        <f t="shared" si="49"/>
        <v>America</v>
      </c>
    </row>
    <row r="1584" spans="1:10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  <c r="I1584" t="str">
        <f t="shared" si="48"/>
        <v>Africa</v>
      </c>
      <c r="J1584" t="str">
        <f t="shared" si="49"/>
        <v>America</v>
      </c>
    </row>
    <row r="1585" spans="1:10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  <c r="I1585" t="str">
        <f t="shared" si="48"/>
        <v>NULL</v>
      </c>
      <c r="J1585" t="str">
        <f t="shared" si="49"/>
        <v>America</v>
      </c>
    </row>
    <row r="1586" spans="1:10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  <c r="I1586" t="str">
        <f t="shared" si="48"/>
        <v>America</v>
      </c>
      <c r="J1586" t="str">
        <f t="shared" si="49"/>
        <v>America</v>
      </c>
    </row>
    <row r="1587" spans="1:10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  <c r="I1587" t="str">
        <f t="shared" si="48"/>
        <v>America</v>
      </c>
      <c r="J1587" t="str">
        <f t="shared" si="49"/>
        <v>America</v>
      </c>
    </row>
    <row r="1588" spans="1:10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  <c r="I1588" t="str">
        <f t="shared" si="48"/>
        <v>America</v>
      </c>
      <c r="J1588" t="str">
        <f t="shared" si="49"/>
        <v>America</v>
      </c>
    </row>
    <row r="1589" spans="1:10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  <c r="I1589" t="str">
        <f t="shared" si="48"/>
        <v>America</v>
      </c>
      <c r="J1589" t="str">
        <f t="shared" si="49"/>
        <v>America</v>
      </c>
    </row>
    <row r="1590" spans="1:10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  <c r="I1590" t="str">
        <f t="shared" si="48"/>
        <v>Asia-Pacific</v>
      </c>
      <c r="J1590" t="str">
        <f t="shared" si="49"/>
        <v>America</v>
      </c>
    </row>
    <row r="1591" spans="1:10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  <c r="I1591" t="str">
        <f t="shared" si="48"/>
        <v>Africa</v>
      </c>
      <c r="J1591" t="str">
        <f t="shared" si="49"/>
        <v>America</v>
      </c>
    </row>
    <row r="1592" spans="1:10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  <c r="I1592" t="str">
        <f t="shared" si="48"/>
        <v>Africa</v>
      </c>
      <c r="J1592" t="str">
        <f t="shared" si="49"/>
        <v>America</v>
      </c>
    </row>
    <row r="1593" spans="1:10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  <c r="I1593" t="str">
        <f t="shared" si="48"/>
        <v>Asia-Pacific</v>
      </c>
      <c r="J1593" t="str">
        <f t="shared" si="49"/>
        <v>America</v>
      </c>
    </row>
    <row r="1594" spans="1:10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  <c r="I1594" t="str">
        <f t="shared" si="48"/>
        <v>America</v>
      </c>
      <c r="J1594" t="str">
        <f t="shared" si="49"/>
        <v>Asia-Pacific</v>
      </c>
    </row>
    <row r="1595" spans="1:10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  <c r="I1595" t="str">
        <f t="shared" si="48"/>
        <v>Africa</v>
      </c>
      <c r="J1595" t="str">
        <f t="shared" si="49"/>
        <v>America</v>
      </c>
    </row>
    <row r="1596" spans="1:10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  <c r="I1596" t="str">
        <f t="shared" si="48"/>
        <v>Africa</v>
      </c>
      <c r="J1596" t="str">
        <f t="shared" si="49"/>
        <v>America</v>
      </c>
    </row>
    <row r="1597" spans="1:10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  <c r="I1597" t="str">
        <f t="shared" si="48"/>
        <v>Africa</v>
      </c>
      <c r="J1597" t="str">
        <f t="shared" si="49"/>
        <v>America</v>
      </c>
    </row>
    <row r="1598" spans="1:10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  <c r="I1598" t="str">
        <f t="shared" si="48"/>
        <v>Africa</v>
      </c>
      <c r="J1598" t="str">
        <f t="shared" si="49"/>
        <v>America</v>
      </c>
    </row>
    <row r="1599" spans="1:10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  <c r="I1599" t="str">
        <f t="shared" si="48"/>
        <v>America</v>
      </c>
      <c r="J1599" t="str">
        <f t="shared" si="49"/>
        <v>Asia-Pacific</v>
      </c>
    </row>
    <row r="1600" spans="1:10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  <c r="I1600" t="str">
        <f t="shared" si="48"/>
        <v>Africa</v>
      </c>
      <c r="J1600" t="str">
        <f t="shared" si="49"/>
        <v>America</v>
      </c>
    </row>
    <row r="1601" spans="1:10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  <c r="I1601" t="str">
        <f t="shared" si="48"/>
        <v>Africa</v>
      </c>
      <c r="J1601" t="str">
        <f t="shared" si="49"/>
        <v>America</v>
      </c>
    </row>
    <row r="1602" spans="1:10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  <c r="I1602" t="str">
        <f t="shared" si="48"/>
        <v>America</v>
      </c>
      <c r="J1602" t="str">
        <f t="shared" si="49"/>
        <v>America</v>
      </c>
    </row>
    <row r="1603" spans="1:10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  <c r="I1603" t="str">
        <f t="shared" ref="I1603:I1666" si="50">_xlfn.XLOOKUP(H1603, $M$2:$M$50, $N$2:$N$50, "Other")</f>
        <v>Africa</v>
      </c>
      <c r="J1603" t="str">
        <f t="shared" ref="J1603:J1666" si="51">_xlfn.XLOOKUP(G1603, $M$2:$M$50, $N$2:$N$50, "Other")</f>
        <v>Asia-Pacific</v>
      </c>
    </row>
    <row r="1604" spans="1:10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  <c r="I1604" t="str">
        <f t="shared" si="50"/>
        <v>Africa</v>
      </c>
      <c r="J1604" t="str">
        <f t="shared" si="51"/>
        <v>America</v>
      </c>
    </row>
    <row r="1605" spans="1:10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  <c r="I1605" t="str">
        <f t="shared" si="50"/>
        <v>America</v>
      </c>
      <c r="J1605" t="str">
        <f t="shared" si="51"/>
        <v>America</v>
      </c>
    </row>
    <row r="1606" spans="1:10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  <c r="I1606" t="str">
        <f t="shared" si="50"/>
        <v>Asia-Pacific</v>
      </c>
      <c r="J1606" t="str">
        <f t="shared" si="51"/>
        <v>America</v>
      </c>
    </row>
    <row r="1607" spans="1:10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  <c r="I1607" t="str">
        <f t="shared" si="50"/>
        <v>America</v>
      </c>
      <c r="J1607" t="str">
        <f t="shared" si="51"/>
        <v>America</v>
      </c>
    </row>
    <row r="1608" spans="1:10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  <c r="I1608" t="str">
        <f t="shared" si="50"/>
        <v>Africa</v>
      </c>
      <c r="J1608" t="str">
        <f t="shared" si="51"/>
        <v>America</v>
      </c>
    </row>
    <row r="1609" spans="1:10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  <c r="I1609" t="str">
        <f t="shared" si="50"/>
        <v>Africa</v>
      </c>
      <c r="J1609" t="str">
        <f t="shared" si="51"/>
        <v>Asia-Pacific</v>
      </c>
    </row>
    <row r="1610" spans="1:10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  <c r="I1610" t="str">
        <f t="shared" si="50"/>
        <v>Asia-Pacific</v>
      </c>
      <c r="J1610" t="str">
        <f t="shared" si="51"/>
        <v>America</v>
      </c>
    </row>
    <row r="1611" spans="1:10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  <c r="I1611" t="str">
        <f t="shared" si="50"/>
        <v>Africa</v>
      </c>
      <c r="J1611" t="str">
        <f t="shared" si="51"/>
        <v>Asia-Pacific</v>
      </c>
    </row>
    <row r="1612" spans="1:10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  <c r="I1612" t="str">
        <f t="shared" si="50"/>
        <v>America</v>
      </c>
      <c r="J1612" t="str">
        <f t="shared" si="51"/>
        <v>America</v>
      </c>
    </row>
    <row r="1613" spans="1:10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  <c r="I1613" t="str">
        <f t="shared" si="50"/>
        <v>Africa</v>
      </c>
      <c r="J1613" t="str">
        <f t="shared" si="51"/>
        <v>America</v>
      </c>
    </row>
    <row r="1614" spans="1:10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  <c r="I1614" t="str">
        <f t="shared" si="50"/>
        <v>Africa</v>
      </c>
      <c r="J1614" t="str">
        <f t="shared" si="51"/>
        <v>Asia-Pacific</v>
      </c>
    </row>
    <row r="1615" spans="1:10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  <c r="I1615" t="str">
        <f t="shared" si="50"/>
        <v>America</v>
      </c>
      <c r="J1615" t="str">
        <f t="shared" si="51"/>
        <v>America</v>
      </c>
    </row>
    <row r="1616" spans="1:10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  <c r="I1616" t="str">
        <f t="shared" si="50"/>
        <v>Africa</v>
      </c>
      <c r="J1616" t="str">
        <f t="shared" si="51"/>
        <v>America</v>
      </c>
    </row>
    <row r="1617" spans="1:10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  <c r="I1617" t="str">
        <f t="shared" si="50"/>
        <v>America</v>
      </c>
      <c r="J1617" t="str">
        <f t="shared" si="51"/>
        <v>America</v>
      </c>
    </row>
    <row r="1618" spans="1:10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  <c r="I1618" t="str">
        <f t="shared" si="50"/>
        <v>Africa</v>
      </c>
      <c r="J1618" t="str">
        <f t="shared" si="51"/>
        <v>America</v>
      </c>
    </row>
    <row r="1619" spans="1:10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  <c r="I1619" t="str">
        <f t="shared" si="50"/>
        <v>America</v>
      </c>
      <c r="J1619" t="str">
        <f t="shared" si="51"/>
        <v>America</v>
      </c>
    </row>
    <row r="1620" spans="1:10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  <c r="I1620" t="str">
        <f t="shared" si="50"/>
        <v>America</v>
      </c>
      <c r="J1620" t="str">
        <f t="shared" si="51"/>
        <v>America</v>
      </c>
    </row>
    <row r="1621" spans="1:10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  <c r="I1621" t="str">
        <f t="shared" si="50"/>
        <v>Africa</v>
      </c>
      <c r="J1621" t="str">
        <f t="shared" si="51"/>
        <v>America</v>
      </c>
    </row>
    <row r="1622" spans="1:10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  <c r="I1622" t="str">
        <f t="shared" si="50"/>
        <v>America</v>
      </c>
      <c r="J1622" t="str">
        <f t="shared" si="51"/>
        <v>America</v>
      </c>
    </row>
    <row r="1623" spans="1:10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  <c r="I1623" t="str">
        <f t="shared" si="50"/>
        <v>America</v>
      </c>
      <c r="J1623" t="str">
        <f t="shared" si="51"/>
        <v>Asia-Pacific</v>
      </c>
    </row>
    <row r="1624" spans="1:10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  <c r="I1624" t="str">
        <f t="shared" si="50"/>
        <v>Africa</v>
      </c>
      <c r="J1624" t="str">
        <f t="shared" si="51"/>
        <v>America</v>
      </c>
    </row>
    <row r="1625" spans="1:10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  <c r="I1625" t="str">
        <f t="shared" si="50"/>
        <v>Africa</v>
      </c>
      <c r="J1625" t="str">
        <f t="shared" si="51"/>
        <v>Asia-Pacific</v>
      </c>
    </row>
    <row r="1626" spans="1:10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  <c r="I1626" t="str">
        <f t="shared" si="50"/>
        <v>Africa</v>
      </c>
      <c r="J1626" t="str">
        <f t="shared" si="51"/>
        <v>America</v>
      </c>
    </row>
    <row r="1627" spans="1:10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  <c r="I1627" t="str">
        <f t="shared" si="50"/>
        <v>Africa</v>
      </c>
      <c r="J1627" t="str">
        <f t="shared" si="51"/>
        <v>Asia-Pacific</v>
      </c>
    </row>
    <row r="1628" spans="1:10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  <c r="I1628" t="str">
        <f t="shared" si="50"/>
        <v>Africa</v>
      </c>
      <c r="J1628" t="str">
        <f t="shared" si="51"/>
        <v>America</v>
      </c>
    </row>
    <row r="1629" spans="1:10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  <c r="I1629" t="str">
        <f t="shared" si="50"/>
        <v>Asia-Pacific</v>
      </c>
      <c r="J1629" t="str">
        <f t="shared" si="51"/>
        <v>America</v>
      </c>
    </row>
    <row r="1630" spans="1:10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  <c r="I1630" t="str">
        <f t="shared" si="50"/>
        <v>America</v>
      </c>
      <c r="J1630" t="str">
        <f t="shared" si="51"/>
        <v>America</v>
      </c>
    </row>
    <row r="1631" spans="1:10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  <c r="I1631" t="str">
        <f t="shared" si="50"/>
        <v>Africa</v>
      </c>
      <c r="J1631" t="str">
        <f t="shared" si="51"/>
        <v>America</v>
      </c>
    </row>
    <row r="1632" spans="1:10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  <c r="I1632" t="str">
        <f t="shared" si="50"/>
        <v>America</v>
      </c>
      <c r="J1632" t="str">
        <f t="shared" si="51"/>
        <v>America</v>
      </c>
    </row>
    <row r="1633" spans="1:10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  <c r="I1633" t="str">
        <f t="shared" si="50"/>
        <v>America</v>
      </c>
      <c r="J1633" t="str">
        <f t="shared" si="51"/>
        <v>America</v>
      </c>
    </row>
    <row r="1634" spans="1:10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  <c r="I1634" t="str">
        <f t="shared" si="50"/>
        <v>Africa</v>
      </c>
      <c r="J1634" t="str">
        <f t="shared" si="51"/>
        <v>America</v>
      </c>
    </row>
    <row r="1635" spans="1:10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  <c r="I1635" t="str">
        <f t="shared" si="50"/>
        <v>America</v>
      </c>
      <c r="J1635" t="str">
        <f t="shared" si="51"/>
        <v>America</v>
      </c>
    </row>
    <row r="1636" spans="1:10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  <c r="I1636" t="str">
        <f t="shared" si="50"/>
        <v>Africa</v>
      </c>
      <c r="J1636" t="str">
        <f t="shared" si="51"/>
        <v>America</v>
      </c>
    </row>
    <row r="1637" spans="1:10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  <c r="I1637" t="str">
        <f t="shared" si="50"/>
        <v>America</v>
      </c>
      <c r="J1637" t="str">
        <f t="shared" si="51"/>
        <v>America</v>
      </c>
    </row>
    <row r="1638" spans="1:10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  <c r="I1638" t="str">
        <f t="shared" si="50"/>
        <v>Africa</v>
      </c>
      <c r="J1638" t="str">
        <f t="shared" si="51"/>
        <v>Asia-Pacific</v>
      </c>
    </row>
    <row r="1639" spans="1:10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  <c r="I1639" t="str">
        <f t="shared" si="50"/>
        <v>Africa</v>
      </c>
      <c r="J1639" t="str">
        <f t="shared" si="51"/>
        <v>America</v>
      </c>
    </row>
    <row r="1640" spans="1:10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  <c r="I1640" t="str">
        <f t="shared" si="50"/>
        <v>America</v>
      </c>
      <c r="J1640" t="str">
        <f t="shared" si="51"/>
        <v>Asia-Pacific</v>
      </c>
    </row>
    <row r="1641" spans="1:10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  <c r="I1641" t="str">
        <f t="shared" si="50"/>
        <v>America</v>
      </c>
      <c r="J1641" t="str">
        <f t="shared" si="51"/>
        <v>America</v>
      </c>
    </row>
    <row r="1642" spans="1:10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  <c r="I1642" t="str">
        <f t="shared" si="50"/>
        <v>America</v>
      </c>
      <c r="J1642" t="str">
        <f t="shared" si="51"/>
        <v>America</v>
      </c>
    </row>
    <row r="1643" spans="1:10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  <c r="I1643" t="str">
        <f t="shared" si="50"/>
        <v>Africa</v>
      </c>
      <c r="J1643" t="str">
        <f t="shared" si="51"/>
        <v>America</v>
      </c>
    </row>
    <row r="1644" spans="1:10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  <c r="I1644" t="str">
        <f t="shared" si="50"/>
        <v>Africa</v>
      </c>
      <c r="J1644" t="str">
        <f t="shared" si="51"/>
        <v>America</v>
      </c>
    </row>
    <row r="1645" spans="1:10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  <c r="I1645" t="str">
        <f t="shared" si="50"/>
        <v>America</v>
      </c>
      <c r="J1645" t="str">
        <f t="shared" si="51"/>
        <v>America</v>
      </c>
    </row>
    <row r="1646" spans="1:10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  <c r="I1646" t="str">
        <f t="shared" si="50"/>
        <v>America</v>
      </c>
      <c r="J1646" t="str">
        <f t="shared" si="51"/>
        <v>America</v>
      </c>
    </row>
    <row r="1647" spans="1:10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  <c r="I1647" t="str">
        <f t="shared" si="50"/>
        <v>America</v>
      </c>
      <c r="J1647" t="str">
        <f t="shared" si="51"/>
        <v>Asia-Pacific</v>
      </c>
    </row>
    <row r="1648" spans="1:10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  <c r="I1648" t="str">
        <f t="shared" si="50"/>
        <v>America</v>
      </c>
      <c r="J1648" t="str">
        <f t="shared" si="51"/>
        <v>Asia-Pacific</v>
      </c>
    </row>
    <row r="1649" spans="1:10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  <c r="I1649" t="str">
        <f t="shared" si="50"/>
        <v>Africa</v>
      </c>
      <c r="J1649" t="str">
        <f t="shared" si="51"/>
        <v>Asia-Pacific</v>
      </c>
    </row>
    <row r="1650" spans="1:10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  <c r="I1650" t="str">
        <f t="shared" si="50"/>
        <v>Africa</v>
      </c>
      <c r="J1650" t="str">
        <f t="shared" si="51"/>
        <v>America</v>
      </c>
    </row>
    <row r="1651" spans="1:10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  <c r="I1651" t="str">
        <f t="shared" si="50"/>
        <v>Africa</v>
      </c>
      <c r="J1651" t="str">
        <f t="shared" si="51"/>
        <v>America</v>
      </c>
    </row>
    <row r="1652" spans="1:10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  <c r="I1652" t="str">
        <f t="shared" si="50"/>
        <v>Asia-Pacific</v>
      </c>
      <c r="J1652" t="str">
        <f t="shared" si="51"/>
        <v>America</v>
      </c>
    </row>
    <row r="1653" spans="1:10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  <c r="I1653" t="str">
        <f t="shared" si="50"/>
        <v>Africa</v>
      </c>
      <c r="J1653" t="str">
        <f t="shared" si="51"/>
        <v>America</v>
      </c>
    </row>
    <row r="1654" spans="1:10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  <c r="I1654" t="str">
        <f t="shared" si="50"/>
        <v>Africa</v>
      </c>
      <c r="J1654" t="str">
        <f t="shared" si="51"/>
        <v>America</v>
      </c>
    </row>
    <row r="1655" spans="1:10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  <c r="I1655" t="str">
        <f t="shared" si="50"/>
        <v>Africa</v>
      </c>
      <c r="J1655" t="str">
        <f t="shared" si="51"/>
        <v>America</v>
      </c>
    </row>
    <row r="1656" spans="1:10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  <c r="I1656" t="str">
        <f t="shared" si="50"/>
        <v>America</v>
      </c>
      <c r="J1656" t="str">
        <f t="shared" si="51"/>
        <v>America</v>
      </c>
    </row>
    <row r="1657" spans="1:10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  <c r="I1657" t="str">
        <f t="shared" si="50"/>
        <v>Africa</v>
      </c>
      <c r="J1657" t="str">
        <f t="shared" si="51"/>
        <v>America</v>
      </c>
    </row>
    <row r="1658" spans="1:10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  <c r="I1658" t="str">
        <f t="shared" si="50"/>
        <v>Asia-Pacific</v>
      </c>
      <c r="J1658" t="str">
        <f t="shared" si="51"/>
        <v>America</v>
      </c>
    </row>
    <row r="1659" spans="1:10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  <c r="I1659" t="str">
        <f t="shared" si="50"/>
        <v>Africa</v>
      </c>
      <c r="J1659" t="str">
        <f t="shared" si="51"/>
        <v>America</v>
      </c>
    </row>
    <row r="1660" spans="1:10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  <c r="I1660" t="str">
        <f t="shared" si="50"/>
        <v>Africa</v>
      </c>
      <c r="J1660" t="str">
        <f t="shared" si="51"/>
        <v>Asia-Pacific</v>
      </c>
    </row>
    <row r="1661" spans="1:10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  <c r="I1661" t="str">
        <f t="shared" si="50"/>
        <v>Africa</v>
      </c>
      <c r="J1661" t="str">
        <f t="shared" si="51"/>
        <v>America</v>
      </c>
    </row>
    <row r="1662" spans="1:10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  <c r="I1662" t="str">
        <f t="shared" si="50"/>
        <v>Africa</v>
      </c>
      <c r="J1662" t="str">
        <f t="shared" si="51"/>
        <v>Asia-Pacific</v>
      </c>
    </row>
    <row r="1663" spans="1:10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  <c r="I1663" t="str">
        <f t="shared" si="50"/>
        <v>Africa</v>
      </c>
      <c r="J1663" t="str">
        <f t="shared" si="51"/>
        <v>America</v>
      </c>
    </row>
    <row r="1664" spans="1:10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  <c r="I1664" t="str">
        <f t="shared" si="50"/>
        <v>Africa</v>
      </c>
      <c r="J1664" t="str">
        <f t="shared" si="51"/>
        <v>Asia-Pacific</v>
      </c>
    </row>
    <row r="1665" spans="1:10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  <c r="I1665" t="str">
        <f t="shared" si="50"/>
        <v>Africa</v>
      </c>
      <c r="J1665" t="str">
        <f t="shared" si="51"/>
        <v>America</v>
      </c>
    </row>
    <row r="1666" spans="1:10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  <c r="I1666" t="str">
        <f t="shared" si="50"/>
        <v>Africa</v>
      </c>
      <c r="J1666" t="str">
        <f t="shared" si="51"/>
        <v>America</v>
      </c>
    </row>
    <row r="1667" spans="1:10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  <c r="I1667" t="str">
        <f t="shared" ref="I1667:I1730" si="52">_xlfn.XLOOKUP(H1667, $M$2:$M$50, $N$2:$N$50, "Other")</f>
        <v>Africa</v>
      </c>
      <c r="J1667" t="str">
        <f t="shared" ref="J1667:J1730" si="53">_xlfn.XLOOKUP(G1667, $M$2:$M$50, $N$2:$N$50, "Other")</f>
        <v>Asia-Pacific</v>
      </c>
    </row>
    <row r="1668" spans="1:10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  <c r="I1668" t="str">
        <f t="shared" si="52"/>
        <v>Asia-Pacific</v>
      </c>
      <c r="J1668" t="str">
        <f t="shared" si="53"/>
        <v>Asia-Pacific</v>
      </c>
    </row>
    <row r="1669" spans="1:10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  <c r="I1669" t="str">
        <f t="shared" si="52"/>
        <v>Asia-Pacific</v>
      </c>
      <c r="J1669" t="str">
        <f t="shared" si="53"/>
        <v>America</v>
      </c>
    </row>
    <row r="1670" spans="1:10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  <c r="I1670" t="str">
        <f t="shared" si="52"/>
        <v>Africa</v>
      </c>
      <c r="J1670" t="str">
        <f t="shared" si="53"/>
        <v>America</v>
      </c>
    </row>
    <row r="1671" spans="1:10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  <c r="I1671" t="str">
        <f t="shared" si="52"/>
        <v>Africa</v>
      </c>
      <c r="J1671" t="str">
        <f t="shared" si="53"/>
        <v>America</v>
      </c>
    </row>
    <row r="1672" spans="1:10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  <c r="I1672" t="str">
        <f t="shared" si="52"/>
        <v>Africa</v>
      </c>
      <c r="J1672" t="str">
        <f t="shared" si="53"/>
        <v>America</v>
      </c>
    </row>
    <row r="1673" spans="1:10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  <c r="I1673" t="str">
        <f t="shared" si="52"/>
        <v>America</v>
      </c>
      <c r="J1673" t="str">
        <f t="shared" si="53"/>
        <v>America</v>
      </c>
    </row>
    <row r="1674" spans="1:10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  <c r="I1674" t="str">
        <f t="shared" si="52"/>
        <v>Africa</v>
      </c>
      <c r="J1674" t="str">
        <f t="shared" si="53"/>
        <v>Asia-Pacific</v>
      </c>
    </row>
    <row r="1675" spans="1:10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  <c r="I1675" t="str">
        <f t="shared" si="52"/>
        <v>Africa</v>
      </c>
      <c r="J1675" t="str">
        <f t="shared" si="53"/>
        <v>America</v>
      </c>
    </row>
    <row r="1676" spans="1:10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  <c r="I1676" t="str">
        <f t="shared" si="52"/>
        <v>America</v>
      </c>
      <c r="J1676" t="str">
        <f t="shared" si="53"/>
        <v>America</v>
      </c>
    </row>
    <row r="1677" spans="1:10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  <c r="I1677" t="str">
        <f t="shared" si="52"/>
        <v>Africa</v>
      </c>
      <c r="J1677" t="str">
        <f t="shared" si="53"/>
        <v>Asia-Pacific</v>
      </c>
    </row>
    <row r="1678" spans="1:10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  <c r="I1678" t="str">
        <f t="shared" si="52"/>
        <v>America</v>
      </c>
      <c r="J1678" t="str">
        <f t="shared" si="53"/>
        <v>America</v>
      </c>
    </row>
    <row r="1679" spans="1:10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  <c r="I1679" t="str">
        <f t="shared" si="52"/>
        <v>Africa</v>
      </c>
      <c r="J1679" t="str">
        <f t="shared" si="53"/>
        <v>America</v>
      </c>
    </row>
    <row r="1680" spans="1:10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  <c r="I1680" t="str">
        <f t="shared" si="52"/>
        <v>America</v>
      </c>
      <c r="J1680" t="str">
        <f t="shared" si="53"/>
        <v>America</v>
      </c>
    </row>
    <row r="1681" spans="1:10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  <c r="I1681" t="str">
        <f t="shared" si="52"/>
        <v>America</v>
      </c>
      <c r="J1681" t="str">
        <f t="shared" si="53"/>
        <v>America</v>
      </c>
    </row>
    <row r="1682" spans="1:10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  <c r="I1682" t="str">
        <f t="shared" si="52"/>
        <v>America</v>
      </c>
      <c r="J1682" t="str">
        <f t="shared" si="53"/>
        <v>America</v>
      </c>
    </row>
    <row r="1683" spans="1:10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  <c r="I1683" t="str">
        <f t="shared" si="52"/>
        <v>America</v>
      </c>
      <c r="J1683" t="str">
        <f t="shared" si="53"/>
        <v>America</v>
      </c>
    </row>
    <row r="1684" spans="1:10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  <c r="I1684" t="str">
        <f t="shared" si="52"/>
        <v>America</v>
      </c>
      <c r="J1684" t="str">
        <f t="shared" si="53"/>
        <v>America</v>
      </c>
    </row>
    <row r="1685" spans="1:10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  <c r="I1685" t="str">
        <f t="shared" si="52"/>
        <v>Africa</v>
      </c>
      <c r="J1685" t="str">
        <f t="shared" si="53"/>
        <v>Asia-Pacific</v>
      </c>
    </row>
    <row r="1686" spans="1:10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  <c r="I1686" t="str">
        <f t="shared" si="52"/>
        <v>America</v>
      </c>
      <c r="J1686" t="str">
        <f t="shared" si="53"/>
        <v>America</v>
      </c>
    </row>
    <row r="1687" spans="1:10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  <c r="I1687" t="str">
        <f t="shared" si="52"/>
        <v>Africa</v>
      </c>
      <c r="J1687" t="str">
        <f t="shared" si="53"/>
        <v>America</v>
      </c>
    </row>
    <row r="1688" spans="1:10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  <c r="I1688" t="str">
        <f t="shared" si="52"/>
        <v>America</v>
      </c>
      <c r="J1688" t="str">
        <f t="shared" si="53"/>
        <v>America</v>
      </c>
    </row>
    <row r="1689" spans="1:10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  <c r="I1689" t="str">
        <f t="shared" si="52"/>
        <v>Africa</v>
      </c>
      <c r="J1689" t="str">
        <f t="shared" si="53"/>
        <v>America</v>
      </c>
    </row>
    <row r="1690" spans="1:10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  <c r="I1690" t="str">
        <f t="shared" si="52"/>
        <v>Africa</v>
      </c>
      <c r="J1690" t="str">
        <f t="shared" si="53"/>
        <v>America</v>
      </c>
    </row>
    <row r="1691" spans="1:10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  <c r="I1691" t="str">
        <f t="shared" si="52"/>
        <v>America</v>
      </c>
      <c r="J1691" t="str">
        <f t="shared" si="53"/>
        <v>America</v>
      </c>
    </row>
    <row r="1692" spans="1:10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  <c r="I1692" t="str">
        <f t="shared" si="52"/>
        <v>Africa</v>
      </c>
      <c r="J1692" t="str">
        <f t="shared" si="53"/>
        <v>America</v>
      </c>
    </row>
    <row r="1693" spans="1:10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  <c r="I1693" t="str">
        <f t="shared" si="52"/>
        <v>Africa</v>
      </c>
      <c r="J1693" t="str">
        <f t="shared" si="53"/>
        <v>America</v>
      </c>
    </row>
    <row r="1694" spans="1:10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  <c r="I1694" t="str">
        <f t="shared" si="52"/>
        <v>Africa</v>
      </c>
      <c r="J1694" t="str">
        <f t="shared" si="53"/>
        <v>America</v>
      </c>
    </row>
    <row r="1695" spans="1:10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  <c r="I1695" t="str">
        <f t="shared" si="52"/>
        <v>Africa</v>
      </c>
      <c r="J1695" t="str">
        <f t="shared" si="53"/>
        <v>Asia-Pacific</v>
      </c>
    </row>
    <row r="1696" spans="1:10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  <c r="I1696" t="str">
        <f t="shared" si="52"/>
        <v>America</v>
      </c>
      <c r="J1696" t="str">
        <f t="shared" si="53"/>
        <v>America</v>
      </c>
    </row>
    <row r="1697" spans="1:10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  <c r="I1697" t="str">
        <f t="shared" si="52"/>
        <v>Africa</v>
      </c>
      <c r="J1697" t="str">
        <f t="shared" si="53"/>
        <v>America</v>
      </c>
    </row>
    <row r="1698" spans="1:10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  <c r="I1698" t="str">
        <f t="shared" si="52"/>
        <v>Africa</v>
      </c>
      <c r="J1698" t="str">
        <f t="shared" si="53"/>
        <v>America</v>
      </c>
    </row>
    <row r="1699" spans="1:10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  <c r="I1699" t="str">
        <f t="shared" si="52"/>
        <v>Africa</v>
      </c>
      <c r="J1699" t="str">
        <f t="shared" si="53"/>
        <v>America</v>
      </c>
    </row>
    <row r="1700" spans="1:10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  <c r="I1700" t="str">
        <f t="shared" si="52"/>
        <v>America</v>
      </c>
      <c r="J1700" t="str">
        <f t="shared" si="53"/>
        <v>America</v>
      </c>
    </row>
    <row r="1701" spans="1:10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  <c r="I1701" t="str">
        <f t="shared" si="52"/>
        <v>America</v>
      </c>
      <c r="J1701" t="str">
        <f t="shared" si="53"/>
        <v>America</v>
      </c>
    </row>
    <row r="1702" spans="1:10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  <c r="I1702" t="str">
        <f t="shared" si="52"/>
        <v>Africa</v>
      </c>
      <c r="J1702" t="str">
        <f t="shared" si="53"/>
        <v>America</v>
      </c>
    </row>
    <row r="1703" spans="1:10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  <c r="I1703" t="str">
        <f t="shared" si="52"/>
        <v>America</v>
      </c>
      <c r="J1703" t="str">
        <f t="shared" si="53"/>
        <v>America</v>
      </c>
    </row>
    <row r="1704" spans="1:10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  <c r="I1704" t="str">
        <f t="shared" si="52"/>
        <v>Africa</v>
      </c>
      <c r="J1704" t="str">
        <f t="shared" si="53"/>
        <v>Asia-Pacific</v>
      </c>
    </row>
    <row r="1705" spans="1:10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  <c r="I1705" t="str">
        <f t="shared" si="52"/>
        <v>Africa</v>
      </c>
      <c r="J1705" t="str">
        <f t="shared" si="53"/>
        <v>Asia-Pacific</v>
      </c>
    </row>
    <row r="1706" spans="1:10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  <c r="I1706" t="str">
        <f t="shared" si="52"/>
        <v>America</v>
      </c>
      <c r="J1706" t="str">
        <f t="shared" si="53"/>
        <v>America</v>
      </c>
    </row>
    <row r="1707" spans="1:10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  <c r="I1707" t="str">
        <f t="shared" si="52"/>
        <v>Africa</v>
      </c>
      <c r="J1707" t="str">
        <f t="shared" si="53"/>
        <v>America</v>
      </c>
    </row>
    <row r="1708" spans="1:10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  <c r="I1708" t="str">
        <f t="shared" si="52"/>
        <v>Africa</v>
      </c>
      <c r="J1708" t="str">
        <f t="shared" si="53"/>
        <v>America</v>
      </c>
    </row>
    <row r="1709" spans="1:10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  <c r="I1709" t="str">
        <f t="shared" si="52"/>
        <v>America</v>
      </c>
      <c r="J1709" t="str">
        <f t="shared" si="53"/>
        <v>America</v>
      </c>
    </row>
    <row r="1710" spans="1:10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  <c r="I1710" t="str">
        <f t="shared" si="52"/>
        <v>Africa</v>
      </c>
      <c r="J1710" t="str">
        <f t="shared" si="53"/>
        <v>America</v>
      </c>
    </row>
    <row r="1711" spans="1:10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  <c r="I1711" t="str">
        <f t="shared" si="52"/>
        <v>America</v>
      </c>
      <c r="J1711" t="str">
        <f t="shared" si="53"/>
        <v>America</v>
      </c>
    </row>
    <row r="1712" spans="1:10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  <c r="I1712" t="str">
        <f t="shared" si="52"/>
        <v>America</v>
      </c>
      <c r="J1712" t="str">
        <f t="shared" si="53"/>
        <v>Asia-Pacific</v>
      </c>
    </row>
    <row r="1713" spans="1:10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  <c r="I1713" t="str">
        <f t="shared" si="52"/>
        <v>America</v>
      </c>
      <c r="J1713" t="str">
        <f t="shared" si="53"/>
        <v>America</v>
      </c>
    </row>
    <row r="1714" spans="1:10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  <c r="I1714" t="str">
        <f t="shared" si="52"/>
        <v>Africa</v>
      </c>
      <c r="J1714" t="str">
        <f t="shared" si="53"/>
        <v>America</v>
      </c>
    </row>
    <row r="1715" spans="1:10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  <c r="I1715" t="str">
        <f t="shared" si="52"/>
        <v>America</v>
      </c>
      <c r="J1715" t="str">
        <f t="shared" si="53"/>
        <v>America</v>
      </c>
    </row>
    <row r="1716" spans="1:10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  <c r="I1716" t="str">
        <f t="shared" si="52"/>
        <v>America</v>
      </c>
      <c r="J1716" t="str">
        <f t="shared" si="53"/>
        <v>America</v>
      </c>
    </row>
    <row r="1717" spans="1:10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  <c r="I1717" t="str">
        <f t="shared" si="52"/>
        <v>Africa</v>
      </c>
      <c r="J1717" t="str">
        <f t="shared" si="53"/>
        <v>America</v>
      </c>
    </row>
    <row r="1718" spans="1:10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  <c r="I1718" t="str">
        <f t="shared" si="52"/>
        <v>Africa</v>
      </c>
      <c r="J1718" t="str">
        <f t="shared" si="53"/>
        <v>America</v>
      </c>
    </row>
    <row r="1719" spans="1:10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  <c r="I1719" t="str">
        <f t="shared" si="52"/>
        <v>Africa</v>
      </c>
      <c r="J1719" t="str">
        <f t="shared" si="53"/>
        <v>America</v>
      </c>
    </row>
    <row r="1720" spans="1:10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  <c r="I1720" t="str">
        <f t="shared" si="52"/>
        <v>Africa</v>
      </c>
      <c r="J1720" t="str">
        <f t="shared" si="53"/>
        <v>America</v>
      </c>
    </row>
    <row r="1721" spans="1:10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  <c r="I1721" t="str">
        <f t="shared" si="52"/>
        <v>Africa</v>
      </c>
      <c r="J1721" t="str">
        <f t="shared" si="53"/>
        <v>Asia-Pacific</v>
      </c>
    </row>
    <row r="1722" spans="1:10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  <c r="I1722" t="str">
        <f t="shared" si="52"/>
        <v>Africa</v>
      </c>
      <c r="J1722" t="str">
        <f t="shared" si="53"/>
        <v>Asia-Pacific</v>
      </c>
    </row>
    <row r="1723" spans="1:10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  <c r="I1723" t="str">
        <f t="shared" si="52"/>
        <v>Africa</v>
      </c>
      <c r="J1723" t="str">
        <f t="shared" si="53"/>
        <v>Asia-Pacific</v>
      </c>
    </row>
    <row r="1724" spans="1:10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  <c r="I1724" t="str">
        <f t="shared" si="52"/>
        <v>Asia-Pacific</v>
      </c>
      <c r="J1724" t="str">
        <f t="shared" si="53"/>
        <v>Asia-Pacific</v>
      </c>
    </row>
    <row r="1725" spans="1:10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  <c r="I1725" t="str">
        <f t="shared" si="52"/>
        <v>Africa</v>
      </c>
      <c r="J1725" t="str">
        <f t="shared" si="53"/>
        <v>Asia-Pacific</v>
      </c>
    </row>
    <row r="1726" spans="1:10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  <c r="I1726" t="str">
        <f t="shared" si="52"/>
        <v>America</v>
      </c>
      <c r="J1726" t="str">
        <f t="shared" si="53"/>
        <v>America</v>
      </c>
    </row>
    <row r="1727" spans="1:10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  <c r="I1727" t="str">
        <f t="shared" si="52"/>
        <v>NULL</v>
      </c>
      <c r="J1727" t="str">
        <f t="shared" si="53"/>
        <v>America</v>
      </c>
    </row>
    <row r="1728" spans="1:10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  <c r="I1728" t="str">
        <f t="shared" si="52"/>
        <v>America</v>
      </c>
      <c r="J1728" t="str">
        <f t="shared" si="53"/>
        <v>America</v>
      </c>
    </row>
    <row r="1729" spans="1:10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  <c r="I1729" t="str">
        <f t="shared" si="52"/>
        <v>America</v>
      </c>
      <c r="J1729" t="str">
        <f t="shared" si="53"/>
        <v>America</v>
      </c>
    </row>
    <row r="1730" spans="1:10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  <c r="I1730" t="str">
        <f t="shared" si="52"/>
        <v>America</v>
      </c>
      <c r="J1730" t="str">
        <f t="shared" si="53"/>
        <v>America</v>
      </c>
    </row>
    <row r="1731" spans="1:10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  <c r="I1731" t="str">
        <f t="shared" ref="I1731:I1794" si="54">_xlfn.XLOOKUP(H1731, $M$2:$M$50, $N$2:$N$50, "Other")</f>
        <v>NULL</v>
      </c>
      <c r="J1731" t="str">
        <f t="shared" ref="J1731:J1794" si="55">_xlfn.XLOOKUP(G1731, $M$2:$M$50, $N$2:$N$50, "Other")</f>
        <v>America</v>
      </c>
    </row>
    <row r="1732" spans="1:10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  <c r="I1732" t="str">
        <f t="shared" si="54"/>
        <v>NULL</v>
      </c>
      <c r="J1732" t="str">
        <f t="shared" si="55"/>
        <v>Asia-Pacific</v>
      </c>
    </row>
    <row r="1733" spans="1:10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  <c r="I1733" t="str">
        <f t="shared" si="54"/>
        <v>America</v>
      </c>
      <c r="J1733" t="str">
        <f t="shared" si="55"/>
        <v>America</v>
      </c>
    </row>
    <row r="1734" spans="1:10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  <c r="I1734" t="str">
        <f t="shared" si="54"/>
        <v>America</v>
      </c>
      <c r="J1734" t="str">
        <f t="shared" si="55"/>
        <v>America</v>
      </c>
    </row>
    <row r="1735" spans="1:10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  <c r="I1735" t="str">
        <f t="shared" si="54"/>
        <v>Africa</v>
      </c>
      <c r="J1735" t="str">
        <f t="shared" si="55"/>
        <v>America</v>
      </c>
    </row>
    <row r="1736" spans="1:10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  <c r="I1736" t="str">
        <f t="shared" si="54"/>
        <v>America</v>
      </c>
      <c r="J1736" t="str">
        <f t="shared" si="55"/>
        <v>America</v>
      </c>
    </row>
    <row r="1737" spans="1:10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  <c r="I1737" t="str">
        <f t="shared" si="54"/>
        <v>America</v>
      </c>
      <c r="J1737" t="str">
        <f t="shared" si="55"/>
        <v>America</v>
      </c>
    </row>
    <row r="1738" spans="1:10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  <c r="I1738" t="str">
        <f t="shared" si="54"/>
        <v>Africa</v>
      </c>
      <c r="J1738" t="str">
        <f t="shared" si="55"/>
        <v>America</v>
      </c>
    </row>
    <row r="1739" spans="1:10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  <c r="I1739" t="str">
        <f t="shared" si="54"/>
        <v>America</v>
      </c>
      <c r="J1739" t="str">
        <f t="shared" si="55"/>
        <v>America</v>
      </c>
    </row>
    <row r="1740" spans="1:10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  <c r="I1740" t="str">
        <f t="shared" si="54"/>
        <v>Africa</v>
      </c>
      <c r="J1740" t="str">
        <f t="shared" si="55"/>
        <v>Asia-Pacific</v>
      </c>
    </row>
    <row r="1741" spans="1:10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  <c r="I1741" t="str">
        <f t="shared" si="54"/>
        <v>America</v>
      </c>
      <c r="J1741" t="str">
        <f t="shared" si="55"/>
        <v>America</v>
      </c>
    </row>
    <row r="1742" spans="1:10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  <c r="I1742" t="str">
        <f t="shared" si="54"/>
        <v>America</v>
      </c>
      <c r="J1742" t="str">
        <f t="shared" si="55"/>
        <v>America</v>
      </c>
    </row>
    <row r="1743" spans="1:10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  <c r="I1743" t="str">
        <f t="shared" si="54"/>
        <v>America</v>
      </c>
      <c r="J1743" t="str">
        <f t="shared" si="55"/>
        <v>America</v>
      </c>
    </row>
    <row r="1744" spans="1:10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  <c r="I1744" t="str">
        <f t="shared" si="54"/>
        <v>Africa</v>
      </c>
      <c r="J1744" t="str">
        <f t="shared" si="55"/>
        <v>America</v>
      </c>
    </row>
    <row r="1745" spans="1:10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  <c r="I1745" t="str">
        <f t="shared" si="54"/>
        <v>America</v>
      </c>
      <c r="J1745" t="str">
        <f t="shared" si="55"/>
        <v>America</v>
      </c>
    </row>
    <row r="1746" spans="1:10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  <c r="I1746" t="str">
        <f t="shared" si="54"/>
        <v>America</v>
      </c>
      <c r="J1746" t="str">
        <f t="shared" si="55"/>
        <v>America</v>
      </c>
    </row>
    <row r="1747" spans="1:10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  <c r="I1747" t="str">
        <f t="shared" si="54"/>
        <v>Africa</v>
      </c>
      <c r="J1747" t="str">
        <f t="shared" si="55"/>
        <v>America</v>
      </c>
    </row>
    <row r="1748" spans="1:10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  <c r="I1748" t="str">
        <f t="shared" si="54"/>
        <v>America</v>
      </c>
      <c r="J1748" t="str">
        <f t="shared" si="55"/>
        <v>America</v>
      </c>
    </row>
    <row r="1749" spans="1:10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  <c r="I1749" t="str">
        <f t="shared" si="54"/>
        <v>NULL</v>
      </c>
      <c r="J1749" t="str">
        <f t="shared" si="55"/>
        <v>America</v>
      </c>
    </row>
    <row r="1750" spans="1:10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  <c r="I1750" t="str">
        <f t="shared" si="54"/>
        <v>Africa</v>
      </c>
      <c r="J1750" t="str">
        <f t="shared" si="55"/>
        <v>America</v>
      </c>
    </row>
    <row r="1751" spans="1:10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  <c r="I1751" t="str">
        <f t="shared" si="54"/>
        <v>Africa</v>
      </c>
      <c r="J1751" t="str">
        <f t="shared" si="55"/>
        <v>America</v>
      </c>
    </row>
    <row r="1752" spans="1:10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  <c r="I1752" t="str">
        <f t="shared" si="54"/>
        <v>America</v>
      </c>
      <c r="J1752" t="str">
        <f t="shared" si="55"/>
        <v>America</v>
      </c>
    </row>
    <row r="1753" spans="1:10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  <c r="I1753" t="str">
        <f t="shared" si="54"/>
        <v>Africa</v>
      </c>
      <c r="J1753" t="str">
        <f t="shared" si="55"/>
        <v>America</v>
      </c>
    </row>
    <row r="1754" spans="1:10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  <c r="I1754" t="str">
        <f t="shared" si="54"/>
        <v>America</v>
      </c>
      <c r="J1754" t="str">
        <f t="shared" si="55"/>
        <v>America</v>
      </c>
    </row>
    <row r="1755" spans="1:10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  <c r="I1755" t="str">
        <f t="shared" si="54"/>
        <v>America</v>
      </c>
      <c r="J1755" t="str">
        <f t="shared" si="55"/>
        <v>Asia-Pacific</v>
      </c>
    </row>
    <row r="1756" spans="1:10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  <c r="I1756" t="str">
        <f t="shared" si="54"/>
        <v>Africa</v>
      </c>
      <c r="J1756" t="str">
        <f t="shared" si="55"/>
        <v>America</v>
      </c>
    </row>
    <row r="1757" spans="1:10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  <c r="I1757" t="str">
        <f t="shared" si="54"/>
        <v>Africa</v>
      </c>
      <c r="J1757" t="str">
        <f t="shared" si="55"/>
        <v>Asia-Pacific</v>
      </c>
    </row>
    <row r="1758" spans="1:10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  <c r="I1758" t="str">
        <f t="shared" si="54"/>
        <v>America</v>
      </c>
      <c r="J1758" t="str">
        <f t="shared" si="55"/>
        <v>Asia-Pacific</v>
      </c>
    </row>
    <row r="1759" spans="1:10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  <c r="I1759" t="str">
        <f t="shared" si="54"/>
        <v>Africa</v>
      </c>
      <c r="J1759" t="str">
        <f t="shared" si="55"/>
        <v>America</v>
      </c>
    </row>
    <row r="1760" spans="1:10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  <c r="I1760" t="str">
        <f t="shared" si="54"/>
        <v>Africa</v>
      </c>
      <c r="J1760" t="str">
        <f t="shared" si="55"/>
        <v>America</v>
      </c>
    </row>
    <row r="1761" spans="1:10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  <c r="I1761" t="str">
        <f t="shared" si="54"/>
        <v>America</v>
      </c>
      <c r="J1761" t="str">
        <f t="shared" si="55"/>
        <v>America</v>
      </c>
    </row>
    <row r="1762" spans="1:10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  <c r="I1762" t="str">
        <f t="shared" si="54"/>
        <v>Africa</v>
      </c>
      <c r="J1762" t="str">
        <f t="shared" si="55"/>
        <v>America</v>
      </c>
    </row>
    <row r="1763" spans="1:10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  <c r="I1763" t="str">
        <f t="shared" si="54"/>
        <v>Africa</v>
      </c>
      <c r="J1763" t="str">
        <f t="shared" si="55"/>
        <v>America</v>
      </c>
    </row>
    <row r="1764" spans="1:10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  <c r="I1764" t="str">
        <f t="shared" si="54"/>
        <v>Africa</v>
      </c>
      <c r="J1764" t="str">
        <f t="shared" si="55"/>
        <v>America</v>
      </c>
    </row>
    <row r="1765" spans="1:10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  <c r="I1765" t="str">
        <f t="shared" si="54"/>
        <v>Africa</v>
      </c>
      <c r="J1765" t="str">
        <f t="shared" si="55"/>
        <v>America</v>
      </c>
    </row>
    <row r="1766" spans="1:10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  <c r="I1766" t="str">
        <f t="shared" si="54"/>
        <v>Africa</v>
      </c>
      <c r="J1766" t="str">
        <f t="shared" si="55"/>
        <v>America</v>
      </c>
    </row>
    <row r="1767" spans="1:10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  <c r="I1767" t="str">
        <f t="shared" si="54"/>
        <v>America</v>
      </c>
      <c r="J1767" t="str">
        <f t="shared" si="55"/>
        <v>America</v>
      </c>
    </row>
    <row r="1768" spans="1:10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  <c r="I1768" t="str">
        <f t="shared" si="54"/>
        <v>NULL</v>
      </c>
      <c r="J1768" t="str">
        <f t="shared" si="55"/>
        <v>America</v>
      </c>
    </row>
    <row r="1769" spans="1:10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  <c r="I1769" t="str">
        <f t="shared" si="54"/>
        <v>America</v>
      </c>
      <c r="J1769" t="str">
        <f t="shared" si="55"/>
        <v>America</v>
      </c>
    </row>
    <row r="1770" spans="1:10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  <c r="I1770" t="str">
        <f t="shared" si="54"/>
        <v>America</v>
      </c>
      <c r="J1770" t="str">
        <f t="shared" si="55"/>
        <v>America</v>
      </c>
    </row>
    <row r="1771" spans="1:10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  <c r="I1771" t="str">
        <f t="shared" si="54"/>
        <v>NULL</v>
      </c>
      <c r="J1771" t="str">
        <f t="shared" si="55"/>
        <v>America</v>
      </c>
    </row>
    <row r="1772" spans="1:10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  <c r="I1772" t="str">
        <f t="shared" si="54"/>
        <v>Africa</v>
      </c>
      <c r="J1772" t="str">
        <f t="shared" si="55"/>
        <v>America</v>
      </c>
    </row>
    <row r="1773" spans="1:10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  <c r="I1773" t="str">
        <f t="shared" si="54"/>
        <v>Africa</v>
      </c>
      <c r="J1773" t="str">
        <f t="shared" si="55"/>
        <v>America</v>
      </c>
    </row>
    <row r="1774" spans="1:10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  <c r="I1774" t="str">
        <f t="shared" si="54"/>
        <v>Africa</v>
      </c>
      <c r="J1774" t="str">
        <f t="shared" si="55"/>
        <v>America</v>
      </c>
    </row>
    <row r="1775" spans="1:10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  <c r="I1775" t="str">
        <f t="shared" si="54"/>
        <v>Africa</v>
      </c>
      <c r="J1775" t="str">
        <f t="shared" si="55"/>
        <v>America</v>
      </c>
    </row>
    <row r="1776" spans="1:10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  <c r="I1776" t="str">
        <f t="shared" si="54"/>
        <v>America</v>
      </c>
      <c r="J1776" t="str">
        <f t="shared" si="55"/>
        <v>America</v>
      </c>
    </row>
    <row r="1777" spans="1:10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  <c r="I1777" t="str">
        <f t="shared" si="54"/>
        <v>Africa</v>
      </c>
      <c r="J1777" t="str">
        <f t="shared" si="55"/>
        <v>America</v>
      </c>
    </row>
    <row r="1778" spans="1:10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  <c r="I1778" t="str">
        <f t="shared" si="54"/>
        <v>Africa</v>
      </c>
      <c r="J1778" t="str">
        <f t="shared" si="55"/>
        <v>Asia-Pacific</v>
      </c>
    </row>
    <row r="1779" spans="1:10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  <c r="I1779" t="str">
        <f t="shared" si="54"/>
        <v>Africa</v>
      </c>
      <c r="J1779" t="str">
        <f t="shared" si="55"/>
        <v>America</v>
      </c>
    </row>
    <row r="1780" spans="1:10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  <c r="I1780" t="str">
        <f t="shared" si="54"/>
        <v>NULL</v>
      </c>
      <c r="J1780" t="str">
        <f t="shared" si="55"/>
        <v>America</v>
      </c>
    </row>
    <row r="1781" spans="1:10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  <c r="I1781" t="str">
        <f t="shared" si="54"/>
        <v>America</v>
      </c>
      <c r="J1781" t="str">
        <f t="shared" si="55"/>
        <v>Asia-Pacific</v>
      </c>
    </row>
    <row r="1782" spans="1:10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  <c r="I1782" t="str">
        <f t="shared" si="54"/>
        <v>America</v>
      </c>
      <c r="J1782" t="str">
        <f t="shared" si="55"/>
        <v>America</v>
      </c>
    </row>
    <row r="1783" spans="1:10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  <c r="I1783" t="str">
        <f t="shared" si="54"/>
        <v>NULL</v>
      </c>
      <c r="J1783" t="str">
        <f t="shared" si="55"/>
        <v>Asia-Pacific</v>
      </c>
    </row>
    <row r="1784" spans="1:10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  <c r="I1784" t="str">
        <f t="shared" si="54"/>
        <v>America</v>
      </c>
      <c r="J1784" t="str">
        <f t="shared" si="55"/>
        <v>America</v>
      </c>
    </row>
    <row r="1785" spans="1:10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  <c r="I1785" t="str">
        <f t="shared" si="54"/>
        <v>Asia-Pacific</v>
      </c>
      <c r="J1785" t="str">
        <f t="shared" si="55"/>
        <v>America</v>
      </c>
    </row>
    <row r="1786" spans="1:10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  <c r="I1786" t="str">
        <f t="shared" si="54"/>
        <v>NULL</v>
      </c>
      <c r="J1786" t="str">
        <f t="shared" si="55"/>
        <v>Asia-Pacific</v>
      </c>
    </row>
    <row r="1787" spans="1:10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  <c r="I1787" t="str">
        <f t="shared" si="54"/>
        <v>NULL</v>
      </c>
      <c r="J1787" t="str">
        <f t="shared" si="55"/>
        <v>Asia-Pacific</v>
      </c>
    </row>
    <row r="1788" spans="1:10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  <c r="I1788" t="str">
        <f t="shared" si="54"/>
        <v>NULL</v>
      </c>
      <c r="J1788" t="str">
        <f t="shared" si="55"/>
        <v>Asia-Pacific</v>
      </c>
    </row>
    <row r="1789" spans="1:10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  <c r="I1789" t="str">
        <f t="shared" si="54"/>
        <v>Africa</v>
      </c>
      <c r="J1789" t="str">
        <f t="shared" si="55"/>
        <v>America</v>
      </c>
    </row>
    <row r="1790" spans="1:10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  <c r="I1790" t="str">
        <f t="shared" si="54"/>
        <v>Africa</v>
      </c>
      <c r="J1790" t="str">
        <f t="shared" si="55"/>
        <v>America</v>
      </c>
    </row>
    <row r="1791" spans="1:10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  <c r="I1791" t="str">
        <f t="shared" si="54"/>
        <v>Africa</v>
      </c>
      <c r="J1791" t="str">
        <f t="shared" si="55"/>
        <v>America</v>
      </c>
    </row>
    <row r="1792" spans="1:10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  <c r="I1792" t="str">
        <f t="shared" si="54"/>
        <v>NULL</v>
      </c>
      <c r="J1792" t="str">
        <f t="shared" si="55"/>
        <v>America</v>
      </c>
    </row>
    <row r="1793" spans="1:10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  <c r="I1793" t="str">
        <f t="shared" si="54"/>
        <v>Asia-Pacific</v>
      </c>
      <c r="J1793" t="str">
        <f t="shared" si="55"/>
        <v>America</v>
      </c>
    </row>
    <row r="1794" spans="1:10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  <c r="I1794" t="str">
        <f t="shared" si="54"/>
        <v>Asia-Pacific</v>
      </c>
      <c r="J1794" t="str">
        <f t="shared" si="55"/>
        <v>America</v>
      </c>
    </row>
    <row r="1795" spans="1:10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  <c r="I1795" t="str">
        <f t="shared" ref="I1795:I1858" si="56">_xlfn.XLOOKUP(H1795, $M$2:$M$50, $N$2:$N$50, "Other")</f>
        <v>Africa</v>
      </c>
      <c r="J1795" t="str">
        <f t="shared" ref="J1795:J1858" si="57">_xlfn.XLOOKUP(G1795, $M$2:$M$50, $N$2:$N$50, "Other")</f>
        <v>Asia-Pacific</v>
      </c>
    </row>
    <row r="1796" spans="1:10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  <c r="I1796" t="str">
        <f t="shared" si="56"/>
        <v>America</v>
      </c>
      <c r="J1796" t="str">
        <f t="shared" si="57"/>
        <v>America</v>
      </c>
    </row>
    <row r="1797" spans="1:10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  <c r="I1797" t="str">
        <f t="shared" si="56"/>
        <v>America</v>
      </c>
      <c r="J1797" t="str">
        <f t="shared" si="57"/>
        <v>America</v>
      </c>
    </row>
    <row r="1798" spans="1:10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  <c r="I1798" t="str">
        <f t="shared" si="56"/>
        <v>Africa</v>
      </c>
      <c r="J1798" t="str">
        <f t="shared" si="57"/>
        <v>America</v>
      </c>
    </row>
    <row r="1799" spans="1:10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  <c r="I1799" t="str">
        <f t="shared" si="56"/>
        <v>America</v>
      </c>
      <c r="J1799" t="str">
        <f t="shared" si="57"/>
        <v>America</v>
      </c>
    </row>
    <row r="1800" spans="1:10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  <c r="I1800" t="str">
        <f t="shared" si="56"/>
        <v>Africa</v>
      </c>
      <c r="J1800" t="str">
        <f t="shared" si="57"/>
        <v>America</v>
      </c>
    </row>
    <row r="1801" spans="1:10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  <c r="I1801" t="str">
        <f t="shared" si="56"/>
        <v>Africa</v>
      </c>
      <c r="J1801" t="str">
        <f t="shared" si="57"/>
        <v>America</v>
      </c>
    </row>
    <row r="1802" spans="1:10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  <c r="I1802" t="str">
        <f t="shared" si="56"/>
        <v>NULL</v>
      </c>
      <c r="J1802" t="str">
        <f t="shared" si="57"/>
        <v>Asia-Pacific</v>
      </c>
    </row>
    <row r="1803" spans="1:10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  <c r="I1803" t="str">
        <f t="shared" si="56"/>
        <v>NULL</v>
      </c>
      <c r="J1803" t="str">
        <f t="shared" si="57"/>
        <v>Asia-Pacific</v>
      </c>
    </row>
    <row r="1804" spans="1:10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  <c r="I1804" t="str">
        <f t="shared" si="56"/>
        <v>Africa</v>
      </c>
      <c r="J1804" t="str">
        <f t="shared" si="57"/>
        <v>America</v>
      </c>
    </row>
    <row r="1805" spans="1:10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  <c r="I1805" t="str">
        <f t="shared" si="56"/>
        <v>Africa</v>
      </c>
      <c r="J1805" t="str">
        <f t="shared" si="57"/>
        <v>America</v>
      </c>
    </row>
    <row r="1806" spans="1:10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  <c r="I1806" t="str">
        <f t="shared" si="56"/>
        <v>Africa</v>
      </c>
      <c r="J1806" t="str">
        <f t="shared" si="57"/>
        <v>Asia-Pacific</v>
      </c>
    </row>
    <row r="1807" spans="1:10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  <c r="I1807" t="str">
        <f t="shared" si="56"/>
        <v>Africa</v>
      </c>
      <c r="J1807" t="str">
        <f t="shared" si="57"/>
        <v>America</v>
      </c>
    </row>
    <row r="1808" spans="1:10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  <c r="I1808" t="str">
        <f t="shared" si="56"/>
        <v>Africa</v>
      </c>
      <c r="J1808" t="str">
        <f t="shared" si="57"/>
        <v>America</v>
      </c>
    </row>
    <row r="1809" spans="1:10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  <c r="I1809" t="str">
        <f t="shared" si="56"/>
        <v>Africa</v>
      </c>
      <c r="J1809" t="str">
        <f t="shared" si="57"/>
        <v>America</v>
      </c>
    </row>
    <row r="1810" spans="1:10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  <c r="I1810" t="str">
        <f t="shared" si="56"/>
        <v>Africa</v>
      </c>
      <c r="J1810" t="str">
        <f t="shared" si="57"/>
        <v>Asia-Pacific</v>
      </c>
    </row>
    <row r="1811" spans="1:10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  <c r="I1811" t="str">
        <f t="shared" si="56"/>
        <v>Africa</v>
      </c>
      <c r="J1811" t="str">
        <f t="shared" si="57"/>
        <v>America</v>
      </c>
    </row>
    <row r="1812" spans="1:10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  <c r="I1812" t="str">
        <f t="shared" si="56"/>
        <v>NULL</v>
      </c>
      <c r="J1812" t="str">
        <f t="shared" si="57"/>
        <v>Asia-Pacific</v>
      </c>
    </row>
    <row r="1813" spans="1:10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  <c r="I1813" t="str">
        <f t="shared" si="56"/>
        <v>NULL</v>
      </c>
      <c r="J1813" t="str">
        <f t="shared" si="57"/>
        <v>America</v>
      </c>
    </row>
    <row r="1814" spans="1:10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  <c r="I1814" t="str">
        <f t="shared" si="56"/>
        <v>Africa</v>
      </c>
      <c r="J1814" t="str">
        <f t="shared" si="57"/>
        <v>America</v>
      </c>
    </row>
    <row r="1815" spans="1:10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  <c r="I1815" t="str">
        <f t="shared" si="56"/>
        <v>Africa</v>
      </c>
      <c r="J1815" t="str">
        <f t="shared" si="57"/>
        <v>America</v>
      </c>
    </row>
    <row r="1816" spans="1:10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  <c r="I1816" t="str">
        <f t="shared" si="56"/>
        <v>NULL</v>
      </c>
      <c r="J1816" t="str">
        <f t="shared" si="57"/>
        <v>America</v>
      </c>
    </row>
    <row r="1817" spans="1:10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  <c r="I1817" t="str">
        <f t="shared" si="56"/>
        <v>Africa</v>
      </c>
      <c r="J1817" t="str">
        <f t="shared" si="57"/>
        <v>America</v>
      </c>
    </row>
    <row r="1818" spans="1:10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  <c r="I1818" t="str">
        <f t="shared" si="56"/>
        <v>Africa</v>
      </c>
      <c r="J1818" t="str">
        <f t="shared" si="57"/>
        <v>Asia-Pacific</v>
      </c>
    </row>
    <row r="1819" spans="1:10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  <c r="I1819" t="str">
        <f t="shared" si="56"/>
        <v>NULL</v>
      </c>
      <c r="J1819" t="str">
        <f t="shared" si="57"/>
        <v>America</v>
      </c>
    </row>
    <row r="1820" spans="1:10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  <c r="I1820" t="str">
        <f t="shared" si="56"/>
        <v>NULL</v>
      </c>
      <c r="J1820" t="str">
        <f t="shared" si="57"/>
        <v>America</v>
      </c>
    </row>
    <row r="1821" spans="1:10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  <c r="I1821" t="str">
        <f t="shared" si="56"/>
        <v>Africa</v>
      </c>
      <c r="J1821" t="str">
        <f t="shared" si="57"/>
        <v>America</v>
      </c>
    </row>
    <row r="1822" spans="1:10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  <c r="I1822" t="str">
        <f t="shared" si="56"/>
        <v>America</v>
      </c>
      <c r="J1822" t="str">
        <f t="shared" si="57"/>
        <v>America</v>
      </c>
    </row>
    <row r="1823" spans="1:10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  <c r="I1823" t="str">
        <f t="shared" si="56"/>
        <v>America</v>
      </c>
      <c r="J1823" t="str">
        <f t="shared" si="57"/>
        <v>America</v>
      </c>
    </row>
    <row r="1824" spans="1:10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  <c r="I1824" t="str">
        <f t="shared" si="56"/>
        <v>NULL</v>
      </c>
      <c r="J1824" t="str">
        <f t="shared" si="57"/>
        <v>America</v>
      </c>
    </row>
    <row r="1825" spans="1:10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  <c r="I1825" t="str">
        <f t="shared" si="56"/>
        <v>America</v>
      </c>
      <c r="J1825" t="str">
        <f t="shared" si="57"/>
        <v>America</v>
      </c>
    </row>
    <row r="1826" spans="1:10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  <c r="I1826" t="str">
        <f t="shared" si="56"/>
        <v>Africa</v>
      </c>
      <c r="J1826" t="str">
        <f t="shared" si="57"/>
        <v>America</v>
      </c>
    </row>
    <row r="1827" spans="1:10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  <c r="I1827" t="str">
        <f t="shared" si="56"/>
        <v>Africa</v>
      </c>
      <c r="J1827" t="str">
        <f t="shared" si="57"/>
        <v>America</v>
      </c>
    </row>
    <row r="1828" spans="1:10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  <c r="I1828" t="str">
        <f t="shared" si="56"/>
        <v>America</v>
      </c>
      <c r="J1828" t="str">
        <f t="shared" si="57"/>
        <v>America</v>
      </c>
    </row>
    <row r="1829" spans="1:10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  <c r="I1829" t="str">
        <f t="shared" si="56"/>
        <v>Africa</v>
      </c>
      <c r="J1829" t="str">
        <f t="shared" si="57"/>
        <v>America</v>
      </c>
    </row>
    <row r="1830" spans="1:10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  <c r="I1830" t="str">
        <f t="shared" si="56"/>
        <v>Africa</v>
      </c>
      <c r="J1830" t="str">
        <f t="shared" si="57"/>
        <v>America</v>
      </c>
    </row>
    <row r="1831" spans="1:10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  <c r="I1831" t="str">
        <f t="shared" si="56"/>
        <v>Africa</v>
      </c>
      <c r="J1831" t="str">
        <f t="shared" si="57"/>
        <v>America</v>
      </c>
    </row>
    <row r="1832" spans="1:10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  <c r="I1832" t="str">
        <f t="shared" si="56"/>
        <v>Asia-Pacific</v>
      </c>
      <c r="J1832" t="str">
        <f t="shared" si="57"/>
        <v>America</v>
      </c>
    </row>
    <row r="1833" spans="1:10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  <c r="I1833" t="str">
        <f t="shared" si="56"/>
        <v>Africa</v>
      </c>
      <c r="J1833" t="str">
        <f t="shared" si="57"/>
        <v>America</v>
      </c>
    </row>
    <row r="1834" spans="1:10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  <c r="I1834" t="str">
        <f t="shared" si="56"/>
        <v>Africa</v>
      </c>
      <c r="J1834" t="str">
        <f t="shared" si="57"/>
        <v>Asia-Pacific</v>
      </c>
    </row>
    <row r="1835" spans="1:10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  <c r="I1835" t="str">
        <f t="shared" si="56"/>
        <v>Africa</v>
      </c>
      <c r="J1835" t="str">
        <f t="shared" si="57"/>
        <v>Asia-Pacific</v>
      </c>
    </row>
    <row r="1836" spans="1:10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  <c r="I1836" t="str">
        <f t="shared" si="56"/>
        <v>America</v>
      </c>
      <c r="J1836" t="str">
        <f t="shared" si="57"/>
        <v>America</v>
      </c>
    </row>
    <row r="1837" spans="1:10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  <c r="I1837" t="str">
        <f t="shared" si="56"/>
        <v>NULL</v>
      </c>
      <c r="J1837" t="str">
        <f t="shared" si="57"/>
        <v>America</v>
      </c>
    </row>
    <row r="1838" spans="1:10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  <c r="I1838" t="str">
        <f t="shared" si="56"/>
        <v>America</v>
      </c>
      <c r="J1838" t="str">
        <f t="shared" si="57"/>
        <v>America</v>
      </c>
    </row>
    <row r="1839" spans="1:10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  <c r="I1839" t="str">
        <f t="shared" si="56"/>
        <v>America</v>
      </c>
      <c r="J1839" t="str">
        <f t="shared" si="57"/>
        <v>America</v>
      </c>
    </row>
    <row r="1840" spans="1:10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  <c r="I1840" t="str">
        <f t="shared" si="56"/>
        <v>America</v>
      </c>
      <c r="J1840" t="str">
        <f t="shared" si="57"/>
        <v>America</v>
      </c>
    </row>
    <row r="1841" spans="1:10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  <c r="I1841" t="str">
        <f t="shared" si="56"/>
        <v>Africa</v>
      </c>
      <c r="J1841" t="str">
        <f t="shared" si="57"/>
        <v>America</v>
      </c>
    </row>
    <row r="1842" spans="1:10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  <c r="I1842" t="str">
        <f t="shared" si="56"/>
        <v>Africa</v>
      </c>
      <c r="J1842" t="str">
        <f t="shared" si="57"/>
        <v>America</v>
      </c>
    </row>
    <row r="1843" spans="1:10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  <c r="I1843" t="str">
        <f t="shared" si="56"/>
        <v>America</v>
      </c>
      <c r="J1843" t="str">
        <f t="shared" si="57"/>
        <v>America</v>
      </c>
    </row>
    <row r="1844" spans="1:10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  <c r="I1844" t="str">
        <f t="shared" si="56"/>
        <v>Africa</v>
      </c>
      <c r="J1844" t="str">
        <f t="shared" si="57"/>
        <v>America</v>
      </c>
    </row>
    <row r="1845" spans="1:10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  <c r="I1845" t="str">
        <f t="shared" si="56"/>
        <v>Africa</v>
      </c>
      <c r="J1845" t="str">
        <f t="shared" si="57"/>
        <v>America</v>
      </c>
    </row>
    <row r="1846" spans="1:10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  <c r="I1846" t="str">
        <f t="shared" si="56"/>
        <v>Africa</v>
      </c>
      <c r="J1846" t="str">
        <f t="shared" si="57"/>
        <v>America</v>
      </c>
    </row>
    <row r="1847" spans="1:10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  <c r="I1847" t="str">
        <f t="shared" si="56"/>
        <v>Africa</v>
      </c>
      <c r="J1847" t="str">
        <f t="shared" si="57"/>
        <v>America</v>
      </c>
    </row>
    <row r="1848" spans="1:10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  <c r="I1848" t="str">
        <f t="shared" si="56"/>
        <v>Africa</v>
      </c>
      <c r="J1848" t="str">
        <f t="shared" si="57"/>
        <v>America</v>
      </c>
    </row>
    <row r="1849" spans="1:10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  <c r="I1849" t="str">
        <f t="shared" si="56"/>
        <v>Africa</v>
      </c>
      <c r="J1849" t="str">
        <f t="shared" si="57"/>
        <v>America</v>
      </c>
    </row>
    <row r="1850" spans="1:10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  <c r="I1850" t="str">
        <f t="shared" si="56"/>
        <v>Africa</v>
      </c>
      <c r="J1850" t="str">
        <f t="shared" si="57"/>
        <v>America</v>
      </c>
    </row>
    <row r="1851" spans="1:10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  <c r="I1851" t="str">
        <f t="shared" si="56"/>
        <v>NULL</v>
      </c>
      <c r="J1851" t="str">
        <f t="shared" si="57"/>
        <v>America</v>
      </c>
    </row>
    <row r="1852" spans="1:10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  <c r="I1852" t="str">
        <f t="shared" si="56"/>
        <v>Africa</v>
      </c>
      <c r="J1852" t="str">
        <f t="shared" si="57"/>
        <v>America</v>
      </c>
    </row>
    <row r="1853" spans="1:10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  <c r="I1853" t="str">
        <f t="shared" si="56"/>
        <v>NULL</v>
      </c>
      <c r="J1853" t="str">
        <f t="shared" si="57"/>
        <v>Asia-Pacific</v>
      </c>
    </row>
    <row r="1854" spans="1:10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  <c r="I1854" t="str">
        <f t="shared" si="56"/>
        <v>Africa</v>
      </c>
      <c r="J1854" t="str">
        <f t="shared" si="57"/>
        <v>Asia-Pacific</v>
      </c>
    </row>
    <row r="1855" spans="1:10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  <c r="I1855" t="str">
        <f t="shared" si="56"/>
        <v>Asia-Pacific</v>
      </c>
      <c r="J1855" t="str">
        <f t="shared" si="57"/>
        <v>America</v>
      </c>
    </row>
    <row r="1856" spans="1:10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  <c r="I1856" t="str">
        <f t="shared" si="56"/>
        <v>America</v>
      </c>
      <c r="J1856" t="str">
        <f t="shared" si="57"/>
        <v>America</v>
      </c>
    </row>
    <row r="1857" spans="1:10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  <c r="I1857" t="str">
        <f t="shared" si="56"/>
        <v>America</v>
      </c>
      <c r="J1857" t="str">
        <f t="shared" si="57"/>
        <v>America</v>
      </c>
    </row>
    <row r="1858" spans="1:10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  <c r="I1858" t="str">
        <f t="shared" si="56"/>
        <v>America</v>
      </c>
      <c r="J1858" t="str">
        <f t="shared" si="57"/>
        <v>America</v>
      </c>
    </row>
    <row r="1859" spans="1:10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  <c r="I1859" t="str">
        <f t="shared" ref="I1859:I1922" si="58">_xlfn.XLOOKUP(H1859, $M$2:$M$50, $N$2:$N$50, "Other")</f>
        <v>America</v>
      </c>
      <c r="J1859" t="str">
        <f t="shared" ref="J1859:J1922" si="59">_xlfn.XLOOKUP(G1859, $M$2:$M$50, $N$2:$N$50, "Other")</f>
        <v>America</v>
      </c>
    </row>
    <row r="1860" spans="1:10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  <c r="I1860" t="str">
        <f t="shared" si="58"/>
        <v>America</v>
      </c>
      <c r="J1860" t="str">
        <f t="shared" si="59"/>
        <v>America</v>
      </c>
    </row>
    <row r="1861" spans="1:10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  <c r="I1861" t="str">
        <f t="shared" si="58"/>
        <v>America</v>
      </c>
      <c r="J1861" t="str">
        <f t="shared" si="59"/>
        <v>Asia-Pacific</v>
      </c>
    </row>
    <row r="1862" spans="1:10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  <c r="I1862" t="str">
        <f t="shared" si="58"/>
        <v>America</v>
      </c>
      <c r="J1862" t="str">
        <f t="shared" si="59"/>
        <v>Asia-Pacific</v>
      </c>
    </row>
    <row r="1863" spans="1:10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  <c r="I1863" t="str">
        <f t="shared" si="58"/>
        <v>America</v>
      </c>
      <c r="J1863" t="str">
        <f t="shared" si="59"/>
        <v>Asia-Pacific</v>
      </c>
    </row>
    <row r="1864" spans="1:10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  <c r="I1864" t="str">
        <f t="shared" si="58"/>
        <v>America</v>
      </c>
      <c r="J1864" t="str">
        <f t="shared" si="59"/>
        <v>America</v>
      </c>
    </row>
    <row r="1865" spans="1:10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  <c r="I1865" t="str">
        <f t="shared" si="58"/>
        <v>Africa</v>
      </c>
      <c r="J1865" t="str">
        <f t="shared" si="59"/>
        <v>America</v>
      </c>
    </row>
    <row r="1866" spans="1:10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  <c r="I1866" t="str">
        <f t="shared" si="58"/>
        <v>Africa</v>
      </c>
      <c r="J1866" t="str">
        <f t="shared" si="59"/>
        <v>America</v>
      </c>
    </row>
    <row r="1867" spans="1:10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  <c r="I1867" t="str">
        <f t="shared" si="58"/>
        <v>Africa</v>
      </c>
      <c r="J1867" t="str">
        <f t="shared" si="59"/>
        <v>Asia-Pacific</v>
      </c>
    </row>
    <row r="1868" spans="1:10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  <c r="I1868" t="str">
        <f t="shared" si="58"/>
        <v>Africa</v>
      </c>
      <c r="J1868" t="str">
        <f t="shared" si="59"/>
        <v>America</v>
      </c>
    </row>
    <row r="1869" spans="1:10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  <c r="I1869" t="str">
        <f t="shared" si="58"/>
        <v>America</v>
      </c>
      <c r="J1869" t="str">
        <f t="shared" si="59"/>
        <v>America</v>
      </c>
    </row>
    <row r="1870" spans="1:10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  <c r="I1870" t="str">
        <f t="shared" si="58"/>
        <v>Africa</v>
      </c>
      <c r="J1870" t="str">
        <f t="shared" si="59"/>
        <v>America</v>
      </c>
    </row>
    <row r="1871" spans="1:10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  <c r="I1871" t="str">
        <f t="shared" si="58"/>
        <v>Asia-Pacific</v>
      </c>
      <c r="J1871" t="str">
        <f t="shared" si="59"/>
        <v>America</v>
      </c>
    </row>
    <row r="1872" spans="1:10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  <c r="I1872" t="str">
        <f t="shared" si="58"/>
        <v>Africa</v>
      </c>
      <c r="J1872" t="str">
        <f t="shared" si="59"/>
        <v>America</v>
      </c>
    </row>
    <row r="1873" spans="1:10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  <c r="I1873" t="str">
        <f t="shared" si="58"/>
        <v>Africa</v>
      </c>
      <c r="J1873" t="str">
        <f t="shared" si="59"/>
        <v>America</v>
      </c>
    </row>
    <row r="1874" spans="1:10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  <c r="I1874" t="str">
        <f t="shared" si="58"/>
        <v>Africa</v>
      </c>
      <c r="J1874" t="str">
        <f t="shared" si="59"/>
        <v>America</v>
      </c>
    </row>
    <row r="1875" spans="1:10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  <c r="I1875" t="str">
        <f t="shared" si="58"/>
        <v>America</v>
      </c>
      <c r="J1875" t="str">
        <f t="shared" si="59"/>
        <v>America</v>
      </c>
    </row>
    <row r="1876" spans="1:10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  <c r="I1876" t="str">
        <f t="shared" si="58"/>
        <v>Asia-Pacific</v>
      </c>
      <c r="J1876" t="str">
        <f t="shared" si="59"/>
        <v>America</v>
      </c>
    </row>
    <row r="1877" spans="1:10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  <c r="I1877" t="str">
        <f t="shared" si="58"/>
        <v>Africa</v>
      </c>
      <c r="J1877" t="str">
        <f t="shared" si="59"/>
        <v>America</v>
      </c>
    </row>
    <row r="1878" spans="1:10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  <c r="I1878" t="str">
        <f t="shared" si="58"/>
        <v>Africa</v>
      </c>
      <c r="J1878" t="str">
        <f t="shared" si="59"/>
        <v>America</v>
      </c>
    </row>
    <row r="1879" spans="1:10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  <c r="I1879" t="str">
        <f t="shared" si="58"/>
        <v>Africa</v>
      </c>
      <c r="J1879" t="str">
        <f t="shared" si="59"/>
        <v>America</v>
      </c>
    </row>
    <row r="1880" spans="1:10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  <c r="I1880" t="str">
        <f t="shared" si="58"/>
        <v>Africa</v>
      </c>
      <c r="J1880" t="str">
        <f t="shared" si="59"/>
        <v>America</v>
      </c>
    </row>
    <row r="1881" spans="1:10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  <c r="I1881" t="str">
        <f t="shared" si="58"/>
        <v>Africa</v>
      </c>
      <c r="J1881" t="str">
        <f t="shared" si="59"/>
        <v>Asia-Pacific</v>
      </c>
    </row>
    <row r="1882" spans="1:10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  <c r="I1882" t="str">
        <f t="shared" si="58"/>
        <v>Africa</v>
      </c>
      <c r="J1882" t="str">
        <f t="shared" si="59"/>
        <v>Asia-Pacific</v>
      </c>
    </row>
    <row r="1883" spans="1:10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  <c r="I1883" t="str">
        <f t="shared" si="58"/>
        <v>Africa</v>
      </c>
      <c r="J1883" t="str">
        <f t="shared" si="59"/>
        <v>Asia-Pacific</v>
      </c>
    </row>
    <row r="1884" spans="1:10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  <c r="I1884" t="str">
        <f t="shared" si="58"/>
        <v>Africa</v>
      </c>
      <c r="J1884" t="str">
        <f t="shared" si="59"/>
        <v>America</v>
      </c>
    </row>
    <row r="1885" spans="1:10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  <c r="I1885" t="str">
        <f t="shared" si="58"/>
        <v>America</v>
      </c>
      <c r="J1885" t="str">
        <f t="shared" si="59"/>
        <v>America</v>
      </c>
    </row>
    <row r="1886" spans="1:10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  <c r="I1886" t="str">
        <f t="shared" si="58"/>
        <v>America</v>
      </c>
      <c r="J1886" t="str">
        <f t="shared" si="59"/>
        <v>America</v>
      </c>
    </row>
    <row r="1887" spans="1:10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  <c r="I1887" t="str">
        <f t="shared" si="58"/>
        <v>America</v>
      </c>
      <c r="J1887" t="str">
        <f t="shared" si="59"/>
        <v>America</v>
      </c>
    </row>
    <row r="1888" spans="1:10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  <c r="I1888" t="str">
        <f t="shared" si="58"/>
        <v>NULL</v>
      </c>
      <c r="J1888" t="str">
        <f t="shared" si="59"/>
        <v>America</v>
      </c>
    </row>
    <row r="1889" spans="1:10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  <c r="I1889" t="str">
        <f t="shared" si="58"/>
        <v>Africa</v>
      </c>
      <c r="J1889" t="str">
        <f t="shared" si="59"/>
        <v>America</v>
      </c>
    </row>
    <row r="1890" spans="1:10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  <c r="I1890" t="str">
        <f t="shared" si="58"/>
        <v>Africa</v>
      </c>
      <c r="J1890" t="str">
        <f t="shared" si="59"/>
        <v>America</v>
      </c>
    </row>
    <row r="1891" spans="1:10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  <c r="I1891" t="str">
        <f t="shared" si="58"/>
        <v>Africa</v>
      </c>
      <c r="J1891" t="str">
        <f t="shared" si="59"/>
        <v>America</v>
      </c>
    </row>
    <row r="1892" spans="1:10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  <c r="I1892" t="str">
        <f t="shared" si="58"/>
        <v>Africa</v>
      </c>
      <c r="J1892" t="str">
        <f t="shared" si="59"/>
        <v>America</v>
      </c>
    </row>
    <row r="1893" spans="1:10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  <c r="I1893" t="str">
        <f t="shared" si="58"/>
        <v>Africa</v>
      </c>
      <c r="J1893" t="str">
        <f t="shared" si="59"/>
        <v>America</v>
      </c>
    </row>
    <row r="1894" spans="1:10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  <c r="I1894" t="str">
        <f t="shared" si="58"/>
        <v>Africa</v>
      </c>
      <c r="J1894" t="str">
        <f t="shared" si="59"/>
        <v>America</v>
      </c>
    </row>
    <row r="1895" spans="1:10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  <c r="I1895" t="str">
        <f t="shared" si="58"/>
        <v>Africa</v>
      </c>
      <c r="J1895" t="str">
        <f t="shared" si="59"/>
        <v>America</v>
      </c>
    </row>
    <row r="1896" spans="1:10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  <c r="I1896" t="str">
        <f t="shared" si="58"/>
        <v>America</v>
      </c>
      <c r="J1896" t="str">
        <f t="shared" si="59"/>
        <v>America</v>
      </c>
    </row>
    <row r="1897" spans="1:10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  <c r="I1897" t="str">
        <f t="shared" si="58"/>
        <v>Africa</v>
      </c>
      <c r="J1897" t="str">
        <f t="shared" si="59"/>
        <v>America</v>
      </c>
    </row>
    <row r="1898" spans="1:10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  <c r="I1898" t="str">
        <f t="shared" si="58"/>
        <v>Africa</v>
      </c>
      <c r="J1898" t="str">
        <f t="shared" si="59"/>
        <v>America</v>
      </c>
    </row>
    <row r="1899" spans="1:10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  <c r="I1899" t="str">
        <f t="shared" si="58"/>
        <v>Africa</v>
      </c>
      <c r="J1899" t="str">
        <f t="shared" si="59"/>
        <v>Asia-Pacific</v>
      </c>
    </row>
    <row r="1900" spans="1:10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  <c r="I1900" t="str">
        <f t="shared" si="58"/>
        <v>Africa</v>
      </c>
      <c r="J1900" t="str">
        <f t="shared" si="59"/>
        <v>Asia-Pacific</v>
      </c>
    </row>
    <row r="1901" spans="1:10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  <c r="I1901" t="str">
        <f t="shared" si="58"/>
        <v>Africa</v>
      </c>
      <c r="J1901" t="str">
        <f t="shared" si="59"/>
        <v>Asia-Pacific</v>
      </c>
    </row>
    <row r="1902" spans="1:10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  <c r="I1902" t="str">
        <f t="shared" si="58"/>
        <v>America</v>
      </c>
      <c r="J1902" t="str">
        <f t="shared" si="59"/>
        <v>America</v>
      </c>
    </row>
    <row r="1903" spans="1:10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  <c r="I1903" t="str">
        <f t="shared" si="58"/>
        <v>Africa</v>
      </c>
      <c r="J1903" t="str">
        <f t="shared" si="59"/>
        <v>America</v>
      </c>
    </row>
    <row r="1904" spans="1:10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  <c r="I1904" t="str">
        <f t="shared" si="58"/>
        <v>America</v>
      </c>
      <c r="J1904" t="str">
        <f t="shared" si="59"/>
        <v>America</v>
      </c>
    </row>
    <row r="1905" spans="1:10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  <c r="I1905" t="str">
        <f t="shared" si="58"/>
        <v>Africa</v>
      </c>
      <c r="J1905" t="str">
        <f t="shared" si="59"/>
        <v>America</v>
      </c>
    </row>
    <row r="1906" spans="1:10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  <c r="I1906" t="str">
        <f t="shared" si="58"/>
        <v>NULL</v>
      </c>
      <c r="J1906" t="str">
        <f t="shared" si="59"/>
        <v>America</v>
      </c>
    </row>
    <row r="1907" spans="1:10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  <c r="I1907" t="str">
        <f t="shared" si="58"/>
        <v>America</v>
      </c>
      <c r="J1907" t="str">
        <f t="shared" si="59"/>
        <v>America</v>
      </c>
    </row>
    <row r="1908" spans="1:10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  <c r="I1908" t="str">
        <f t="shared" si="58"/>
        <v>Africa</v>
      </c>
      <c r="J1908" t="str">
        <f t="shared" si="59"/>
        <v>America</v>
      </c>
    </row>
    <row r="1909" spans="1:10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  <c r="I1909" t="str">
        <f t="shared" si="58"/>
        <v>Africa</v>
      </c>
      <c r="J1909" t="str">
        <f t="shared" si="59"/>
        <v>Asia-Pacific</v>
      </c>
    </row>
    <row r="1910" spans="1:10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  <c r="I1910" t="str">
        <f t="shared" si="58"/>
        <v>Africa</v>
      </c>
      <c r="J1910" t="str">
        <f t="shared" si="59"/>
        <v>America</v>
      </c>
    </row>
    <row r="1911" spans="1:10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  <c r="I1911" t="str">
        <f t="shared" si="58"/>
        <v>NULL</v>
      </c>
      <c r="J1911" t="str">
        <f t="shared" si="59"/>
        <v>America</v>
      </c>
    </row>
    <row r="1912" spans="1:10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  <c r="I1912" t="str">
        <f t="shared" si="58"/>
        <v>Africa</v>
      </c>
      <c r="J1912" t="str">
        <f t="shared" si="59"/>
        <v>America</v>
      </c>
    </row>
    <row r="1913" spans="1:10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  <c r="I1913" t="str">
        <f t="shared" si="58"/>
        <v>Africa</v>
      </c>
      <c r="J1913" t="str">
        <f t="shared" si="59"/>
        <v>America</v>
      </c>
    </row>
    <row r="1914" spans="1:10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  <c r="I1914" t="str">
        <f t="shared" si="58"/>
        <v>Africa</v>
      </c>
      <c r="J1914" t="str">
        <f t="shared" si="59"/>
        <v>America</v>
      </c>
    </row>
    <row r="1915" spans="1:10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  <c r="I1915" t="str">
        <f t="shared" si="58"/>
        <v>Africa</v>
      </c>
      <c r="J1915" t="str">
        <f t="shared" si="59"/>
        <v>America</v>
      </c>
    </row>
    <row r="1916" spans="1:10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  <c r="I1916" t="str">
        <f t="shared" si="58"/>
        <v>Africa</v>
      </c>
      <c r="J1916" t="str">
        <f t="shared" si="59"/>
        <v>America</v>
      </c>
    </row>
    <row r="1917" spans="1:10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  <c r="I1917" t="str">
        <f t="shared" si="58"/>
        <v>America</v>
      </c>
      <c r="J1917" t="str">
        <f t="shared" si="59"/>
        <v>America</v>
      </c>
    </row>
    <row r="1918" spans="1:10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  <c r="I1918" t="str">
        <f t="shared" si="58"/>
        <v>America</v>
      </c>
      <c r="J1918" t="str">
        <f t="shared" si="59"/>
        <v>Asia-Pacific</v>
      </c>
    </row>
    <row r="1919" spans="1:10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  <c r="I1919" t="str">
        <f t="shared" si="58"/>
        <v>America</v>
      </c>
      <c r="J1919" t="str">
        <f t="shared" si="59"/>
        <v>America</v>
      </c>
    </row>
    <row r="1920" spans="1:10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  <c r="I1920" t="str">
        <f t="shared" si="58"/>
        <v>Asia-Pacific</v>
      </c>
      <c r="J1920" t="str">
        <f t="shared" si="59"/>
        <v>America</v>
      </c>
    </row>
    <row r="1921" spans="1:10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  <c r="I1921" t="str">
        <f t="shared" si="58"/>
        <v>America</v>
      </c>
      <c r="J1921" t="str">
        <f t="shared" si="59"/>
        <v>America</v>
      </c>
    </row>
    <row r="1922" spans="1:10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  <c r="I1922" t="str">
        <f t="shared" si="58"/>
        <v>America</v>
      </c>
      <c r="J1922" t="str">
        <f t="shared" si="59"/>
        <v>America</v>
      </c>
    </row>
    <row r="1923" spans="1:10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  <c r="I1923" t="str">
        <f t="shared" ref="I1923:I1986" si="60">_xlfn.XLOOKUP(H1923, $M$2:$M$50, $N$2:$N$50, "Other")</f>
        <v>America</v>
      </c>
      <c r="J1923" t="str">
        <f t="shared" ref="J1923:J1986" si="61">_xlfn.XLOOKUP(G1923, $M$2:$M$50, $N$2:$N$50, "Other")</f>
        <v>America</v>
      </c>
    </row>
    <row r="1924" spans="1:10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  <c r="I1924" t="str">
        <f t="shared" si="60"/>
        <v>America</v>
      </c>
      <c r="J1924" t="str">
        <f t="shared" si="61"/>
        <v>Asia-Pacific</v>
      </c>
    </row>
    <row r="1925" spans="1:10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  <c r="I1925" t="str">
        <f t="shared" si="60"/>
        <v>NULL</v>
      </c>
      <c r="J1925" t="str">
        <f t="shared" si="61"/>
        <v>Asia-Pacific</v>
      </c>
    </row>
    <row r="1926" spans="1:10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  <c r="I1926" t="str">
        <f t="shared" si="60"/>
        <v>America</v>
      </c>
      <c r="J1926" t="str">
        <f t="shared" si="61"/>
        <v>Asia-Pacific</v>
      </c>
    </row>
    <row r="1927" spans="1:10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  <c r="I1927" t="str">
        <f t="shared" si="60"/>
        <v>Africa</v>
      </c>
      <c r="J1927" t="str">
        <f t="shared" si="61"/>
        <v>America</v>
      </c>
    </row>
    <row r="1928" spans="1:10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  <c r="I1928" t="str">
        <f t="shared" si="60"/>
        <v>Africa</v>
      </c>
      <c r="J1928" t="str">
        <f t="shared" si="61"/>
        <v>America</v>
      </c>
    </row>
    <row r="1929" spans="1:10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  <c r="I1929" t="str">
        <f t="shared" si="60"/>
        <v>Africa</v>
      </c>
      <c r="J1929" t="str">
        <f t="shared" si="61"/>
        <v>America</v>
      </c>
    </row>
    <row r="1930" spans="1:10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  <c r="I1930" t="str">
        <f t="shared" si="60"/>
        <v>America</v>
      </c>
      <c r="J1930" t="str">
        <f t="shared" si="61"/>
        <v>America</v>
      </c>
    </row>
    <row r="1931" spans="1:10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  <c r="I1931" t="str">
        <f t="shared" si="60"/>
        <v>America</v>
      </c>
      <c r="J1931" t="str">
        <f t="shared" si="61"/>
        <v>America</v>
      </c>
    </row>
    <row r="1932" spans="1:10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  <c r="I1932" t="str">
        <f t="shared" si="60"/>
        <v>Africa</v>
      </c>
      <c r="J1932" t="str">
        <f t="shared" si="61"/>
        <v>America</v>
      </c>
    </row>
    <row r="1933" spans="1:10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  <c r="I1933" t="str">
        <f t="shared" si="60"/>
        <v>America</v>
      </c>
      <c r="J1933" t="str">
        <f t="shared" si="61"/>
        <v>America</v>
      </c>
    </row>
    <row r="1934" spans="1:10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  <c r="I1934" t="str">
        <f t="shared" si="60"/>
        <v>America</v>
      </c>
      <c r="J1934" t="str">
        <f t="shared" si="61"/>
        <v>America</v>
      </c>
    </row>
    <row r="1935" spans="1:10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  <c r="I1935" t="str">
        <f t="shared" si="60"/>
        <v>Africa</v>
      </c>
      <c r="J1935" t="str">
        <f t="shared" si="61"/>
        <v>America</v>
      </c>
    </row>
    <row r="1936" spans="1:10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  <c r="I1936" t="str">
        <f t="shared" si="60"/>
        <v>America</v>
      </c>
      <c r="J1936" t="str">
        <f t="shared" si="61"/>
        <v>America</v>
      </c>
    </row>
    <row r="1937" spans="1:10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  <c r="I1937" t="str">
        <f t="shared" si="60"/>
        <v>Africa</v>
      </c>
      <c r="J1937" t="str">
        <f t="shared" si="61"/>
        <v>America</v>
      </c>
    </row>
    <row r="1938" spans="1:10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  <c r="I1938" t="str">
        <f t="shared" si="60"/>
        <v>Africa</v>
      </c>
      <c r="J1938" t="str">
        <f t="shared" si="61"/>
        <v>America</v>
      </c>
    </row>
    <row r="1939" spans="1:10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  <c r="I1939" t="str">
        <f t="shared" si="60"/>
        <v>Africa</v>
      </c>
      <c r="J1939" t="str">
        <f t="shared" si="61"/>
        <v>Asia-Pacific</v>
      </c>
    </row>
    <row r="1940" spans="1:10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  <c r="I1940" t="str">
        <f t="shared" si="60"/>
        <v>Africa</v>
      </c>
      <c r="J1940" t="str">
        <f t="shared" si="61"/>
        <v>America</v>
      </c>
    </row>
    <row r="1941" spans="1:10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  <c r="I1941" t="str">
        <f t="shared" si="60"/>
        <v>Africa</v>
      </c>
      <c r="J1941" t="str">
        <f t="shared" si="61"/>
        <v>America</v>
      </c>
    </row>
    <row r="1942" spans="1:10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  <c r="I1942" t="str">
        <f t="shared" si="60"/>
        <v>Africa</v>
      </c>
      <c r="J1942" t="str">
        <f t="shared" si="61"/>
        <v>America</v>
      </c>
    </row>
    <row r="1943" spans="1:10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  <c r="I1943" t="str">
        <f t="shared" si="60"/>
        <v>Asia-Pacific</v>
      </c>
      <c r="J1943" t="str">
        <f t="shared" si="61"/>
        <v>America</v>
      </c>
    </row>
    <row r="1944" spans="1:10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  <c r="I1944" t="str">
        <f t="shared" si="60"/>
        <v>Asia-Pacific</v>
      </c>
      <c r="J1944" t="str">
        <f t="shared" si="61"/>
        <v>America</v>
      </c>
    </row>
    <row r="1945" spans="1:10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  <c r="I1945" t="str">
        <f t="shared" si="60"/>
        <v>NULL</v>
      </c>
      <c r="J1945" t="str">
        <f t="shared" si="61"/>
        <v>America</v>
      </c>
    </row>
    <row r="1946" spans="1:10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  <c r="I1946" t="str">
        <f t="shared" si="60"/>
        <v>Africa</v>
      </c>
      <c r="J1946" t="str">
        <f t="shared" si="61"/>
        <v>America</v>
      </c>
    </row>
    <row r="1947" spans="1:10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  <c r="I1947" t="str">
        <f t="shared" si="60"/>
        <v>America</v>
      </c>
      <c r="J1947" t="str">
        <f t="shared" si="61"/>
        <v>America</v>
      </c>
    </row>
    <row r="1948" spans="1:10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  <c r="I1948" t="str">
        <f t="shared" si="60"/>
        <v>Asia-Pacific</v>
      </c>
      <c r="J1948" t="str">
        <f t="shared" si="61"/>
        <v>America</v>
      </c>
    </row>
    <row r="1949" spans="1:10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  <c r="I1949" t="str">
        <f t="shared" si="60"/>
        <v>Africa</v>
      </c>
      <c r="J1949" t="str">
        <f t="shared" si="61"/>
        <v>Asia-Pacific</v>
      </c>
    </row>
    <row r="1950" spans="1:10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  <c r="I1950" t="str">
        <f t="shared" si="60"/>
        <v>Africa</v>
      </c>
      <c r="J1950" t="str">
        <f t="shared" si="61"/>
        <v>Asia-Pacific</v>
      </c>
    </row>
    <row r="1951" spans="1:10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  <c r="I1951" t="str">
        <f t="shared" si="60"/>
        <v>Africa</v>
      </c>
      <c r="J1951" t="str">
        <f t="shared" si="61"/>
        <v>Asia-Pacific</v>
      </c>
    </row>
    <row r="1952" spans="1:10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  <c r="I1952" t="str">
        <f t="shared" si="60"/>
        <v>America</v>
      </c>
      <c r="J1952" t="str">
        <f t="shared" si="61"/>
        <v>Asia-Pacific</v>
      </c>
    </row>
    <row r="1953" spans="1:10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  <c r="I1953" t="str">
        <f t="shared" si="60"/>
        <v>Asia-Pacific</v>
      </c>
      <c r="J1953" t="str">
        <f t="shared" si="61"/>
        <v>America</v>
      </c>
    </row>
    <row r="1954" spans="1:10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  <c r="I1954" t="str">
        <f t="shared" si="60"/>
        <v>America</v>
      </c>
      <c r="J1954" t="str">
        <f t="shared" si="61"/>
        <v>Asia-Pacific</v>
      </c>
    </row>
    <row r="1955" spans="1:10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  <c r="I1955" t="str">
        <f t="shared" si="60"/>
        <v>Africa</v>
      </c>
      <c r="J1955" t="str">
        <f t="shared" si="61"/>
        <v>Asia-Pacific</v>
      </c>
    </row>
    <row r="1956" spans="1:10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  <c r="I1956" t="str">
        <f t="shared" si="60"/>
        <v>Africa</v>
      </c>
      <c r="J1956" t="str">
        <f t="shared" si="61"/>
        <v>America</v>
      </c>
    </row>
    <row r="1957" spans="1:10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  <c r="I1957" t="str">
        <f t="shared" si="60"/>
        <v>NULL</v>
      </c>
      <c r="J1957" t="str">
        <f t="shared" si="61"/>
        <v>America</v>
      </c>
    </row>
    <row r="1958" spans="1:10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  <c r="I1958" t="str">
        <f t="shared" si="60"/>
        <v>Africa</v>
      </c>
      <c r="J1958" t="str">
        <f t="shared" si="61"/>
        <v>America</v>
      </c>
    </row>
    <row r="1959" spans="1:10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  <c r="I1959" t="str">
        <f t="shared" si="60"/>
        <v>America</v>
      </c>
      <c r="J1959" t="str">
        <f t="shared" si="61"/>
        <v>America</v>
      </c>
    </row>
    <row r="1960" spans="1:10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  <c r="I1960" t="str">
        <f t="shared" si="60"/>
        <v>Africa</v>
      </c>
      <c r="J1960" t="str">
        <f t="shared" si="61"/>
        <v>America</v>
      </c>
    </row>
    <row r="1961" spans="1:10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  <c r="I1961" t="str">
        <f t="shared" si="60"/>
        <v>Africa</v>
      </c>
      <c r="J1961" t="str">
        <f t="shared" si="61"/>
        <v>America</v>
      </c>
    </row>
    <row r="1962" spans="1:10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  <c r="I1962" t="str">
        <f t="shared" si="60"/>
        <v>Africa</v>
      </c>
      <c r="J1962" t="str">
        <f t="shared" si="61"/>
        <v>America</v>
      </c>
    </row>
    <row r="1963" spans="1:10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  <c r="I1963" t="str">
        <f t="shared" si="60"/>
        <v>Africa</v>
      </c>
      <c r="J1963" t="str">
        <f t="shared" si="61"/>
        <v>America</v>
      </c>
    </row>
    <row r="1964" spans="1:10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  <c r="I1964" t="str">
        <f t="shared" si="60"/>
        <v>Africa</v>
      </c>
      <c r="J1964" t="str">
        <f t="shared" si="61"/>
        <v>America</v>
      </c>
    </row>
    <row r="1965" spans="1:10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  <c r="I1965" t="str">
        <f t="shared" si="60"/>
        <v>Africa</v>
      </c>
      <c r="J1965" t="str">
        <f t="shared" si="61"/>
        <v>America</v>
      </c>
    </row>
    <row r="1966" spans="1:10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  <c r="I1966" t="str">
        <f t="shared" si="60"/>
        <v>America</v>
      </c>
      <c r="J1966" t="str">
        <f t="shared" si="61"/>
        <v>America</v>
      </c>
    </row>
    <row r="1967" spans="1:10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  <c r="I1967" t="str">
        <f t="shared" si="60"/>
        <v>Asia-Pacific</v>
      </c>
      <c r="J1967" t="str">
        <f t="shared" si="61"/>
        <v>America</v>
      </c>
    </row>
    <row r="1968" spans="1:10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  <c r="I1968" t="str">
        <f t="shared" si="60"/>
        <v>Africa</v>
      </c>
      <c r="J1968" t="str">
        <f t="shared" si="61"/>
        <v>America</v>
      </c>
    </row>
    <row r="1969" spans="1:10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  <c r="I1969" t="str">
        <f t="shared" si="60"/>
        <v>Africa</v>
      </c>
      <c r="J1969" t="str">
        <f t="shared" si="61"/>
        <v>America</v>
      </c>
    </row>
    <row r="1970" spans="1:10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  <c r="I1970" t="str">
        <f t="shared" si="60"/>
        <v>NULL</v>
      </c>
      <c r="J1970" t="str">
        <f t="shared" si="61"/>
        <v>Asia-Pacific</v>
      </c>
    </row>
    <row r="1971" spans="1:10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  <c r="I1971" t="str">
        <f t="shared" si="60"/>
        <v>Africa</v>
      </c>
      <c r="J1971" t="str">
        <f t="shared" si="61"/>
        <v>Asia-Pacific</v>
      </c>
    </row>
    <row r="1972" spans="1:10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  <c r="I1972" t="str">
        <f t="shared" si="60"/>
        <v>NULL</v>
      </c>
      <c r="J1972" t="str">
        <f t="shared" si="61"/>
        <v>Asia-Pacific</v>
      </c>
    </row>
    <row r="1973" spans="1:10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  <c r="I1973" t="str">
        <f t="shared" si="60"/>
        <v>America</v>
      </c>
      <c r="J1973" t="str">
        <f t="shared" si="61"/>
        <v>America</v>
      </c>
    </row>
    <row r="1974" spans="1:10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  <c r="I1974" t="str">
        <f t="shared" si="60"/>
        <v>Africa</v>
      </c>
      <c r="J1974" t="str">
        <f t="shared" si="61"/>
        <v>America</v>
      </c>
    </row>
    <row r="1975" spans="1:10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  <c r="I1975" t="str">
        <f t="shared" si="60"/>
        <v>Africa</v>
      </c>
      <c r="J1975" t="str">
        <f t="shared" si="61"/>
        <v>America</v>
      </c>
    </row>
    <row r="1976" spans="1:10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  <c r="I1976" t="str">
        <f t="shared" si="60"/>
        <v>Africa</v>
      </c>
      <c r="J1976" t="str">
        <f t="shared" si="61"/>
        <v>America</v>
      </c>
    </row>
    <row r="1977" spans="1:10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  <c r="I1977" t="str">
        <f t="shared" si="60"/>
        <v>America</v>
      </c>
      <c r="J1977" t="str">
        <f t="shared" si="61"/>
        <v>America</v>
      </c>
    </row>
    <row r="1978" spans="1:10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  <c r="I1978" t="str">
        <f t="shared" si="60"/>
        <v>America</v>
      </c>
      <c r="J1978" t="str">
        <f t="shared" si="61"/>
        <v>America</v>
      </c>
    </row>
    <row r="1979" spans="1:10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  <c r="I1979" t="str">
        <f t="shared" si="60"/>
        <v>America</v>
      </c>
      <c r="J1979" t="str">
        <f t="shared" si="61"/>
        <v>America</v>
      </c>
    </row>
    <row r="1980" spans="1:10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  <c r="I1980" t="str">
        <f t="shared" si="60"/>
        <v>Africa</v>
      </c>
      <c r="J1980" t="str">
        <f t="shared" si="61"/>
        <v>America</v>
      </c>
    </row>
    <row r="1981" spans="1:10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  <c r="I1981" t="str">
        <f t="shared" si="60"/>
        <v>America</v>
      </c>
      <c r="J1981" t="str">
        <f t="shared" si="61"/>
        <v>America</v>
      </c>
    </row>
    <row r="1982" spans="1:10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  <c r="I1982" t="str">
        <f t="shared" si="60"/>
        <v>Africa</v>
      </c>
      <c r="J1982" t="str">
        <f t="shared" si="61"/>
        <v>Asia-Pacific</v>
      </c>
    </row>
    <row r="1983" spans="1:10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  <c r="I1983" t="str">
        <f t="shared" si="60"/>
        <v>Africa</v>
      </c>
      <c r="J1983" t="str">
        <f t="shared" si="61"/>
        <v>America</v>
      </c>
    </row>
    <row r="1984" spans="1:10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  <c r="I1984" t="str">
        <f t="shared" si="60"/>
        <v>Africa</v>
      </c>
      <c r="J1984" t="str">
        <f t="shared" si="61"/>
        <v>America</v>
      </c>
    </row>
    <row r="1985" spans="1:10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  <c r="I1985" t="str">
        <f t="shared" si="60"/>
        <v>America</v>
      </c>
      <c r="J1985" t="str">
        <f t="shared" si="61"/>
        <v>America</v>
      </c>
    </row>
    <row r="1986" spans="1:10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  <c r="I1986" t="str">
        <f t="shared" si="60"/>
        <v>America</v>
      </c>
      <c r="J1986" t="str">
        <f t="shared" si="61"/>
        <v>America</v>
      </c>
    </row>
    <row r="1987" spans="1:10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  <c r="I1987" t="str">
        <f t="shared" ref="I1987:I2050" si="62">_xlfn.XLOOKUP(H1987, $M$2:$M$50, $N$2:$N$50, "Other")</f>
        <v>America</v>
      </c>
      <c r="J1987" t="str">
        <f t="shared" ref="J1987:J2050" si="63">_xlfn.XLOOKUP(G1987, $M$2:$M$50, $N$2:$N$50, "Other")</f>
        <v>America</v>
      </c>
    </row>
    <row r="1988" spans="1:10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  <c r="I1988" t="str">
        <f t="shared" si="62"/>
        <v>Africa</v>
      </c>
      <c r="J1988" t="str">
        <f t="shared" si="63"/>
        <v>Asia-Pacific</v>
      </c>
    </row>
    <row r="1989" spans="1:10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  <c r="I1989" t="str">
        <f t="shared" si="62"/>
        <v>NULL</v>
      </c>
      <c r="J1989" t="str">
        <f t="shared" si="63"/>
        <v>Asia-Pacific</v>
      </c>
    </row>
    <row r="1990" spans="1:10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  <c r="I1990" t="str">
        <f t="shared" si="62"/>
        <v>America</v>
      </c>
      <c r="J1990" t="str">
        <f t="shared" si="63"/>
        <v>America</v>
      </c>
    </row>
    <row r="1991" spans="1:10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  <c r="I1991" t="str">
        <f t="shared" si="62"/>
        <v>Africa</v>
      </c>
      <c r="J1991" t="str">
        <f t="shared" si="63"/>
        <v>America</v>
      </c>
    </row>
    <row r="1992" spans="1:10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  <c r="I1992" t="str">
        <f t="shared" si="62"/>
        <v>Africa</v>
      </c>
      <c r="J1992" t="str">
        <f t="shared" si="63"/>
        <v>America</v>
      </c>
    </row>
    <row r="1993" spans="1:10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  <c r="I1993" t="str">
        <f t="shared" si="62"/>
        <v>Africa</v>
      </c>
      <c r="J1993" t="str">
        <f t="shared" si="63"/>
        <v>America</v>
      </c>
    </row>
    <row r="1994" spans="1:10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  <c r="I1994" t="str">
        <f t="shared" si="62"/>
        <v>Africa</v>
      </c>
      <c r="J1994" t="str">
        <f t="shared" si="63"/>
        <v>Asia-Pacific</v>
      </c>
    </row>
    <row r="1995" spans="1:10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  <c r="I1995" t="str">
        <f t="shared" si="62"/>
        <v>America</v>
      </c>
      <c r="J1995" t="str">
        <f t="shared" si="63"/>
        <v>America</v>
      </c>
    </row>
    <row r="1996" spans="1:10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  <c r="I1996" t="str">
        <f t="shared" si="62"/>
        <v>Africa</v>
      </c>
      <c r="J1996" t="str">
        <f t="shared" si="63"/>
        <v>America</v>
      </c>
    </row>
    <row r="1997" spans="1:10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  <c r="I1997" t="str">
        <f t="shared" si="62"/>
        <v>NULL</v>
      </c>
      <c r="J1997" t="str">
        <f t="shared" si="63"/>
        <v>America</v>
      </c>
    </row>
    <row r="1998" spans="1:10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  <c r="I1998" t="str">
        <f t="shared" si="62"/>
        <v>America</v>
      </c>
      <c r="J1998" t="str">
        <f t="shared" si="63"/>
        <v>America</v>
      </c>
    </row>
    <row r="1999" spans="1:10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  <c r="I1999" t="str">
        <f t="shared" si="62"/>
        <v>America</v>
      </c>
      <c r="J1999" t="str">
        <f t="shared" si="63"/>
        <v>America</v>
      </c>
    </row>
    <row r="2000" spans="1:10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  <c r="I2000" t="str">
        <f t="shared" si="62"/>
        <v>Africa</v>
      </c>
      <c r="J2000" t="str">
        <f t="shared" si="63"/>
        <v>America</v>
      </c>
    </row>
    <row r="2001" spans="1:10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  <c r="I2001" t="str">
        <f t="shared" si="62"/>
        <v>America</v>
      </c>
      <c r="J2001" t="str">
        <f t="shared" si="63"/>
        <v>America</v>
      </c>
    </row>
    <row r="2002" spans="1:10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  <c r="I2002" t="str">
        <f t="shared" si="62"/>
        <v>America</v>
      </c>
      <c r="J2002" t="str">
        <f t="shared" si="63"/>
        <v>America</v>
      </c>
    </row>
    <row r="2003" spans="1:10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  <c r="I2003" t="str">
        <f t="shared" si="62"/>
        <v>Africa</v>
      </c>
      <c r="J2003" t="str">
        <f t="shared" si="63"/>
        <v>America</v>
      </c>
    </row>
    <row r="2004" spans="1:10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  <c r="I2004" t="str">
        <f t="shared" si="62"/>
        <v>Asia-Pacific</v>
      </c>
      <c r="J2004" t="str">
        <f t="shared" si="63"/>
        <v>America</v>
      </c>
    </row>
    <row r="2005" spans="1:10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  <c r="I2005" t="str">
        <f t="shared" si="62"/>
        <v>America</v>
      </c>
      <c r="J2005" t="str">
        <f t="shared" si="63"/>
        <v>America</v>
      </c>
    </row>
    <row r="2006" spans="1:10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  <c r="I2006" t="str">
        <f t="shared" si="62"/>
        <v>America</v>
      </c>
      <c r="J2006" t="str">
        <f t="shared" si="63"/>
        <v>Asia-Pacific</v>
      </c>
    </row>
    <row r="2007" spans="1:10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  <c r="I2007" t="str">
        <f t="shared" si="62"/>
        <v>America</v>
      </c>
      <c r="J2007" t="str">
        <f t="shared" si="63"/>
        <v>America</v>
      </c>
    </row>
    <row r="2008" spans="1:10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  <c r="I2008" t="str">
        <f t="shared" si="62"/>
        <v>Africa</v>
      </c>
      <c r="J2008" t="str">
        <f t="shared" si="63"/>
        <v>America</v>
      </c>
    </row>
    <row r="2009" spans="1:10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  <c r="I2009" t="str">
        <f t="shared" si="62"/>
        <v>America</v>
      </c>
      <c r="J2009" t="str">
        <f t="shared" si="63"/>
        <v>America</v>
      </c>
    </row>
    <row r="2010" spans="1:10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  <c r="I2010" t="str">
        <f t="shared" si="62"/>
        <v>America</v>
      </c>
      <c r="J2010" t="str">
        <f t="shared" si="63"/>
        <v>America</v>
      </c>
    </row>
    <row r="2011" spans="1:10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  <c r="I2011" t="str">
        <f t="shared" si="62"/>
        <v>America</v>
      </c>
      <c r="J2011" t="str">
        <f t="shared" si="63"/>
        <v>America</v>
      </c>
    </row>
    <row r="2012" spans="1:10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  <c r="I2012" t="str">
        <f t="shared" si="62"/>
        <v>Africa</v>
      </c>
      <c r="J2012" t="str">
        <f t="shared" si="63"/>
        <v>America</v>
      </c>
    </row>
    <row r="2013" spans="1:10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  <c r="I2013" t="str">
        <f t="shared" si="62"/>
        <v>America</v>
      </c>
      <c r="J2013" t="str">
        <f t="shared" si="63"/>
        <v>America</v>
      </c>
    </row>
    <row r="2014" spans="1:10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  <c r="I2014" t="str">
        <f t="shared" si="62"/>
        <v>America</v>
      </c>
      <c r="J2014" t="str">
        <f t="shared" si="63"/>
        <v>America</v>
      </c>
    </row>
    <row r="2015" spans="1:10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  <c r="I2015" t="str">
        <f t="shared" si="62"/>
        <v>Africa</v>
      </c>
      <c r="J2015" t="str">
        <f t="shared" si="63"/>
        <v>Asia-Pacific</v>
      </c>
    </row>
    <row r="2016" spans="1:10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  <c r="I2016" t="str">
        <f t="shared" si="62"/>
        <v>America</v>
      </c>
      <c r="J2016" t="str">
        <f t="shared" si="63"/>
        <v>America</v>
      </c>
    </row>
    <row r="2017" spans="1:10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  <c r="I2017" t="str">
        <f t="shared" si="62"/>
        <v>Africa</v>
      </c>
      <c r="J2017" t="str">
        <f t="shared" si="63"/>
        <v>America</v>
      </c>
    </row>
    <row r="2018" spans="1:10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  <c r="I2018" t="str">
        <f t="shared" si="62"/>
        <v>Africa</v>
      </c>
      <c r="J2018" t="str">
        <f t="shared" si="63"/>
        <v>America</v>
      </c>
    </row>
    <row r="2019" spans="1:10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  <c r="I2019" t="str">
        <f t="shared" si="62"/>
        <v>America</v>
      </c>
      <c r="J2019" t="str">
        <f t="shared" si="63"/>
        <v>America</v>
      </c>
    </row>
    <row r="2020" spans="1:10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  <c r="I2020" t="str">
        <f t="shared" si="62"/>
        <v>America</v>
      </c>
      <c r="J2020" t="str">
        <f t="shared" si="63"/>
        <v>America</v>
      </c>
    </row>
    <row r="2021" spans="1:10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  <c r="I2021" t="str">
        <f t="shared" si="62"/>
        <v>America</v>
      </c>
      <c r="J2021" t="str">
        <f t="shared" si="63"/>
        <v>America</v>
      </c>
    </row>
    <row r="2022" spans="1:10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  <c r="I2022" t="str">
        <f t="shared" si="62"/>
        <v>NULL</v>
      </c>
      <c r="J2022" t="str">
        <f t="shared" si="63"/>
        <v>America</v>
      </c>
    </row>
    <row r="2023" spans="1:10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  <c r="I2023" t="str">
        <f t="shared" si="62"/>
        <v>NULL</v>
      </c>
      <c r="J2023" t="str">
        <f t="shared" si="63"/>
        <v>America</v>
      </c>
    </row>
    <row r="2024" spans="1:10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  <c r="I2024" t="str">
        <f t="shared" si="62"/>
        <v>America</v>
      </c>
      <c r="J2024" t="str">
        <f t="shared" si="63"/>
        <v>Asia-Pacific</v>
      </c>
    </row>
    <row r="2025" spans="1:10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  <c r="I2025" t="str">
        <f t="shared" si="62"/>
        <v>America</v>
      </c>
      <c r="J2025" t="str">
        <f t="shared" si="63"/>
        <v>Asia-Pacific</v>
      </c>
    </row>
    <row r="2026" spans="1:10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  <c r="I2026" t="str">
        <f t="shared" si="62"/>
        <v>NULL</v>
      </c>
      <c r="J2026" t="str">
        <f t="shared" si="63"/>
        <v>America</v>
      </c>
    </row>
    <row r="2027" spans="1:10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  <c r="I2027" t="str">
        <f t="shared" si="62"/>
        <v>Africa</v>
      </c>
      <c r="J2027" t="str">
        <f t="shared" si="63"/>
        <v>America</v>
      </c>
    </row>
    <row r="2028" spans="1:10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  <c r="I2028" t="str">
        <f t="shared" si="62"/>
        <v>America</v>
      </c>
      <c r="J2028" t="str">
        <f t="shared" si="63"/>
        <v>America</v>
      </c>
    </row>
    <row r="2029" spans="1:10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  <c r="I2029" t="str">
        <f t="shared" si="62"/>
        <v>Africa</v>
      </c>
      <c r="J2029" t="str">
        <f t="shared" si="63"/>
        <v>America</v>
      </c>
    </row>
    <row r="2030" spans="1:10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  <c r="I2030" t="str">
        <f t="shared" si="62"/>
        <v>America</v>
      </c>
      <c r="J2030" t="str">
        <f t="shared" si="63"/>
        <v>America</v>
      </c>
    </row>
    <row r="2031" spans="1:10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  <c r="I2031" t="str">
        <f t="shared" si="62"/>
        <v>America</v>
      </c>
      <c r="J2031" t="str">
        <f t="shared" si="63"/>
        <v>America</v>
      </c>
    </row>
    <row r="2032" spans="1:10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  <c r="I2032" t="str">
        <f t="shared" si="62"/>
        <v>America</v>
      </c>
      <c r="J2032" t="str">
        <f t="shared" si="63"/>
        <v>America</v>
      </c>
    </row>
    <row r="2033" spans="1:10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  <c r="I2033" t="str">
        <f t="shared" si="62"/>
        <v>Africa</v>
      </c>
      <c r="J2033" t="str">
        <f t="shared" si="63"/>
        <v>America</v>
      </c>
    </row>
    <row r="2034" spans="1:10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  <c r="I2034" t="str">
        <f t="shared" si="62"/>
        <v>Africa</v>
      </c>
      <c r="J2034" t="str">
        <f t="shared" si="63"/>
        <v>America</v>
      </c>
    </row>
    <row r="2035" spans="1:10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  <c r="I2035" t="str">
        <f t="shared" si="62"/>
        <v>Africa</v>
      </c>
      <c r="J2035" t="str">
        <f t="shared" si="63"/>
        <v>America</v>
      </c>
    </row>
    <row r="2036" spans="1:10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  <c r="I2036" t="str">
        <f t="shared" si="62"/>
        <v>Africa</v>
      </c>
      <c r="J2036" t="str">
        <f t="shared" si="63"/>
        <v>America</v>
      </c>
    </row>
    <row r="2037" spans="1:10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  <c r="I2037" t="str">
        <f t="shared" si="62"/>
        <v>Africa</v>
      </c>
      <c r="J2037" t="str">
        <f t="shared" si="63"/>
        <v>America</v>
      </c>
    </row>
    <row r="2038" spans="1:10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  <c r="I2038" t="str">
        <f t="shared" si="62"/>
        <v>Africa</v>
      </c>
      <c r="J2038" t="str">
        <f t="shared" si="63"/>
        <v>America</v>
      </c>
    </row>
    <row r="2039" spans="1:10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  <c r="I2039" t="str">
        <f t="shared" si="62"/>
        <v>Africa</v>
      </c>
      <c r="J2039" t="str">
        <f t="shared" si="63"/>
        <v>America</v>
      </c>
    </row>
    <row r="2040" spans="1:10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  <c r="I2040" t="str">
        <f t="shared" si="62"/>
        <v>Asia-Pacific</v>
      </c>
      <c r="J2040" t="str">
        <f t="shared" si="63"/>
        <v>America</v>
      </c>
    </row>
    <row r="2041" spans="1:10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  <c r="I2041" t="str">
        <f t="shared" si="62"/>
        <v>NULL</v>
      </c>
      <c r="J2041" t="str">
        <f t="shared" si="63"/>
        <v>America</v>
      </c>
    </row>
    <row r="2042" spans="1:10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  <c r="I2042" t="str">
        <f t="shared" si="62"/>
        <v>America</v>
      </c>
      <c r="J2042" t="str">
        <f t="shared" si="63"/>
        <v>America</v>
      </c>
    </row>
    <row r="2043" spans="1:10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  <c r="I2043" t="str">
        <f t="shared" si="62"/>
        <v>America</v>
      </c>
      <c r="J2043" t="str">
        <f t="shared" si="63"/>
        <v>America</v>
      </c>
    </row>
    <row r="2044" spans="1:10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  <c r="I2044" t="str">
        <f t="shared" si="62"/>
        <v>America</v>
      </c>
      <c r="J2044" t="str">
        <f t="shared" si="63"/>
        <v>America</v>
      </c>
    </row>
    <row r="2045" spans="1:10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  <c r="I2045" t="str">
        <f t="shared" si="62"/>
        <v>America</v>
      </c>
      <c r="J2045" t="str">
        <f t="shared" si="63"/>
        <v>America</v>
      </c>
    </row>
    <row r="2046" spans="1:10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  <c r="I2046" t="str">
        <f t="shared" si="62"/>
        <v>Africa</v>
      </c>
      <c r="J2046" t="str">
        <f t="shared" si="63"/>
        <v>America</v>
      </c>
    </row>
    <row r="2047" spans="1:10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  <c r="I2047" t="str">
        <f t="shared" si="62"/>
        <v>Africa</v>
      </c>
      <c r="J2047" t="str">
        <f t="shared" si="63"/>
        <v>America</v>
      </c>
    </row>
    <row r="2048" spans="1:10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  <c r="I2048" t="str">
        <f t="shared" si="62"/>
        <v>America</v>
      </c>
      <c r="J2048" t="str">
        <f t="shared" si="63"/>
        <v>America</v>
      </c>
    </row>
    <row r="2049" spans="1:10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  <c r="I2049" t="str">
        <f t="shared" si="62"/>
        <v>America</v>
      </c>
      <c r="J2049" t="str">
        <f t="shared" si="63"/>
        <v>America</v>
      </c>
    </row>
    <row r="2050" spans="1:10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  <c r="I2050" t="str">
        <f t="shared" si="62"/>
        <v>Africa</v>
      </c>
      <c r="J2050" t="str">
        <f t="shared" si="63"/>
        <v>America</v>
      </c>
    </row>
    <row r="2051" spans="1:10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  <c r="I2051" t="str">
        <f t="shared" ref="I2051:I2114" si="64">_xlfn.XLOOKUP(H2051, $M$2:$M$50, $N$2:$N$50, "Other")</f>
        <v>America</v>
      </c>
      <c r="J2051" t="str">
        <f t="shared" ref="J2051:J2114" si="65">_xlfn.XLOOKUP(G2051, $M$2:$M$50, $N$2:$N$50, "Other")</f>
        <v>America</v>
      </c>
    </row>
    <row r="2052" spans="1:10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  <c r="I2052" t="str">
        <f t="shared" si="64"/>
        <v>Africa</v>
      </c>
      <c r="J2052" t="str">
        <f t="shared" si="65"/>
        <v>America</v>
      </c>
    </row>
    <row r="2053" spans="1:10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  <c r="I2053" t="str">
        <f t="shared" si="64"/>
        <v>America</v>
      </c>
      <c r="J2053" t="str">
        <f t="shared" si="65"/>
        <v>America</v>
      </c>
    </row>
    <row r="2054" spans="1:10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  <c r="I2054" t="str">
        <f t="shared" si="64"/>
        <v>America</v>
      </c>
      <c r="J2054" t="str">
        <f t="shared" si="65"/>
        <v>America</v>
      </c>
    </row>
    <row r="2055" spans="1:10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  <c r="I2055" t="str">
        <f t="shared" si="64"/>
        <v>Africa</v>
      </c>
      <c r="J2055" t="str">
        <f t="shared" si="65"/>
        <v>America</v>
      </c>
    </row>
    <row r="2056" spans="1:10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  <c r="I2056" t="str">
        <f t="shared" si="64"/>
        <v>America</v>
      </c>
      <c r="J2056" t="str">
        <f t="shared" si="65"/>
        <v>America</v>
      </c>
    </row>
    <row r="2057" spans="1:10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  <c r="I2057" t="str">
        <f t="shared" si="64"/>
        <v>America</v>
      </c>
      <c r="J2057" t="str">
        <f t="shared" si="65"/>
        <v>America</v>
      </c>
    </row>
    <row r="2058" spans="1:10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  <c r="I2058" t="str">
        <f t="shared" si="64"/>
        <v>NULL</v>
      </c>
      <c r="J2058" t="str">
        <f t="shared" si="65"/>
        <v>Asia-Pacific</v>
      </c>
    </row>
    <row r="2059" spans="1:10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  <c r="I2059" t="str">
        <f t="shared" si="64"/>
        <v>Africa</v>
      </c>
      <c r="J2059" t="str">
        <f t="shared" si="65"/>
        <v>America</v>
      </c>
    </row>
    <row r="2060" spans="1:10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  <c r="I2060" t="str">
        <f t="shared" si="64"/>
        <v>Africa</v>
      </c>
      <c r="J2060" t="str">
        <f t="shared" si="65"/>
        <v>America</v>
      </c>
    </row>
    <row r="2061" spans="1:10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  <c r="I2061" t="str">
        <f t="shared" si="64"/>
        <v>Africa</v>
      </c>
      <c r="J2061" t="str">
        <f t="shared" si="65"/>
        <v>America</v>
      </c>
    </row>
    <row r="2062" spans="1:10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  <c r="I2062" t="str">
        <f t="shared" si="64"/>
        <v>Africa</v>
      </c>
      <c r="J2062" t="str">
        <f t="shared" si="65"/>
        <v>America</v>
      </c>
    </row>
    <row r="2063" spans="1:10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  <c r="I2063" t="str">
        <f t="shared" si="64"/>
        <v>America</v>
      </c>
      <c r="J2063" t="str">
        <f t="shared" si="65"/>
        <v>America</v>
      </c>
    </row>
    <row r="2064" spans="1:10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  <c r="I2064" t="str">
        <f t="shared" si="64"/>
        <v>America</v>
      </c>
      <c r="J2064" t="str">
        <f t="shared" si="65"/>
        <v>America</v>
      </c>
    </row>
    <row r="2065" spans="1:10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  <c r="I2065" t="str">
        <f t="shared" si="64"/>
        <v>Africa</v>
      </c>
      <c r="J2065" t="str">
        <f t="shared" si="65"/>
        <v>America</v>
      </c>
    </row>
    <row r="2066" spans="1:10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  <c r="I2066" t="str">
        <f t="shared" si="64"/>
        <v>America</v>
      </c>
      <c r="J2066" t="str">
        <f t="shared" si="65"/>
        <v>America</v>
      </c>
    </row>
    <row r="2067" spans="1:10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  <c r="I2067" t="str">
        <f t="shared" si="64"/>
        <v>America</v>
      </c>
      <c r="J2067" t="str">
        <f t="shared" si="65"/>
        <v>America</v>
      </c>
    </row>
    <row r="2068" spans="1:10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  <c r="I2068" t="str">
        <f t="shared" si="64"/>
        <v>America</v>
      </c>
      <c r="J2068" t="str">
        <f t="shared" si="65"/>
        <v>America</v>
      </c>
    </row>
    <row r="2069" spans="1:10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  <c r="I2069" t="str">
        <f t="shared" si="64"/>
        <v>NULL</v>
      </c>
      <c r="J2069" t="str">
        <f t="shared" si="65"/>
        <v>America</v>
      </c>
    </row>
    <row r="2070" spans="1:10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  <c r="I2070" t="str">
        <f t="shared" si="64"/>
        <v>America</v>
      </c>
      <c r="J2070" t="str">
        <f t="shared" si="65"/>
        <v>America</v>
      </c>
    </row>
    <row r="2071" spans="1:10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  <c r="I2071" t="str">
        <f t="shared" si="64"/>
        <v>NULL</v>
      </c>
      <c r="J2071" t="str">
        <f t="shared" si="65"/>
        <v>Asia-Pacific</v>
      </c>
    </row>
    <row r="2072" spans="1:10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  <c r="I2072" t="str">
        <f t="shared" si="64"/>
        <v>America</v>
      </c>
      <c r="J2072" t="str">
        <f t="shared" si="65"/>
        <v>America</v>
      </c>
    </row>
    <row r="2073" spans="1:10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  <c r="I2073" t="str">
        <f t="shared" si="64"/>
        <v>Africa</v>
      </c>
      <c r="J2073" t="str">
        <f t="shared" si="65"/>
        <v>Asia-Pacific</v>
      </c>
    </row>
    <row r="2074" spans="1:10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  <c r="I2074" t="str">
        <f t="shared" si="64"/>
        <v>Africa</v>
      </c>
      <c r="J2074" t="str">
        <f t="shared" si="65"/>
        <v>America</v>
      </c>
    </row>
    <row r="2075" spans="1:10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  <c r="I2075" t="str">
        <f t="shared" si="64"/>
        <v>America</v>
      </c>
      <c r="J2075" t="str">
        <f t="shared" si="65"/>
        <v>America</v>
      </c>
    </row>
    <row r="2076" spans="1:10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  <c r="I2076" t="str">
        <f t="shared" si="64"/>
        <v>America</v>
      </c>
      <c r="J2076" t="str">
        <f t="shared" si="65"/>
        <v>America</v>
      </c>
    </row>
    <row r="2077" spans="1:10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  <c r="I2077" t="str">
        <f t="shared" si="64"/>
        <v>America</v>
      </c>
      <c r="J2077" t="str">
        <f t="shared" si="65"/>
        <v>America</v>
      </c>
    </row>
    <row r="2078" spans="1:10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  <c r="I2078" t="str">
        <f t="shared" si="64"/>
        <v>NULL</v>
      </c>
      <c r="J2078" t="str">
        <f t="shared" si="65"/>
        <v>America</v>
      </c>
    </row>
    <row r="2079" spans="1:10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  <c r="I2079" t="str">
        <f t="shared" si="64"/>
        <v>Africa</v>
      </c>
      <c r="J2079" t="str">
        <f t="shared" si="65"/>
        <v>America</v>
      </c>
    </row>
    <row r="2080" spans="1:10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  <c r="I2080" t="str">
        <f t="shared" si="64"/>
        <v>Asia-Pacific</v>
      </c>
      <c r="J2080" t="str">
        <f t="shared" si="65"/>
        <v>America</v>
      </c>
    </row>
    <row r="2081" spans="1:10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  <c r="I2081" t="str">
        <f t="shared" si="64"/>
        <v>Africa</v>
      </c>
      <c r="J2081" t="str">
        <f t="shared" si="65"/>
        <v>America</v>
      </c>
    </row>
    <row r="2082" spans="1:10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  <c r="I2082" t="str">
        <f t="shared" si="64"/>
        <v>America</v>
      </c>
      <c r="J2082" t="str">
        <f t="shared" si="65"/>
        <v>America</v>
      </c>
    </row>
    <row r="2083" spans="1:10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  <c r="I2083" t="str">
        <f t="shared" si="64"/>
        <v>Africa</v>
      </c>
      <c r="J2083" t="str">
        <f t="shared" si="65"/>
        <v>America</v>
      </c>
    </row>
    <row r="2084" spans="1:10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  <c r="I2084" t="str">
        <f t="shared" si="64"/>
        <v>America</v>
      </c>
      <c r="J2084" t="str">
        <f t="shared" si="65"/>
        <v>America</v>
      </c>
    </row>
    <row r="2085" spans="1:10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  <c r="I2085" t="str">
        <f t="shared" si="64"/>
        <v>Africa</v>
      </c>
      <c r="J2085" t="str">
        <f t="shared" si="65"/>
        <v>America</v>
      </c>
    </row>
    <row r="2086" spans="1:10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  <c r="I2086" t="str">
        <f t="shared" si="64"/>
        <v>Africa</v>
      </c>
      <c r="J2086" t="str">
        <f t="shared" si="65"/>
        <v>America</v>
      </c>
    </row>
    <row r="2087" spans="1:10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  <c r="I2087" t="str">
        <f t="shared" si="64"/>
        <v>Asia-Pacific</v>
      </c>
      <c r="J2087" t="str">
        <f t="shared" si="65"/>
        <v>America</v>
      </c>
    </row>
    <row r="2088" spans="1:10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  <c r="I2088" t="str">
        <f t="shared" si="64"/>
        <v>Africa</v>
      </c>
      <c r="J2088" t="str">
        <f t="shared" si="65"/>
        <v>America</v>
      </c>
    </row>
    <row r="2089" spans="1:10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  <c r="I2089" t="str">
        <f t="shared" si="64"/>
        <v>Asia-Pacific</v>
      </c>
      <c r="J2089" t="str">
        <f t="shared" si="65"/>
        <v>America</v>
      </c>
    </row>
    <row r="2090" spans="1:10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  <c r="I2090" t="str">
        <f t="shared" si="64"/>
        <v>Asia-Pacific</v>
      </c>
      <c r="J2090" t="str">
        <f t="shared" si="65"/>
        <v>America</v>
      </c>
    </row>
    <row r="2091" spans="1:10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  <c r="I2091" t="str">
        <f t="shared" si="64"/>
        <v>NULL</v>
      </c>
      <c r="J2091" t="str">
        <f t="shared" si="65"/>
        <v>America</v>
      </c>
    </row>
    <row r="2092" spans="1:10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  <c r="I2092" t="str">
        <f t="shared" si="64"/>
        <v>Africa</v>
      </c>
      <c r="J2092" t="str">
        <f t="shared" si="65"/>
        <v>Asia-Pacific</v>
      </c>
    </row>
    <row r="2093" spans="1:10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  <c r="I2093" t="str">
        <f t="shared" si="64"/>
        <v>Africa</v>
      </c>
      <c r="J2093" t="str">
        <f t="shared" si="65"/>
        <v>Asia-Pacific</v>
      </c>
    </row>
    <row r="2094" spans="1:10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  <c r="I2094" t="str">
        <f t="shared" si="64"/>
        <v>America</v>
      </c>
      <c r="J2094" t="str">
        <f t="shared" si="65"/>
        <v>America</v>
      </c>
    </row>
    <row r="2095" spans="1:10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  <c r="I2095" t="str">
        <f t="shared" si="64"/>
        <v>Africa</v>
      </c>
      <c r="J2095" t="str">
        <f t="shared" si="65"/>
        <v>America</v>
      </c>
    </row>
    <row r="2096" spans="1:10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  <c r="I2096" t="str">
        <f t="shared" si="64"/>
        <v>Africa</v>
      </c>
      <c r="J2096" t="str">
        <f t="shared" si="65"/>
        <v>America</v>
      </c>
    </row>
    <row r="2097" spans="1:10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  <c r="I2097" t="str">
        <f t="shared" si="64"/>
        <v>America</v>
      </c>
      <c r="J2097" t="str">
        <f t="shared" si="65"/>
        <v>America</v>
      </c>
    </row>
    <row r="2098" spans="1:10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  <c r="I2098" t="str">
        <f t="shared" si="64"/>
        <v>Asia-Pacific</v>
      </c>
      <c r="J2098" t="str">
        <f t="shared" si="65"/>
        <v>America</v>
      </c>
    </row>
    <row r="2099" spans="1:10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  <c r="I2099" t="str">
        <f t="shared" si="64"/>
        <v>Africa</v>
      </c>
      <c r="J2099" t="str">
        <f t="shared" si="65"/>
        <v>America</v>
      </c>
    </row>
    <row r="2100" spans="1:10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  <c r="I2100" t="str">
        <f t="shared" si="64"/>
        <v>America</v>
      </c>
      <c r="J2100" t="str">
        <f t="shared" si="65"/>
        <v>America</v>
      </c>
    </row>
    <row r="2101" spans="1:10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  <c r="I2101" t="str">
        <f t="shared" si="64"/>
        <v>Africa</v>
      </c>
      <c r="J2101" t="str">
        <f t="shared" si="65"/>
        <v>America</v>
      </c>
    </row>
    <row r="2102" spans="1:10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  <c r="I2102" t="str">
        <f t="shared" si="64"/>
        <v>America</v>
      </c>
      <c r="J2102" t="str">
        <f t="shared" si="65"/>
        <v>America</v>
      </c>
    </row>
    <row r="2103" spans="1:10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  <c r="I2103" t="str">
        <f t="shared" si="64"/>
        <v>America</v>
      </c>
      <c r="J2103" t="str">
        <f t="shared" si="65"/>
        <v>America</v>
      </c>
    </row>
    <row r="2104" spans="1:10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  <c r="I2104" t="str">
        <f t="shared" si="64"/>
        <v>America</v>
      </c>
      <c r="J2104" t="str">
        <f t="shared" si="65"/>
        <v>America</v>
      </c>
    </row>
    <row r="2105" spans="1:10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  <c r="I2105" t="str">
        <f t="shared" si="64"/>
        <v>Africa</v>
      </c>
      <c r="J2105" t="str">
        <f t="shared" si="65"/>
        <v>America</v>
      </c>
    </row>
    <row r="2106" spans="1:10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  <c r="I2106" t="str">
        <f t="shared" si="64"/>
        <v>Africa</v>
      </c>
      <c r="J2106" t="str">
        <f t="shared" si="65"/>
        <v>America</v>
      </c>
    </row>
    <row r="2107" spans="1:10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  <c r="I2107" t="str">
        <f t="shared" si="64"/>
        <v>NULL</v>
      </c>
      <c r="J2107" t="str">
        <f t="shared" si="65"/>
        <v>America</v>
      </c>
    </row>
    <row r="2108" spans="1:10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  <c r="I2108" t="str">
        <f t="shared" si="64"/>
        <v>Africa</v>
      </c>
      <c r="J2108" t="str">
        <f t="shared" si="65"/>
        <v>America</v>
      </c>
    </row>
    <row r="2109" spans="1:10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  <c r="I2109" t="str">
        <f t="shared" si="64"/>
        <v>NULL</v>
      </c>
      <c r="J2109" t="str">
        <f t="shared" si="65"/>
        <v>America</v>
      </c>
    </row>
    <row r="2110" spans="1:10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  <c r="I2110" t="str">
        <f t="shared" si="64"/>
        <v>Africa</v>
      </c>
      <c r="J2110" t="str">
        <f t="shared" si="65"/>
        <v>America</v>
      </c>
    </row>
    <row r="2111" spans="1:10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  <c r="I2111" t="str">
        <f t="shared" si="64"/>
        <v>America</v>
      </c>
      <c r="J2111" t="str">
        <f t="shared" si="65"/>
        <v>America</v>
      </c>
    </row>
    <row r="2112" spans="1:10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  <c r="I2112" t="str">
        <f t="shared" si="64"/>
        <v>Africa</v>
      </c>
      <c r="J2112" t="str">
        <f t="shared" si="65"/>
        <v>America</v>
      </c>
    </row>
    <row r="2113" spans="1:10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  <c r="I2113" t="str">
        <f t="shared" si="64"/>
        <v>Africa</v>
      </c>
      <c r="J2113" t="str">
        <f t="shared" si="65"/>
        <v>America</v>
      </c>
    </row>
    <row r="2114" spans="1:10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  <c r="I2114" t="str">
        <f t="shared" si="64"/>
        <v>Africa</v>
      </c>
      <c r="J2114" t="str">
        <f t="shared" si="65"/>
        <v>America</v>
      </c>
    </row>
    <row r="2115" spans="1:10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  <c r="I2115" t="str">
        <f t="shared" ref="I2115:I2178" si="66">_xlfn.XLOOKUP(H2115, $M$2:$M$50, $N$2:$N$50, "Other")</f>
        <v>Asia-Pacific</v>
      </c>
      <c r="J2115" t="str">
        <f t="shared" ref="J2115:J2178" si="67">_xlfn.XLOOKUP(G2115, $M$2:$M$50, $N$2:$N$50, "Other")</f>
        <v>America</v>
      </c>
    </row>
    <row r="2116" spans="1:10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  <c r="I2116" t="str">
        <f t="shared" si="66"/>
        <v>America</v>
      </c>
      <c r="J2116" t="str">
        <f t="shared" si="67"/>
        <v>America</v>
      </c>
    </row>
    <row r="2117" spans="1:10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  <c r="I2117" t="str">
        <f t="shared" si="66"/>
        <v>Asia-Pacific</v>
      </c>
      <c r="J2117" t="str">
        <f t="shared" si="67"/>
        <v>America</v>
      </c>
    </row>
    <row r="2118" spans="1:10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  <c r="I2118" t="str">
        <f t="shared" si="66"/>
        <v>Africa</v>
      </c>
      <c r="J2118" t="str">
        <f t="shared" si="67"/>
        <v>America</v>
      </c>
    </row>
    <row r="2119" spans="1:10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  <c r="I2119" t="str">
        <f t="shared" si="66"/>
        <v>America</v>
      </c>
      <c r="J2119" t="str">
        <f t="shared" si="67"/>
        <v>America</v>
      </c>
    </row>
    <row r="2120" spans="1:10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  <c r="I2120" t="str">
        <f t="shared" si="66"/>
        <v>America</v>
      </c>
      <c r="J2120" t="str">
        <f t="shared" si="67"/>
        <v>America</v>
      </c>
    </row>
    <row r="2121" spans="1:10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  <c r="I2121" t="str">
        <f t="shared" si="66"/>
        <v>America</v>
      </c>
      <c r="J2121" t="str">
        <f t="shared" si="67"/>
        <v>America</v>
      </c>
    </row>
    <row r="2122" spans="1:10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  <c r="I2122" t="str">
        <f t="shared" si="66"/>
        <v>America</v>
      </c>
      <c r="J2122" t="str">
        <f t="shared" si="67"/>
        <v>America</v>
      </c>
    </row>
    <row r="2123" spans="1:10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  <c r="I2123" t="str">
        <f t="shared" si="66"/>
        <v>America</v>
      </c>
      <c r="J2123" t="str">
        <f t="shared" si="67"/>
        <v>America</v>
      </c>
    </row>
    <row r="2124" spans="1:10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  <c r="I2124" t="str">
        <f t="shared" si="66"/>
        <v>Africa</v>
      </c>
      <c r="J2124" t="str">
        <f t="shared" si="67"/>
        <v>America</v>
      </c>
    </row>
    <row r="2125" spans="1:10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  <c r="I2125" t="str">
        <f t="shared" si="66"/>
        <v>Africa</v>
      </c>
      <c r="J2125" t="str">
        <f t="shared" si="67"/>
        <v>America</v>
      </c>
    </row>
    <row r="2126" spans="1:10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  <c r="I2126" t="str">
        <f t="shared" si="66"/>
        <v>America</v>
      </c>
      <c r="J2126" t="str">
        <f t="shared" si="67"/>
        <v>America</v>
      </c>
    </row>
    <row r="2127" spans="1:10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  <c r="I2127" t="str">
        <f t="shared" si="66"/>
        <v>Africa</v>
      </c>
      <c r="J2127" t="str">
        <f t="shared" si="67"/>
        <v>America</v>
      </c>
    </row>
    <row r="2128" spans="1:10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  <c r="I2128" t="str">
        <f t="shared" si="66"/>
        <v>Africa</v>
      </c>
      <c r="J2128" t="str">
        <f t="shared" si="67"/>
        <v>America</v>
      </c>
    </row>
    <row r="2129" spans="1:10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  <c r="I2129" t="str">
        <f t="shared" si="66"/>
        <v>Africa</v>
      </c>
      <c r="J2129" t="str">
        <f t="shared" si="67"/>
        <v>America</v>
      </c>
    </row>
    <row r="2130" spans="1:10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  <c r="I2130" t="str">
        <f t="shared" si="66"/>
        <v>Africa</v>
      </c>
      <c r="J2130" t="str">
        <f t="shared" si="67"/>
        <v>America</v>
      </c>
    </row>
    <row r="2131" spans="1:10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  <c r="I2131" t="str">
        <f t="shared" si="66"/>
        <v>America</v>
      </c>
      <c r="J2131" t="str">
        <f t="shared" si="67"/>
        <v>America</v>
      </c>
    </row>
    <row r="2132" spans="1:10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  <c r="I2132" t="str">
        <f t="shared" si="66"/>
        <v>America</v>
      </c>
      <c r="J2132" t="str">
        <f t="shared" si="67"/>
        <v>America</v>
      </c>
    </row>
    <row r="2133" spans="1:10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  <c r="I2133" t="str">
        <f t="shared" si="66"/>
        <v>Africa</v>
      </c>
      <c r="J2133" t="str">
        <f t="shared" si="67"/>
        <v>America</v>
      </c>
    </row>
    <row r="2134" spans="1:10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  <c r="I2134" t="str">
        <f t="shared" si="66"/>
        <v>America</v>
      </c>
      <c r="J2134" t="str">
        <f t="shared" si="67"/>
        <v>America</v>
      </c>
    </row>
    <row r="2135" spans="1:10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  <c r="I2135" t="str">
        <f t="shared" si="66"/>
        <v>Africa</v>
      </c>
      <c r="J2135" t="str">
        <f t="shared" si="67"/>
        <v>America</v>
      </c>
    </row>
    <row r="2136" spans="1:10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  <c r="I2136" t="str">
        <f t="shared" si="66"/>
        <v>Asia-Pacific</v>
      </c>
      <c r="J2136" t="str">
        <f t="shared" si="67"/>
        <v>America</v>
      </c>
    </row>
    <row r="2137" spans="1:10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  <c r="I2137" t="str">
        <f t="shared" si="66"/>
        <v>America</v>
      </c>
      <c r="J2137" t="str">
        <f t="shared" si="67"/>
        <v>America</v>
      </c>
    </row>
    <row r="2138" spans="1:10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  <c r="I2138" t="str">
        <f t="shared" si="66"/>
        <v>America</v>
      </c>
      <c r="J2138" t="str">
        <f t="shared" si="67"/>
        <v>America</v>
      </c>
    </row>
    <row r="2139" spans="1:10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  <c r="I2139" t="str">
        <f t="shared" si="66"/>
        <v>America</v>
      </c>
      <c r="J2139" t="str">
        <f t="shared" si="67"/>
        <v>America</v>
      </c>
    </row>
    <row r="2140" spans="1:10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  <c r="I2140" t="str">
        <f t="shared" si="66"/>
        <v>America</v>
      </c>
      <c r="J2140" t="str">
        <f t="shared" si="67"/>
        <v>America</v>
      </c>
    </row>
    <row r="2141" spans="1:10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  <c r="I2141" t="str">
        <f t="shared" si="66"/>
        <v>America</v>
      </c>
      <c r="J2141" t="str">
        <f t="shared" si="67"/>
        <v>America</v>
      </c>
    </row>
    <row r="2142" spans="1:10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  <c r="I2142" t="str">
        <f t="shared" si="66"/>
        <v>Africa</v>
      </c>
      <c r="J2142" t="str">
        <f t="shared" si="67"/>
        <v>America</v>
      </c>
    </row>
    <row r="2143" spans="1:10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  <c r="I2143" t="str">
        <f t="shared" si="66"/>
        <v>America</v>
      </c>
      <c r="J2143" t="str">
        <f t="shared" si="67"/>
        <v>America</v>
      </c>
    </row>
    <row r="2144" spans="1:10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  <c r="I2144" t="str">
        <f t="shared" si="66"/>
        <v>Africa</v>
      </c>
      <c r="J2144" t="str">
        <f t="shared" si="67"/>
        <v>America</v>
      </c>
    </row>
    <row r="2145" spans="1:10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  <c r="I2145" t="str">
        <f t="shared" si="66"/>
        <v>Asia-Pacific</v>
      </c>
      <c r="J2145" t="str">
        <f t="shared" si="67"/>
        <v>America</v>
      </c>
    </row>
    <row r="2146" spans="1:10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  <c r="I2146" t="str">
        <f t="shared" si="66"/>
        <v>Africa</v>
      </c>
      <c r="J2146" t="str">
        <f t="shared" si="67"/>
        <v>America</v>
      </c>
    </row>
    <row r="2147" spans="1:10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  <c r="I2147" t="str">
        <f t="shared" si="66"/>
        <v>America</v>
      </c>
      <c r="J2147" t="str">
        <f t="shared" si="67"/>
        <v>America</v>
      </c>
    </row>
    <row r="2148" spans="1:10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  <c r="I2148" t="str">
        <f t="shared" si="66"/>
        <v>America</v>
      </c>
      <c r="J2148" t="str">
        <f t="shared" si="67"/>
        <v>America</v>
      </c>
    </row>
    <row r="2149" spans="1:10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  <c r="I2149" t="str">
        <f t="shared" si="66"/>
        <v>Africa</v>
      </c>
      <c r="J2149" t="str">
        <f t="shared" si="67"/>
        <v>America</v>
      </c>
    </row>
    <row r="2150" spans="1:10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  <c r="I2150" t="str">
        <f t="shared" si="66"/>
        <v>Africa</v>
      </c>
      <c r="J2150" t="str">
        <f t="shared" si="67"/>
        <v>America</v>
      </c>
    </row>
    <row r="2151" spans="1:10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  <c r="I2151" t="str">
        <f t="shared" si="66"/>
        <v>America</v>
      </c>
      <c r="J2151" t="str">
        <f t="shared" si="67"/>
        <v>America</v>
      </c>
    </row>
    <row r="2152" spans="1:10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  <c r="I2152" t="str">
        <f t="shared" si="66"/>
        <v>America</v>
      </c>
      <c r="J2152" t="str">
        <f t="shared" si="67"/>
        <v>America</v>
      </c>
    </row>
    <row r="2153" spans="1:10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  <c r="I2153" t="str">
        <f t="shared" si="66"/>
        <v>Africa</v>
      </c>
      <c r="J2153" t="str">
        <f t="shared" si="67"/>
        <v>America</v>
      </c>
    </row>
    <row r="2154" spans="1:10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  <c r="I2154" t="str">
        <f t="shared" si="66"/>
        <v>Africa</v>
      </c>
      <c r="J2154" t="str">
        <f t="shared" si="67"/>
        <v>America</v>
      </c>
    </row>
    <row r="2155" spans="1:10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  <c r="I2155" t="str">
        <f t="shared" si="66"/>
        <v>Africa</v>
      </c>
      <c r="J2155" t="str">
        <f t="shared" si="67"/>
        <v>America</v>
      </c>
    </row>
    <row r="2156" spans="1:10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  <c r="I2156" t="str">
        <f t="shared" si="66"/>
        <v>Africa</v>
      </c>
      <c r="J2156" t="str">
        <f t="shared" si="67"/>
        <v>America</v>
      </c>
    </row>
    <row r="2157" spans="1:10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  <c r="I2157" t="str">
        <f t="shared" si="66"/>
        <v>America</v>
      </c>
      <c r="J2157" t="str">
        <f t="shared" si="67"/>
        <v>America</v>
      </c>
    </row>
    <row r="2158" spans="1:10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  <c r="I2158" t="str">
        <f t="shared" si="66"/>
        <v>America</v>
      </c>
      <c r="J2158" t="str">
        <f t="shared" si="67"/>
        <v>America</v>
      </c>
    </row>
    <row r="2159" spans="1:10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  <c r="I2159" t="str">
        <f t="shared" si="66"/>
        <v>NULL</v>
      </c>
      <c r="J2159" t="str">
        <f t="shared" si="67"/>
        <v>America</v>
      </c>
    </row>
    <row r="2160" spans="1:10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  <c r="I2160" t="str">
        <f t="shared" si="66"/>
        <v>NULL</v>
      </c>
      <c r="J2160" t="str">
        <f t="shared" si="67"/>
        <v>America</v>
      </c>
    </row>
    <row r="2161" spans="1:10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  <c r="I2161" t="str">
        <f t="shared" si="66"/>
        <v>America</v>
      </c>
      <c r="J2161" t="str">
        <f t="shared" si="67"/>
        <v>America</v>
      </c>
    </row>
    <row r="2162" spans="1:10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  <c r="I2162" t="str">
        <f t="shared" si="66"/>
        <v>America</v>
      </c>
      <c r="J2162" t="str">
        <f t="shared" si="67"/>
        <v>America</v>
      </c>
    </row>
    <row r="2163" spans="1:10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  <c r="I2163" t="str">
        <f t="shared" si="66"/>
        <v>America</v>
      </c>
      <c r="J2163" t="str">
        <f t="shared" si="67"/>
        <v>America</v>
      </c>
    </row>
    <row r="2164" spans="1:10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  <c r="I2164" t="str">
        <f t="shared" si="66"/>
        <v>America</v>
      </c>
      <c r="J2164" t="str">
        <f t="shared" si="67"/>
        <v>America</v>
      </c>
    </row>
    <row r="2165" spans="1:10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  <c r="I2165" t="str">
        <f t="shared" si="66"/>
        <v>America</v>
      </c>
      <c r="J2165" t="str">
        <f t="shared" si="67"/>
        <v>America</v>
      </c>
    </row>
    <row r="2166" spans="1:10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  <c r="I2166" t="str">
        <f t="shared" si="66"/>
        <v>Africa</v>
      </c>
      <c r="J2166" t="str">
        <f t="shared" si="67"/>
        <v>America</v>
      </c>
    </row>
    <row r="2167" spans="1:10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  <c r="I2167" t="str">
        <f t="shared" si="66"/>
        <v>America</v>
      </c>
      <c r="J2167" t="str">
        <f t="shared" si="67"/>
        <v>America</v>
      </c>
    </row>
    <row r="2168" spans="1:10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  <c r="I2168" t="str">
        <f t="shared" si="66"/>
        <v>America</v>
      </c>
      <c r="J2168" t="str">
        <f t="shared" si="67"/>
        <v>America</v>
      </c>
    </row>
    <row r="2169" spans="1:10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  <c r="I2169" t="str">
        <f t="shared" si="66"/>
        <v>America</v>
      </c>
      <c r="J2169" t="str">
        <f t="shared" si="67"/>
        <v>America</v>
      </c>
    </row>
    <row r="2170" spans="1:10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  <c r="I2170" t="str">
        <f t="shared" si="66"/>
        <v>America</v>
      </c>
      <c r="J2170" t="str">
        <f t="shared" si="67"/>
        <v>America</v>
      </c>
    </row>
    <row r="2171" spans="1:10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  <c r="I2171" t="str">
        <f t="shared" si="66"/>
        <v>Africa</v>
      </c>
      <c r="J2171" t="str">
        <f t="shared" si="67"/>
        <v>America</v>
      </c>
    </row>
    <row r="2172" spans="1:10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  <c r="I2172" t="str">
        <f t="shared" si="66"/>
        <v>Asia-Pacific</v>
      </c>
      <c r="J2172" t="str">
        <f t="shared" si="67"/>
        <v>America</v>
      </c>
    </row>
    <row r="2173" spans="1:10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  <c r="I2173" t="str">
        <f t="shared" si="66"/>
        <v>Asia-Pacific</v>
      </c>
      <c r="J2173" t="str">
        <f t="shared" si="67"/>
        <v>America</v>
      </c>
    </row>
    <row r="2174" spans="1:10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  <c r="I2174" t="str">
        <f t="shared" si="66"/>
        <v>Africa</v>
      </c>
      <c r="J2174" t="str">
        <f t="shared" si="67"/>
        <v>America</v>
      </c>
    </row>
    <row r="2175" spans="1:10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  <c r="I2175" t="str">
        <f t="shared" si="66"/>
        <v>America</v>
      </c>
      <c r="J2175" t="str">
        <f t="shared" si="67"/>
        <v>America</v>
      </c>
    </row>
    <row r="2176" spans="1:10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  <c r="I2176" t="str">
        <f t="shared" si="66"/>
        <v>Africa</v>
      </c>
      <c r="J2176" t="str">
        <f t="shared" si="67"/>
        <v>America</v>
      </c>
    </row>
    <row r="2177" spans="1:10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  <c r="I2177" t="str">
        <f t="shared" si="66"/>
        <v>Asia-Pacific</v>
      </c>
      <c r="J2177" t="str">
        <f t="shared" si="67"/>
        <v>America</v>
      </c>
    </row>
    <row r="2178" spans="1:10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  <c r="I2178" t="str">
        <f t="shared" si="66"/>
        <v>America</v>
      </c>
      <c r="J2178" t="str">
        <f t="shared" si="67"/>
        <v>America</v>
      </c>
    </row>
    <row r="2179" spans="1:10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  <c r="I2179" t="str">
        <f t="shared" ref="I2179:I2189" si="68">_xlfn.XLOOKUP(H2179, $M$2:$M$50, $N$2:$N$50, "Other")</f>
        <v>Africa</v>
      </c>
      <c r="J2179" t="str">
        <f t="shared" ref="J2179:J2189" si="69">_xlfn.XLOOKUP(G2179, $M$2:$M$50, $N$2:$N$50, "Other")</f>
        <v>America</v>
      </c>
    </row>
    <row r="2180" spans="1:10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  <c r="I2180" t="str">
        <f t="shared" si="68"/>
        <v>America</v>
      </c>
      <c r="J2180" t="str">
        <f t="shared" si="69"/>
        <v>America</v>
      </c>
    </row>
    <row r="2181" spans="1:10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  <c r="I2181" t="str">
        <f t="shared" si="68"/>
        <v>America</v>
      </c>
      <c r="J2181" t="str">
        <f t="shared" si="69"/>
        <v>America</v>
      </c>
    </row>
    <row r="2182" spans="1:10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  <c r="I2182" t="str">
        <f t="shared" si="68"/>
        <v>America</v>
      </c>
      <c r="J2182" t="str">
        <f t="shared" si="69"/>
        <v>America</v>
      </c>
    </row>
    <row r="2183" spans="1:10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  <c r="I2183" t="str">
        <f t="shared" si="68"/>
        <v>Africa</v>
      </c>
      <c r="J2183" t="str">
        <f t="shared" si="69"/>
        <v>America</v>
      </c>
    </row>
    <row r="2184" spans="1:10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  <c r="I2184" t="str">
        <f t="shared" si="68"/>
        <v>Africa</v>
      </c>
      <c r="J2184" t="str">
        <f t="shared" si="69"/>
        <v>America</v>
      </c>
    </row>
    <row r="2185" spans="1:10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  <c r="I2185" t="str">
        <f t="shared" si="68"/>
        <v>Africa</v>
      </c>
      <c r="J2185" t="str">
        <f t="shared" si="69"/>
        <v>America</v>
      </c>
    </row>
    <row r="2186" spans="1:10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  <c r="I2186" t="str">
        <f t="shared" si="68"/>
        <v>America</v>
      </c>
      <c r="J2186" t="str">
        <f t="shared" si="69"/>
        <v>America</v>
      </c>
    </row>
    <row r="2187" spans="1:10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  <c r="I2187" t="str">
        <f t="shared" si="68"/>
        <v>America</v>
      </c>
      <c r="J2187" t="str">
        <f t="shared" si="69"/>
        <v>America</v>
      </c>
    </row>
    <row r="2188" spans="1:10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  <c r="I2188" t="str">
        <f t="shared" si="68"/>
        <v>NULL</v>
      </c>
      <c r="J2188" t="str">
        <f t="shared" si="69"/>
        <v>America</v>
      </c>
    </row>
    <row r="2189" spans="1:10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  <c r="I2189" t="str">
        <f t="shared" si="68"/>
        <v>NULL</v>
      </c>
      <c r="J2189" t="str">
        <f t="shared" si="69"/>
        <v>America</v>
      </c>
    </row>
  </sheetData>
  <autoFilter ref="A1:N2189" xr:uid="{55B0D8B6-456C-4F92-A6B5-3B19B6FF5843}"/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coffee_filled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2026-01-06T15:22:30Z</dcterms:modified>
</cp:coreProperties>
</file>